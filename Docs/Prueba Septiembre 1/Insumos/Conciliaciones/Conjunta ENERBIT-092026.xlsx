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09 SEPTIEMBRE- 2026\CONJUNTA\"/>
    </mc:Choice>
  </mc:AlternateContent>
  <xr:revisionPtr revIDLastSave="0" documentId="13_ncr:1_{00320C55-486D-4F4B-A1ED-C3453D6E9F50}" xr6:coauthVersionLast="47" xr6:coauthVersionMax="47" xr10:uidLastSave="{00000000-0000-0000-0000-000000000000}"/>
  <bookViews>
    <workbookView xWindow="28680" yWindow="-120" windowWidth="29040" windowHeight="15720" tabRatio="718" activeTab="2" xr2:uid="{00000000-000D-0000-FFFF-FFFF00000000}"/>
  </bookViews>
  <sheets>
    <sheet name="Oportuno" sheetId="22" r:id="rId1"/>
    <sheet name="EXTEMPORANEO" sheetId="33" r:id="rId2"/>
    <sheet name="RESUMEN MES" sheetId="34" r:id="rId3"/>
    <sheet name="Códigos bancos" sheetId="35" r:id="rId4"/>
    <sheet name="Reversiones" sheetId="38" r:id="rId5"/>
    <sheet name="1_Oportuno ENERBIT" sheetId="39" r:id="rId6"/>
    <sheet name="2_Extemporaneo ENERBIT" sheetId="40" r:id="rId7"/>
  </sheets>
  <externalReferences>
    <externalReference r:id="rId8"/>
  </externalReferences>
  <definedNames>
    <definedName name="_xlnm._FilterDatabase" localSheetId="5" hidden="1">'1_Oportuno ENERBIT'!$E$9:$Y$38</definedName>
    <definedName name="_xlnm._FilterDatabase" localSheetId="6" hidden="1">'2_Extemporaneo ENERBIT'!$B$12:$Y$111</definedName>
    <definedName name="_xlnm._FilterDatabase" localSheetId="1" hidden="1">EXTEMPORANEO!$A$12:$WWA$110</definedName>
    <definedName name="_xlnm._FilterDatabase" localSheetId="0" hidden="1">Oportuno!$E$9:$Y$38</definedName>
    <definedName name="Bancos">[1]Fx!$C$1:$C$23</definedName>
    <definedName name="NNN">#REF!</definedName>
    <definedName name="Ref." localSheetId="6">#REF!</definedName>
    <definedName name="Ref." localSheetId="1">#REF!</definedName>
    <definedName name="Ref." localSheetId="4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0" l="1"/>
  <c r="C14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B15" i="40"/>
  <c r="C15" i="40"/>
  <c r="D15" i="40"/>
  <c r="E15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B16" i="40"/>
  <c r="C16" i="40"/>
  <c r="D16" i="40"/>
  <c r="E16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B17" i="40"/>
  <c r="C17" i="40"/>
  <c r="D17" i="40"/>
  <c r="E17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B18" i="40"/>
  <c r="C18" i="40"/>
  <c r="D18" i="40"/>
  <c r="E18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B19" i="40"/>
  <c r="C19" i="40"/>
  <c r="D19" i="40"/>
  <c r="E19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B20" i="40"/>
  <c r="C20" i="40"/>
  <c r="D20" i="40"/>
  <c r="E20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B21" i="40"/>
  <c r="C21" i="40"/>
  <c r="D21" i="40"/>
  <c r="E21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B22" i="40"/>
  <c r="C22" i="40"/>
  <c r="D22" i="40"/>
  <c r="E22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B23" i="40"/>
  <c r="C23" i="40"/>
  <c r="D23" i="40"/>
  <c r="E23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B24" i="40"/>
  <c r="C24" i="40"/>
  <c r="D24" i="40"/>
  <c r="E24" i="40"/>
  <c r="F24" i="40"/>
  <c r="G24" i="40"/>
  <c r="H24" i="40"/>
  <c r="I24" i="40"/>
  <c r="J24" i="40"/>
  <c r="K24" i="40"/>
  <c r="L24" i="40"/>
  <c r="M24" i="40"/>
  <c r="N24" i="40"/>
  <c r="O24" i="40"/>
  <c r="P24" i="40"/>
  <c r="Q24" i="40"/>
  <c r="R24" i="40"/>
  <c r="S24" i="40"/>
  <c r="T24" i="40"/>
  <c r="U24" i="40"/>
  <c r="V24" i="40"/>
  <c r="W24" i="40"/>
  <c r="X24" i="40"/>
  <c r="Y24" i="40"/>
  <c r="B25" i="40"/>
  <c r="C25" i="40"/>
  <c r="D25" i="40"/>
  <c r="E25" i="40"/>
  <c r="F25" i="40"/>
  <c r="G25" i="40"/>
  <c r="H25" i="40"/>
  <c r="I25" i="40"/>
  <c r="J25" i="40"/>
  <c r="K25" i="40"/>
  <c r="L25" i="40"/>
  <c r="M25" i="40"/>
  <c r="N25" i="40"/>
  <c r="O25" i="40"/>
  <c r="P25" i="40"/>
  <c r="Q25" i="40"/>
  <c r="R25" i="40"/>
  <c r="S25" i="40"/>
  <c r="T25" i="40"/>
  <c r="U25" i="40"/>
  <c r="V25" i="40"/>
  <c r="W25" i="40"/>
  <c r="X25" i="40"/>
  <c r="Y25" i="40"/>
  <c r="B26" i="40"/>
  <c r="C26" i="40"/>
  <c r="D26" i="40"/>
  <c r="E26" i="40"/>
  <c r="F26" i="40"/>
  <c r="G26" i="40"/>
  <c r="H26" i="40"/>
  <c r="I26" i="40"/>
  <c r="J26" i="40"/>
  <c r="K26" i="40"/>
  <c r="L26" i="40"/>
  <c r="M26" i="40"/>
  <c r="N26" i="40"/>
  <c r="O26" i="40"/>
  <c r="P26" i="40"/>
  <c r="Q26" i="40"/>
  <c r="R26" i="40"/>
  <c r="S26" i="40"/>
  <c r="T26" i="40"/>
  <c r="U26" i="40"/>
  <c r="V26" i="40"/>
  <c r="W26" i="40"/>
  <c r="X26" i="40"/>
  <c r="Y26" i="40"/>
  <c r="B27" i="40"/>
  <c r="C27" i="40"/>
  <c r="D27" i="40"/>
  <c r="E27" i="40"/>
  <c r="F27" i="40"/>
  <c r="G27" i="40"/>
  <c r="H27" i="40"/>
  <c r="I27" i="40"/>
  <c r="J27" i="40"/>
  <c r="K27" i="40"/>
  <c r="L27" i="40"/>
  <c r="M27" i="40"/>
  <c r="N27" i="40"/>
  <c r="O27" i="40"/>
  <c r="P27" i="40"/>
  <c r="Q27" i="40"/>
  <c r="R27" i="40"/>
  <c r="S27" i="40"/>
  <c r="T27" i="40"/>
  <c r="U27" i="40"/>
  <c r="V27" i="40"/>
  <c r="W27" i="40"/>
  <c r="X27" i="40"/>
  <c r="Y27" i="40"/>
  <c r="B28" i="40"/>
  <c r="C28" i="40"/>
  <c r="D28" i="40"/>
  <c r="E28" i="40"/>
  <c r="F28" i="40"/>
  <c r="G28" i="40"/>
  <c r="H28" i="40"/>
  <c r="I28" i="40"/>
  <c r="J28" i="40"/>
  <c r="K28" i="40"/>
  <c r="L28" i="40"/>
  <c r="M28" i="40"/>
  <c r="N28" i="40"/>
  <c r="O28" i="40"/>
  <c r="P28" i="40"/>
  <c r="Q28" i="40"/>
  <c r="R28" i="40"/>
  <c r="S28" i="40"/>
  <c r="T28" i="40"/>
  <c r="U28" i="40"/>
  <c r="V28" i="40"/>
  <c r="W28" i="40"/>
  <c r="X28" i="40"/>
  <c r="Y28" i="40"/>
  <c r="B29" i="40"/>
  <c r="C29" i="40"/>
  <c r="D29" i="40"/>
  <c r="E29" i="40"/>
  <c r="F29" i="40"/>
  <c r="G29" i="40"/>
  <c r="H29" i="40"/>
  <c r="I29" i="40"/>
  <c r="J29" i="40"/>
  <c r="K29" i="40"/>
  <c r="L29" i="40"/>
  <c r="M29" i="40"/>
  <c r="N29" i="40"/>
  <c r="O29" i="40"/>
  <c r="P29" i="40"/>
  <c r="Q29" i="40"/>
  <c r="R29" i="40"/>
  <c r="S29" i="40"/>
  <c r="T29" i="40"/>
  <c r="U29" i="40"/>
  <c r="V29" i="40"/>
  <c r="W29" i="40"/>
  <c r="X29" i="40"/>
  <c r="Y29" i="40"/>
  <c r="B30" i="40"/>
  <c r="C30" i="40"/>
  <c r="D30" i="40"/>
  <c r="E30" i="40"/>
  <c r="F30" i="40"/>
  <c r="G30" i="40"/>
  <c r="H30" i="40"/>
  <c r="I30" i="40"/>
  <c r="J30" i="40"/>
  <c r="K30" i="40"/>
  <c r="L30" i="40"/>
  <c r="M30" i="40"/>
  <c r="N30" i="40"/>
  <c r="O30" i="40"/>
  <c r="P30" i="40"/>
  <c r="Q30" i="40"/>
  <c r="R30" i="40"/>
  <c r="S30" i="40"/>
  <c r="T30" i="40"/>
  <c r="U30" i="40"/>
  <c r="V30" i="40"/>
  <c r="W30" i="40"/>
  <c r="X30" i="40"/>
  <c r="Y30" i="40"/>
  <c r="B31" i="40"/>
  <c r="C31" i="40"/>
  <c r="D31" i="40"/>
  <c r="E31" i="40"/>
  <c r="F31" i="40"/>
  <c r="G31" i="40"/>
  <c r="H31" i="40"/>
  <c r="I31" i="40"/>
  <c r="J31" i="40"/>
  <c r="K31" i="40"/>
  <c r="L31" i="40"/>
  <c r="M31" i="40"/>
  <c r="N31" i="40"/>
  <c r="O31" i="40"/>
  <c r="P31" i="40"/>
  <c r="Q31" i="40"/>
  <c r="R31" i="40"/>
  <c r="S31" i="40"/>
  <c r="T31" i="40"/>
  <c r="U31" i="40"/>
  <c r="V31" i="40"/>
  <c r="W31" i="40"/>
  <c r="X31" i="40"/>
  <c r="Y31" i="40"/>
  <c r="B32" i="40"/>
  <c r="C32" i="40"/>
  <c r="D32" i="40"/>
  <c r="E32" i="40"/>
  <c r="F32" i="40"/>
  <c r="G32" i="40"/>
  <c r="H32" i="40"/>
  <c r="I32" i="40"/>
  <c r="J32" i="40"/>
  <c r="K32" i="40"/>
  <c r="L32" i="40"/>
  <c r="M32" i="40"/>
  <c r="N32" i="40"/>
  <c r="O32" i="40"/>
  <c r="P32" i="40"/>
  <c r="Q32" i="40"/>
  <c r="R32" i="40"/>
  <c r="S32" i="40"/>
  <c r="T32" i="40"/>
  <c r="U32" i="40"/>
  <c r="V32" i="40"/>
  <c r="W32" i="40"/>
  <c r="X32" i="40"/>
  <c r="Y32" i="40"/>
  <c r="B33" i="40"/>
  <c r="C33" i="40"/>
  <c r="D33" i="40"/>
  <c r="E33" i="40"/>
  <c r="F33" i="40"/>
  <c r="G33" i="40"/>
  <c r="H33" i="40"/>
  <c r="I33" i="40"/>
  <c r="J33" i="40"/>
  <c r="K33" i="40"/>
  <c r="L33" i="40"/>
  <c r="M33" i="40"/>
  <c r="N33" i="40"/>
  <c r="O33" i="40"/>
  <c r="P33" i="40"/>
  <c r="Q33" i="40"/>
  <c r="R33" i="40"/>
  <c r="S33" i="40"/>
  <c r="T33" i="40"/>
  <c r="U33" i="40"/>
  <c r="V33" i="40"/>
  <c r="W33" i="40"/>
  <c r="X33" i="40"/>
  <c r="Y33" i="40"/>
  <c r="B34" i="40"/>
  <c r="C34" i="40"/>
  <c r="D34" i="40"/>
  <c r="E34" i="40"/>
  <c r="F34" i="40"/>
  <c r="G34" i="40"/>
  <c r="H34" i="40"/>
  <c r="I34" i="40"/>
  <c r="J34" i="40"/>
  <c r="K34" i="40"/>
  <c r="L34" i="40"/>
  <c r="M34" i="40"/>
  <c r="N34" i="40"/>
  <c r="O34" i="40"/>
  <c r="P34" i="40"/>
  <c r="Q34" i="40"/>
  <c r="R34" i="40"/>
  <c r="S34" i="40"/>
  <c r="T34" i="40"/>
  <c r="U34" i="40"/>
  <c r="V34" i="40"/>
  <c r="W34" i="40"/>
  <c r="X34" i="40"/>
  <c r="Y34" i="40"/>
  <c r="B35" i="40"/>
  <c r="C35" i="40"/>
  <c r="D35" i="40"/>
  <c r="E35" i="40"/>
  <c r="F35" i="40"/>
  <c r="G35" i="40"/>
  <c r="H35" i="40"/>
  <c r="I35" i="40"/>
  <c r="J35" i="40"/>
  <c r="K35" i="40"/>
  <c r="L35" i="40"/>
  <c r="M35" i="40"/>
  <c r="N35" i="40"/>
  <c r="O35" i="40"/>
  <c r="P35" i="40"/>
  <c r="Q35" i="40"/>
  <c r="R35" i="40"/>
  <c r="S35" i="40"/>
  <c r="T35" i="40"/>
  <c r="U35" i="40"/>
  <c r="V35" i="40"/>
  <c r="W35" i="40"/>
  <c r="X35" i="40"/>
  <c r="Y35" i="40"/>
  <c r="B36" i="40"/>
  <c r="C36" i="40"/>
  <c r="D36" i="40"/>
  <c r="E36" i="40"/>
  <c r="F36" i="40"/>
  <c r="G36" i="40"/>
  <c r="H36" i="40"/>
  <c r="I36" i="40"/>
  <c r="J36" i="40"/>
  <c r="K36" i="40"/>
  <c r="L36" i="40"/>
  <c r="M36" i="40"/>
  <c r="N36" i="40"/>
  <c r="O36" i="40"/>
  <c r="P36" i="40"/>
  <c r="Q36" i="40"/>
  <c r="R36" i="40"/>
  <c r="S36" i="40"/>
  <c r="T36" i="40"/>
  <c r="U36" i="40"/>
  <c r="V36" i="40"/>
  <c r="W36" i="40"/>
  <c r="X36" i="40"/>
  <c r="Y36" i="40"/>
  <c r="B37" i="40"/>
  <c r="C37" i="40"/>
  <c r="D37" i="40"/>
  <c r="E37" i="40"/>
  <c r="F37" i="40"/>
  <c r="G37" i="40"/>
  <c r="H37" i="40"/>
  <c r="I37" i="40"/>
  <c r="J37" i="40"/>
  <c r="K37" i="40"/>
  <c r="L37" i="40"/>
  <c r="M37" i="40"/>
  <c r="N37" i="40"/>
  <c r="O37" i="40"/>
  <c r="P37" i="40"/>
  <c r="Q37" i="40"/>
  <c r="R37" i="40"/>
  <c r="S37" i="40"/>
  <c r="T37" i="40"/>
  <c r="U37" i="40"/>
  <c r="V37" i="40"/>
  <c r="W37" i="40"/>
  <c r="X37" i="40"/>
  <c r="Y37" i="40"/>
  <c r="B38" i="40"/>
  <c r="C38" i="40"/>
  <c r="D38" i="40"/>
  <c r="E38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B39" i="40"/>
  <c r="C39" i="40"/>
  <c r="D39" i="40"/>
  <c r="E39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R39" i="40"/>
  <c r="S39" i="40"/>
  <c r="T39" i="40"/>
  <c r="U39" i="40"/>
  <c r="V39" i="40"/>
  <c r="W39" i="40"/>
  <c r="X39" i="40"/>
  <c r="Y39" i="40"/>
  <c r="B40" i="40"/>
  <c r="C40" i="40"/>
  <c r="D40" i="40"/>
  <c r="E40" i="40"/>
  <c r="F40" i="40"/>
  <c r="G40" i="40"/>
  <c r="H40" i="40"/>
  <c r="I40" i="40"/>
  <c r="J40" i="40"/>
  <c r="K40" i="40"/>
  <c r="L40" i="40"/>
  <c r="M40" i="40"/>
  <c r="N40" i="40"/>
  <c r="O40" i="40"/>
  <c r="P40" i="40"/>
  <c r="Q40" i="40"/>
  <c r="R40" i="40"/>
  <c r="S40" i="40"/>
  <c r="T40" i="40"/>
  <c r="U40" i="40"/>
  <c r="V40" i="40"/>
  <c r="W40" i="40"/>
  <c r="X40" i="40"/>
  <c r="Y40" i="40"/>
  <c r="B41" i="40"/>
  <c r="C41" i="40"/>
  <c r="D41" i="40"/>
  <c r="E41" i="40"/>
  <c r="F41" i="40"/>
  <c r="G41" i="40"/>
  <c r="H41" i="40"/>
  <c r="I41" i="40"/>
  <c r="J41" i="40"/>
  <c r="K41" i="40"/>
  <c r="L41" i="40"/>
  <c r="M41" i="40"/>
  <c r="N41" i="40"/>
  <c r="O41" i="40"/>
  <c r="P41" i="40"/>
  <c r="Q41" i="40"/>
  <c r="R41" i="40"/>
  <c r="S41" i="40"/>
  <c r="T41" i="40"/>
  <c r="U41" i="40"/>
  <c r="V41" i="40"/>
  <c r="W41" i="40"/>
  <c r="X41" i="40"/>
  <c r="Y41" i="40"/>
  <c r="B42" i="40"/>
  <c r="C42" i="40"/>
  <c r="D42" i="40"/>
  <c r="E42" i="40"/>
  <c r="F42" i="40"/>
  <c r="G42" i="40"/>
  <c r="H42" i="40"/>
  <c r="I42" i="40"/>
  <c r="J42" i="40"/>
  <c r="K42" i="40"/>
  <c r="L42" i="40"/>
  <c r="M42" i="40"/>
  <c r="N42" i="40"/>
  <c r="O42" i="40"/>
  <c r="P42" i="40"/>
  <c r="Q42" i="40"/>
  <c r="R42" i="40"/>
  <c r="S42" i="40"/>
  <c r="T42" i="40"/>
  <c r="U42" i="40"/>
  <c r="V42" i="40"/>
  <c r="W42" i="40"/>
  <c r="X42" i="40"/>
  <c r="Y42" i="40"/>
  <c r="B43" i="40"/>
  <c r="C43" i="40"/>
  <c r="D43" i="40"/>
  <c r="E43" i="40"/>
  <c r="F43" i="40"/>
  <c r="G43" i="40"/>
  <c r="H43" i="40"/>
  <c r="I43" i="40"/>
  <c r="J43" i="40"/>
  <c r="K43" i="40"/>
  <c r="L43" i="40"/>
  <c r="M43" i="40"/>
  <c r="N43" i="40"/>
  <c r="O43" i="40"/>
  <c r="P43" i="40"/>
  <c r="Q43" i="40"/>
  <c r="R43" i="40"/>
  <c r="S43" i="40"/>
  <c r="T43" i="40"/>
  <c r="U43" i="40"/>
  <c r="V43" i="40"/>
  <c r="W43" i="40"/>
  <c r="X43" i="40"/>
  <c r="Y43" i="40"/>
  <c r="B44" i="40"/>
  <c r="C44" i="40"/>
  <c r="D44" i="40"/>
  <c r="E44" i="40"/>
  <c r="F44" i="40"/>
  <c r="G44" i="40"/>
  <c r="H44" i="40"/>
  <c r="I44" i="40"/>
  <c r="J44" i="40"/>
  <c r="K44" i="40"/>
  <c r="L44" i="40"/>
  <c r="M44" i="40"/>
  <c r="N44" i="40"/>
  <c r="O44" i="40"/>
  <c r="P44" i="40"/>
  <c r="Q44" i="40"/>
  <c r="R44" i="40"/>
  <c r="S44" i="40"/>
  <c r="T44" i="40"/>
  <c r="U44" i="40"/>
  <c r="V44" i="40"/>
  <c r="W44" i="40"/>
  <c r="X44" i="40"/>
  <c r="Y44" i="40"/>
  <c r="B45" i="40"/>
  <c r="C45" i="40"/>
  <c r="D45" i="40"/>
  <c r="E45" i="40"/>
  <c r="F45" i="40"/>
  <c r="G45" i="40"/>
  <c r="H45" i="40"/>
  <c r="I45" i="40"/>
  <c r="J45" i="40"/>
  <c r="K45" i="40"/>
  <c r="L45" i="40"/>
  <c r="M45" i="40"/>
  <c r="N45" i="40"/>
  <c r="O45" i="40"/>
  <c r="P45" i="40"/>
  <c r="Q45" i="40"/>
  <c r="R45" i="40"/>
  <c r="S45" i="40"/>
  <c r="T45" i="40"/>
  <c r="U45" i="40"/>
  <c r="V45" i="40"/>
  <c r="W45" i="40"/>
  <c r="X45" i="40"/>
  <c r="Y45" i="40"/>
  <c r="B46" i="40"/>
  <c r="C46" i="40"/>
  <c r="D46" i="40"/>
  <c r="E46" i="40"/>
  <c r="F46" i="40"/>
  <c r="G46" i="40"/>
  <c r="H46" i="40"/>
  <c r="I46" i="40"/>
  <c r="J46" i="40"/>
  <c r="K46" i="40"/>
  <c r="L46" i="40"/>
  <c r="M46" i="40"/>
  <c r="N46" i="40"/>
  <c r="O46" i="40"/>
  <c r="P46" i="40"/>
  <c r="Q46" i="40"/>
  <c r="R46" i="40"/>
  <c r="S46" i="40"/>
  <c r="T46" i="40"/>
  <c r="U46" i="40"/>
  <c r="V46" i="40"/>
  <c r="W46" i="40"/>
  <c r="X46" i="40"/>
  <c r="Y46" i="40"/>
  <c r="B47" i="40"/>
  <c r="C47" i="40"/>
  <c r="D47" i="40"/>
  <c r="E47" i="40"/>
  <c r="F47" i="40"/>
  <c r="G47" i="40"/>
  <c r="H47" i="40"/>
  <c r="I47" i="40"/>
  <c r="J47" i="40"/>
  <c r="K47" i="40"/>
  <c r="L47" i="40"/>
  <c r="M47" i="40"/>
  <c r="N47" i="40"/>
  <c r="O47" i="40"/>
  <c r="P47" i="40"/>
  <c r="Q47" i="40"/>
  <c r="R47" i="40"/>
  <c r="S47" i="40"/>
  <c r="T47" i="40"/>
  <c r="U47" i="40"/>
  <c r="V47" i="40"/>
  <c r="W47" i="40"/>
  <c r="X47" i="40"/>
  <c r="Y47" i="40"/>
  <c r="B48" i="40"/>
  <c r="C48" i="40"/>
  <c r="D48" i="40"/>
  <c r="E48" i="40"/>
  <c r="F48" i="40"/>
  <c r="G48" i="40"/>
  <c r="H48" i="40"/>
  <c r="I48" i="40"/>
  <c r="J48" i="40"/>
  <c r="K48" i="40"/>
  <c r="L48" i="40"/>
  <c r="M48" i="40"/>
  <c r="N48" i="40"/>
  <c r="O48" i="40"/>
  <c r="P48" i="40"/>
  <c r="Q48" i="40"/>
  <c r="R48" i="40"/>
  <c r="S48" i="40"/>
  <c r="T48" i="40"/>
  <c r="U48" i="40"/>
  <c r="V48" i="40"/>
  <c r="W48" i="40"/>
  <c r="X48" i="40"/>
  <c r="Y48" i="40"/>
  <c r="B49" i="40"/>
  <c r="C49" i="40"/>
  <c r="D49" i="40"/>
  <c r="E49" i="40"/>
  <c r="F49" i="40"/>
  <c r="G49" i="40"/>
  <c r="H49" i="40"/>
  <c r="I49" i="40"/>
  <c r="J49" i="40"/>
  <c r="K49" i="40"/>
  <c r="L49" i="40"/>
  <c r="M49" i="40"/>
  <c r="N49" i="40"/>
  <c r="O49" i="40"/>
  <c r="P49" i="40"/>
  <c r="Q49" i="40"/>
  <c r="R49" i="40"/>
  <c r="S49" i="40"/>
  <c r="T49" i="40"/>
  <c r="U49" i="40"/>
  <c r="V49" i="40"/>
  <c r="W49" i="40"/>
  <c r="X49" i="40"/>
  <c r="Y49" i="40"/>
  <c r="B50" i="40"/>
  <c r="C50" i="40"/>
  <c r="D50" i="40"/>
  <c r="E50" i="40"/>
  <c r="F50" i="40"/>
  <c r="G50" i="40"/>
  <c r="H50" i="40"/>
  <c r="I50" i="40"/>
  <c r="J50" i="40"/>
  <c r="K50" i="40"/>
  <c r="L50" i="40"/>
  <c r="M50" i="40"/>
  <c r="N50" i="40"/>
  <c r="O50" i="40"/>
  <c r="P50" i="40"/>
  <c r="Q50" i="40"/>
  <c r="R50" i="40"/>
  <c r="S50" i="40"/>
  <c r="T50" i="40"/>
  <c r="U50" i="40"/>
  <c r="V50" i="40"/>
  <c r="W50" i="40"/>
  <c r="X50" i="40"/>
  <c r="Y50" i="40"/>
  <c r="B51" i="40"/>
  <c r="C51" i="40"/>
  <c r="D51" i="40"/>
  <c r="E51" i="40"/>
  <c r="F51" i="40"/>
  <c r="G51" i="40"/>
  <c r="H51" i="40"/>
  <c r="I51" i="40"/>
  <c r="J51" i="40"/>
  <c r="K51" i="40"/>
  <c r="L51" i="40"/>
  <c r="M51" i="40"/>
  <c r="N51" i="40"/>
  <c r="O51" i="40"/>
  <c r="P51" i="40"/>
  <c r="Q51" i="40"/>
  <c r="R51" i="40"/>
  <c r="S51" i="40"/>
  <c r="T51" i="40"/>
  <c r="U51" i="40"/>
  <c r="V51" i="40"/>
  <c r="W51" i="40"/>
  <c r="X51" i="40"/>
  <c r="Y51" i="40"/>
  <c r="B52" i="40"/>
  <c r="C52" i="40"/>
  <c r="D52" i="40"/>
  <c r="E52" i="40"/>
  <c r="F52" i="40"/>
  <c r="G52" i="40"/>
  <c r="H52" i="40"/>
  <c r="I52" i="40"/>
  <c r="J52" i="40"/>
  <c r="K52" i="40"/>
  <c r="L52" i="40"/>
  <c r="M52" i="40"/>
  <c r="N52" i="40"/>
  <c r="O52" i="40"/>
  <c r="P52" i="40"/>
  <c r="Q52" i="40"/>
  <c r="R52" i="40"/>
  <c r="S52" i="40"/>
  <c r="T52" i="40"/>
  <c r="U52" i="40"/>
  <c r="V52" i="40"/>
  <c r="W52" i="40"/>
  <c r="X52" i="40"/>
  <c r="Y52" i="40"/>
  <c r="B53" i="40"/>
  <c r="C53" i="40"/>
  <c r="D53" i="40"/>
  <c r="E53" i="40"/>
  <c r="F53" i="40"/>
  <c r="G53" i="40"/>
  <c r="H53" i="40"/>
  <c r="I53" i="40"/>
  <c r="J53" i="40"/>
  <c r="K53" i="40"/>
  <c r="L53" i="40"/>
  <c r="M53" i="40"/>
  <c r="N53" i="40"/>
  <c r="O53" i="40"/>
  <c r="P53" i="40"/>
  <c r="Q53" i="40"/>
  <c r="R53" i="40"/>
  <c r="S53" i="40"/>
  <c r="T53" i="40"/>
  <c r="U53" i="40"/>
  <c r="V53" i="40"/>
  <c r="W53" i="40"/>
  <c r="X53" i="40"/>
  <c r="Y53" i="40"/>
  <c r="B54" i="40"/>
  <c r="C54" i="40"/>
  <c r="D54" i="40"/>
  <c r="E54" i="40"/>
  <c r="F54" i="40"/>
  <c r="G54" i="40"/>
  <c r="H54" i="40"/>
  <c r="I54" i="40"/>
  <c r="J54" i="40"/>
  <c r="K54" i="40"/>
  <c r="L54" i="40"/>
  <c r="M54" i="40"/>
  <c r="N54" i="40"/>
  <c r="O54" i="40"/>
  <c r="P54" i="40"/>
  <c r="Q54" i="40"/>
  <c r="R54" i="40"/>
  <c r="S54" i="40"/>
  <c r="T54" i="40"/>
  <c r="U54" i="40"/>
  <c r="V54" i="40"/>
  <c r="W54" i="40"/>
  <c r="X54" i="40"/>
  <c r="Y54" i="40"/>
  <c r="B55" i="40"/>
  <c r="C55" i="40"/>
  <c r="D55" i="40"/>
  <c r="E55" i="40"/>
  <c r="F55" i="40"/>
  <c r="G55" i="40"/>
  <c r="H55" i="40"/>
  <c r="I55" i="40"/>
  <c r="J55" i="40"/>
  <c r="K55" i="40"/>
  <c r="L55" i="40"/>
  <c r="M55" i="40"/>
  <c r="N55" i="40"/>
  <c r="O55" i="40"/>
  <c r="P55" i="40"/>
  <c r="Q55" i="40"/>
  <c r="R55" i="40"/>
  <c r="S55" i="40"/>
  <c r="T55" i="40"/>
  <c r="U55" i="40"/>
  <c r="V55" i="40"/>
  <c r="W55" i="40"/>
  <c r="X55" i="40"/>
  <c r="Y55" i="40"/>
  <c r="B56" i="40"/>
  <c r="C56" i="40"/>
  <c r="D56" i="40"/>
  <c r="E56" i="40"/>
  <c r="F56" i="40"/>
  <c r="G56" i="40"/>
  <c r="H56" i="40"/>
  <c r="I56" i="40"/>
  <c r="J56" i="40"/>
  <c r="K56" i="40"/>
  <c r="L56" i="40"/>
  <c r="M56" i="40"/>
  <c r="N56" i="40"/>
  <c r="O56" i="40"/>
  <c r="P56" i="40"/>
  <c r="Q56" i="40"/>
  <c r="R56" i="40"/>
  <c r="S56" i="40"/>
  <c r="T56" i="40"/>
  <c r="U56" i="40"/>
  <c r="V56" i="40"/>
  <c r="W56" i="40"/>
  <c r="X56" i="40"/>
  <c r="Y56" i="40"/>
  <c r="B57" i="40"/>
  <c r="C57" i="40"/>
  <c r="D57" i="40"/>
  <c r="E57" i="40"/>
  <c r="F57" i="40"/>
  <c r="G57" i="40"/>
  <c r="H57" i="40"/>
  <c r="I57" i="40"/>
  <c r="J57" i="40"/>
  <c r="K57" i="40"/>
  <c r="L57" i="40"/>
  <c r="M57" i="40"/>
  <c r="N57" i="40"/>
  <c r="O57" i="40"/>
  <c r="P57" i="40"/>
  <c r="Q57" i="40"/>
  <c r="R57" i="40"/>
  <c r="S57" i="40"/>
  <c r="T57" i="40"/>
  <c r="U57" i="40"/>
  <c r="V57" i="40"/>
  <c r="W57" i="40"/>
  <c r="X57" i="40"/>
  <c r="Y57" i="40"/>
  <c r="B58" i="40"/>
  <c r="C58" i="40"/>
  <c r="D58" i="40"/>
  <c r="E58" i="40"/>
  <c r="F58" i="40"/>
  <c r="G58" i="40"/>
  <c r="H58" i="40"/>
  <c r="I58" i="40"/>
  <c r="J58" i="40"/>
  <c r="K58" i="40"/>
  <c r="L58" i="40"/>
  <c r="M58" i="40"/>
  <c r="N58" i="40"/>
  <c r="O58" i="40"/>
  <c r="P58" i="40"/>
  <c r="Q58" i="40"/>
  <c r="R58" i="40"/>
  <c r="S58" i="40"/>
  <c r="T58" i="40"/>
  <c r="U58" i="40"/>
  <c r="V58" i="40"/>
  <c r="W58" i="40"/>
  <c r="X58" i="40"/>
  <c r="Y58" i="40"/>
  <c r="B59" i="40"/>
  <c r="C59" i="40"/>
  <c r="D59" i="40"/>
  <c r="E59" i="40"/>
  <c r="F59" i="40"/>
  <c r="G59" i="40"/>
  <c r="H59" i="40"/>
  <c r="I59" i="40"/>
  <c r="J59" i="40"/>
  <c r="K59" i="40"/>
  <c r="L59" i="40"/>
  <c r="M59" i="40"/>
  <c r="N59" i="40"/>
  <c r="O59" i="40"/>
  <c r="P59" i="40"/>
  <c r="Q59" i="40"/>
  <c r="R59" i="40"/>
  <c r="S59" i="40"/>
  <c r="T59" i="40"/>
  <c r="U59" i="40"/>
  <c r="V59" i="40"/>
  <c r="W59" i="40"/>
  <c r="X59" i="40"/>
  <c r="Y59" i="40"/>
  <c r="B60" i="40"/>
  <c r="C60" i="40"/>
  <c r="D60" i="40"/>
  <c r="E60" i="40"/>
  <c r="F60" i="40"/>
  <c r="G60" i="40"/>
  <c r="H60" i="40"/>
  <c r="I60" i="40"/>
  <c r="J60" i="40"/>
  <c r="K60" i="40"/>
  <c r="L60" i="40"/>
  <c r="M60" i="40"/>
  <c r="N60" i="40"/>
  <c r="O60" i="40"/>
  <c r="P60" i="40"/>
  <c r="Q60" i="40"/>
  <c r="R60" i="40"/>
  <c r="S60" i="40"/>
  <c r="T60" i="40"/>
  <c r="U60" i="40"/>
  <c r="V60" i="40"/>
  <c r="W60" i="40"/>
  <c r="X60" i="40"/>
  <c r="Y60" i="40"/>
  <c r="B61" i="40"/>
  <c r="C61" i="40"/>
  <c r="D61" i="40"/>
  <c r="E61" i="40"/>
  <c r="F61" i="40"/>
  <c r="G61" i="40"/>
  <c r="H61" i="40"/>
  <c r="I61" i="40"/>
  <c r="J61" i="40"/>
  <c r="K61" i="40"/>
  <c r="L61" i="40"/>
  <c r="M61" i="40"/>
  <c r="N61" i="40"/>
  <c r="O61" i="40"/>
  <c r="P61" i="40"/>
  <c r="Q61" i="40"/>
  <c r="R61" i="40"/>
  <c r="S61" i="40"/>
  <c r="T61" i="40"/>
  <c r="U61" i="40"/>
  <c r="V61" i="40"/>
  <c r="W61" i="40"/>
  <c r="X61" i="40"/>
  <c r="Y61" i="40"/>
  <c r="B62" i="40"/>
  <c r="C62" i="40"/>
  <c r="D62" i="40"/>
  <c r="E62" i="40"/>
  <c r="F62" i="40"/>
  <c r="G62" i="40"/>
  <c r="H62" i="40"/>
  <c r="I62" i="40"/>
  <c r="J62" i="40"/>
  <c r="K62" i="40"/>
  <c r="L62" i="40"/>
  <c r="M62" i="40"/>
  <c r="N62" i="40"/>
  <c r="O62" i="40"/>
  <c r="P62" i="40"/>
  <c r="Q62" i="40"/>
  <c r="R62" i="40"/>
  <c r="S62" i="40"/>
  <c r="T62" i="40"/>
  <c r="U62" i="40"/>
  <c r="V62" i="40"/>
  <c r="W62" i="40"/>
  <c r="X62" i="40"/>
  <c r="Y62" i="40"/>
  <c r="B63" i="40"/>
  <c r="C63" i="40"/>
  <c r="D63" i="40"/>
  <c r="E63" i="40"/>
  <c r="F63" i="40"/>
  <c r="G63" i="40"/>
  <c r="H63" i="40"/>
  <c r="I63" i="40"/>
  <c r="J63" i="40"/>
  <c r="K63" i="40"/>
  <c r="L63" i="40"/>
  <c r="M63" i="40"/>
  <c r="N63" i="40"/>
  <c r="O63" i="40"/>
  <c r="P63" i="40"/>
  <c r="Q63" i="40"/>
  <c r="R63" i="40"/>
  <c r="S63" i="40"/>
  <c r="T63" i="40"/>
  <c r="U63" i="40"/>
  <c r="V63" i="40"/>
  <c r="W63" i="40"/>
  <c r="X63" i="40"/>
  <c r="Y63" i="40"/>
  <c r="B64" i="40"/>
  <c r="C64" i="40"/>
  <c r="D64" i="40"/>
  <c r="E64" i="40"/>
  <c r="F64" i="40"/>
  <c r="G64" i="40"/>
  <c r="H64" i="40"/>
  <c r="I64" i="40"/>
  <c r="J64" i="40"/>
  <c r="K64" i="40"/>
  <c r="L64" i="40"/>
  <c r="M64" i="40"/>
  <c r="N64" i="40"/>
  <c r="O64" i="40"/>
  <c r="P64" i="40"/>
  <c r="Q64" i="40"/>
  <c r="R64" i="40"/>
  <c r="S64" i="40"/>
  <c r="T64" i="40"/>
  <c r="U64" i="40"/>
  <c r="V64" i="40"/>
  <c r="W64" i="40"/>
  <c r="X64" i="40"/>
  <c r="Y64" i="40"/>
  <c r="B65" i="40"/>
  <c r="C65" i="40"/>
  <c r="D65" i="40"/>
  <c r="E65" i="40"/>
  <c r="F65" i="40"/>
  <c r="G65" i="40"/>
  <c r="H65" i="40"/>
  <c r="I65" i="40"/>
  <c r="J65" i="40"/>
  <c r="K65" i="40"/>
  <c r="L65" i="40"/>
  <c r="M65" i="40"/>
  <c r="N65" i="40"/>
  <c r="O65" i="40"/>
  <c r="P65" i="40"/>
  <c r="Q65" i="40"/>
  <c r="R65" i="40"/>
  <c r="S65" i="40"/>
  <c r="T65" i="40"/>
  <c r="U65" i="40"/>
  <c r="V65" i="40"/>
  <c r="W65" i="40"/>
  <c r="X65" i="40"/>
  <c r="Y65" i="40"/>
  <c r="B66" i="40"/>
  <c r="C66" i="40"/>
  <c r="D66" i="40"/>
  <c r="E66" i="40"/>
  <c r="F66" i="40"/>
  <c r="G66" i="40"/>
  <c r="H66" i="40"/>
  <c r="I66" i="40"/>
  <c r="J66" i="40"/>
  <c r="K66" i="40"/>
  <c r="L66" i="40"/>
  <c r="M66" i="40"/>
  <c r="N66" i="40"/>
  <c r="O66" i="40"/>
  <c r="P66" i="40"/>
  <c r="Q66" i="40"/>
  <c r="R66" i="40"/>
  <c r="S66" i="40"/>
  <c r="T66" i="40"/>
  <c r="U66" i="40"/>
  <c r="V66" i="40"/>
  <c r="W66" i="40"/>
  <c r="X66" i="40"/>
  <c r="Y66" i="40"/>
  <c r="B67" i="40"/>
  <c r="C67" i="40"/>
  <c r="D67" i="40"/>
  <c r="E67" i="40"/>
  <c r="F67" i="40"/>
  <c r="G67" i="40"/>
  <c r="H67" i="40"/>
  <c r="I67" i="40"/>
  <c r="J67" i="40"/>
  <c r="K67" i="40"/>
  <c r="L67" i="40"/>
  <c r="M67" i="40"/>
  <c r="N67" i="40"/>
  <c r="O67" i="40"/>
  <c r="P67" i="40"/>
  <c r="Q67" i="40"/>
  <c r="R67" i="40"/>
  <c r="S67" i="40"/>
  <c r="T67" i="40"/>
  <c r="U67" i="40"/>
  <c r="V67" i="40"/>
  <c r="W67" i="40"/>
  <c r="X67" i="40"/>
  <c r="Y67" i="40"/>
  <c r="B68" i="40"/>
  <c r="C68" i="40"/>
  <c r="D68" i="40"/>
  <c r="E68" i="40"/>
  <c r="F68" i="40"/>
  <c r="G68" i="40"/>
  <c r="H68" i="40"/>
  <c r="I68" i="40"/>
  <c r="J68" i="40"/>
  <c r="K68" i="40"/>
  <c r="L68" i="40"/>
  <c r="M68" i="40"/>
  <c r="N68" i="40"/>
  <c r="O68" i="40"/>
  <c r="P68" i="40"/>
  <c r="Q68" i="40"/>
  <c r="R68" i="40"/>
  <c r="S68" i="40"/>
  <c r="T68" i="40"/>
  <c r="U68" i="40"/>
  <c r="V68" i="40"/>
  <c r="W68" i="40"/>
  <c r="X68" i="40"/>
  <c r="Y68" i="40"/>
  <c r="B69" i="40"/>
  <c r="C69" i="40"/>
  <c r="D69" i="40"/>
  <c r="E69" i="40"/>
  <c r="F69" i="40"/>
  <c r="G69" i="40"/>
  <c r="H69" i="40"/>
  <c r="I69" i="40"/>
  <c r="J69" i="40"/>
  <c r="K69" i="40"/>
  <c r="L69" i="40"/>
  <c r="M69" i="40"/>
  <c r="N69" i="40"/>
  <c r="O69" i="40"/>
  <c r="P69" i="40"/>
  <c r="Q69" i="40"/>
  <c r="R69" i="40"/>
  <c r="S69" i="40"/>
  <c r="T69" i="40"/>
  <c r="U69" i="40"/>
  <c r="V69" i="40"/>
  <c r="W69" i="40"/>
  <c r="X69" i="40"/>
  <c r="Y69" i="40"/>
  <c r="B70" i="40"/>
  <c r="C70" i="40"/>
  <c r="D70" i="40"/>
  <c r="E70" i="40"/>
  <c r="F70" i="40"/>
  <c r="G70" i="40"/>
  <c r="H70" i="40"/>
  <c r="I70" i="40"/>
  <c r="J70" i="40"/>
  <c r="K70" i="40"/>
  <c r="L70" i="40"/>
  <c r="M70" i="40"/>
  <c r="N70" i="40"/>
  <c r="O70" i="40"/>
  <c r="P70" i="40"/>
  <c r="Q70" i="40"/>
  <c r="R70" i="40"/>
  <c r="S70" i="40"/>
  <c r="T70" i="40"/>
  <c r="U70" i="40"/>
  <c r="V70" i="40"/>
  <c r="W70" i="40"/>
  <c r="X70" i="40"/>
  <c r="Y70" i="40"/>
  <c r="B71" i="40"/>
  <c r="C71" i="40"/>
  <c r="D71" i="40"/>
  <c r="E71" i="40"/>
  <c r="F71" i="40"/>
  <c r="G71" i="40"/>
  <c r="H71" i="40"/>
  <c r="I71" i="40"/>
  <c r="J71" i="40"/>
  <c r="K71" i="40"/>
  <c r="L71" i="40"/>
  <c r="M71" i="40"/>
  <c r="N71" i="40"/>
  <c r="O71" i="40"/>
  <c r="P71" i="40"/>
  <c r="Q71" i="40"/>
  <c r="R71" i="40"/>
  <c r="S71" i="40"/>
  <c r="T71" i="40"/>
  <c r="U71" i="40"/>
  <c r="V71" i="40"/>
  <c r="W71" i="40"/>
  <c r="X71" i="40"/>
  <c r="Y71" i="40"/>
  <c r="B72" i="40"/>
  <c r="C72" i="40"/>
  <c r="D72" i="40"/>
  <c r="E72" i="40"/>
  <c r="F72" i="40"/>
  <c r="G72" i="40"/>
  <c r="H72" i="40"/>
  <c r="I72" i="40"/>
  <c r="J72" i="40"/>
  <c r="K72" i="40"/>
  <c r="L72" i="40"/>
  <c r="M72" i="40"/>
  <c r="N72" i="40"/>
  <c r="O72" i="40"/>
  <c r="P72" i="40"/>
  <c r="Q72" i="40"/>
  <c r="R72" i="40"/>
  <c r="S72" i="40"/>
  <c r="T72" i="40"/>
  <c r="U72" i="40"/>
  <c r="V72" i="40"/>
  <c r="W72" i="40"/>
  <c r="X72" i="40"/>
  <c r="Y72" i="40"/>
  <c r="B73" i="40"/>
  <c r="C73" i="40"/>
  <c r="D73" i="40"/>
  <c r="E73" i="40"/>
  <c r="F73" i="40"/>
  <c r="G73" i="40"/>
  <c r="H73" i="40"/>
  <c r="I73" i="40"/>
  <c r="J73" i="40"/>
  <c r="K73" i="40"/>
  <c r="L73" i="40"/>
  <c r="M73" i="40"/>
  <c r="N73" i="40"/>
  <c r="O73" i="40"/>
  <c r="P73" i="40"/>
  <c r="Q73" i="40"/>
  <c r="R73" i="40"/>
  <c r="S73" i="40"/>
  <c r="T73" i="40"/>
  <c r="U73" i="40"/>
  <c r="V73" i="40"/>
  <c r="W73" i="40"/>
  <c r="X73" i="40"/>
  <c r="Y73" i="40"/>
  <c r="B74" i="40"/>
  <c r="C74" i="40"/>
  <c r="D74" i="40"/>
  <c r="E74" i="40"/>
  <c r="F74" i="40"/>
  <c r="G74" i="40"/>
  <c r="H74" i="40"/>
  <c r="I74" i="40"/>
  <c r="J74" i="40"/>
  <c r="K74" i="40"/>
  <c r="L74" i="40"/>
  <c r="M74" i="40"/>
  <c r="N74" i="40"/>
  <c r="O74" i="40"/>
  <c r="P74" i="40"/>
  <c r="Q74" i="40"/>
  <c r="R74" i="40"/>
  <c r="S74" i="40"/>
  <c r="T74" i="40"/>
  <c r="U74" i="40"/>
  <c r="V74" i="40"/>
  <c r="W74" i="40"/>
  <c r="X74" i="40"/>
  <c r="Y74" i="40"/>
  <c r="B75" i="40"/>
  <c r="C75" i="40"/>
  <c r="D75" i="40"/>
  <c r="E75" i="40"/>
  <c r="F75" i="40"/>
  <c r="G75" i="40"/>
  <c r="H75" i="40"/>
  <c r="I75" i="40"/>
  <c r="J75" i="40"/>
  <c r="K75" i="40"/>
  <c r="L75" i="40"/>
  <c r="M75" i="40"/>
  <c r="N75" i="40"/>
  <c r="O75" i="40"/>
  <c r="P75" i="40"/>
  <c r="Q75" i="40"/>
  <c r="R75" i="40"/>
  <c r="S75" i="40"/>
  <c r="T75" i="40"/>
  <c r="U75" i="40"/>
  <c r="V75" i="40"/>
  <c r="W75" i="40"/>
  <c r="X75" i="40"/>
  <c r="Y75" i="40"/>
  <c r="B76" i="40"/>
  <c r="C76" i="40"/>
  <c r="D76" i="40"/>
  <c r="E76" i="40"/>
  <c r="F76" i="40"/>
  <c r="G76" i="40"/>
  <c r="H76" i="40"/>
  <c r="I76" i="40"/>
  <c r="J76" i="40"/>
  <c r="K76" i="40"/>
  <c r="L76" i="40"/>
  <c r="M76" i="40"/>
  <c r="N76" i="40"/>
  <c r="O76" i="40"/>
  <c r="P76" i="40"/>
  <c r="Q76" i="40"/>
  <c r="R76" i="40"/>
  <c r="S76" i="40"/>
  <c r="T76" i="40"/>
  <c r="U76" i="40"/>
  <c r="V76" i="40"/>
  <c r="W76" i="40"/>
  <c r="X76" i="40"/>
  <c r="Y76" i="40"/>
  <c r="B77" i="40"/>
  <c r="C77" i="40"/>
  <c r="D77" i="40"/>
  <c r="E77" i="40"/>
  <c r="F77" i="40"/>
  <c r="G77" i="40"/>
  <c r="H77" i="40"/>
  <c r="I77" i="40"/>
  <c r="J77" i="40"/>
  <c r="K77" i="40"/>
  <c r="L77" i="40"/>
  <c r="M77" i="40"/>
  <c r="N77" i="40"/>
  <c r="O77" i="40"/>
  <c r="P77" i="40"/>
  <c r="Q77" i="40"/>
  <c r="R77" i="40"/>
  <c r="S77" i="40"/>
  <c r="T77" i="40"/>
  <c r="U77" i="40"/>
  <c r="V77" i="40"/>
  <c r="W77" i="40"/>
  <c r="X77" i="40"/>
  <c r="Y77" i="40"/>
  <c r="B78" i="40"/>
  <c r="C78" i="40"/>
  <c r="D78" i="40"/>
  <c r="E78" i="40"/>
  <c r="F78" i="40"/>
  <c r="G78" i="40"/>
  <c r="H78" i="40"/>
  <c r="I78" i="40"/>
  <c r="J78" i="40"/>
  <c r="K78" i="40"/>
  <c r="L78" i="40"/>
  <c r="M78" i="40"/>
  <c r="N78" i="40"/>
  <c r="O78" i="40"/>
  <c r="P78" i="40"/>
  <c r="Q78" i="40"/>
  <c r="R78" i="40"/>
  <c r="S78" i="40"/>
  <c r="T78" i="40"/>
  <c r="U78" i="40"/>
  <c r="V78" i="40"/>
  <c r="W78" i="40"/>
  <c r="X78" i="40"/>
  <c r="Y78" i="40"/>
  <c r="B79" i="40"/>
  <c r="C79" i="40"/>
  <c r="D79" i="40"/>
  <c r="E79" i="40"/>
  <c r="F79" i="40"/>
  <c r="G79" i="40"/>
  <c r="H79" i="40"/>
  <c r="I79" i="40"/>
  <c r="J79" i="40"/>
  <c r="K79" i="40"/>
  <c r="L79" i="40"/>
  <c r="M79" i="40"/>
  <c r="N79" i="40"/>
  <c r="O79" i="40"/>
  <c r="P79" i="40"/>
  <c r="Q79" i="40"/>
  <c r="R79" i="40"/>
  <c r="S79" i="40"/>
  <c r="T79" i="40"/>
  <c r="U79" i="40"/>
  <c r="V79" i="40"/>
  <c r="W79" i="40"/>
  <c r="X79" i="40"/>
  <c r="Y79" i="40"/>
  <c r="B80" i="40"/>
  <c r="C80" i="40"/>
  <c r="D80" i="40"/>
  <c r="E80" i="40"/>
  <c r="F80" i="40"/>
  <c r="G80" i="40"/>
  <c r="H80" i="40"/>
  <c r="I80" i="40"/>
  <c r="J80" i="40"/>
  <c r="K80" i="40"/>
  <c r="L80" i="40"/>
  <c r="M80" i="40"/>
  <c r="N80" i="40"/>
  <c r="O80" i="40"/>
  <c r="P80" i="40"/>
  <c r="Q80" i="40"/>
  <c r="R80" i="40"/>
  <c r="S80" i="40"/>
  <c r="T80" i="40"/>
  <c r="U80" i="40"/>
  <c r="V80" i="40"/>
  <c r="W80" i="40"/>
  <c r="X80" i="40"/>
  <c r="Y80" i="40"/>
  <c r="B81" i="40"/>
  <c r="C81" i="40"/>
  <c r="D81" i="40"/>
  <c r="E81" i="40"/>
  <c r="F81" i="40"/>
  <c r="G81" i="40"/>
  <c r="H81" i="40"/>
  <c r="I81" i="40"/>
  <c r="J81" i="40"/>
  <c r="K81" i="40"/>
  <c r="L81" i="40"/>
  <c r="M81" i="40"/>
  <c r="N81" i="40"/>
  <c r="O81" i="40"/>
  <c r="P81" i="40"/>
  <c r="Q81" i="40"/>
  <c r="R81" i="40"/>
  <c r="S81" i="40"/>
  <c r="T81" i="40"/>
  <c r="U81" i="40"/>
  <c r="V81" i="40"/>
  <c r="W81" i="40"/>
  <c r="X81" i="40"/>
  <c r="Y81" i="40"/>
  <c r="B82" i="40"/>
  <c r="C82" i="40"/>
  <c r="D82" i="40"/>
  <c r="E82" i="40"/>
  <c r="F82" i="40"/>
  <c r="G82" i="40"/>
  <c r="H82" i="40"/>
  <c r="I82" i="40"/>
  <c r="J82" i="40"/>
  <c r="K82" i="40"/>
  <c r="L82" i="40"/>
  <c r="M82" i="40"/>
  <c r="N82" i="40"/>
  <c r="O82" i="40"/>
  <c r="P82" i="40"/>
  <c r="Q82" i="40"/>
  <c r="R82" i="40"/>
  <c r="S82" i="40"/>
  <c r="T82" i="40"/>
  <c r="U82" i="40"/>
  <c r="V82" i="40"/>
  <c r="W82" i="40"/>
  <c r="X82" i="40"/>
  <c r="Y82" i="40"/>
  <c r="B83" i="40"/>
  <c r="C83" i="40"/>
  <c r="D83" i="40"/>
  <c r="E83" i="40"/>
  <c r="F83" i="40"/>
  <c r="G83" i="40"/>
  <c r="H83" i="40"/>
  <c r="I83" i="40"/>
  <c r="J83" i="40"/>
  <c r="K83" i="40"/>
  <c r="L83" i="40"/>
  <c r="M83" i="40"/>
  <c r="N83" i="40"/>
  <c r="O83" i="40"/>
  <c r="P83" i="40"/>
  <c r="Q83" i="40"/>
  <c r="R83" i="40"/>
  <c r="S83" i="40"/>
  <c r="T83" i="40"/>
  <c r="U83" i="40"/>
  <c r="V83" i="40"/>
  <c r="W83" i="40"/>
  <c r="X83" i="40"/>
  <c r="Y83" i="40"/>
  <c r="B84" i="40"/>
  <c r="C84" i="40"/>
  <c r="D84" i="40"/>
  <c r="E84" i="40"/>
  <c r="F84" i="40"/>
  <c r="G84" i="40"/>
  <c r="H84" i="40"/>
  <c r="I84" i="40"/>
  <c r="J84" i="40"/>
  <c r="K84" i="40"/>
  <c r="L84" i="40"/>
  <c r="M84" i="40"/>
  <c r="N84" i="40"/>
  <c r="O84" i="40"/>
  <c r="P84" i="40"/>
  <c r="Q84" i="40"/>
  <c r="R84" i="40"/>
  <c r="S84" i="40"/>
  <c r="T84" i="40"/>
  <c r="U84" i="40"/>
  <c r="V84" i="40"/>
  <c r="W84" i="40"/>
  <c r="X84" i="40"/>
  <c r="Y84" i="40"/>
  <c r="B85" i="40"/>
  <c r="C85" i="40"/>
  <c r="D85" i="40"/>
  <c r="E85" i="40"/>
  <c r="F85" i="40"/>
  <c r="G85" i="40"/>
  <c r="H85" i="40"/>
  <c r="I85" i="40"/>
  <c r="J85" i="40"/>
  <c r="K85" i="40"/>
  <c r="L85" i="40"/>
  <c r="M85" i="40"/>
  <c r="N85" i="40"/>
  <c r="O85" i="40"/>
  <c r="P85" i="40"/>
  <c r="Q85" i="40"/>
  <c r="R85" i="40"/>
  <c r="S85" i="40"/>
  <c r="T85" i="40"/>
  <c r="U85" i="40"/>
  <c r="V85" i="40"/>
  <c r="W85" i="40"/>
  <c r="X85" i="40"/>
  <c r="Y85" i="40"/>
  <c r="B86" i="40"/>
  <c r="C86" i="40"/>
  <c r="D86" i="40"/>
  <c r="E86" i="40"/>
  <c r="F86" i="40"/>
  <c r="G86" i="40"/>
  <c r="H86" i="40"/>
  <c r="I86" i="40"/>
  <c r="J86" i="40"/>
  <c r="K86" i="40"/>
  <c r="L86" i="40"/>
  <c r="M86" i="40"/>
  <c r="N86" i="40"/>
  <c r="O86" i="40"/>
  <c r="P86" i="40"/>
  <c r="Q86" i="40"/>
  <c r="R86" i="40"/>
  <c r="S86" i="40"/>
  <c r="T86" i="40"/>
  <c r="U86" i="40"/>
  <c r="V86" i="40"/>
  <c r="W86" i="40"/>
  <c r="X86" i="40"/>
  <c r="Y86" i="40"/>
  <c r="B87" i="40"/>
  <c r="C87" i="40"/>
  <c r="D87" i="40"/>
  <c r="E87" i="40"/>
  <c r="F87" i="40"/>
  <c r="G87" i="40"/>
  <c r="H87" i="40"/>
  <c r="I87" i="40"/>
  <c r="J87" i="40"/>
  <c r="K87" i="40"/>
  <c r="L87" i="40"/>
  <c r="M87" i="40"/>
  <c r="N87" i="40"/>
  <c r="O87" i="40"/>
  <c r="P87" i="40"/>
  <c r="Q87" i="40"/>
  <c r="R87" i="40"/>
  <c r="S87" i="40"/>
  <c r="T87" i="40"/>
  <c r="U87" i="40"/>
  <c r="V87" i="40"/>
  <c r="W87" i="40"/>
  <c r="X87" i="40"/>
  <c r="Y87" i="40"/>
  <c r="B88" i="40"/>
  <c r="C88" i="40"/>
  <c r="D88" i="40"/>
  <c r="E88" i="40"/>
  <c r="F88" i="40"/>
  <c r="G88" i="40"/>
  <c r="H88" i="40"/>
  <c r="I88" i="40"/>
  <c r="J88" i="40"/>
  <c r="K88" i="40"/>
  <c r="L88" i="40"/>
  <c r="M88" i="40"/>
  <c r="N88" i="40"/>
  <c r="O88" i="40"/>
  <c r="P88" i="40"/>
  <c r="Q88" i="40"/>
  <c r="R88" i="40"/>
  <c r="S88" i="40"/>
  <c r="T88" i="40"/>
  <c r="U88" i="40"/>
  <c r="V88" i="40"/>
  <c r="W88" i="40"/>
  <c r="X88" i="40"/>
  <c r="Y88" i="40"/>
  <c r="B89" i="40"/>
  <c r="C89" i="40"/>
  <c r="D89" i="40"/>
  <c r="E89" i="40"/>
  <c r="F89" i="40"/>
  <c r="G89" i="40"/>
  <c r="H89" i="40"/>
  <c r="I89" i="40"/>
  <c r="J89" i="40"/>
  <c r="K89" i="40"/>
  <c r="L89" i="40"/>
  <c r="M89" i="40"/>
  <c r="N89" i="40"/>
  <c r="O89" i="40"/>
  <c r="P89" i="40"/>
  <c r="Q89" i="40"/>
  <c r="R89" i="40"/>
  <c r="S89" i="40"/>
  <c r="T89" i="40"/>
  <c r="U89" i="40"/>
  <c r="V89" i="40"/>
  <c r="W89" i="40"/>
  <c r="X89" i="40"/>
  <c r="Y89" i="40"/>
  <c r="B90" i="40"/>
  <c r="C90" i="40"/>
  <c r="D90" i="40"/>
  <c r="E90" i="40"/>
  <c r="F90" i="40"/>
  <c r="G90" i="40"/>
  <c r="H90" i="40"/>
  <c r="I90" i="40"/>
  <c r="J90" i="40"/>
  <c r="K90" i="40"/>
  <c r="L90" i="40"/>
  <c r="M90" i="40"/>
  <c r="N90" i="40"/>
  <c r="O90" i="40"/>
  <c r="P90" i="40"/>
  <c r="Q90" i="40"/>
  <c r="R90" i="40"/>
  <c r="S90" i="40"/>
  <c r="T90" i="40"/>
  <c r="U90" i="40"/>
  <c r="V90" i="40"/>
  <c r="W90" i="40"/>
  <c r="X90" i="40"/>
  <c r="Y90" i="40"/>
  <c r="B91" i="40"/>
  <c r="C91" i="40"/>
  <c r="D91" i="40"/>
  <c r="E91" i="40"/>
  <c r="F91" i="40"/>
  <c r="G91" i="40"/>
  <c r="H91" i="40"/>
  <c r="I91" i="40"/>
  <c r="J91" i="40"/>
  <c r="K91" i="40"/>
  <c r="L91" i="40"/>
  <c r="M91" i="40"/>
  <c r="N91" i="40"/>
  <c r="O91" i="40"/>
  <c r="P91" i="40"/>
  <c r="Q91" i="40"/>
  <c r="R91" i="40"/>
  <c r="S91" i="40"/>
  <c r="T91" i="40"/>
  <c r="U91" i="40"/>
  <c r="V91" i="40"/>
  <c r="W91" i="40"/>
  <c r="X91" i="40"/>
  <c r="Y91" i="40"/>
  <c r="B92" i="40"/>
  <c r="C92" i="40"/>
  <c r="D92" i="40"/>
  <c r="E92" i="40"/>
  <c r="F92" i="40"/>
  <c r="G92" i="40"/>
  <c r="H92" i="40"/>
  <c r="I92" i="40"/>
  <c r="J92" i="40"/>
  <c r="K92" i="40"/>
  <c r="L92" i="40"/>
  <c r="M92" i="40"/>
  <c r="N92" i="40"/>
  <c r="O92" i="40"/>
  <c r="P92" i="40"/>
  <c r="Q92" i="40"/>
  <c r="R92" i="40"/>
  <c r="S92" i="40"/>
  <c r="T92" i="40"/>
  <c r="U92" i="40"/>
  <c r="V92" i="40"/>
  <c r="W92" i="40"/>
  <c r="X92" i="40"/>
  <c r="Y92" i="40"/>
  <c r="B93" i="40"/>
  <c r="C93" i="40"/>
  <c r="D93" i="40"/>
  <c r="E93" i="40"/>
  <c r="F93" i="40"/>
  <c r="G93" i="40"/>
  <c r="H93" i="40"/>
  <c r="I93" i="40"/>
  <c r="J93" i="40"/>
  <c r="K93" i="40"/>
  <c r="L93" i="40"/>
  <c r="M93" i="40"/>
  <c r="N93" i="40"/>
  <c r="O93" i="40"/>
  <c r="P93" i="40"/>
  <c r="Q93" i="40"/>
  <c r="R93" i="40"/>
  <c r="S93" i="40"/>
  <c r="T93" i="40"/>
  <c r="U93" i="40"/>
  <c r="V93" i="40"/>
  <c r="W93" i="40"/>
  <c r="X93" i="40"/>
  <c r="Y93" i="40"/>
  <c r="B94" i="40"/>
  <c r="C94" i="40"/>
  <c r="D94" i="40"/>
  <c r="E94" i="40"/>
  <c r="F94" i="40"/>
  <c r="G94" i="40"/>
  <c r="H94" i="40"/>
  <c r="I94" i="40"/>
  <c r="J94" i="40"/>
  <c r="K94" i="40"/>
  <c r="L94" i="40"/>
  <c r="M94" i="40"/>
  <c r="N94" i="40"/>
  <c r="O94" i="40"/>
  <c r="P94" i="40"/>
  <c r="Q94" i="40"/>
  <c r="R94" i="40"/>
  <c r="S94" i="40"/>
  <c r="T94" i="40"/>
  <c r="U94" i="40"/>
  <c r="V94" i="40"/>
  <c r="W94" i="40"/>
  <c r="X94" i="40"/>
  <c r="Y94" i="40"/>
  <c r="B95" i="40"/>
  <c r="C95" i="40"/>
  <c r="D95" i="40"/>
  <c r="E95" i="40"/>
  <c r="F95" i="40"/>
  <c r="G95" i="40"/>
  <c r="H95" i="40"/>
  <c r="I95" i="40"/>
  <c r="J95" i="40"/>
  <c r="K95" i="40"/>
  <c r="L95" i="40"/>
  <c r="M95" i="40"/>
  <c r="N95" i="40"/>
  <c r="O95" i="40"/>
  <c r="P95" i="40"/>
  <c r="Q95" i="40"/>
  <c r="R95" i="40"/>
  <c r="S95" i="40"/>
  <c r="T95" i="40"/>
  <c r="U95" i="40"/>
  <c r="V95" i="40"/>
  <c r="W95" i="40"/>
  <c r="X95" i="40"/>
  <c r="Y95" i="40"/>
  <c r="B96" i="40"/>
  <c r="C96" i="40"/>
  <c r="D96" i="40"/>
  <c r="E96" i="40"/>
  <c r="F96" i="40"/>
  <c r="G96" i="40"/>
  <c r="H96" i="40"/>
  <c r="I96" i="40"/>
  <c r="J96" i="40"/>
  <c r="K96" i="40"/>
  <c r="L96" i="40"/>
  <c r="M96" i="40"/>
  <c r="N96" i="40"/>
  <c r="O96" i="40"/>
  <c r="P96" i="40"/>
  <c r="Q96" i="40"/>
  <c r="R96" i="40"/>
  <c r="S96" i="40"/>
  <c r="T96" i="40"/>
  <c r="U96" i="40"/>
  <c r="V96" i="40"/>
  <c r="W96" i="40"/>
  <c r="X96" i="40"/>
  <c r="Y96" i="40"/>
  <c r="B97" i="40"/>
  <c r="C97" i="40"/>
  <c r="D97" i="40"/>
  <c r="E97" i="40"/>
  <c r="F97" i="40"/>
  <c r="G97" i="40"/>
  <c r="H97" i="40"/>
  <c r="I97" i="40"/>
  <c r="J97" i="40"/>
  <c r="K97" i="40"/>
  <c r="L97" i="40"/>
  <c r="M97" i="40"/>
  <c r="N97" i="40"/>
  <c r="O97" i="40"/>
  <c r="P97" i="40"/>
  <c r="Q97" i="40"/>
  <c r="R97" i="40"/>
  <c r="S97" i="40"/>
  <c r="T97" i="40"/>
  <c r="U97" i="40"/>
  <c r="V97" i="40"/>
  <c r="W97" i="40"/>
  <c r="X97" i="40"/>
  <c r="Y97" i="40"/>
  <c r="B98" i="40"/>
  <c r="C98" i="40"/>
  <c r="D98" i="40"/>
  <c r="E98" i="40"/>
  <c r="F98" i="40"/>
  <c r="G98" i="40"/>
  <c r="H98" i="40"/>
  <c r="I98" i="40"/>
  <c r="J98" i="40"/>
  <c r="K98" i="40"/>
  <c r="L98" i="40"/>
  <c r="M98" i="40"/>
  <c r="N98" i="40"/>
  <c r="O98" i="40"/>
  <c r="P98" i="40"/>
  <c r="Q98" i="40"/>
  <c r="R98" i="40"/>
  <c r="S98" i="40"/>
  <c r="T98" i="40"/>
  <c r="U98" i="40"/>
  <c r="V98" i="40"/>
  <c r="W98" i="40"/>
  <c r="X98" i="40"/>
  <c r="Y98" i="40"/>
  <c r="B99" i="40"/>
  <c r="C99" i="40"/>
  <c r="D99" i="40"/>
  <c r="E99" i="40"/>
  <c r="F99" i="40"/>
  <c r="G99" i="40"/>
  <c r="H99" i="40"/>
  <c r="I99" i="40"/>
  <c r="J99" i="40"/>
  <c r="K99" i="40"/>
  <c r="L99" i="40"/>
  <c r="M99" i="40"/>
  <c r="N99" i="40"/>
  <c r="O99" i="40"/>
  <c r="P99" i="40"/>
  <c r="Q99" i="40"/>
  <c r="R99" i="40"/>
  <c r="S99" i="40"/>
  <c r="T99" i="40"/>
  <c r="U99" i="40"/>
  <c r="V99" i="40"/>
  <c r="W99" i="40"/>
  <c r="X99" i="40"/>
  <c r="Y99" i="40"/>
  <c r="B100" i="40"/>
  <c r="C100" i="40"/>
  <c r="D100" i="40"/>
  <c r="E100" i="40"/>
  <c r="F100" i="40"/>
  <c r="G100" i="40"/>
  <c r="H100" i="40"/>
  <c r="I100" i="40"/>
  <c r="J100" i="40"/>
  <c r="K100" i="40"/>
  <c r="L100" i="40"/>
  <c r="M100" i="40"/>
  <c r="N100" i="40"/>
  <c r="O100" i="40"/>
  <c r="P100" i="40"/>
  <c r="Q100" i="40"/>
  <c r="R100" i="40"/>
  <c r="S100" i="40"/>
  <c r="T100" i="40"/>
  <c r="U100" i="40"/>
  <c r="V100" i="40"/>
  <c r="W100" i="40"/>
  <c r="X100" i="40"/>
  <c r="Y100" i="40"/>
  <c r="B101" i="40"/>
  <c r="C101" i="40"/>
  <c r="D101" i="40"/>
  <c r="E101" i="40"/>
  <c r="F101" i="40"/>
  <c r="G101" i="40"/>
  <c r="H101" i="40"/>
  <c r="I101" i="40"/>
  <c r="J101" i="40"/>
  <c r="K101" i="40"/>
  <c r="L101" i="40"/>
  <c r="M101" i="40"/>
  <c r="N101" i="40"/>
  <c r="O101" i="40"/>
  <c r="P101" i="40"/>
  <c r="Q101" i="40"/>
  <c r="R101" i="40"/>
  <c r="S101" i="40"/>
  <c r="T101" i="40"/>
  <c r="U101" i="40"/>
  <c r="V101" i="40"/>
  <c r="W101" i="40"/>
  <c r="X101" i="40"/>
  <c r="Y101" i="40"/>
  <c r="B102" i="40"/>
  <c r="C102" i="40"/>
  <c r="D102" i="40"/>
  <c r="E102" i="40"/>
  <c r="F102" i="40"/>
  <c r="G102" i="40"/>
  <c r="H102" i="40"/>
  <c r="I102" i="40"/>
  <c r="J102" i="40"/>
  <c r="K102" i="40"/>
  <c r="L102" i="40"/>
  <c r="M102" i="40"/>
  <c r="N102" i="40"/>
  <c r="O102" i="40"/>
  <c r="P102" i="40"/>
  <c r="Q102" i="40"/>
  <c r="R102" i="40"/>
  <c r="S102" i="40"/>
  <c r="T102" i="40"/>
  <c r="U102" i="40"/>
  <c r="V102" i="40"/>
  <c r="W102" i="40"/>
  <c r="X102" i="40"/>
  <c r="Y102" i="40"/>
  <c r="B103" i="40"/>
  <c r="C103" i="40"/>
  <c r="D103" i="40"/>
  <c r="E103" i="40"/>
  <c r="F103" i="40"/>
  <c r="G103" i="40"/>
  <c r="H103" i="40"/>
  <c r="I103" i="40"/>
  <c r="J103" i="40"/>
  <c r="K103" i="40"/>
  <c r="L103" i="40"/>
  <c r="M103" i="40"/>
  <c r="N103" i="40"/>
  <c r="O103" i="40"/>
  <c r="P103" i="40"/>
  <c r="Q103" i="40"/>
  <c r="R103" i="40"/>
  <c r="S103" i="40"/>
  <c r="T103" i="40"/>
  <c r="U103" i="40"/>
  <c r="V103" i="40"/>
  <c r="W103" i="40"/>
  <c r="X103" i="40"/>
  <c r="Y103" i="40"/>
  <c r="B104" i="40"/>
  <c r="C104" i="40"/>
  <c r="D104" i="40"/>
  <c r="E104" i="40"/>
  <c r="F104" i="40"/>
  <c r="G104" i="40"/>
  <c r="H104" i="40"/>
  <c r="I104" i="40"/>
  <c r="J104" i="40"/>
  <c r="K104" i="40"/>
  <c r="L104" i="40"/>
  <c r="M104" i="40"/>
  <c r="N104" i="40"/>
  <c r="O104" i="40"/>
  <c r="P104" i="40"/>
  <c r="Q104" i="40"/>
  <c r="R104" i="40"/>
  <c r="S104" i="40"/>
  <c r="T104" i="40"/>
  <c r="U104" i="40"/>
  <c r="V104" i="40"/>
  <c r="W104" i="40"/>
  <c r="X104" i="40"/>
  <c r="Y104" i="40"/>
  <c r="B105" i="40"/>
  <c r="C105" i="40"/>
  <c r="D105" i="40"/>
  <c r="E105" i="40"/>
  <c r="F105" i="40"/>
  <c r="G105" i="40"/>
  <c r="H105" i="40"/>
  <c r="I105" i="40"/>
  <c r="J105" i="40"/>
  <c r="K105" i="40"/>
  <c r="L105" i="40"/>
  <c r="M105" i="40"/>
  <c r="N105" i="40"/>
  <c r="O105" i="40"/>
  <c r="P105" i="40"/>
  <c r="Q105" i="40"/>
  <c r="R105" i="40"/>
  <c r="S105" i="40"/>
  <c r="T105" i="40"/>
  <c r="U105" i="40"/>
  <c r="V105" i="40"/>
  <c r="W105" i="40"/>
  <c r="X105" i="40"/>
  <c r="Y105" i="40"/>
  <c r="B106" i="40"/>
  <c r="C106" i="40"/>
  <c r="D106" i="40"/>
  <c r="E106" i="40"/>
  <c r="F106" i="40"/>
  <c r="G106" i="40"/>
  <c r="H106" i="40"/>
  <c r="I106" i="40"/>
  <c r="J106" i="40"/>
  <c r="K106" i="40"/>
  <c r="L106" i="40"/>
  <c r="M106" i="40"/>
  <c r="N106" i="40"/>
  <c r="O106" i="40"/>
  <c r="P106" i="40"/>
  <c r="Q106" i="40"/>
  <c r="R106" i="40"/>
  <c r="S106" i="40"/>
  <c r="T106" i="40"/>
  <c r="U106" i="40"/>
  <c r="V106" i="40"/>
  <c r="W106" i="40"/>
  <c r="X106" i="40"/>
  <c r="Y106" i="40"/>
  <c r="B107" i="40"/>
  <c r="C107" i="40"/>
  <c r="D107" i="40"/>
  <c r="E107" i="40"/>
  <c r="F107" i="40"/>
  <c r="G107" i="40"/>
  <c r="H107" i="40"/>
  <c r="I107" i="40"/>
  <c r="J107" i="40"/>
  <c r="K107" i="40"/>
  <c r="L107" i="40"/>
  <c r="M107" i="40"/>
  <c r="N107" i="40"/>
  <c r="O107" i="40"/>
  <c r="P107" i="40"/>
  <c r="Q107" i="40"/>
  <c r="R107" i="40"/>
  <c r="S107" i="40"/>
  <c r="T107" i="40"/>
  <c r="U107" i="40"/>
  <c r="V107" i="40"/>
  <c r="W107" i="40"/>
  <c r="X107" i="40"/>
  <c r="Y107" i="40"/>
  <c r="B108" i="40"/>
  <c r="C108" i="40"/>
  <c r="D108" i="40"/>
  <c r="E108" i="40"/>
  <c r="F108" i="40"/>
  <c r="G108" i="40"/>
  <c r="H108" i="40"/>
  <c r="I108" i="40"/>
  <c r="J108" i="40"/>
  <c r="K108" i="40"/>
  <c r="L108" i="40"/>
  <c r="M108" i="40"/>
  <c r="N108" i="40"/>
  <c r="O108" i="40"/>
  <c r="P108" i="40"/>
  <c r="Q108" i="40"/>
  <c r="R108" i="40"/>
  <c r="S108" i="40"/>
  <c r="T108" i="40"/>
  <c r="U108" i="40"/>
  <c r="V108" i="40"/>
  <c r="W108" i="40"/>
  <c r="X108" i="40"/>
  <c r="Y108" i="40"/>
  <c r="B109" i="40"/>
  <c r="C109" i="40"/>
  <c r="D109" i="40"/>
  <c r="E109" i="40"/>
  <c r="F109" i="40"/>
  <c r="G109" i="40"/>
  <c r="H109" i="40"/>
  <c r="I109" i="40"/>
  <c r="J109" i="40"/>
  <c r="K109" i="40"/>
  <c r="L109" i="40"/>
  <c r="M109" i="40"/>
  <c r="N109" i="40"/>
  <c r="O109" i="40"/>
  <c r="P109" i="40"/>
  <c r="Q109" i="40"/>
  <c r="R109" i="40"/>
  <c r="S109" i="40"/>
  <c r="T109" i="40"/>
  <c r="U109" i="40"/>
  <c r="V109" i="40"/>
  <c r="W109" i="40"/>
  <c r="X109" i="40"/>
  <c r="Y109" i="40"/>
  <c r="B110" i="40"/>
  <c r="C110" i="40"/>
  <c r="D110" i="40"/>
  <c r="E110" i="40"/>
  <c r="F110" i="40"/>
  <c r="G110" i="40"/>
  <c r="H110" i="40"/>
  <c r="I110" i="40"/>
  <c r="J110" i="40"/>
  <c r="K110" i="40"/>
  <c r="L110" i="40"/>
  <c r="M110" i="40"/>
  <c r="N110" i="40"/>
  <c r="O110" i="40"/>
  <c r="P110" i="40"/>
  <c r="Q110" i="40"/>
  <c r="R110" i="40"/>
  <c r="S110" i="40"/>
  <c r="T110" i="40"/>
  <c r="U110" i="40"/>
  <c r="V110" i="40"/>
  <c r="W110" i="40"/>
  <c r="X110" i="40"/>
  <c r="Y110" i="40"/>
  <c r="B111" i="40"/>
  <c r="C111" i="40"/>
  <c r="D111" i="40"/>
  <c r="E111" i="40"/>
  <c r="F111" i="40"/>
  <c r="G111" i="40"/>
  <c r="H111" i="40"/>
  <c r="I111" i="40"/>
  <c r="J111" i="40"/>
  <c r="K111" i="40"/>
  <c r="L111" i="40"/>
  <c r="M111" i="40"/>
  <c r="N111" i="40"/>
  <c r="O111" i="40"/>
  <c r="P111" i="40"/>
  <c r="Q111" i="40"/>
  <c r="R111" i="40"/>
  <c r="S111" i="40"/>
  <c r="T111" i="40"/>
  <c r="U111" i="40"/>
  <c r="V111" i="40"/>
  <c r="W111" i="40"/>
  <c r="X111" i="40"/>
  <c r="Y111" i="40"/>
  <c r="S433" i="22"/>
  <c r="W797" i="22"/>
  <c r="V797" i="22"/>
  <c r="S797" i="22"/>
  <c r="R797" i="22"/>
  <c r="W685" i="22"/>
  <c r="V685" i="22"/>
  <c r="S685" i="22"/>
  <c r="R685" i="22"/>
  <c r="S601" i="22"/>
  <c r="R601" i="22"/>
  <c r="W573" i="22"/>
  <c r="V573" i="22"/>
  <c r="S573" i="22"/>
  <c r="R573" i="22"/>
  <c r="W489" i="22"/>
  <c r="V489" i="22"/>
  <c r="S489" i="22"/>
  <c r="R489" i="22"/>
  <c r="W461" i="22"/>
  <c r="V461" i="22"/>
  <c r="S461" i="22"/>
  <c r="R461" i="22"/>
  <c r="W433" i="22"/>
  <c r="V433" i="22"/>
  <c r="R433" i="22"/>
  <c r="W430" i="22"/>
  <c r="V430" i="22"/>
  <c r="I42" i="33"/>
  <c r="I43" i="33"/>
  <c r="T433" i="22" l="1"/>
  <c r="T434" i="22"/>
  <c r="T435" i="22"/>
  <c r="T436" i="22"/>
  <c r="T437" i="22"/>
  <c r="T438" i="22"/>
  <c r="T439" i="22"/>
  <c r="T440" i="22"/>
  <c r="T441" i="22"/>
  <c r="T442" i="22"/>
  <c r="T443" i="22"/>
  <c r="T444" i="22"/>
  <c r="T445" i="22"/>
  <c r="T446" i="22"/>
  <c r="T447" i="22"/>
  <c r="U433" i="22"/>
  <c r="U434" i="22"/>
  <c r="U435" i="22"/>
  <c r="U436" i="22"/>
  <c r="U437" i="22"/>
  <c r="U438" i="22"/>
  <c r="U439" i="22"/>
  <c r="U440" i="22"/>
  <c r="U441" i="22"/>
  <c r="U442" i="22"/>
  <c r="U443" i="22"/>
  <c r="U444" i="22"/>
  <c r="U445" i="22"/>
  <c r="U446" i="22"/>
  <c r="U447" i="22"/>
  <c r="N94" i="22" l="1"/>
  <c r="T131" i="22" l="1"/>
  <c r="U131" i="22"/>
  <c r="T132" i="22"/>
  <c r="U132" i="22"/>
  <c r="T133" i="22"/>
  <c r="U133" i="22"/>
  <c r="T134" i="22"/>
  <c r="U134" i="22"/>
  <c r="T135" i="22"/>
  <c r="U135" i="22"/>
  <c r="T136" i="22"/>
  <c r="U136" i="22"/>
  <c r="T137" i="22"/>
  <c r="U137" i="22"/>
  <c r="T138" i="22"/>
  <c r="U138" i="22"/>
  <c r="T139" i="22"/>
  <c r="U139" i="22"/>
  <c r="T140" i="22"/>
  <c r="U140" i="22"/>
  <c r="T141" i="22"/>
  <c r="U141" i="22"/>
  <c r="T142" i="22"/>
  <c r="U142" i="22"/>
  <c r="T143" i="22"/>
  <c r="U143" i="22"/>
  <c r="T144" i="22"/>
  <c r="U144" i="22"/>
  <c r="T145" i="22"/>
  <c r="U145" i="22"/>
  <c r="T146" i="22"/>
  <c r="U146" i="22"/>
  <c r="K206" i="22"/>
  <c r="AL210" i="22" l="1"/>
  <c r="Y210" i="22"/>
  <c r="X210" i="22"/>
  <c r="AC210" i="22" s="1"/>
  <c r="AG210" i="22" s="1"/>
  <c r="H210" i="22"/>
  <c r="F210" i="22"/>
  <c r="T551" i="22" l="1"/>
  <c r="U551" i="22"/>
  <c r="T552" i="22"/>
  <c r="U552" i="22"/>
  <c r="T553" i="22"/>
  <c r="U553" i="22"/>
  <c r="T555" i="22"/>
  <c r="U555" i="22"/>
  <c r="N2" i="33" l="1"/>
  <c r="O2" i="33"/>
  <c r="U554" i="22" l="1"/>
  <c r="T554" i="22"/>
  <c r="F116" i="33" l="1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I205" i="33"/>
  <c r="I206" i="33"/>
  <c r="I207" i="33"/>
  <c r="I208" i="33"/>
  <c r="I209" i="33"/>
  <c r="I210" i="33"/>
  <c r="I211" i="33"/>
  <c r="I212" i="33"/>
  <c r="I213" i="33"/>
  <c r="I214" i="33"/>
  <c r="I215" i="33"/>
  <c r="I216" i="33"/>
  <c r="I217" i="33"/>
  <c r="I115" i="33"/>
  <c r="S234" i="22" l="1"/>
  <c r="R234" i="22"/>
  <c r="V206" i="22"/>
  <c r="W206" i="22"/>
  <c r="N206" i="22"/>
  <c r="O206" i="22"/>
  <c r="L94" i="22" l="1"/>
  <c r="M94" i="22"/>
  <c r="O94" i="22"/>
  <c r="P94" i="22"/>
  <c r="Q94" i="22"/>
  <c r="R94" i="22"/>
  <c r="S94" i="22"/>
  <c r="I18" i="33" l="1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14" i="33"/>
  <c r="I15" i="33"/>
  <c r="I16" i="33"/>
  <c r="I13" i="33"/>
  <c r="I35" i="33"/>
  <c r="I36" i="33"/>
  <c r="I37" i="33"/>
  <c r="I38" i="33"/>
  <c r="I39" i="33"/>
  <c r="I40" i="33"/>
  <c r="I41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14" i="33"/>
  <c r="F15" i="33"/>
  <c r="F16" i="33"/>
  <c r="F13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7" i="33"/>
  <c r="W872" i="39" l="1"/>
  <c r="V872" i="39"/>
  <c r="S872" i="39"/>
  <c r="R872" i="39"/>
  <c r="Q872" i="39"/>
  <c r="P872" i="39"/>
  <c r="O872" i="39"/>
  <c r="N872" i="39"/>
  <c r="M872" i="39"/>
  <c r="L872" i="39"/>
  <c r="K872" i="39"/>
  <c r="J872" i="39"/>
  <c r="I872" i="39"/>
  <c r="G872" i="39"/>
  <c r="E872" i="39"/>
  <c r="D872" i="39"/>
  <c r="B872" i="39"/>
  <c r="W844" i="39"/>
  <c r="V844" i="39"/>
  <c r="S844" i="39"/>
  <c r="R844" i="39"/>
  <c r="Q844" i="39"/>
  <c r="P844" i="39"/>
  <c r="O844" i="39"/>
  <c r="N844" i="39"/>
  <c r="M844" i="39"/>
  <c r="L844" i="39"/>
  <c r="K844" i="39"/>
  <c r="J844" i="39"/>
  <c r="I844" i="39"/>
  <c r="G844" i="39"/>
  <c r="E844" i="39"/>
  <c r="D844" i="39"/>
  <c r="B844" i="39"/>
  <c r="W816" i="39"/>
  <c r="V816" i="39"/>
  <c r="S816" i="39"/>
  <c r="R816" i="39"/>
  <c r="Q816" i="39"/>
  <c r="P816" i="39"/>
  <c r="O816" i="39"/>
  <c r="N816" i="39"/>
  <c r="M816" i="39"/>
  <c r="L816" i="39"/>
  <c r="K816" i="39"/>
  <c r="J816" i="39"/>
  <c r="I816" i="39"/>
  <c r="G816" i="39"/>
  <c r="E816" i="39"/>
  <c r="D816" i="39"/>
  <c r="B816" i="39"/>
  <c r="W788" i="39"/>
  <c r="V788" i="39"/>
  <c r="S788" i="39"/>
  <c r="R788" i="39"/>
  <c r="Q788" i="39"/>
  <c r="P788" i="39"/>
  <c r="O788" i="39"/>
  <c r="N788" i="39"/>
  <c r="M788" i="39"/>
  <c r="L788" i="39"/>
  <c r="K788" i="39"/>
  <c r="J788" i="39"/>
  <c r="I788" i="39"/>
  <c r="G788" i="39"/>
  <c r="E788" i="39"/>
  <c r="D788" i="39"/>
  <c r="B788" i="39"/>
  <c r="W760" i="39"/>
  <c r="V760" i="39"/>
  <c r="S760" i="39"/>
  <c r="R760" i="39"/>
  <c r="Q760" i="39"/>
  <c r="P760" i="39"/>
  <c r="O760" i="39"/>
  <c r="N760" i="39"/>
  <c r="M760" i="39"/>
  <c r="L760" i="39"/>
  <c r="K760" i="39"/>
  <c r="J760" i="39"/>
  <c r="I760" i="39"/>
  <c r="G760" i="39"/>
  <c r="E760" i="39"/>
  <c r="D760" i="39"/>
  <c r="B760" i="39"/>
  <c r="W736" i="39"/>
  <c r="V736" i="39"/>
  <c r="S736" i="39"/>
  <c r="R736" i="39"/>
  <c r="Q736" i="39"/>
  <c r="P736" i="39"/>
  <c r="O736" i="39"/>
  <c r="N736" i="39"/>
  <c r="M736" i="39"/>
  <c r="L736" i="39"/>
  <c r="K736" i="39"/>
  <c r="J736" i="39"/>
  <c r="I736" i="39"/>
  <c r="G736" i="39"/>
  <c r="E736" i="39"/>
  <c r="D736" i="39"/>
  <c r="B736" i="39"/>
  <c r="W735" i="39"/>
  <c r="V735" i="39"/>
  <c r="S735" i="39"/>
  <c r="R735" i="39"/>
  <c r="Q735" i="39"/>
  <c r="P735" i="39"/>
  <c r="O735" i="39"/>
  <c r="N735" i="39"/>
  <c r="M735" i="39"/>
  <c r="L735" i="39"/>
  <c r="K735" i="39"/>
  <c r="J735" i="39"/>
  <c r="I735" i="39"/>
  <c r="G735" i="39"/>
  <c r="E735" i="39"/>
  <c r="D735" i="39"/>
  <c r="B735" i="39"/>
  <c r="W734" i="39"/>
  <c r="V734" i="39"/>
  <c r="S734" i="39"/>
  <c r="R734" i="39"/>
  <c r="Q734" i="39"/>
  <c r="P734" i="39"/>
  <c r="O734" i="39"/>
  <c r="N734" i="39"/>
  <c r="M734" i="39"/>
  <c r="L734" i="39"/>
  <c r="K734" i="39"/>
  <c r="J734" i="39"/>
  <c r="I734" i="39"/>
  <c r="G734" i="39"/>
  <c r="E734" i="39"/>
  <c r="D734" i="39"/>
  <c r="B734" i="39"/>
  <c r="W733" i="39"/>
  <c r="V733" i="39"/>
  <c r="S733" i="39"/>
  <c r="R733" i="39"/>
  <c r="Q733" i="39"/>
  <c r="P733" i="39"/>
  <c r="O733" i="39"/>
  <c r="N733" i="39"/>
  <c r="M733" i="39"/>
  <c r="L733" i="39"/>
  <c r="K733" i="39"/>
  <c r="J733" i="39"/>
  <c r="I733" i="39"/>
  <c r="G733" i="39"/>
  <c r="E733" i="39"/>
  <c r="D733" i="39"/>
  <c r="B733" i="39"/>
  <c r="W732" i="39"/>
  <c r="V732" i="39"/>
  <c r="S732" i="39"/>
  <c r="R732" i="39"/>
  <c r="Q732" i="39"/>
  <c r="P732" i="39"/>
  <c r="O732" i="39"/>
  <c r="N732" i="39"/>
  <c r="M732" i="39"/>
  <c r="L732" i="39"/>
  <c r="K732" i="39"/>
  <c r="J732" i="39"/>
  <c r="I732" i="39"/>
  <c r="G732" i="39"/>
  <c r="E732" i="39"/>
  <c r="D732" i="39"/>
  <c r="B732" i="39"/>
  <c r="W731" i="39"/>
  <c r="V731" i="39"/>
  <c r="S731" i="39"/>
  <c r="R731" i="39"/>
  <c r="Q731" i="39"/>
  <c r="P731" i="39"/>
  <c r="O731" i="39"/>
  <c r="N731" i="39"/>
  <c r="M731" i="39"/>
  <c r="L731" i="39"/>
  <c r="K731" i="39"/>
  <c r="J731" i="39"/>
  <c r="I731" i="39"/>
  <c r="G731" i="39"/>
  <c r="E731" i="39"/>
  <c r="D731" i="39"/>
  <c r="B731" i="39"/>
  <c r="W730" i="39"/>
  <c r="V730" i="39"/>
  <c r="S730" i="39"/>
  <c r="R730" i="39"/>
  <c r="Q730" i="39"/>
  <c r="P730" i="39"/>
  <c r="O730" i="39"/>
  <c r="N730" i="39"/>
  <c r="M730" i="39"/>
  <c r="L730" i="39"/>
  <c r="K730" i="39"/>
  <c r="J730" i="39"/>
  <c r="I730" i="39"/>
  <c r="G730" i="39"/>
  <c r="E730" i="39"/>
  <c r="D730" i="39"/>
  <c r="B730" i="39"/>
  <c r="W729" i="39"/>
  <c r="V729" i="39"/>
  <c r="S729" i="39"/>
  <c r="R729" i="39"/>
  <c r="Q729" i="39"/>
  <c r="P729" i="39"/>
  <c r="O729" i="39"/>
  <c r="N729" i="39"/>
  <c r="M729" i="39"/>
  <c r="L729" i="39"/>
  <c r="K729" i="39"/>
  <c r="J729" i="39"/>
  <c r="I729" i="39"/>
  <c r="G729" i="39"/>
  <c r="E729" i="39"/>
  <c r="D729" i="39"/>
  <c r="B729" i="39"/>
  <c r="W728" i="39"/>
  <c r="V728" i="39"/>
  <c r="S728" i="39"/>
  <c r="R728" i="39"/>
  <c r="Q728" i="39"/>
  <c r="P728" i="39"/>
  <c r="O728" i="39"/>
  <c r="N728" i="39"/>
  <c r="M728" i="39"/>
  <c r="L728" i="39"/>
  <c r="K728" i="39"/>
  <c r="J728" i="39"/>
  <c r="I728" i="39"/>
  <c r="G728" i="39"/>
  <c r="E728" i="39"/>
  <c r="D728" i="39"/>
  <c r="B728" i="39"/>
  <c r="W727" i="39"/>
  <c r="V727" i="39"/>
  <c r="S727" i="39"/>
  <c r="R727" i="39"/>
  <c r="Q727" i="39"/>
  <c r="P727" i="39"/>
  <c r="O727" i="39"/>
  <c r="N727" i="39"/>
  <c r="M727" i="39"/>
  <c r="L727" i="39"/>
  <c r="K727" i="39"/>
  <c r="J727" i="39"/>
  <c r="I727" i="39"/>
  <c r="G727" i="39"/>
  <c r="E727" i="39"/>
  <c r="D727" i="39"/>
  <c r="B727" i="39"/>
  <c r="W726" i="39"/>
  <c r="V726" i="39"/>
  <c r="S726" i="39"/>
  <c r="R726" i="39"/>
  <c r="Q726" i="39"/>
  <c r="P726" i="39"/>
  <c r="O726" i="39"/>
  <c r="N726" i="39"/>
  <c r="M726" i="39"/>
  <c r="L726" i="39"/>
  <c r="K726" i="39"/>
  <c r="J726" i="39"/>
  <c r="I726" i="39"/>
  <c r="G726" i="39"/>
  <c r="E726" i="39"/>
  <c r="D726" i="39"/>
  <c r="B726" i="39"/>
  <c r="U732" i="22"/>
  <c r="Y732" i="22" s="1"/>
  <c r="AI732" i="22" s="1"/>
  <c r="AL732" i="22" s="1"/>
  <c r="T732" i="22"/>
  <c r="X732" i="22" s="1"/>
  <c r="AC732" i="22" s="1"/>
  <c r="AG732" i="22" s="1"/>
  <c r="H732" i="22"/>
  <c r="H732" i="39" s="1"/>
  <c r="F732" i="22"/>
  <c r="F732" i="39" s="1"/>
  <c r="W704" i="39"/>
  <c r="V704" i="39"/>
  <c r="S704" i="39"/>
  <c r="R704" i="39"/>
  <c r="Q704" i="39"/>
  <c r="P704" i="39"/>
  <c r="O704" i="39"/>
  <c r="N704" i="39"/>
  <c r="M704" i="39"/>
  <c r="L704" i="39"/>
  <c r="K704" i="39"/>
  <c r="J704" i="39"/>
  <c r="I704" i="39"/>
  <c r="G704" i="39"/>
  <c r="E704" i="39"/>
  <c r="D704" i="39"/>
  <c r="B704" i="39"/>
  <c r="W676" i="39"/>
  <c r="V676" i="39"/>
  <c r="S676" i="39"/>
  <c r="R676" i="39"/>
  <c r="Q676" i="39"/>
  <c r="P676" i="39"/>
  <c r="O676" i="39"/>
  <c r="N676" i="39"/>
  <c r="M676" i="39"/>
  <c r="L676" i="39"/>
  <c r="K676" i="39"/>
  <c r="J676" i="39"/>
  <c r="I676" i="39"/>
  <c r="G676" i="39"/>
  <c r="E676" i="39"/>
  <c r="D676" i="39"/>
  <c r="B676" i="39"/>
  <c r="W648" i="39"/>
  <c r="V648" i="39"/>
  <c r="S648" i="39"/>
  <c r="R648" i="39"/>
  <c r="Q648" i="39"/>
  <c r="P648" i="39"/>
  <c r="O648" i="39"/>
  <c r="N648" i="39"/>
  <c r="M648" i="39"/>
  <c r="L648" i="39"/>
  <c r="K648" i="39"/>
  <c r="J648" i="39"/>
  <c r="I648" i="39"/>
  <c r="G648" i="39"/>
  <c r="E648" i="39"/>
  <c r="D648" i="39"/>
  <c r="B648" i="39"/>
  <c r="W620" i="39"/>
  <c r="V620" i="39"/>
  <c r="S620" i="39"/>
  <c r="R620" i="39"/>
  <c r="Q620" i="39"/>
  <c r="P620" i="39"/>
  <c r="O620" i="39"/>
  <c r="N620" i="39"/>
  <c r="M620" i="39"/>
  <c r="L620" i="39"/>
  <c r="K620" i="39"/>
  <c r="J620" i="39"/>
  <c r="I620" i="39"/>
  <c r="G620" i="39"/>
  <c r="E620" i="39"/>
  <c r="D620" i="39"/>
  <c r="B620" i="39"/>
  <c r="W592" i="39"/>
  <c r="V592" i="39"/>
  <c r="S592" i="39"/>
  <c r="R592" i="39"/>
  <c r="Q592" i="39"/>
  <c r="P592" i="39"/>
  <c r="O592" i="39"/>
  <c r="N592" i="39"/>
  <c r="M592" i="39"/>
  <c r="L592" i="39"/>
  <c r="K592" i="39"/>
  <c r="J592" i="39"/>
  <c r="I592" i="39"/>
  <c r="G592" i="39"/>
  <c r="E592" i="39"/>
  <c r="D592" i="39"/>
  <c r="B592" i="39"/>
  <c r="W564" i="39"/>
  <c r="V564" i="39"/>
  <c r="S564" i="39"/>
  <c r="R564" i="39"/>
  <c r="Q564" i="39"/>
  <c r="P564" i="39"/>
  <c r="O564" i="39"/>
  <c r="N564" i="39"/>
  <c r="M564" i="39"/>
  <c r="L564" i="39"/>
  <c r="K564" i="39"/>
  <c r="J564" i="39"/>
  <c r="I564" i="39"/>
  <c r="G564" i="39"/>
  <c r="E564" i="39"/>
  <c r="D564" i="39"/>
  <c r="B564" i="39"/>
  <c r="W536" i="39"/>
  <c r="V536" i="39"/>
  <c r="S536" i="39"/>
  <c r="R536" i="39"/>
  <c r="Q536" i="39"/>
  <c r="P536" i="39"/>
  <c r="O536" i="39"/>
  <c r="N536" i="39"/>
  <c r="M536" i="39"/>
  <c r="L536" i="39"/>
  <c r="K536" i="39"/>
  <c r="J536" i="39"/>
  <c r="I536" i="39"/>
  <c r="G536" i="39"/>
  <c r="E536" i="39"/>
  <c r="D536" i="39"/>
  <c r="B536" i="39"/>
  <c r="W508" i="39"/>
  <c r="V508" i="39"/>
  <c r="S508" i="39"/>
  <c r="R508" i="39"/>
  <c r="Q508" i="39"/>
  <c r="P508" i="39"/>
  <c r="O508" i="39"/>
  <c r="N508" i="39"/>
  <c r="M508" i="39"/>
  <c r="L508" i="39"/>
  <c r="K508" i="39"/>
  <c r="J508" i="39"/>
  <c r="I508" i="39"/>
  <c r="G508" i="39"/>
  <c r="E508" i="39"/>
  <c r="D508" i="39"/>
  <c r="B508" i="39"/>
  <c r="W480" i="39"/>
  <c r="V480" i="39"/>
  <c r="S480" i="39"/>
  <c r="R480" i="39"/>
  <c r="Q480" i="39"/>
  <c r="P480" i="39"/>
  <c r="O480" i="39"/>
  <c r="N480" i="39"/>
  <c r="M480" i="39"/>
  <c r="L480" i="39"/>
  <c r="K480" i="39"/>
  <c r="J480" i="39"/>
  <c r="I480" i="39"/>
  <c r="G480" i="39"/>
  <c r="E480" i="39"/>
  <c r="D480" i="39"/>
  <c r="B480" i="39"/>
  <c r="W452" i="39"/>
  <c r="V452" i="39"/>
  <c r="S452" i="39"/>
  <c r="R452" i="39"/>
  <c r="Q452" i="39"/>
  <c r="P452" i="39"/>
  <c r="O452" i="39"/>
  <c r="N452" i="39"/>
  <c r="M452" i="39"/>
  <c r="L452" i="39"/>
  <c r="K452" i="39"/>
  <c r="J452" i="39"/>
  <c r="I452" i="39"/>
  <c r="G452" i="39"/>
  <c r="E452" i="39"/>
  <c r="D452" i="39"/>
  <c r="B452" i="39"/>
  <c r="W424" i="39"/>
  <c r="V424" i="39"/>
  <c r="S424" i="39"/>
  <c r="R424" i="39"/>
  <c r="Q424" i="39"/>
  <c r="P424" i="39"/>
  <c r="O424" i="39"/>
  <c r="N424" i="39"/>
  <c r="M424" i="39"/>
  <c r="L424" i="39"/>
  <c r="K424" i="39"/>
  <c r="J424" i="39"/>
  <c r="I424" i="39"/>
  <c r="G424" i="39"/>
  <c r="E424" i="39"/>
  <c r="D424" i="39"/>
  <c r="B424" i="39"/>
  <c r="W396" i="39"/>
  <c r="V396" i="39"/>
  <c r="S396" i="39"/>
  <c r="R396" i="39"/>
  <c r="Q396" i="39"/>
  <c r="P396" i="39"/>
  <c r="O396" i="39"/>
  <c r="N396" i="39"/>
  <c r="M396" i="39"/>
  <c r="L396" i="39"/>
  <c r="K396" i="39"/>
  <c r="J396" i="39"/>
  <c r="I396" i="39"/>
  <c r="G396" i="39"/>
  <c r="E396" i="39"/>
  <c r="D396" i="39"/>
  <c r="B396" i="39"/>
  <c r="W368" i="39"/>
  <c r="V368" i="39"/>
  <c r="S368" i="39"/>
  <c r="R368" i="39"/>
  <c r="Q368" i="39"/>
  <c r="P368" i="39"/>
  <c r="O368" i="39"/>
  <c r="N368" i="39"/>
  <c r="M368" i="39"/>
  <c r="L368" i="39"/>
  <c r="K368" i="39"/>
  <c r="J368" i="39"/>
  <c r="I368" i="39"/>
  <c r="G368" i="39"/>
  <c r="E368" i="39"/>
  <c r="D368" i="39"/>
  <c r="B368" i="39"/>
  <c r="W340" i="39"/>
  <c r="V340" i="39"/>
  <c r="S340" i="39"/>
  <c r="R340" i="39"/>
  <c r="Q340" i="39"/>
  <c r="P340" i="39"/>
  <c r="O340" i="39"/>
  <c r="N340" i="39"/>
  <c r="M340" i="39"/>
  <c r="L340" i="39"/>
  <c r="K340" i="39"/>
  <c r="J340" i="39"/>
  <c r="I340" i="39"/>
  <c r="G340" i="39"/>
  <c r="E340" i="39"/>
  <c r="D340" i="39"/>
  <c r="B340" i="39"/>
  <c r="W312" i="39"/>
  <c r="V312" i="39"/>
  <c r="S312" i="39"/>
  <c r="R312" i="39"/>
  <c r="Q312" i="39"/>
  <c r="P312" i="39"/>
  <c r="O312" i="39"/>
  <c r="N312" i="39"/>
  <c r="M312" i="39"/>
  <c r="L312" i="39"/>
  <c r="K312" i="39"/>
  <c r="J312" i="39"/>
  <c r="I312" i="39"/>
  <c r="G312" i="39"/>
  <c r="E312" i="39"/>
  <c r="D312" i="39"/>
  <c r="B312" i="39"/>
  <c r="W284" i="39"/>
  <c r="V284" i="39"/>
  <c r="S284" i="39"/>
  <c r="R284" i="39"/>
  <c r="Q284" i="39"/>
  <c r="P284" i="39"/>
  <c r="O284" i="39"/>
  <c r="N284" i="39"/>
  <c r="M284" i="39"/>
  <c r="L284" i="39"/>
  <c r="K284" i="39"/>
  <c r="J284" i="39"/>
  <c r="I284" i="39"/>
  <c r="G284" i="39"/>
  <c r="E284" i="39"/>
  <c r="D284" i="39"/>
  <c r="B284" i="39"/>
  <c r="W256" i="39"/>
  <c r="V256" i="39"/>
  <c r="S256" i="39"/>
  <c r="R256" i="39"/>
  <c r="Q256" i="39"/>
  <c r="P256" i="39"/>
  <c r="O256" i="39"/>
  <c r="N256" i="39"/>
  <c r="M256" i="39"/>
  <c r="L256" i="39"/>
  <c r="K256" i="39"/>
  <c r="J256" i="39"/>
  <c r="I256" i="39"/>
  <c r="G256" i="39"/>
  <c r="E256" i="39"/>
  <c r="D256" i="39"/>
  <c r="B256" i="39"/>
  <c r="W228" i="39"/>
  <c r="V228" i="39"/>
  <c r="S228" i="39"/>
  <c r="R228" i="39"/>
  <c r="Q228" i="39"/>
  <c r="P228" i="39"/>
  <c r="O228" i="39"/>
  <c r="N228" i="39"/>
  <c r="M228" i="39"/>
  <c r="L228" i="39"/>
  <c r="K228" i="39"/>
  <c r="J228" i="39"/>
  <c r="I228" i="39"/>
  <c r="G228" i="39"/>
  <c r="E228" i="39"/>
  <c r="D228" i="39"/>
  <c r="B228" i="39"/>
  <c r="W200" i="39"/>
  <c r="V200" i="39"/>
  <c r="S200" i="39"/>
  <c r="R200" i="39"/>
  <c r="Q200" i="39"/>
  <c r="P200" i="39"/>
  <c r="O200" i="39"/>
  <c r="N200" i="39"/>
  <c r="M200" i="39"/>
  <c r="L200" i="39"/>
  <c r="K200" i="39"/>
  <c r="J200" i="39"/>
  <c r="I200" i="39"/>
  <c r="G200" i="39"/>
  <c r="E200" i="39"/>
  <c r="D200" i="39"/>
  <c r="B200" i="39"/>
  <c r="W172" i="39"/>
  <c r="V172" i="39"/>
  <c r="S172" i="39"/>
  <c r="R172" i="39"/>
  <c r="Q172" i="39"/>
  <c r="P172" i="39"/>
  <c r="O172" i="39"/>
  <c r="N172" i="39"/>
  <c r="M172" i="39"/>
  <c r="L172" i="39"/>
  <c r="K172" i="39"/>
  <c r="J172" i="39"/>
  <c r="I172" i="39"/>
  <c r="G172" i="39"/>
  <c r="E172" i="39"/>
  <c r="D172" i="39"/>
  <c r="B172" i="39"/>
  <c r="W144" i="39"/>
  <c r="V144" i="39"/>
  <c r="S144" i="39"/>
  <c r="R144" i="39"/>
  <c r="Q144" i="39"/>
  <c r="P144" i="39"/>
  <c r="O144" i="39"/>
  <c r="N144" i="39"/>
  <c r="M144" i="39"/>
  <c r="L144" i="39"/>
  <c r="K144" i="39"/>
  <c r="J144" i="39"/>
  <c r="I144" i="39"/>
  <c r="G144" i="39"/>
  <c r="E144" i="39"/>
  <c r="D144" i="39"/>
  <c r="B144" i="39"/>
  <c r="W116" i="39"/>
  <c r="V116" i="39"/>
  <c r="S116" i="39"/>
  <c r="R116" i="39"/>
  <c r="Q116" i="39"/>
  <c r="P116" i="39"/>
  <c r="O116" i="39"/>
  <c r="N116" i="39"/>
  <c r="M116" i="39"/>
  <c r="L116" i="39"/>
  <c r="K116" i="39"/>
  <c r="J116" i="39"/>
  <c r="I116" i="39"/>
  <c r="G116" i="39"/>
  <c r="E116" i="39"/>
  <c r="D116" i="39"/>
  <c r="B116" i="39"/>
  <c r="W88" i="39"/>
  <c r="V88" i="39"/>
  <c r="S88" i="39"/>
  <c r="R88" i="39"/>
  <c r="Q88" i="39"/>
  <c r="P88" i="39"/>
  <c r="O88" i="39"/>
  <c r="N88" i="39"/>
  <c r="M88" i="39"/>
  <c r="L88" i="39"/>
  <c r="K88" i="39"/>
  <c r="J88" i="39"/>
  <c r="I88" i="39"/>
  <c r="G88" i="39"/>
  <c r="E88" i="39"/>
  <c r="D88" i="39"/>
  <c r="B88" i="39"/>
  <c r="W60" i="39"/>
  <c r="V60" i="39"/>
  <c r="S60" i="39"/>
  <c r="R60" i="39"/>
  <c r="Q60" i="39"/>
  <c r="P60" i="39"/>
  <c r="O60" i="39"/>
  <c r="N60" i="39"/>
  <c r="M60" i="39"/>
  <c r="L60" i="39"/>
  <c r="K60" i="39"/>
  <c r="J60" i="39"/>
  <c r="I60" i="39"/>
  <c r="G60" i="39"/>
  <c r="E60" i="39"/>
  <c r="D60" i="39"/>
  <c r="B60" i="39"/>
  <c r="B61" i="39"/>
  <c r="D61" i="39"/>
  <c r="E61" i="39"/>
  <c r="G61" i="39"/>
  <c r="I61" i="39"/>
  <c r="J61" i="39"/>
  <c r="K61" i="39"/>
  <c r="L61" i="39"/>
  <c r="M61" i="39"/>
  <c r="N61" i="39"/>
  <c r="O61" i="39"/>
  <c r="P61" i="39"/>
  <c r="Q61" i="39"/>
  <c r="R61" i="39"/>
  <c r="S61" i="39"/>
  <c r="V61" i="39"/>
  <c r="W61" i="39"/>
  <c r="W32" i="39"/>
  <c r="V32" i="39"/>
  <c r="S32" i="39"/>
  <c r="R32" i="39"/>
  <c r="Q32" i="39"/>
  <c r="P32" i="39"/>
  <c r="O32" i="39"/>
  <c r="N32" i="39"/>
  <c r="M32" i="39"/>
  <c r="L32" i="39"/>
  <c r="K32" i="39"/>
  <c r="J32" i="39"/>
  <c r="I32" i="39"/>
  <c r="G32" i="39"/>
  <c r="E32" i="39"/>
  <c r="D32" i="39"/>
  <c r="B32" i="39"/>
  <c r="U116" i="22"/>
  <c r="Y116" i="22" s="1"/>
  <c r="AI116" i="22" s="1"/>
  <c r="AL116" i="22" s="1"/>
  <c r="T116" i="22"/>
  <c r="X116" i="22" s="1"/>
  <c r="AC116" i="22" s="1"/>
  <c r="AG116" i="22" s="1"/>
  <c r="H116" i="22"/>
  <c r="H116" i="39" s="1"/>
  <c r="F116" i="22"/>
  <c r="F116" i="39" s="1"/>
  <c r="Y144" i="22"/>
  <c r="AI144" i="22" s="1"/>
  <c r="AL144" i="22" s="1"/>
  <c r="X144" i="22"/>
  <c r="AC144" i="22" s="1"/>
  <c r="AG144" i="22" s="1"/>
  <c r="H144" i="22"/>
  <c r="H144" i="39" s="1"/>
  <c r="F144" i="22"/>
  <c r="F144" i="39" s="1"/>
  <c r="U172" i="22"/>
  <c r="Y172" i="22" s="1"/>
  <c r="AI172" i="22" s="1"/>
  <c r="AL172" i="22" s="1"/>
  <c r="T172" i="22"/>
  <c r="X172" i="22" s="1"/>
  <c r="AC172" i="22" s="1"/>
  <c r="AG172" i="22" s="1"/>
  <c r="H172" i="22"/>
  <c r="H172" i="39" s="1"/>
  <c r="F172" i="22"/>
  <c r="F172" i="39" s="1"/>
  <c r="U200" i="22"/>
  <c r="Y200" i="22" s="1"/>
  <c r="AI200" i="22" s="1"/>
  <c r="AL200" i="22" s="1"/>
  <c r="T200" i="22"/>
  <c r="X200" i="22" s="1"/>
  <c r="H200" i="22"/>
  <c r="H200" i="39" s="1"/>
  <c r="F200" i="22"/>
  <c r="F200" i="39" s="1"/>
  <c r="U228" i="22"/>
  <c r="Y228" i="22" s="1"/>
  <c r="AI228" i="22" s="1"/>
  <c r="AL228" i="22" s="1"/>
  <c r="T228" i="22"/>
  <c r="X228" i="22" s="1"/>
  <c r="H228" i="22"/>
  <c r="H228" i="39" s="1"/>
  <c r="F228" i="22"/>
  <c r="F228" i="39" s="1"/>
  <c r="U256" i="22"/>
  <c r="Y256" i="22" s="1"/>
  <c r="AI256" i="22" s="1"/>
  <c r="AL256" i="22" s="1"/>
  <c r="T256" i="22"/>
  <c r="X256" i="22" s="1"/>
  <c r="AC256" i="22" s="1"/>
  <c r="AG256" i="22" s="1"/>
  <c r="H256" i="22"/>
  <c r="H256" i="39" s="1"/>
  <c r="F256" i="22"/>
  <c r="F256" i="39" s="1"/>
  <c r="U284" i="22"/>
  <c r="Y284" i="22" s="1"/>
  <c r="AI284" i="22" s="1"/>
  <c r="AL284" i="22" s="1"/>
  <c r="T284" i="22"/>
  <c r="X284" i="22" s="1"/>
  <c r="AC284" i="22" s="1"/>
  <c r="AG284" i="22" s="1"/>
  <c r="H284" i="22"/>
  <c r="H284" i="39" s="1"/>
  <c r="F284" i="22"/>
  <c r="F284" i="39" s="1"/>
  <c r="U312" i="22"/>
  <c r="Y312" i="22" s="1"/>
  <c r="AI312" i="22" s="1"/>
  <c r="AL312" i="22" s="1"/>
  <c r="T312" i="22"/>
  <c r="X312" i="22" s="1"/>
  <c r="AC312" i="22" s="1"/>
  <c r="AG312" i="22" s="1"/>
  <c r="H312" i="22"/>
  <c r="H312" i="39" s="1"/>
  <c r="F312" i="22"/>
  <c r="F312" i="39" s="1"/>
  <c r="U340" i="22"/>
  <c r="Y340" i="22" s="1"/>
  <c r="AI340" i="22" s="1"/>
  <c r="AL340" i="22" s="1"/>
  <c r="T340" i="22"/>
  <c r="X340" i="22" s="1"/>
  <c r="AC340" i="22" s="1"/>
  <c r="AG340" i="22" s="1"/>
  <c r="H340" i="22"/>
  <c r="H340" i="39" s="1"/>
  <c r="F340" i="22"/>
  <c r="F340" i="39" s="1"/>
  <c r="U368" i="22"/>
  <c r="Y368" i="22" s="1"/>
  <c r="AI368" i="22" s="1"/>
  <c r="AL368" i="22" s="1"/>
  <c r="T368" i="22"/>
  <c r="X368" i="22" s="1"/>
  <c r="AC368" i="22" s="1"/>
  <c r="AG368" i="22" s="1"/>
  <c r="H368" i="22"/>
  <c r="H368" i="39" s="1"/>
  <c r="F368" i="22"/>
  <c r="F368" i="39" s="1"/>
  <c r="U396" i="22"/>
  <c r="Y396" i="22" s="1"/>
  <c r="AI396" i="22" s="1"/>
  <c r="AL396" i="22" s="1"/>
  <c r="T396" i="22"/>
  <c r="X396" i="22" s="1"/>
  <c r="AC396" i="22" s="1"/>
  <c r="AG396" i="22" s="1"/>
  <c r="H396" i="22"/>
  <c r="H396" i="39" s="1"/>
  <c r="F396" i="22"/>
  <c r="F396" i="39" s="1"/>
  <c r="U424" i="22"/>
  <c r="Y424" i="22" s="1"/>
  <c r="AI424" i="22" s="1"/>
  <c r="AL424" i="22" s="1"/>
  <c r="T424" i="22"/>
  <c r="X424" i="22" s="1"/>
  <c r="AC424" i="22" s="1"/>
  <c r="AG424" i="22" s="1"/>
  <c r="H424" i="22"/>
  <c r="H424" i="39" s="1"/>
  <c r="F424" i="22"/>
  <c r="F424" i="39" s="1"/>
  <c r="U452" i="22"/>
  <c r="U452" i="39" s="1"/>
  <c r="T452" i="22"/>
  <c r="X452" i="22" s="1"/>
  <c r="AC452" i="22" s="1"/>
  <c r="AG452" i="22" s="1"/>
  <c r="H452" i="22"/>
  <c r="H452" i="39" s="1"/>
  <c r="F452" i="22"/>
  <c r="F452" i="39" s="1"/>
  <c r="U480" i="22"/>
  <c r="Y480" i="22" s="1"/>
  <c r="AI480" i="22" s="1"/>
  <c r="AL480" i="22" s="1"/>
  <c r="T480" i="22"/>
  <c r="X480" i="22" s="1"/>
  <c r="AC480" i="22" s="1"/>
  <c r="AG480" i="22" s="1"/>
  <c r="H480" i="22"/>
  <c r="H480" i="39" s="1"/>
  <c r="F480" i="22"/>
  <c r="F480" i="39" s="1"/>
  <c r="U508" i="22"/>
  <c r="Y508" i="22" s="1"/>
  <c r="AI508" i="22" s="1"/>
  <c r="AL508" i="22" s="1"/>
  <c r="T508" i="22"/>
  <c r="X508" i="22" s="1"/>
  <c r="AC508" i="22" s="1"/>
  <c r="AG508" i="22" s="1"/>
  <c r="H508" i="22"/>
  <c r="H508" i="39" s="1"/>
  <c r="F508" i="22"/>
  <c r="F508" i="39" s="1"/>
  <c r="U536" i="22"/>
  <c r="Y536" i="22" s="1"/>
  <c r="AI536" i="22" s="1"/>
  <c r="AL536" i="22" s="1"/>
  <c r="T536" i="22"/>
  <c r="X536" i="22" s="1"/>
  <c r="AC536" i="22" s="1"/>
  <c r="AG536" i="22" s="1"/>
  <c r="H536" i="22"/>
  <c r="H536" i="39" s="1"/>
  <c r="F536" i="22"/>
  <c r="F536" i="39" s="1"/>
  <c r="U564" i="22"/>
  <c r="Y564" i="22" s="1"/>
  <c r="AI564" i="22" s="1"/>
  <c r="AL564" i="22" s="1"/>
  <c r="T564" i="22"/>
  <c r="X564" i="22" s="1"/>
  <c r="AC564" i="22" s="1"/>
  <c r="AG564" i="22" s="1"/>
  <c r="H564" i="22"/>
  <c r="H564" i="39" s="1"/>
  <c r="F564" i="22"/>
  <c r="F564" i="39" s="1"/>
  <c r="U592" i="22"/>
  <c r="Y592" i="22" s="1"/>
  <c r="AI592" i="22" s="1"/>
  <c r="AL592" i="22" s="1"/>
  <c r="T592" i="22"/>
  <c r="X592" i="22" s="1"/>
  <c r="AC592" i="22" s="1"/>
  <c r="AG592" i="22" s="1"/>
  <c r="H592" i="22"/>
  <c r="H592" i="39" s="1"/>
  <c r="F592" i="22"/>
  <c r="F592" i="39" s="1"/>
  <c r="U620" i="22"/>
  <c r="U620" i="39" s="1"/>
  <c r="T620" i="22"/>
  <c r="X620" i="22" s="1"/>
  <c r="AC620" i="22" s="1"/>
  <c r="AG620" i="22" s="1"/>
  <c r="H620" i="22"/>
  <c r="H620" i="39" s="1"/>
  <c r="F620" i="22"/>
  <c r="F620" i="39" s="1"/>
  <c r="U648" i="22"/>
  <c r="Y648" i="22" s="1"/>
  <c r="AI648" i="22" s="1"/>
  <c r="AL648" i="22" s="1"/>
  <c r="T648" i="22"/>
  <c r="X648" i="22" s="1"/>
  <c r="AC648" i="22" s="1"/>
  <c r="AG648" i="22" s="1"/>
  <c r="H648" i="22"/>
  <c r="H648" i="39" s="1"/>
  <c r="F648" i="22"/>
  <c r="F648" i="39" s="1"/>
  <c r="U676" i="22"/>
  <c r="Y676" i="22" s="1"/>
  <c r="AI676" i="22" s="1"/>
  <c r="AL676" i="22" s="1"/>
  <c r="T676" i="22"/>
  <c r="X676" i="22" s="1"/>
  <c r="AC676" i="22" s="1"/>
  <c r="AG676" i="22" s="1"/>
  <c r="H676" i="22"/>
  <c r="H676" i="39" s="1"/>
  <c r="F676" i="22"/>
  <c r="F676" i="39" s="1"/>
  <c r="F677" i="22"/>
  <c r="H677" i="22"/>
  <c r="T677" i="22"/>
  <c r="X677" i="22" s="1"/>
  <c r="AC677" i="22" s="1"/>
  <c r="AG677" i="22" s="1"/>
  <c r="U677" i="22"/>
  <c r="Y677" i="22" s="1"/>
  <c r="AI677" i="22" s="1"/>
  <c r="AL677" i="22" s="1"/>
  <c r="U704" i="22"/>
  <c r="Y704" i="22" s="1"/>
  <c r="AI704" i="22" s="1"/>
  <c r="AL704" i="22" s="1"/>
  <c r="T704" i="22"/>
  <c r="X704" i="22" s="1"/>
  <c r="AC704" i="22" s="1"/>
  <c r="AG704" i="22" s="1"/>
  <c r="H704" i="22"/>
  <c r="H704" i="39" s="1"/>
  <c r="F704" i="22"/>
  <c r="F704" i="39" s="1"/>
  <c r="U760" i="22"/>
  <c r="Y760" i="22" s="1"/>
  <c r="AI760" i="22" s="1"/>
  <c r="AL760" i="22" s="1"/>
  <c r="T760" i="22"/>
  <c r="X760" i="22" s="1"/>
  <c r="H760" i="22"/>
  <c r="H760" i="39" s="1"/>
  <c r="F760" i="22"/>
  <c r="F760" i="39" s="1"/>
  <c r="U788" i="22"/>
  <c r="Y788" i="22" s="1"/>
  <c r="AI788" i="22" s="1"/>
  <c r="AL788" i="22" s="1"/>
  <c r="T788" i="22"/>
  <c r="X788" i="22" s="1"/>
  <c r="AC788" i="22" s="1"/>
  <c r="AG788" i="22" s="1"/>
  <c r="H788" i="22"/>
  <c r="H788" i="39" s="1"/>
  <c r="F788" i="22"/>
  <c r="F788" i="39" s="1"/>
  <c r="U816" i="22"/>
  <c r="Y816" i="22" s="1"/>
  <c r="AI816" i="22" s="1"/>
  <c r="AL816" i="22" s="1"/>
  <c r="T816" i="22"/>
  <c r="X816" i="22" s="1"/>
  <c r="AC816" i="22" s="1"/>
  <c r="AG816" i="22" s="1"/>
  <c r="H816" i="22"/>
  <c r="H816" i="39" s="1"/>
  <c r="F816" i="22"/>
  <c r="F816" i="39" s="1"/>
  <c r="U844" i="22"/>
  <c r="Y844" i="22" s="1"/>
  <c r="AI844" i="22" s="1"/>
  <c r="AL844" i="22" s="1"/>
  <c r="T844" i="22"/>
  <c r="X844" i="22" s="1"/>
  <c r="AC844" i="22" s="1"/>
  <c r="AG844" i="22" s="1"/>
  <c r="H844" i="22"/>
  <c r="H844" i="39" s="1"/>
  <c r="F844" i="22"/>
  <c r="F844" i="39" s="1"/>
  <c r="U872" i="22"/>
  <c r="Y872" i="22" s="1"/>
  <c r="AI872" i="22" s="1"/>
  <c r="AL872" i="22" s="1"/>
  <c r="T872" i="22"/>
  <c r="T872" i="39" s="1"/>
  <c r="H872" i="22"/>
  <c r="H872" i="39" s="1"/>
  <c r="F872" i="22"/>
  <c r="F872" i="39" s="1"/>
  <c r="U88" i="22"/>
  <c r="Y88" i="22" s="1"/>
  <c r="AI88" i="22" s="1"/>
  <c r="AL88" i="22" s="1"/>
  <c r="T88" i="22"/>
  <c r="X88" i="22" s="1"/>
  <c r="AC88" i="22" s="1"/>
  <c r="AG88" i="22" s="1"/>
  <c r="H88" i="22"/>
  <c r="H88" i="39" s="1"/>
  <c r="F88" i="22"/>
  <c r="F88" i="39" s="1"/>
  <c r="U60" i="22"/>
  <c r="Y60" i="22" s="1"/>
  <c r="AI60" i="22" s="1"/>
  <c r="AL60" i="22" s="1"/>
  <c r="T60" i="22"/>
  <c r="X60" i="22" s="1"/>
  <c r="AC60" i="22" s="1"/>
  <c r="AG60" i="22" s="1"/>
  <c r="H60" i="22"/>
  <c r="H60" i="39" s="1"/>
  <c r="F60" i="22"/>
  <c r="F60" i="39" s="1"/>
  <c r="U32" i="22"/>
  <c r="Y32" i="22" s="1"/>
  <c r="AI32" i="22" s="1"/>
  <c r="AL32" i="22" s="1"/>
  <c r="T32" i="22"/>
  <c r="X32" i="22" s="1"/>
  <c r="AC32" i="22" s="1"/>
  <c r="AG32" i="22" s="1"/>
  <c r="H32" i="22"/>
  <c r="H32" i="39" s="1"/>
  <c r="F32" i="22"/>
  <c r="F32" i="39" s="1"/>
  <c r="Y760" i="39" l="1"/>
  <c r="Y872" i="39"/>
  <c r="U732" i="39"/>
  <c r="X844" i="39"/>
  <c r="X732" i="39"/>
  <c r="T760" i="39"/>
  <c r="X872" i="22"/>
  <c r="AC872" i="22" s="1"/>
  <c r="AG872" i="22" s="1"/>
  <c r="U760" i="39"/>
  <c r="T732" i="39"/>
  <c r="T788" i="39"/>
  <c r="AC760" i="22"/>
  <c r="AG760" i="22" s="1"/>
  <c r="X760" i="39"/>
  <c r="Y144" i="39"/>
  <c r="X816" i="39"/>
  <c r="Y844" i="39"/>
  <c r="X788" i="39"/>
  <c r="Y816" i="39"/>
  <c r="T844" i="39"/>
  <c r="U872" i="39"/>
  <c r="Y60" i="39"/>
  <c r="Y732" i="39"/>
  <c r="Y788" i="39"/>
  <c r="T816" i="39"/>
  <c r="U844" i="39"/>
  <c r="U816" i="39"/>
  <c r="U788" i="39"/>
  <c r="T340" i="39"/>
  <c r="Y396" i="39"/>
  <c r="T452" i="39"/>
  <c r="Y32" i="39"/>
  <c r="T256" i="39"/>
  <c r="Y284" i="39"/>
  <c r="Y424" i="39"/>
  <c r="T536" i="39"/>
  <c r="Y648" i="39"/>
  <c r="Y704" i="39"/>
  <c r="Y312" i="39"/>
  <c r="T368" i="39"/>
  <c r="Y620" i="22"/>
  <c r="Y172" i="39"/>
  <c r="Y200" i="39"/>
  <c r="Y228" i="39"/>
  <c r="Y340" i="39"/>
  <c r="Y508" i="39"/>
  <c r="T32" i="39"/>
  <c r="X256" i="39"/>
  <c r="T284" i="39"/>
  <c r="T424" i="39"/>
  <c r="Y536" i="39"/>
  <c r="T648" i="39"/>
  <c r="T704" i="39"/>
  <c r="Y452" i="22"/>
  <c r="T116" i="39"/>
  <c r="Y256" i="39"/>
  <c r="Y368" i="39"/>
  <c r="Y564" i="39"/>
  <c r="Y592" i="39"/>
  <c r="AC228" i="22"/>
  <c r="AG228" i="22" s="1"/>
  <c r="X228" i="39"/>
  <c r="AC200" i="22"/>
  <c r="AG200" i="22" s="1"/>
  <c r="X200" i="39"/>
  <c r="Y676" i="39"/>
  <c r="T60" i="39"/>
  <c r="T88" i="39"/>
  <c r="T144" i="39"/>
  <c r="T200" i="39"/>
  <c r="T228" i="39"/>
  <c r="T564" i="39"/>
  <c r="T592" i="39"/>
  <c r="T620" i="39"/>
  <c r="T676" i="39"/>
  <c r="Y88" i="39"/>
  <c r="T172" i="39"/>
  <c r="T396" i="39"/>
  <c r="U32" i="39"/>
  <c r="U60" i="39"/>
  <c r="U88" i="39"/>
  <c r="U116" i="39"/>
  <c r="U144" i="39"/>
  <c r="U172" i="39"/>
  <c r="U200" i="39"/>
  <c r="U228" i="39"/>
  <c r="U256" i="39"/>
  <c r="U284" i="39"/>
  <c r="U312" i="39"/>
  <c r="U340" i="39"/>
  <c r="U368" i="39"/>
  <c r="U396" i="39"/>
  <c r="U424" i="39"/>
  <c r="U480" i="39"/>
  <c r="U508" i="39"/>
  <c r="U536" i="39"/>
  <c r="U564" i="39"/>
  <c r="U592" i="39"/>
  <c r="U648" i="39"/>
  <c r="U676" i="39"/>
  <c r="U704" i="39"/>
  <c r="T312" i="39"/>
  <c r="T480" i="39"/>
  <c r="T508" i="39"/>
  <c r="Y116" i="39"/>
  <c r="Y480" i="39"/>
  <c r="X32" i="39"/>
  <c r="X60" i="39"/>
  <c r="X88" i="39"/>
  <c r="X116" i="39"/>
  <c r="X144" i="39"/>
  <c r="X172" i="39"/>
  <c r="X284" i="39"/>
  <c r="X312" i="39"/>
  <c r="X340" i="39"/>
  <c r="X368" i="39"/>
  <c r="X396" i="39"/>
  <c r="X424" i="39"/>
  <c r="X452" i="39"/>
  <c r="X480" i="39"/>
  <c r="X508" i="39"/>
  <c r="X536" i="39"/>
  <c r="X564" i="39"/>
  <c r="X592" i="39"/>
  <c r="X620" i="39"/>
  <c r="X648" i="39"/>
  <c r="X676" i="39"/>
  <c r="X704" i="39"/>
  <c r="X872" i="39" l="1"/>
  <c r="AI452" i="22"/>
  <c r="AL452" i="22" s="1"/>
  <c r="Y452" i="39"/>
  <c r="AI620" i="22"/>
  <c r="AL620" i="22" s="1"/>
  <c r="Y620" i="39"/>
  <c r="W876" i="39" l="1"/>
  <c r="V876" i="39"/>
  <c r="S876" i="39"/>
  <c r="R876" i="39"/>
  <c r="Q876" i="39"/>
  <c r="P876" i="39"/>
  <c r="O876" i="39"/>
  <c r="N876" i="39"/>
  <c r="M876" i="39"/>
  <c r="L876" i="39"/>
  <c r="K876" i="39"/>
  <c r="J876" i="39"/>
  <c r="I876" i="39"/>
  <c r="G876" i="39"/>
  <c r="E876" i="39"/>
  <c r="D876" i="39"/>
  <c r="B876" i="39"/>
  <c r="W848" i="39"/>
  <c r="V848" i="39"/>
  <c r="S848" i="39"/>
  <c r="R848" i="39"/>
  <c r="Q848" i="39"/>
  <c r="P848" i="39"/>
  <c r="O848" i="39"/>
  <c r="N848" i="39"/>
  <c r="M848" i="39"/>
  <c r="L848" i="39"/>
  <c r="K848" i="39"/>
  <c r="J848" i="39"/>
  <c r="I848" i="39"/>
  <c r="G848" i="39"/>
  <c r="E848" i="39"/>
  <c r="D848" i="39"/>
  <c r="B848" i="39"/>
  <c r="W820" i="39"/>
  <c r="V820" i="39"/>
  <c r="S820" i="39"/>
  <c r="R820" i="39"/>
  <c r="Q820" i="39"/>
  <c r="P820" i="39"/>
  <c r="O820" i="39"/>
  <c r="N820" i="39"/>
  <c r="M820" i="39"/>
  <c r="L820" i="39"/>
  <c r="K820" i="39"/>
  <c r="J820" i="39"/>
  <c r="I820" i="39"/>
  <c r="G820" i="39"/>
  <c r="E820" i="39"/>
  <c r="D820" i="39"/>
  <c r="B820" i="39"/>
  <c r="W792" i="39"/>
  <c r="V792" i="39"/>
  <c r="S792" i="39"/>
  <c r="R792" i="39"/>
  <c r="Q792" i="39"/>
  <c r="P792" i="39"/>
  <c r="O792" i="39"/>
  <c r="N792" i="39"/>
  <c r="M792" i="39"/>
  <c r="L792" i="39"/>
  <c r="K792" i="39"/>
  <c r="J792" i="39"/>
  <c r="I792" i="39"/>
  <c r="G792" i="39"/>
  <c r="E792" i="39"/>
  <c r="D792" i="39"/>
  <c r="B792" i="39"/>
  <c r="W764" i="39"/>
  <c r="V764" i="39"/>
  <c r="S764" i="39"/>
  <c r="R764" i="39"/>
  <c r="Q764" i="39"/>
  <c r="P764" i="39"/>
  <c r="O764" i="39"/>
  <c r="N764" i="39"/>
  <c r="M764" i="39"/>
  <c r="L764" i="39"/>
  <c r="K764" i="39"/>
  <c r="J764" i="39"/>
  <c r="I764" i="39"/>
  <c r="G764" i="39"/>
  <c r="E764" i="39"/>
  <c r="D764" i="39"/>
  <c r="B764" i="39"/>
  <c r="W708" i="39"/>
  <c r="V708" i="39"/>
  <c r="S708" i="39"/>
  <c r="R708" i="39"/>
  <c r="Q708" i="39"/>
  <c r="P708" i="39"/>
  <c r="O708" i="39"/>
  <c r="N708" i="39"/>
  <c r="M708" i="39"/>
  <c r="L708" i="39"/>
  <c r="K708" i="39"/>
  <c r="J708" i="39"/>
  <c r="I708" i="39"/>
  <c r="G708" i="39"/>
  <c r="E708" i="39"/>
  <c r="D708" i="39"/>
  <c r="B708" i="39"/>
  <c r="W680" i="39"/>
  <c r="V680" i="39"/>
  <c r="S680" i="39"/>
  <c r="R680" i="39"/>
  <c r="Q680" i="39"/>
  <c r="P680" i="39"/>
  <c r="O680" i="39"/>
  <c r="N680" i="39"/>
  <c r="M680" i="39"/>
  <c r="L680" i="39"/>
  <c r="K680" i="39"/>
  <c r="J680" i="39"/>
  <c r="I680" i="39"/>
  <c r="G680" i="39"/>
  <c r="E680" i="39"/>
  <c r="D680" i="39"/>
  <c r="B680" i="39"/>
  <c r="W652" i="39"/>
  <c r="V652" i="39"/>
  <c r="S652" i="39"/>
  <c r="R652" i="39"/>
  <c r="Q652" i="39"/>
  <c r="P652" i="39"/>
  <c r="O652" i="39"/>
  <c r="N652" i="39"/>
  <c r="M652" i="39"/>
  <c r="L652" i="39"/>
  <c r="K652" i="39"/>
  <c r="J652" i="39"/>
  <c r="I652" i="39"/>
  <c r="G652" i="39"/>
  <c r="E652" i="39"/>
  <c r="D652" i="39"/>
  <c r="B652" i="39"/>
  <c r="W624" i="39"/>
  <c r="V624" i="39"/>
  <c r="S624" i="39"/>
  <c r="R624" i="39"/>
  <c r="Q624" i="39"/>
  <c r="P624" i="39"/>
  <c r="O624" i="39"/>
  <c r="N624" i="39"/>
  <c r="M624" i="39"/>
  <c r="L624" i="39"/>
  <c r="K624" i="39"/>
  <c r="J624" i="39"/>
  <c r="I624" i="39"/>
  <c r="G624" i="39"/>
  <c r="E624" i="39"/>
  <c r="D624" i="39"/>
  <c r="B624" i="39"/>
  <c r="W596" i="39"/>
  <c r="V596" i="39"/>
  <c r="S596" i="39"/>
  <c r="R596" i="39"/>
  <c r="Q596" i="39"/>
  <c r="P596" i="39"/>
  <c r="O596" i="39"/>
  <c r="N596" i="39"/>
  <c r="M596" i="39"/>
  <c r="L596" i="39"/>
  <c r="K596" i="39"/>
  <c r="J596" i="39"/>
  <c r="I596" i="39"/>
  <c r="G596" i="39"/>
  <c r="E596" i="39"/>
  <c r="D596" i="39"/>
  <c r="B596" i="39"/>
  <c r="W568" i="39"/>
  <c r="V568" i="39"/>
  <c r="S568" i="39"/>
  <c r="R568" i="39"/>
  <c r="Q568" i="39"/>
  <c r="P568" i="39"/>
  <c r="O568" i="39"/>
  <c r="N568" i="39"/>
  <c r="M568" i="39"/>
  <c r="L568" i="39"/>
  <c r="K568" i="39"/>
  <c r="J568" i="39"/>
  <c r="I568" i="39"/>
  <c r="G568" i="39"/>
  <c r="E568" i="39"/>
  <c r="D568" i="39"/>
  <c r="B568" i="39"/>
  <c r="W540" i="39"/>
  <c r="V540" i="39"/>
  <c r="S540" i="39"/>
  <c r="R540" i="39"/>
  <c r="Q540" i="39"/>
  <c r="P540" i="39"/>
  <c r="O540" i="39"/>
  <c r="N540" i="39"/>
  <c r="M540" i="39"/>
  <c r="L540" i="39"/>
  <c r="K540" i="39"/>
  <c r="J540" i="39"/>
  <c r="I540" i="39"/>
  <c r="G540" i="39"/>
  <c r="E540" i="39"/>
  <c r="D540" i="39"/>
  <c r="B540" i="39"/>
  <c r="W512" i="39"/>
  <c r="V512" i="39"/>
  <c r="S512" i="39"/>
  <c r="R512" i="39"/>
  <c r="Q512" i="39"/>
  <c r="P512" i="39"/>
  <c r="O512" i="39"/>
  <c r="N512" i="39"/>
  <c r="M512" i="39"/>
  <c r="L512" i="39"/>
  <c r="K512" i="39"/>
  <c r="J512" i="39"/>
  <c r="I512" i="39"/>
  <c r="G512" i="39"/>
  <c r="E512" i="39"/>
  <c r="D512" i="39"/>
  <c r="B512" i="39"/>
  <c r="W484" i="39"/>
  <c r="V484" i="39"/>
  <c r="S484" i="39"/>
  <c r="R484" i="39"/>
  <c r="Q484" i="39"/>
  <c r="P484" i="39"/>
  <c r="O484" i="39"/>
  <c r="N484" i="39"/>
  <c r="M484" i="39"/>
  <c r="L484" i="39"/>
  <c r="K484" i="39"/>
  <c r="J484" i="39"/>
  <c r="I484" i="39"/>
  <c r="G484" i="39"/>
  <c r="E484" i="39"/>
  <c r="D484" i="39"/>
  <c r="B484" i="39"/>
  <c r="W456" i="39"/>
  <c r="V456" i="39"/>
  <c r="S456" i="39"/>
  <c r="R456" i="39"/>
  <c r="Q456" i="39"/>
  <c r="P456" i="39"/>
  <c r="O456" i="39"/>
  <c r="N456" i="39"/>
  <c r="M456" i="39"/>
  <c r="L456" i="39"/>
  <c r="K456" i="39"/>
  <c r="J456" i="39"/>
  <c r="I456" i="39"/>
  <c r="G456" i="39"/>
  <c r="E456" i="39"/>
  <c r="D456" i="39"/>
  <c r="B456" i="39"/>
  <c r="W428" i="39"/>
  <c r="V428" i="39"/>
  <c r="S428" i="39"/>
  <c r="R428" i="39"/>
  <c r="Q428" i="39"/>
  <c r="P428" i="39"/>
  <c r="O428" i="39"/>
  <c r="N428" i="39"/>
  <c r="M428" i="39"/>
  <c r="L428" i="39"/>
  <c r="K428" i="39"/>
  <c r="J428" i="39"/>
  <c r="I428" i="39"/>
  <c r="G428" i="39"/>
  <c r="E428" i="39"/>
  <c r="D428" i="39"/>
  <c r="B428" i="39"/>
  <c r="W400" i="39"/>
  <c r="V400" i="39"/>
  <c r="S400" i="39"/>
  <c r="R400" i="39"/>
  <c r="Q400" i="39"/>
  <c r="P400" i="39"/>
  <c r="O400" i="39"/>
  <c r="N400" i="39"/>
  <c r="M400" i="39"/>
  <c r="L400" i="39"/>
  <c r="K400" i="39"/>
  <c r="J400" i="39"/>
  <c r="I400" i="39"/>
  <c r="G400" i="39"/>
  <c r="E400" i="39"/>
  <c r="D400" i="39"/>
  <c r="B400" i="39"/>
  <c r="W372" i="39"/>
  <c r="V372" i="39"/>
  <c r="S372" i="39"/>
  <c r="R372" i="39"/>
  <c r="Q372" i="39"/>
  <c r="P372" i="39"/>
  <c r="O372" i="39"/>
  <c r="N372" i="39"/>
  <c r="M372" i="39"/>
  <c r="L372" i="39"/>
  <c r="K372" i="39"/>
  <c r="J372" i="39"/>
  <c r="I372" i="39"/>
  <c r="G372" i="39"/>
  <c r="E372" i="39"/>
  <c r="D372" i="39"/>
  <c r="B372" i="39"/>
  <c r="W344" i="39"/>
  <c r="V344" i="39"/>
  <c r="S344" i="39"/>
  <c r="R344" i="39"/>
  <c r="Q344" i="39"/>
  <c r="P344" i="39"/>
  <c r="O344" i="39"/>
  <c r="N344" i="39"/>
  <c r="M344" i="39"/>
  <c r="L344" i="39"/>
  <c r="K344" i="39"/>
  <c r="J344" i="39"/>
  <c r="I344" i="39"/>
  <c r="G344" i="39"/>
  <c r="E344" i="39"/>
  <c r="D344" i="39"/>
  <c r="B344" i="39"/>
  <c r="W316" i="39"/>
  <c r="V316" i="39"/>
  <c r="S316" i="39"/>
  <c r="R316" i="39"/>
  <c r="Q316" i="39"/>
  <c r="P316" i="39"/>
  <c r="O316" i="39"/>
  <c r="N316" i="39"/>
  <c r="M316" i="39"/>
  <c r="L316" i="39"/>
  <c r="K316" i="39"/>
  <c r="J316" i="39"/>
  <c r="I316" i="39"/>
  <c r="G316" i="39"/>
  <c r="E316" i="39"/>
  <c r="D316" i="39"/>
  <c r="B316" i="39"/>
  <c r="W288" i="39"/>
  <c r="V288" i="39"/>
  <c r="S288" i="39"/>
  <c r="R288" i="39"/>
  <c r="Q288" i="39"/>
  <c r="P288" i="39"/>
  <c r="O288" i="39"/>
  <c r="N288" i="39"/>
  <c r="M288" i="39"/>
  <c r="L288" i="39"/>
  <c r="K288" i="39"/>
  <c r="J288" i="39"/>
  <c r="I288" i="39"/>
  <c r="G288" i="39"/>
  <c r="E288" i="39"/>
  <c r="D288" i="39"/>
  <c r="B288" i="39"/>
  <c r="W260" i="39"/>
  <c r="V260" i="39"/>
  <c r="S260" i="39"/>
  <c r="R260" i="39"/>
  <c r="Q260" i="39"/>
  <c r="P260" i="39"/>
  <c r="O260" i="39"/>
  <c r="N260" i="39"/>
  <c r="M260" i="39"/>
  <c r="L260" i="39"/>
  <c r="K260" i="39"/>
  <c r="J260" i="39"/>
  <c r="I260" i="39"/>
  <c r="G260" i="39"/>
  <c r="E260" i="39"/>
  <c r="D260" i="39"/>
  <c r="B260" i="39"/>
  <c r="W232" i="39"/>
  <c r="V232" i="39"/>
  <c r="S232" i="39"/>
  <c r="R232" i="39"/>
  <c r="Q232" i="39"/>
  <c r="P232" i="39"/>
  <c r="O232" i="39"/>
  <c r="N232" i="39"/>
  <c r="M232" i="39"/>
  <c r="L232" i="39"/>
  <c r="K232" i="39"/>
  <c r="J232" i="39"/>
  <c r="I232" i="39"/>
  <c r="G232" i="39"/>
  <c r="E232" i="39"/>
  <c r="D232" i="39"/>
  <c r="B232" i="39"/>
  <c r="W204" i="39"/>
  <c r="V204" i="39"/>
  <c r="S204" i="39"/>
  <c r="R204" i="39"/>
  <c r="Q204" i="39"/>
  <c r="P204" i="39"/>
  <c r="O204" i="39"/>
  <c r="N204" i="39"/>
  <c r="M204" i="39"/>
  <c r="L204" i="39"/>
  <c r="K204" i="39"/>
  <c r="J204" i="39"/>
  <c r="I204" i="39"/>
  <c r="G204" i="39"/>
  <c r="E204" i="39"/>
  <c r="D204" i="39"/>
  <c r="B204" i="39"/>
  <c r="W176" i="39"/>
  <c r="V176" i="39"/>
  <c r="S176" i="39"/>
  <c r="R176" i="39"/>
  <c r="Q176" i="39"/>
  <c r="P176" i="39"/>
  <c r="O176" i="39"/>
  <c r="N176" i="39"/>
  <c r="M176" i="39"/>
  <c r="L176" i="39"/>
  <c r="K176" i="39"/>
  <c r="J176" i="39"/>
  <c r="I176" i="39"/>
  <c r="G176" i="39"/>
  <c r="E176" i="39"/>
  <c r="D176" i="39"/>
  <c r="B176" i="39"/>
  <c r="W148" i="39"/>
  <c r="V148" i="39"/>
  <c r="S148" i="39"/>
  <c r="R148" i="39"/>
  <c r="Q148" i="39"/>
  <c r="P148" i="39"/>
  <c r="O148" i="39"/>
  <c r="N148" i="39"/>
  <c r="M148" i="39"/>
  <c r="L148" i="39"/>
  <c r="K148" i="39"/>
  <c r="J148" i="39"/>
  <c r="I148" i="39"/>
  <c r="G148" i="39"/>
  <c r="E148" i="39"/>
  <c r="D148" i="39"/>
  <c r="B148" i="39"/>
  <c r="W120" i="39"/>
  <c r="V120" i="39"/>
  <c r="S120" i="39"/>
  <c r="R120" i="39"/>
  <c r="Q120" i="39"/>
  <c r="P120" i="39"/>
  <c r="O120" i="39"/>
  <c r="N120" i="39"/>
  <c r="M120" i="39"/>
  <c r="L120" i="39"/>
  <c r="K120" i="39"/>
  <c r="J120" i="39"/>
  <c r="I120" i="39"/>
  <c r="G120" i="39"/>
  <c r="E120" i="39"/>
  <c r="D120" i="39"/>
  <c r="B120" i="39"/>
  <c r="W92" i="39"/>
  <c r="V92" i="39"/>
  <c r="S92" i="39"/>
  <c r="R92" i="39"/>
  <c r="Q92" i="39"/>
  <c r="P92" i="39"/>
  <c r="O92" i="39"/>
  <c r="N92" i="39"/>
  <c r="M92" i="39"/>
  <c r="L92" i="39"/>
  <c r="K92" i="39"/>
  <c r="J92" i="39"/>
  <c r="I92" i="39"/>
  <c r="G92" i="39"/>
  <c r="E92" i="39"/>
  <c r="D92" i="39"/>
  <c r="B92" i="39"/>
  <c r="W64" i="39"/>
  <c r="V64" i="39"/>
  <c r="S64" i="39"/>
  <c r="R64" i="39"/>
  <c r="Q64" i="39"/>
  <c r="P64" i="39"/>
  <c r="O64" i="39"/>
  <c r="N64" i="39"/>
  <c r="M64" i="39"/>
  <c r="L64" i="39"/>
  <c r="K64" i="39"/>
  <c r="J64" i="39"/>
  <c r="I64" i="39"/>
  <c r="G64" i="39"/>
  <c r="E64" i="39"/>
  <c r="D64" i="39"/>
  <c r="B64" i="39"/>
  <c r="W36" i="39"/>
  <c r="V36" i="39"/>
  <c r="S36" i="39"/>
  <c r="R36" i="39"/>
  <c r="Q36" i="39"/>
  <c r="P36" i="39"/>
  <c r="O36" i="39"/>
  <c r="N36" i="39"/>
  <c r="M36" i="39"/>
  <c r="L36" i="39"/>
  <c r="K36" i="39"/>
  <c r="J36" i="39"/>
  <c r="I36" i="39"/>
  <c r="G36" i="39"/>
  <c r="E36" i="39"/>
  <c r="D36" i="39"/>
  <c r="B36" i="39"/>
  <c r="U428" i="22"/>
  <c r="Y428" i="22" s="1"/>
  <c r="T428" i="22"/>
  <c r="H428" i="22"/>
  <c r="H428" i="39" s="1"/>
  <c r="F428" i="22"/>
  <c r="F428" i="39" s="1"/>
  <c r="U400" i="22"/>
  <c r="U400" i="39" s="1"/>
  <c r="T400" i="22"/>
  <c r="H400" i="22"/>
  <c r="H400" i="39" s="1"/>
  <c r="F400" i="22"/>
  <c r="F400" i="39" s="1"/>
  <c r="U372" i="22"/>
  <c r="T372" i="22"/>
  <c r="H372" i="22"/>
  <c r="H372" i="39" s="1"/>
  <c r="F372" i="22"/>
  <c r="F372" i="39" s="1"/>
  <c r="U344" i="22"/>
  <c r="T344" i="22"/>
  <c r="H344" i="22"/>
  <c r="H344" i="39" s="1"/>
  <c r="F344" i="22"/>
  <c r="F344" i="39" s="1"/>
  <c r="U316" i="22"/>
  <c r="T316" i="22"/>
  <c r="H316" i="22"/>
  <c r="H316" i="39" s="1"/>
  <c r="F316" i="22"/>
  <c r="F316" i="39" s="1"/>
  <c r="U288" i="22"/>
  <c r="T288" i="22"/>
  <c r="H288" i="22"/>
  <c r="H288" i="39" s="1"/>
  <c r="F288" i="22"/>
  <c r="F288" i="39" s="1"/>
  <c r="U260" i="22"/>
  <c r="T260" i="22"/>
  <c r="H260" i="22"/>
  <c r="H260" i="39" s="1"/>
  <c r="F260" i="22"/>
  <c r="F260" i="39" s="1"/>
  <c r="U232" i="22"/>
  <c r="T232" i="22"/>
  <c r="H232" i="22"/>
  <c r="H232" i="39" s="1"/>
  <c r="F232" i="22"/>
  <c r="F232" i="39" s="1"/>
  <c r="U204" i="22"/>
  <c r="Y204" i="22" s="1"/>
  <c r="AI204" i="22" s="1"/>
  <c r="AL204" i="22" s="1"/>
  <c r="T204" i="22"/>
  <c r="X204" i="22" s="1"/>
  <c r="AC204" i="22" s="1"/>
  <c r="AG204" i="22" s="1"/>
  <c r="H204" i="22"/>
  <c r="H204" i="39" s="1"/>
  <c r="F204" i="22"/>
  <c r="F204" i="39" s="1"/>
  <c r="U176" i="22"/>
  <c r="Y176" i="22" s="1"/>
  <c r="AI176" i="22" s="1"/>
  <c r="AL176" i="22" s="1"/>
  <c r="T176" i="22"/>
  <c r="X176" i="22" s="1"/>
  <c r="AC176" i="22" s="1"/>
  <c r="AG176" i="22" s="1"/>
  <c r="H176" i="22"/>
  <c r="H176" i="39" s="1"/>
  <c r="F176" i="22"/>
  <c r="F176" i="39" s="1"/>
  <c r="U148" i="22"/>
  <c r="Y148" i="22" s="1"/>
  <c r="AI148" i="22" s="1"/>
  <c r="AL148" i="22" s="1"/>
  <c r="T148" i="22"/>
  <c r="X148" i="22" s="1"/>
  <c r="AC148" i="22" s="1"/>
  <c r="AG148" i="22" s="1"/>
  <c r="H148" i="22"/>
  <c r="H148" i="39" s="1"/>
  <c r="F148" i="22"/>
  <c r="F148" i="39" s="1"/>
  <c r="U120" i="22"/>
  <c r="Y120" i="22" s="1"/>
  <c r="AI120" i="22" s="1"/>
  <c r="AL120" i="22" s="1"/>
  <c r="T120" i="22"/>
  <c r="X120" i="22" s="1"/>
  <c r="AC120" i="22" s="1"/>
  <c r="AG120" i="22" s="1"/>
  <c r="H120" i="22"/>
  <c r="H120" i="39" s="1"/>
  <c r="F120" i="22"/>
  <c r="F120" i="39" s="1"/>
  <c r="U92" i="22"/>
  <c r="Y92" i="22" s="1"/>
  <c r="AI92" i="22" s="1"/>
  <c r="AL92" i="22" s="1"/>
  <c r="T92" i="22"/>
  <c r="X92" i="22" s="1"/>
  <c r="AC92" i="22" s="1"/>
  <c r="AG92" i="22" s="1"/>
  <c r="H92" i="22"/>
  <c r="H92" i="39" s="1"/>
  <c r="F92" i="22"/>
  <c r="F92" i="39" s="1"/>
  <c r="U64" i="22"/>
  <c r="Y64" i="22" s="1"/>
  <c r="AI64" i="22" s="1"/>
  <c r="AL64" i="22" s="1"/>
  <c r="T64" i="22"/>
  <c r="X64" i="22" s="1"/>
  <c r="AC64" i="22" s="1"/>
  <c r="AG64" i="22" s="1"/>
  <c r="H64" i="22"/>
  <c r="H64" i="39" s="1"/>
  <c r="F64" i="22"/>
  <c r="F64" i="39" s="1"/>
  <c r="U36" i="22"/>
  <c r="Y36" i="22" s="1"/>
  <c r="AI36" i="22" s="1"/>
  <c r="AL36" i="22" s="1"/>
  <c r="T36" i="22"/>
  <c r="X36" i="22" s="1"/>
  <c r="AC36" i="22" s="1"/>
  <c r="AG36" i="22" s="1"/>
  <c r="H36" i="22"/>
  <c r="H36" i="39" s="1"/>
  <c r="F36" i="22"/>
  <c r="F36" i="39" s="1"/>
  <c r="Y260" i="22" l="1"/>
  <c r="U260" i="39"/>
  <c r="X288" i="22"/>
  <c r="T288" i="39"/>
  <c r="Y372" i="22"/>
  <c r="U372" i="39"/>
  <c r="X400" i="22"/>
  <c r="T400" i="39"/>
  <c r="Y288" i="22"/>
  <c r="U288" i="39"/>
  <c r="X316" i="22"/>
  <c r="T316" i="39"/>
  <c r="X232" i="22"/>
  <c r="T232" i="39"/>
  <c r="Y316" i="22"/>
  <c r="U316" i="39"/>
  <c r="X344" i="22"/>
  <c r="T344" i="39"/>
  <c r="Y400" i="22"/>
  <c r="X428" i="22"/>
  <c r="T428" i="39"/>
  <c r="Y232" i="22"/>
  <c r="U232" i="39"/>
  <c r="X260" i="22"/>
  <c r="T260" i="39"/>
  <c r="Y344" i="22"/>
  <c r="U344" i="39"/>
  <c r="X372" i="22"/>
  <c r="T372" i="39"/>
  <c r="AI428" i="22"/>
  <c r="AL428" i="22" s="1"/>
  <c r="Y428" i="39"/>
  <c r="U428" i="39"/>
  <c r="T92" i="39"/>
  <c r="U92" i="39"/>
  <c r="T204" i="39"/>
  <c r="X204" i="39"/>
  <c r="U204" i="39"/>
  <c r="Y204" i="39"/>
  <c r="T176" i="39"/>
  <c r="X176" i="39"/>
  <c r="U176" i="39"/>
  <c r="Y176" i="39"/>
  <c r="T148" i="39"/>
  <c r="X148" i="39"/>
  <c r="U148" i="39"/>
  <c r="Y148" i="39"/>
  <c r="T120" i="39"/>
  <c r="X120" i="39"/>
  <c r="U120" i="39"/>
  <c r="Y120" i="39"/>
  <c r="X92" i="39"/>
  <c r="Y92" i="39"/>
  <c r="T64" i="39"/>
  <c r="X64" i="39"/>
  <c r="U64" i="39"/>
  <c r="Y64" i="39"/>
  <c r="T36" i="39"/>
  <c r="X36" i="39"/>
  <c r="U36" i="39"/>
  <c r="Y36" i="39"/>
  <c r="J570" i="22"/>
  <c r="AC428" i="22" l="1"/>
  <c r="AG428" i="22" s="1"/>
  <c r="X428" i="39"/>
  <c r="AI400" i="22"/>
  <c r="AL400" i="22" s="1"/>
  <c r="Y400" i="39"/>
  <c r="AI316" i="22"/>
  <c r="AL316" i="22" s="1"/>
  <c r="Y316" i="39"/>
  <c r="AC316" i="22"/>
  <c r="AG316" i="22" s="1"/>
  <c r="X316" i="39"/>
  <c r="AC400" i="22"/>
  <c r="AG400" i="22" s="1"/>
  <c r="X400" i="39"/>
  <c r="AC288" i="22"/>
  <c r="AG288" i="22" s="1"/>
  <c r="X288" i="39"/>
  <c r="AC260" i="22"/>
  <c r="AG260" i="22" s="1"/>
  <c r="X260" i="39"/>
  <c r="AI344" i="22"/>
  <c r="AL344" i="22" s="1"/>
  <c r="Y344" i="39"/>
  <c r="AI232" i="22"/>
  <c r="AL232" i="22" s="1"/>
  <c r="Y232" i="39"/>
  <c r="AC372" i="22"/>
  <c r="AG372" i="22" s="1"/>
  <c r="X372" i="39"/>
  <c r="AC344" i="22"/>
  <c r="AG344" i="22" s="1"/>
  <c r="X344" i="39"/>
  <c r="AC232" i="22"/>
  <c r="AG232" i="22" s="1"/>
  <c r="X232" i="39"/>
  <c r="AI288" i="22"/>
  <c r="AL288" i="22" s="1"/>
  <c r="Y288" i="39"/>
  <c r="AI372" i="22"/>
  <c r="AL372" i="22" s="1"/>
  <c r="Y372" i="39"/>
  <c r="AI260" i="22"/>
  <c r="AL260" i="22" s="1"/>
  <c r="Y260" i="39"/>
  <c r="U876" i="22"/>
  <c r="T876" i="22"/>
  <c r="H876" i="22"/>
  <c r="H876" i="39" s="1"/>
  <c r="F876" i="22"/>
  <c r="F876" i="39" s="1"/>
  <c r="U848" i="22"/>
  <c r="T848" i="22"/>
  <c r="H848" i="22"/>
  <c r="H848" i="39" s="1"/>
  <c r="F848" i="22"/>
  <c r="F848" i="39" s="1"/>
  <c r="U820" i="22"/>
  <c r="T820" i="22"/>
  <c r="H820" i="22"/>
  <c r="H820" i="39" s="1"/>
  <c r="F820" i="22"/>
  <c r="F820" i="39" s="1"/>
  <c r="U792" i="22"/>
  <c r="T792" i="22"/>
  <c r="H792" i="22"/>
  <c r="H792" i="39" s="1"/>
  <c r="F792" i="22"/>
  <c r="F792" i="39" s="1"/>
  <c r="U764" i="22"/>
  <c r="T764" i="22"/>
  <c r="H764" i="22"/>
  <c r="H764" i="39" s="1"/>
  <c r="F764" i="22"/>
  <c r="F764" i="39" s="1"/>
  <c r="U736" i="22"/>
  <c r="U736" i="39" s="1"/>
  <c r="T736" i="22"/>
  <c r="T736" i="39" s="1"/>
  <c r="H736" i="22"/>
  <c r="H736" i="39" s="1"/>
  <c r="F736" i="22"/>
  <c r="F736" i="39" s="1"/>
  <c r="U708" i="22"/>
  <c r="T708" i="22"/>
  <c r="H708" i="22"/>
  <c r="H708" i="39" s="1"/>
  <c r="F708" i="22"/>
  <c r="F708" i="39" s="1"/>
  <c r="U680" i="22"/>
  <c r="T680" i="22"/>
  <c r="H680" i="22"/>
  <c r="H680" i="39" s="1"/>
  <c r="F680" i="22"/>
  <c r="F680" i="39" s="1"/>
  <c r="U652" i="22"/>
  <c r="T652" i="22"/>
  <c r="H652" i="22"/>
  <c r="H652" i="39" s="1"/>
  <c r="F652" i="22"/>
  <c r="F652" i="39" s="1"/>
  <c r="U624" i="22"/>
  <c r="T624" i="22"/>
  <c r="H624" i="22"/>
  <c r="H624" i="39" s="1"/>
  <c r="F624" i="22"/>
  <c r="F624" i="39" s="1"/>
  <c r="U596" i="22"/>
  <c r="T596" i="22"/>
  <c r="H596" i="22"/>
  <c r="H596" i="39" s="1"/>
  <c r="F596" i="22"/>
  <c r="F596" i="39" s="1"/>
  <c r="X652" i="22" l="1"/>
  <c r="T652" i="39"/>
  <c r="X736" i="22"/>
  <c r="X736" i="39" s="1"/>
  <c r="X792" i="22"/>
  <c r="T792" i="39"/>
  <c r="X876" i="22"/>
  <c r="T876" i="39"/>
  <c r="Y624" i="22"/>
  <c r="U624" i="39"/>
  <c r="Y652" i="22"/>
  <c r="U652" i="39"/>
  <c r="Y680" i="22"/>
  <c r="U680" i="39"/>
  <c r="Y708" i="22"/>
  <c r="U708" i="39"/>
  <c r="Y736" i="22"/>
  <c r="Y736" i="39" s="1"/>
  <c r="Y764" i="22"/>
  <c r="U764" i="39"/>
  <c r="Y792" i="22"/>
  <c r="U792" i="39"/>
  <c r="Y820" i="22"/>
  <c r="U820" i="39"/>
  <c r="Y848" i="22"/>
  <c r="U848" i="39"/>
  <c r="Y876" i="22"/>
  <c r="U876" i="39"/>
  <c r="X596" i="22"/>
  <c r="T596" i="39"/>
  <c r="X680" i="22"/>
  <c r="T680" i="39"/>
  <c r="X764" i="22"/>
  <c r="T764" i="39"/>
  <c r="X848" i="22"/>
  <c r="T848" i="39"/>
  <c r="Y596" i="22"/>
  <c r="U596" i="39"/>
  <c r="X624" i="22"/>
  <c r="T624" i="39"/>
  <c r="X708" i="22"/>
  <c r="T708" i="39"/>
  <c r="X820" i="22"/>
  <c r="T820" i="39"/>
  <c r="U568" i="22"/>
  <c r="T568" i="22"/>
  <c r="H568" i="22"/>
  <c r="H568" i="39" s="1"/>
  <c r="F568" i="22"/>
  <c r="F568" i="39" s="1"/>
  <c r="U540" i="22"/>
  <c r="T540" i="22"/>
  <c r="H540" i="22"/>
  <c r="H540" i="39" s="1"/>
  <c r="F540" i="22"/>
  <c r="F540" i="39" s="1"/>
  <c r="U512" i="22"/>
  <c r="T512" i="22"/>
  <c r="H512" i="22"/>
  <c r="H512" i="39" s="1"/>
  <c r="F512" i="22"/>
  <c r="F512" i="39" s="1"/>
  <c r="U484" i="22"/>
  <c r="T484" i="22"/>
  <c r="H484" i="22"/>
  <c r="H484" i="39" s="1"/>
  <c r="F484" i="22"/>
  <c r="F484" i="39" s="1"/>
  <c r="T456" i="22"/>
  <c r="U456" i="22"/>
  <c r="F456" i="22"/>
  <c r="F456" i="39" s="1"/>
  <c r="H456" i="22"/>
  <c r="H456" i="39" s="1"/>
  <c r="AC820" i="22" l="1"/>
  <c r="AG820" i="22" s="1"/>
  <c r="X820" i="39"/>
  <c r="AC848" i="22"/>
  <c r="AG848" i="22" s="1"/>
  <c r="X848" i="39"/>
  <c r="AI820" i="22"/>
  <c r="AL820" i="22" s="1"/>
  <c r="Y820" i="39"/>
  <c r="AI764" i="22"/>
  <c r="AL764" i="22" s="1"/>
  <c r="Y764" i="39"/>
  <c r="AI708" i="22"/>
  <c r="AL708" i="22" s="1"/>
  <c r="Y708" i="39"/>
  <c r="AI652" i="22"/>
  <c r="AL652" i="22" s="1"/>
  <c r="Y652" i="39"/>
  <c r="AC876" i="22"/>
  <c r="AG876" i="22" s="1"/>
  <c r="X876" i="39"/>
  <c r="AC736" i="22"/>
  <c r="AG736" i="22" s="1"/>
  <c r="AI876" i="22"/>
  <c r="AL876" i="22" s="1"/>
  <c r="Y876" i="39"/>
  <c r="Y456" i="22"/>
  <c r="U456" i="39"/>
  <c r="X484" i="22"/>
  <c r="T484" i="39"/>
  <c r="X512" i="22"/>
  <c r="T512" i="39"/>
  <c r="X540" i="22"/>
  <c r="T540" i="39"/>
  <c r="X568" i="22"/>
  <c r="T568" i="39"/>
  <c r="AC624" i="22"/>
  <c r="AG624" i="22" s="1"/>
  <c r="X624" i="39"/>
  <c r="AC680" i="22"/>
  <c r="AG680" i="22" s="1"/>
  <c r="X680" i="39"/>
  <c r="X456" i="22"/>
  <c r="T456" i="39"/>
  <c r="Y484" i="22"/>
  <c r="U484" i="39"/>
  <c r="Y512" i="22"/>
  <c r="U512" i="39"/>
  <c r="Y540" i="22"/>
  <c r="U540" i="39"/>
  <c r="Y568" i="22"/>
  <c r="U568" i="39"/>
  <c r="AC708" i="22"/>
  <c r="AG708" i="22" s="1"/>
  <c r="X708" i="39"/>
  <c r="AI596" i="22"/>
  <c r="AL596" i="22" s="1"/>
  <c r="Y596" i="39"/>
  <c r="AC764" i="22"/>
  <c r="AG764" i="22" s="1"/>
  <c r="X764" i="39"/>
  <c r="AC596" i="22"/>
  <c r="AG596" i="22" s="1"/>
  <c r="X596" i="39"/>
  <c r="AI848" i="22"/>
  <c r="AL848" i="22" s="1"/>
  <c r="Y848" i="39"/>
  <c r="AI792" i="22"/>
  <c r="AL792" i="22" s="1"/>
  <c r="Y792" i="39"/>
  <c r="AI736" i="22"/>
  <c r="AL736" i="22" s="1"/>
  <c r="AI680" i="22"/>
  <c r="AL680" i="22" s="1"/>
  <c r="Y680" i="39"/>
  <c r="AI624" i="22"/>
  <c r="AL624" i="22" s="1"/>
  <c r="Y624" i="39"/>
  <c r="AC792" i="22"/>
  <c r="AG792" i="22" s="1"/>
  <c r="X792" i="39"/>
  <c r="AC652" i="22"/>
  <c r="AG652" i="22" s="1"/>
  <c r="X652" i="39"/>
  <c r="AI484" i="22" l="1"/>
  <c r="AL484" i="22" s="1"/>
  <c r="Y484" i="39"/>
  <c r="AC568" i="22"/>
  <c r="AG568" i="22" s="1"/>
  <c r="X568" i="39"/>
  <c r="AI456" i="22"/>
  <c r="AL456" i="22" s="1"/>
  <c r="Y456" i="39"/>
  <c r="AI540" i="22"/>
  <c r="AL540" i="22" s="1"/>
  <c r="Y540" i="39"/>
  <c r="AC512" i="22"/>
  <c r="AG512" i="22" s="1"/>
  <c r="X512" i="39"/>
  <c r="AI568" i="22"/>
  <c r="AL568" i="22" s="1"/>
  <c r="Y568" i="39"/>
  <c r="AI512" i="22"/>
  <c r="AL512" i="22" s="1"/>
  <c r="Y512" i="39"/>
  <c r="AC456" i="22"/>
  <c r="AG456" i="22" s="1"/>
  <c r="X456" i="39"/>
  <c r="AC540" i="22"/>
  <c r="AG540" i="22" s="1"/>
  <c r="X540" i="39"/>
  <c r="AC484" i="22"/>
  <c r="AG484" i="22" s="1"/>
  <c r="X484" i="39"/>
  <c r="O738" i="22" l="1"/>
  <c r="F583" i="22" l="1"/>
  <c r="H583" i="22"/>
  <c r="T583" i="22"/>
  <c r="X583" i="22" s="1"/>
  <c r="AC583" i="22" s="1"/>
  <c r="AG583" i="22" s="1"/>
  <c r="U583" i="22"/>
  <c r="Y583" i="22" s="1"/>
  <c r="AI583" i="22" s="1"/>
  <c r="AL583" i="22" s="1"/>
  <c r="V318" i="22" l="1"/>
  <c r="W318" i="22"/>
  <c r="V262" i="22" l="1"/>
  <c r="W262" i="22"/>
  <c r="W875" i="39" l="1"/>
  <c r="V875" i="39"/>
  <c r="S875" i="39"/>
  <c r="R875" i="39"/>
  <c r="Q875" i="39"/>
  <c r="P875" i="39"/>
  <c r="O875" i="39"/>
  <c r="N875" i="39"/>
  <c r="M875" i="39"/>
  <c r="L875" i="39"/>
  <c r="K875" i="39"/>
  <c r="J875" i="39"/>
  <c r="I875" i="39"/>
  <c r="G875" i="39"/>
  <c r="E875" i="39"/>
  <c r="D875" i="39"/>
  <c r="B875" i="39"/>
  <c r="W847" i="39"/>
  <c r="V847" i="39"/>
  <c r="S847" i="39"/>
  <c r="R847" i="39"/>
  <c r="Q847" i="39"/>
  <c r="P847" i="39"/>
  <c r="O847" i="39"/>
  <c r="N847" i="39"/>
  <c r="M847" i="39"/>
  <c r="L847" i="39"/>
  <c r="K847" i="39"/>
  <c r="J847" i="39"/>
  <c r="I847" i="39"/>
  <c r="G847" i="39"/>
  <c r="E847" i="39"/>
  <c r="D847" i="39"/>
  <c r="B847" i="39"/>
  <c r="W819" i="39"/>
  <c r="V819" i="39"/>
  <c r="S819" i="39"/>
  <c r="R819" i="39"/>
  <c r="Q819" i="39"/>
  <c r="P819" i="39"/>
  <c r="O819" i="39"/>
  <c r="N819" i="39"/>
  <c r="M819" i="39"/>
  <c r="L819" i="39"/>
  <c r="K819" i="39"/>
  <c r="J819" i="39"/>
  <c r="I819" i="39"/>
  <c r="G819" i="39"/>
  <c r="E819" i="39"/>
  <c r="D819" i="39"/>
  <c r="B819" i="39"/>
  <c r="W791" i="39"/>
  <c r="V791" i="39"/>
  <c r="S791" i="39"/>
  <c r="R791" i="39"/>
  <c r="Q791" i="39"/>
  <c r="P791" i="39"/>
  <c r="O791" i="39"/>
  <c r="N791" i="39"/>
  <c r="M791" i="39"/>
  <c r="L791" i="39"/>
  <c r="K791" i="39"/>
  <c r="J791" i="39"/>
  <c r="I791" i="39"/>
  <c r="G791" i="39"/>
  <c r="E791" i="39"/>
  <c r="D791" i="39"/>
  <c r="B791" i="39"/>
  <c r="W763" i="39"/>
  <c r="V763" i="39"/>
  <c r="S763" i="39"/>
  <c r="R763" i="39"/>
  <c r="Q763" i="39"/>
  <c r="P763" i="39"/>
  <c r="O763" i="39"/>
  <c r="N763" i="39"/>
  <c r="M763" i="39"/>
  <c r="L763" i="39"/>
  <c r="K763" i="39"/>
  <c r="J763" i="39"/>
  <c r="I763" i="39"/>
  <c r="G763" i="39"/>
  <c r="E763" i="39"/>
  <c r="D763" i="39"/>
  <c r="B763" i="39"/>
  <c r="W707" i="39"/>
  <c r="V707" i="39"/>
  <c r="S707" i="39"/>
  <c r="R707" i="39"/>
  <c r="Q707" i="39"/>
  <c r="P707" i="39"/>
  <c r="O707" i="39"/>
  <c r="N707" i="39"/>
  <c r="M707" i="39"/>
  <c r="L707" i="39"/>
  <c r="K707" i="39"/>
  <c r="J707" i="39"/>
  <c r="I707" i="39"/>
  <c r="G707" i="39"/>
  <c r="E707" i="39"/>
  <c r="D707" i="39"/>
  <c r="B707" i="39"/>
  <c r="W679" i="39"/>
  <c r="V679" i="39"/>
  <c r="S679" i="39"/>
  <c r="R679" i="39"/>
  <c r="Q679" i="39"/>
  <c r="P679" i="39"/>
  <c r="O679" i="39"/>
  <c r="N679" i="39"/>
  <c r="M679" i="39"/>
  <c r="L679" i="39"/>
  <c r="K679" i="39"/>
  <c r="J679" i="39"/>
  <c r="I679" i="39"/>
  <c r="G679" i="39"/>
  <c r="E679" i="39"/>
  <c r="D679" i="39"/>
  <c r="B679" i="39"/>
  <c r="W651" i="39"/>
  <c r="V651" i="39"/>
  <c r="S651" i="39"/>
  <c r="R651" i="39"/>
  <c r="Q651" i="39"/>
  <c r="P651" i="39"/>
  <c r="O651" i="39"/>
  <c r="N651" i="39"/>
  <c r="M651" i="39"/>
  <c r="L651" i="39"/>
  <c r="K651" i="39"/>
  <c r="J651" i="39"/>
  <c r="I651" i="39"/>
  <c r="G651" i="39"/>
  <c r="E651" i="39"/>
  <c r="D651" i="39"/>
  <c r="B651" i="39"/>
  <c r="W623" i="39"/>
  <c r="V623" i="39"/>
  <c r="S623" i="39"/>
  <c r="R623" i="39"/>
  <c r="Q623" i="39"/>
  <c r="P623" i="39"/>
  <c r="O623" i="39"/>
  <c r="N623" i="39"/>
  <c r="M623" i="39"/>
  <c r="L623" i="39"/>
  <c r="K623" i="39"/>
  <c r="J623" i="39"/>
  <c r="I623" i="39"/>
  <c r="G623" i="39"/>
  <c r="E623" i="39"/>
  <c r="D623" i="39"/>
  <c r="B623" i="39"/>
  <c r="W595" i="39"/>
  <c r="V595" i="39"/>
  <c r="S595" i="39"/>
  <c r="R595" i="39"/>
  <c r="Q595" i="39"/>
  <c r="P595" i="39"/>
  <c r="O595" i="39"/>
  <c r="N595" i="39"/>
  <c r="M595" i="39"/>
  <c r="L595" i="39"/>
  <c r="K595" i="39"/>
  <c r="J595" i="39"/>
  <c r="I595" i="39"/>
  <c r="G595" i="39"/>
  <c r="E595" i="39"/>
  <c r="D595" i="39"/>
  <c r="B595" i="39"/>
  <c r="W567" i="39"/>
  <c r="V567" i="39"/>
  <c r="S567" i="39"/>
  <c r="R567" i="39"/>
  <c r="Q567" i="39"/>
  <c r="P567" i="39"/>
  <c r="O567" i="39"/>
  <c r="N567" i="39"/>
  <c r="M567" i="39"/>
  <c r="L567" i="39"/>
  <c r="K567" i="39"/>
  <c r="J567" i="39"/>
  <c r="I567" i="39"/>
  <c r="G567" i="39"/>
  <c r="E567" i="39"/>
  <c r="D567" i="39"/>
  <c r="B567" i="39"/>
  <c r="W539" i="39"/>
  <c r="V539" i="39"/>
  <c r="S539" i="39"/>
  <c r="R539" i="39"/>
  <c r="Q539" i="39"/>
  <c r="P539" i="39"/>
  <c r="O539" i="39"/>
  <c r="N539" i="39"/>
  <c r="M539" i="39"/>
  <c r="L539" i="39"/>
  <c r="K539" i="39"/>
  <c r="J539" i="39"/>
  <c r="I539" i="39"/>
  <c r="G539" i="39"/>
  <c r="E539" i="39"/>
  <c r="D539" i="39"/>
  <c r="B539" i="39"/>
  <c r="W511" i="39"/>
  <c r="V511" i="39"/>
  <c r="S511" i="39"/>
  <c r="R511" i="39"/>
  <c r="Q511" i="39"/>
  <c r="P511" i="39"/>
  <c r="O511" i="39"/>
  <c r="N511" i="39"/>
  <c r="M511" i="39"/>
  <c r="L511" i="39"/>
  <c r="K511" i="39"/>
  <c r="J511" i="39"/>
  <c r="I511" i="39"/>
  <c r="G511" i="39"/>
  <c r="E511" i="39"/>
  <c r="D511" i="39"/>
  <c r="B511" i="39"/>
  <c r="W483" i="39"/>
  <c r="V483" i="39"/>
  <c r="S483" i="39"/>
  <c r="R483" i="39"/>
  <c r="Q483" i="39"/>
  <c r="P483" i="39"/>
  <c r="O483" i="39"/>
  <c r="N483" i="39"/>
  <c r="M483" i="39"/>
  <c r="L483" i="39"/>
  <c r="K483" i="39"/>
  <c r="J483" i="39"/>
  <c r="I483" i="39"/>
  <c r="G483" i="39"/>
  <c r="E483" i="39"/>
  <c r="D483" i="39"/>
  <c r="B483" i="39"/>
  <c r="W455" i="39"/>
  <c r="V455" i="39"/>
  <c r="S455" i="39"/>
  <c r="R455" i="39"/>
  <c r="Q455" i="39"/>
  <c r="P455" i="39"/>
  <c r="O455" i="39"/>
  <c r="N455" i="39"/>
  <c r="M455" i="39"/>
  <c r="L455" i="39"/>
  <c r="K455" i="39"/>
  <c r="J455" i="39"/>
  <c r="I455" i="39"/>
  <c r="G455" i="39"/>
  <c r="E455" i="39"/>
  <c r="D455" i="39"/>
  <c r="B455" i="39"/>
  <c r="W427" i="39"/>
  <c r="V427" i="39"/>
  <c r="S427" i="39"/>
  <c r="R427" i="39"/>
  <c r="Q427" i="39"/>
  <c r="P427" i="39"/>
  <c r="O427" i="39"/>
  <c r="N427" i="39"/>
  <c r="M427" i="39"/>
  <c r="L427" i="39"/>
  <c r="K427" i="39"/>
  <c r="J427" i="39"/>
  <c r="I427" i="39"/>
  <c r="G427" i="39"/>
  <c r="E427" i="39"/>
  <c r="D427" i="39"/>
  <c r="B427" i="39"/>
  <c r="W399" i="39"/>
  <c r="V399" i="39"/>
  <c r="S399" i="39"/>
  <c r="R399" i="39"/>
  <c r="Q399" i="39"/>
  <c r="P399" i="39"/>
  <c r="O399" i="39"/>
  <c r="N399" i="39"/>
  <c r="M399" i="39"/>
  <c r="L399" i="39"/>
  <c r="K399" i="39"/>
  <c r="J399" i="39"/>
  <c r="I399" i="39"/>
  <c r="G399" i="39"/>
  <c r="E399" i="39"/>
  <c r="D399" i="39"/>
  <c r="B399" i="39"/>
  <c r="W371" i="39"/>
  <c r="V371" i="39"/>
  <c r="S371" i="39"/>
  <c r="R371" i="39"/>
  <c r="Q371" i="39"/>
  <c r="P371" i="39"/>
  <c r="O371" i="39"/>
  <c r="N371" i="39"/>
  <c r="M371" i="39"/>
  <c r="L371" i="39"/>
  <c r="K371" i="39"/>
  <c r="J371" i="39"/>
  <c r="I371" i="39"/>
  <c r="G371" i="39"/>
  <c r="E371" i="39"/>
  <c r="D371" i="39"/>
  <c r="B371" i="39"/>
  <c r="W343" i="39"/>
  <c r="V343" i="39"/>
  <c r="S343" i="39"/>
  <c r="R343" i="39"/>
  <c r="Q343" i="39"/>
  <c r="P343" i="39"/>
  <c r="O343" i="39"/>
  <c r="N343" i="39"/>
  <c r="M343" i="39"/>
  <c r="L343" i="39"/>
  <c r="K343" i="39"/>
  <c r="J343" i="39"/>
  <c r="I343" i="39"/>
  <c r="G343" i="39"/>
  <c r="E343" i="39"/>
  <c r="D343" i="39"/>
  <c r="B343" i="39"/>
  <c r="W315" i="39"/>
  <c r="V315" i="39"/>
  <c r="S315" i="39"/>
  <c r="R315" i="39"/>
  <c r="Q315" i="39"/>
  <c r="P315" i="39"/>
  <c r="O315" i="39"/>
  <c r="N315" i="39"/>
  <c r="M315" i="39"/>
  <c r="L315" i="39"/>
  <c r="K315" i="39"/>
  <c r="J315" i="39"/>
  <c r="I315" i="39"/>
  <c r="G315" i="39"/>
  <c r="E315" i="39"/>
  <c r="D315" i="39"/>
  <c r="B315" i="39"/>
  <c r="W287" i="39"/>
  <c r="V287" i="39"/>
  <c r="S287" i="39"/>
  <c r="R287" i="39"/>
  <c r="Q287" i="39"/>
  <c r="P287" i="39"/>
  <c r="O287" i="39"/>
  <c r="N287" i="39"/>
  <c r="M287" i="39"/>
  <c r="L287" i="39"/>
  <c r="K287" i="39"/>
  <c r="J287" i="39"/>
  <c r="I287" i="39"/>
  <c r="G287" i="39"/>
  <c r="E287" i="39"/>
  <c r="D287" i="39"/>
  <c r="B287" i="39"/>
  <c r="W259" i="39"/>
  <c r="V259" i="39"/>
  <c r="S259" i="39"/>
  <c r="R259" i="39"/>
  <c r="Q259" i="39"/>
  <c r="P259" i="39"/>
  <c r="O259" i="39"/>
  <c r="N259" i="39"/>
  <c r="M259" i="39"/>
  <c r="L259" i="39"/>
  <c r="K259" i="39"/>
  <c r="J259" i="39"/>
  <c r="I259" i="39"/>
  <c r="G259" i="39"/>
  <c r="E259" i="39"/>
  <c r="D259" i="39"/>
  <c r="B259" i="39"/>
  <c r="W231" i="39"/>
  <c r="V231" i="39"/>
  <c r="S231" i="39"/>
  <c r="R231" i="39"/>
  <c r="Q231" i="39"/>
  <c r="P231" i="39"/>
  <c r="O231" i="39"/>
  <c r="N231" i="39"/>
  <c r="M231" i="39"/>
  <c r="L231" i="39"/>
  <c r="K231" i="39"/>
  <c r="J231" i="39"/>
  <c r="I231" i="39"/>
  <c r="G231" i="39"/>
  <c r="E231" i="39"/>
  <c r="D231" i="39"/>
  <c r="B231" i="39"/>
  <c r="W203" i="39"/>
  <c r="V203" i="39"/>
  <c r="S203" i="39"/>
  <c r="R203" i="39"/>
  <c r="Q203" i="39"/>
  <c r="P203" i="39"/>
  <c r="O203" i="39"/>
  <c r="N203" i="39"/>
  <c r="M203" i="39"/>
  <c r="L203" i="39"/>
  <c r="K203" i="39"/>
  <c r="J203" i="39"/>
  <c r="I203" i="39"/>
  <c r="G203" i="39"/>
  <c r="E203" i="39"/>
  <c r="D203" i="39"/>
  <c r="B203" i="39"/>
  <c r="W175" i="39"/>
  <c r="V175" i="39"/>
  <c r="S175" i="39"/>
  <c r="R175" i="39"/>
  <c r="Q175" i="39"/>
  <c r="P175" i="39"/>
  <c r="O175" i="39"/>
  <c r="N175" i="39"/>
  <c r="M175" i="39"/>
  <c r="L175" i="39"/>
  <c r="K175" i="39"/>
  <c r="J175" i="39"/>
  <c r="I175" i="39"/>
  <c r="G175" i="39"/>
  <c r="E175" i="39"/>
  <c r="D175" i="39"/>
  <c r="B175" i="39"/>
  <c r="W147" i="39"/>
  <c r="V147" i="39"/>
  <c r="S147" i="39"/>
  <c r="R147" i="39"/>
  <c r="Q147" i="39"/>
  <c r="P147" i="39"/>
  <c r="O147" i="39"/>
  <c r="N147" i="39"/>
  <c r="M147" i="39"/>
  <c r="L147" i="39"/>
  <c r="K147" i="39"/>
  <c r="J147" i="39"/>
  <c r="I147" i="39"/>
  <c r="G147" i="39"/>
  <c r="E147" i="39"/>
  <c r="D147" i="39"/>
  <c r="B147" i="39"/>
  <c r="W119" i="39"/>
  <c r="V119" i="39"/>
  <c r="S119" i="39"/>
  <c r="R119" i="39"/>
  <c r="Q119" i="39"/>
  <c r="P119" i="39"/>
  <c r="O119" i="39"/>
  <c r="N119" i="39"/>
  <c r="M119" i="39"/>
  <c r="L119" i="39"/>
  <c r="K119" i="39"/>
  <c r="J119" i="39"/>
  <c r="I119" i="39"/>
  <c r="G119" i="39"/>
  <c r="E119" i="39"/>
  <c r="D119" i="39"/>
  <c r="B119" i="39"/>
  <c r="W91" i="39"/>
  <c r="V91" i="39"/>
  <c r="S91" i="39"/>
  <c r="R91" i="39"/>
  <c r="Q91" i="39"/>
  <c r="P91" i="39"/>
  <c r="O91" i="39"/>
  <c r="N91" i="39"/>
  <c r="M91" i="39"/>
  <c r="L91" i="39"/>
  <c r="K91" i="39"/>
  <c r="J91" i="39"/>
  <c r="I91" i="39"/>
  <c r="G91" i="39"/>
  <c r="E91" i="39"/>
  <c r="D91" i="39"/>
  <c r="B91" i="39"/>
  <c r="W63" i="39"/>
  <c r="V63" i="39"/>
  <c r="S63" i="39"/>
  <c r="R63" i="39"/>
  <c r="Q63" i="39"/>
  <c r="P63" i="39"/>
  <c r="O63" i="39"/>
  <c r="N63" i="39"/>
  <c r="M63" i="39"/>
  <c r="L63" i="39"/>
  <c r="K63" i="39"/>
  <c r="J63" i="39"/>
  <c r="I63" i="39"/>
  <c r="G63" i="39"/>
  <c r="E63" i="39"/>
  <c r="D63" i="39"/>
  <c r="B63" i="39"/>
  <c r="W35" i="39"/>
  <c r="V35" i="39"/>
  <c r="S35" i="39"/>
  <c r="R35" i="39"/>
  <c r="Q35" i="39"/>
  <c r="P35" i="39"/>
  <c r="O35" i="39"/>
  <c r="N35" i="39"/>
  <c r="M35" i="39"/>
  <c r="L35" i="39"/>
  <c r="K35" i="39"/>
  <c r="J35" i="39"/>
  <c r="I35" i="39"/>
  <c r="G35" i="39"/>
  <c r="E35" i="39"/>
  <c r="D35" i="39"/>
  <c r="B35" i="39"/>
  <c r="AL875" i="22"/>
  <c r="U875" i="22"/>
  <c r="U875" i="39" s="1"/>
  <c r="T875" i="22"/>
  <c r="X875" i="22" s="1"/>
  <c r="AC875" i="22" s="1"/>
  <c r="AG875" i="22" s="1"/>
  <c r="H875" i="22"/>
  <c r="H875" i="39" s="1"/>
  <c r="F875" i="22"/>
  <c r="F875" i="39" s="1"/>
  <c r="AL847" i="22"/>
  <c r="U847" i="22"/>
  <c r="Y847" i="22" s="1"/>
  <c r="Y847" i="39" s="1"/>
  <c r="T847" i="22"/>
  <c r="X847" i="22" s="1"/>
  <c r="AC847" i="22" s="1"/>
  <c r="AG847" i="22" s="1"/>
  <c r="H847" i="22"/>
  <c r="H847" i="39" s="1"/>
  <c r="F847" i="22"/>
  <c r="F847" i="39" s="1"/>
  <c r="AL819" i="22"/>
  <c r="U819" i="22"/>
  <c r="Y819" i="22" s="1"/>
  <c r="Y819" i="39" s="1"/>
  <c r="T819" i="22"/>
  <c r="X819" i="22" s="1"/>
  <c r="AC819" i="22" s="1"/>
  <c r="AG819" i="22" s="1"/>
  <c r="H819" i="22"/>
  <c r="H819" i="39" s="1"/>
  <c r="F819" i="22"/>
  <c r="F819" i="39" s="1"/>
  <c r="AL791" i="22"/>
  <c r="U791" i="22"/>
  <c r="U791" i="39" s="1"/>
  <c r="T791" i="22"/>
  <c r="X791" i="22" s="1"/>
  <c r="AC791" i="22" s="1"/>
  <c r="AG791" i="22" s="1"/>
  <c r="H791" i="22"/>
  <c r="H791" i="39" s="1"/>
  <c r="F791" i="22"/>
  <c r="F791" i="39" s="1"/>
  <c r="AL763" i="22"/>
  <c r="U763" i="22"/>
  <c r="Y763" i="22" s="1"/>
  <c r="Y763" i="39" s="1"/>
  <c r="T763" i="22"/>
  <c r="X763" i="22" s="1"/>
  <c r="AC763" i="22" s="1"/>
  <c r="AG763" i="22" s="1"/>
  <c r="H763" i="22"/>
  <c r="H763" i="39" s="1"/>
  <c r="F763" i="22"/>
  <c r="F763" i="39" s="1"/>
  <c r="AL735" i="22"/>
  <c r="U735" i="22"/>
  <c r="T735" i="22"/>
  <c r="H735" i="22"/>
  <c r="H735" i="39" s="1"/>
  <c r="F735" i="22"/>
  <c r="F735" i="39" s="1"/>
  <c r="AL707" i="22"/>
  <c r="U707" i="22"/>
  <c r="Y707" i="22" s="1"/>
  <c r="Y707" i="39" s="1"/>
  <c r="T707" i="22"/>
  <c r="X707" i="22" s="1"/>
  <c r="AC707" i="22" s="1"/>
  <c r="AG707" i="22" s="1"/>
  <c r="H707" i="22"/>
  <c r="H707" i="39" s="1"/>
  <c r="F707" i="22"/>
  <c r="F707" i="39" s="1"/>
  <c r="AL679" i="22"/>
  <c r="U679" i="22"/>
  <c r="U679" i="39" s="1"/>
  <c r="T679" i="22"/>
  <c r="X679" i="22" s="1"/>
  <c r="AC679" i="22" s="1"/>
  <c r="AG679" i="22" s="1"/>
  <c r="H679" i="22"/>
  <c r="H679" i="39" s="1"/>
  <c r="F679" i="22"/>
  <c r="F679" i="39" s="1"/>
  <c r="AL651" i="22"/>
  <c r="U651" i="22"/>
  <c r="Y651" i="22" s="1"/>
  <c r="Y651" i="39" s="1"/>
  <c r="T651" i="22"/>
  <c r="X651" i="22" s="1"/>
  <c r="AC651" i="22" s="1"/>
  <c r="AG651" i="22" s="1"/>
  <c r="H651" i="22"/>
  <c r="H651" i="39" s="1"/>
  <c r="F651" i="22"/>
  <c r="F651" i="39" s="1"/>
  <c r="AL623" i="22"/>
  <c r="U623" i="22"/>
  <c r="Y623" i="22" s="1"/>
  <c r="Y623" i="39" s="1"/>
  <c r="T623" i="22"/>
  <c r="X623" i="22" s="1"/>
  <c r="AC623" i="22" s="1"/>
  <c r="AG623" i="22" s="1"/>
  <c r="H623" i="22"/>
  <c r="H623" i="39" s="1"/>
  <c r="F623" i="22"/>
  <c r="F623" i="39" s="1"/>
  <c r="AL595" i="22"/>
  <c r="U595" i="22"/>
  <c r="Y595" i="22" s="1"/>
  <c r="Y595" i="39" s="1"/>
  <c r="T595" i="22"/>
  <c r="X595" i="22" s="1"/>
  <c r="AC595" i="22" s="1"/>
  <c r="AG595" i="22" s="1"/>
  <c r="H595" i="22"/>
  <c r="H595" i="39" s="1"/>
  <c r="F595" i="22"/>
  <c r="F595" i="39" s="1"/>
  <c r="AL567" i="22"/>
  <c r="U567" i="22"/>
  <c r="Y567" i="22" s="1"/>
  <c r="Y567" i="39" s="1"/>
  <c r="T567" i="22"/>
  <c r="X567" i="22" s="1"/>
  <c r="AC567" i="22" s="1"/>
  <c r="AG567" i="22" s="1"/>
  <c r="H567" i="22"/>
  <c r="H567" i="39" s="1"/>
  <c r="F567" i="22"/>
  <c r="F567" i="39" s="1"/>
  <c r="AL539" i="22"/>
  <c r="U539" i="22"/>
  <c r="Y539" i="22" s="1"/>
  <c r="Y539" i="39" s="1"/>
  <c r="T539" i="22"/>
  <c r="X539" i="22" s="1"/>
  <c r="AC539" i="22" s="1"/>
  <c r="AG539" i="22" s="1"/>
  <c r="H539" i="22"/>
  <c r="H539" i="39" s="1"/>
  <c r="F539" i="22"/>
  <c r="F539" i="39" s="1"/>
  <c r="AL511" i="22"/>
  <c r="U511" i="22"/>
  <c r="Y511" i="22" s="1"/>
  <c r="Y511" i="39" s="1"/>
  <c r="T511" i="22"/>
  <c r="X511" i="22" s="1"/>
  <c r="AC511" i="22" s="1"/>
  <c r="AG511" i="22" s="1"/>
  <c r="H511" i="22"/>
  <c r="H511" i="39" s="1"/>
  <c r="F511" i="22"/>
  <c r="F511" i="39" s="1"/>
  <c r="AL483" i="22"/>
  <c r="U483" i="22"/>
  <c r="Y483" i="22" s="1"/>
  <c r="Y483" i="39" s="1"/>
  <c r="T483" i="22"/>
  <c r="X483" i="22" s="1"/>
  <c r="AC483" i="22" s="1"/>
  <c r="AG483" i="22" s="1"/>
  <c r="H483" i="22"/>
  <c r="H483" i="39" s="1"/>
  <c r="F483" i="22"/>
  <c r="F483" i="39" s="1"/>
  <c r="U455" i="22"/>
  <c r="Y455" i="22" s="1"/>
  <c r="T455" i="22"/>
  <c r="X455" i="22" s="1"/>
  <c r="AC455" i="22" s="1"/>
  <c r="AG455" i="22" s="1"/>
  <c r="H455" i="22"/>
  <c r="H455" i="39" s="1"/>
  <c r="F455" i="22"/>
  <c r="F455" i="39" s="1"/>
  <c r="AL427" i="22"/>
  <c r="U427" i="22"/>
  <c r="Y427" i="22" s="1"/>
  <c r="Y427" i="39" s="1"/>
  <c r="T427" i="22"/>
  <c r="X427" i="22" s="1"/>
  <c r="AC427" i="22" s="1"/>
  <c r="AG427" i="22" s="1"/>
  <c r="H427" i="22"/>
  <c r="H427" i="39" s="1"/>
  <c r="F427" i="22"/>
  <c r="F427" i="39" s="1"/>
  <c r="AL399" i="22"/>
  <c r="U399" i="22"/>
  <c r="Y399" i="22" s="1"/>
  <c r="Y399" i="39" s="1"/>
  <c r="T399" i="22"/>
  <c r="X399" i="22" s="1"/>
  <c r="AC399" i="22" s="1"/>
  <c r="AG399" i="22" s="1"/>
  <c r="H399" i="22"/>
  <c r="H399" i="39" s="1"/>
  <c r="F399" i="22"/>
  <c r="F399" i="39" s="1"/>
  <c r="AL371" i="22"/>
  <c r="U371" i="22"/>
  <c r="Y371" i="22" s="1"/>
  <c r="Y371" i="39" s="1"/>
  <c r="T371" i="22"/>
  <c r="X371" i="22" s="1"/>
  <c r="AC371" i="22" s="1"/>
  <c r="AG371" i="22" s="1"/>
  <c r="H371" i="22"/>
  <c r="H371" i="39" s="1"/>
  <c r="F371" i="22"/>
  <c r="F371" i="39" s="1"/>
  <c r="AL343" i="22"/>
  <c r="U343" i="22"/>
  <c r="Y343" i="22" s="1"/>
  <c r="Y343" i="39" s="1"/>
  <c r="T343" i="22"/>
  <c r="X343" i="22" s="1"/>
  <c r="AC343" i="22" s="1"/>
  <c r="AG343" i="22" s="1"/>
  <c r="H343" i="22"/>
  <c r="H343" i="39" s="1"/>
  <c r="F343" i="22"/>
  <c r="F343" i="39" s="1"/>
  <c r="AL315" i="22"/>
  <c r="U315" i="22"/>
  <c r="Y315" i="22" s="1"/>
  <c r="Y315" i="39" s="1"/>
  <c r="T315" i="22"/>
  <c r="X315" i="22" s="1"/>
  <c r="AC315" i="22" s="1"/>
  <c r="AG315" i="22" s="1"/>
  <c r="H315" i="22"/>
  <c r="H315" i="39" s="1"/>
  <c r="F315" i="22"/>
  <c r="F315" i="39" s="1"/>
  <c r="F317" i="22"/>
  <c r="H317" i="22"/>
  <c r="T317" i="22"/>
  <c r="X317" i="22" s="1"/>
  <c r="AC317" i="22" s="1"/>
  <c r="AG317" i="22" s="1"/>
  <c r="U317" i="22"/>
  <c r="Y317" i="22" s="1"/>
  <c r="AI317" i="22" s="1"/>
  <c r="AL317" i="22" s="1"/>
  <c r="AL287" i="22"/>
  <c r="U287" i="22"/>
  <c r="Y287" i="22" s="1"/>
  <c r="Y287" i="39" s="1"/>
  <c r="T287" i="22"/>
  <c r="X287" i="22" s="1"/>
  <c r="AC287" i="22" s="1"/>
  <c r="AG287" i="22" s="1"/>
  <c r="H287" i="22"/>
  <c r="H287" i="39" s="1"/>
  <c r="F287" i="22"/>
  <c r="F287" i="39" s="1"/>
  <c r="AL259" i="22"/>
  <c r="U259" i="22"/>
  <c r="Y259" i="22" s="1"/>
  <c r="Y259" i="39" s="1"/>
  <c r="T259" i="22"/>
  <c r="X259" i="22" s="1"/>
  <c r="AC259" i="22" s="1"/>
  <c r="AG259" i="22" s="1"/>
  <c r="H259" i="22"/>
  <c r="H259" i="39" s="1"/>
  <c r="F259" i="22"/>
  <c r="F259" i="39" s="1"/>
  <c r="AL231" i="22"/>
  <c r="U231" i="22"/>
  <c r="Y231" i="22" s="1"/>
  <c r="Y231" i="39" s="1"/>
  <c r="T231" i="22"/>
  <c r="X231" i="22" s="1"/>
  <c r="AC231" i="22" s="1"/>
  <c r="AG231" i="22" s="1"/>
  <c r="H231" i="22"/>
  <c r="H231" i="39" s="1"/>
  <c r="F231" i="22"/>
  <c r="F231" i="39" s="1"/>
  <c r="AL203" i="22"/>
  <c r="U203" i="22"/>
  <c r="Y203" i="22" s="1"/>
  <c r="Y203" i="39" s="1"/>
  <c r="T203" i="22"/>
  <c r="X203" i="22" s="1"/>
  <c r="AC203" i="22" s="1"/>
  <c r="AG203" i="22" s="1"/>
  <c r="H203" i="22"/>
  <c r="H203" i="39" s="1"/>
  <c r="F203" i="22"/>
  <c r="F203" i="39" s="1"/>
  <c r="AL175" i="22"/>
  <c r="U175" i="22"/>
  <c r="Y175" i="22" s="1"/>
  <c r="Y175" i="39" s="1"/>
  <c r="T175" i="22"/>
  <c r="X175" i="22" s="1"/>
  <c r="AC175" i="22" s="1"/>
  <c r="AG175" i="22" s="1"/>
  <c r="H175" i="22"/>
  <c r="H175" i="39" s="1"/>
  <c r="F175" i="22"/>
  <c r="F175" i="39" s="1"/>
  <c r="AL147" i="22"/>
  <c r="U147" i="22"/>
  <c r="Y147" i="22" s="1"/>
  <c r="Y147" i="39" s="1"/>
  <c r="T147" i="22"/>
  <c r="X147" i="22" s="1"/>
  <c r="AC147" i="22" s="1"/>
  <c r="AG147" i="22" s="1"/>
  <c r="H147" i="22"/>
  <c r="H147" i="39" s="1"/>
  <c r="F147" i="22"/>
  <c r="F147" i="39" s="1"/>
  <c r="AL119" i="22"/>
  <c r="U119" i="22"/>
  <c r="Y119" i="22" s="1"/>
  <c r="Y119" i="39" s="1"/>
  <c r="T119" i="22"/>
  <c r="X119" i="22" s="1"/>
  <c r="AC119" i="22" s="1"/>
  <c r="AG119" i="22" s="1"/>
  <c r="H119" i="22"/>
  <c r="H119" i="39" s="1"/>
  <c r="F119" i="22"/>
  <c r="F119" i="39" s="1"/>
  <c r="AL91" i="22"/>
  <c r="U91" i="22"/>
  <c r="Y91" i="22" s="1"/>
  <c r="Y91" i="39" s="1"/>
  <c r="T91" i="22"/>
  <c r="X91" i="22" s="1"/>
  <c r="AC91" i="22" s="1"/>
  <c r="AG91" i="22" s="1"/>
  <c r="H91" i="22"/>
  <c r="H91" i="39" s="1"/>
  <c r="F91" i="22"/>
  <c r="F91" i="39" s="1"/>
  <c r="AL63" i="22"/>
  <c r="U63" i="22"/>
  <c r="Y63" i="22" s="1"/>
  <c r="Y63" i="39" s="1"/>
  <c r="T63" i="22"/>
  <c r="X63" i="22" s="1"/>
  <c r="AC63" i="22" s="1"/>
  <c r="AG63" i="22" s="1"/>
  <c r="H63" i="22"/>
  <c r="H63" i="39" s="1"/>
  <c r="F63" i="22"/>
  <c r="F63" i="39" s="1"/>
  <c r="AL35" i="22"/>
  <c r="U35" i="22"/>
  <c r="Y35" i="22" s="1"/>
  <c r="Y35" i="39" s="1"/>
  <c r="T35" i="22"/>
  <c r="X35" i="22" s="1"/>
  <c r="AC35" i="22" s="1"/>
  <c r="AG35" i="22" s="1"/>
  <c r="H35" i="22"/>
  <c r="H35" i="39" s="1"/>
  <c r="F35" i="22"/>
  <c r="F35" i="39" s="1"/>
  <c r="X735" i="22" l="1"/>
  <c r="T735" i="39"/>
  <c r="Y735" i="22"/>
  <c r="Y735" i="39" s="1"/>
  <c r="U735" i="39"/>
  <c r="Y791" i="22"/>
  <c r="Y791" i="39" s="1"/>
  <c r="Y455" i="39"/>
  <c r="AI455" i="22"/>
  <c r="AL455" i="22" s="1"/>
  <c r="Y679" i="22"/>
  <c r="Y679" i="39" s="1"/>
  <c r="X35" i="39"/>
  <c r="T35" i="39"/>
  <c r="T63" i="39"/>
  <c r="T91" i="39"/>
  <c r="T147" i="39"/>
  <c r="X147" i="39"/>
  <c r="U175" i="39"/>
  <c r="T259" i="39"/>
  <c r="X259" i="39"/>
  <c r="U287" i="39"/>
  <c r="T371" i="39"/>
  <c r="X371" i="39"/>
  <c r="U399" i="39"/>
  <c r="T483" i="39"/>
  <c r="X483" i="39"/>
  <c r="U511" i="39"/>
  <c r="T595" i="39"/>
  <c r="X595" i="39"/>
  <c r="U623" i="39"/>
  <c r="T707" i="39"/>
  <c r="X707" i="39"/>
  <c r="T819" i="39"/>
  <c r="X819" i="39"/>
  <c r="U847" i="39"/>
  <c r="Y875" i="22"/>
  <c r="Y875" i="39" s="1"/>
  <c r="U35" i="39"/>
  <c r="U91" i="39"/>
  <c r="T119" i="39"/>
  <c r="X119" i="39"/>
  <c r="U147" i="39"/>
  <c r="T231" i="39"/>
  <c r="X231" i="39"/>
  <c r="U259" i="39"/>
  <c r="T343" i="39"/>
  <c r="X343" i="39"/>
  <c r="U371" i="39"/>
  <c r="T455" i="39"/>
  <c r="X455" i="39"/>
  <c r="U483" i="39"/>
  <c r="T567" i="39"/>
  <c r="X567" i="39"/>
  <c r="U595" i="39"/>
  <c r="T679" i="39"/>
  <c r="X679" i="39"/>
  <c r="U707" i="39"/>
  <c r="T791" i="39"/>
  <c r="X791" i="39"/>
  <c r="U819" i="39"/>
  <c r="T203" i="39"/>
  <c r="U231" i="39"/>
  <c r="X315" i="39"/>
  <c r="T427" i="39"/>
  <c r="X427" i="39"/>
  <c r="U455" i="39"/>
  <c r="T539" i="39"/>
  <c r="X539" i="39"/>
  <c r="U567" i="39"/>
  <c r="T651" i="39"/>
  <c r="X651" i="39"/>
  <c r="T763" i="39"/>
  <c r="X763" i="39"/>
  <c r="T875" i="39"/>
  <c r="X875" i="39"/>
  <c r="U119" i="39"/>
  <c r="X203" i="39"/>
  <c r="T315" i="39"/>
  <c r="U343" i="39"/>
  <c r="U63" i="39"/>
  <c r="T175" i="39"/>
  <c r="X175" i="39"/>
  <c r="U203" i="39"/>
  <c r="T287" i="39"/>
  <c r="X287" i="39"/>
  <c r="U315" i="39"/>
  <c r="T399" i="39"/>
  <c r="X399" i="39"/>
  <c r="U427" i="39"/>
  <c r="T511" i="39"/>
  <c r="X511" i="39"/>
  <c r="U539" i="39"/>
  <c r="T623" i="39"/>
  <c r="X623" i="39"/>
  <c r="U651" i="39"/>
  <c r="U763" i="39"/>
  <c r="T847" i="39"/>
  <c r="X847" i="39"/>
  <c r="X91" i="39"/>
  <c r="X63" i="39"/>
  <c r="B117" i="40"/>
  <c r="D117" i="40"/>
  <c r="E117" i="40"/>
  <c r="B118" i="40"/>
  <c r="D118" i="40"/>
  <c r="E118" i="40"/>
  <c r="B119" i="40"/>
  <c r="D119" i="40"/>
  <c r="E119" i="40"/>
  <c r="B120" i="40"/>
  <c r="D120" i="40"/>
  <c r="E120" i="40"/>
  <c r="B121" i="40"/>
  <c r="D121" i="40"/>
  <c r="E121" i="40"/>
  <c r="B122" i="40"/>
  <c r="D122" i="40"/>
  <c r="E122" i="40"/>
  <c r="B123" i="40"/>
  <c r="D123" i="40"/>
  <c r="E123" i="40"/>
  <c r="B124" i="40"/>
  <c r="D124" i="40"/>
  <c r="E124" i="40"/>
  <c r="B125" i="40"/>
  <c r="D125" i="40"/>
  <c r="E125" i="40"/>
  <c r="B126" i="40"/>
  <c r="D126" i="40"/>
  <c r="E126" i="40"/>
  <c r="B127" i="40"/>
  <c r="D127" i="40"/>
  <c r="E127" i="40"/>
  <c r="B128" i="40"/>
  <c r="D128" i="40"/>
  <c r="E128" i="40"/>
  <c r="B129" i="40"/>
  <c r="D129" i="40"/>
  <c r="E129" i="40"/>
  <c r="B130" i="40"/>
  <c r="D130" i="40"/>
  <c r="E130" i="40"/>
  <c r="B131" i="40"/>
  <c r="D131" i="40"/>
  <c r="E131" i="40"/>
  <c r="B132" i="40"/>
  <c r="D132" i="40"/>
  <c r="E132" i="40"/>
  <c r="B133" i="40"/>
  <c r="D133" i="40"/>
  <c r="E133" i="40"/>
  <c r="B134" i="40"/>
  <c r="D134" i="40"/>
  <c r="E134" i="40"/>
  <c r="B135" i="40"/>
  <c r="D135" i="40"/>
  <c r="E135" i="40"/>
  <c r="B136" i="40"/>
  <c r="D136" i="40"/>
  <c r="E136" i="40"/>
  <c r="B137" i="40"/>
  <c r="D137" i="40"/>
  <c r="E137" i="40"/>
  <c r="B138" i="40"/>
  <c r="D138" i="40"/>
  <c r="E138" i="40"/>
  <c r="B139" i="40"/>
  <c r="D139" i="40"/>
  <c r="E139" i="40"/>
  <c r="B140" i="40"/>
  <c r="D140" i="40"/>
  <c r="E140" i="40"/>
  <c r="B141" i="40"/>
  <c r="D141" i="40"/>
  <c r="E141" i="40"/>
  <c r="B142" i="40"/>
  <c r="D142" i="40"/>
  <c r="E142" i="40"/>
  <c r="B143" i="40"/>
  <c r="D143" i="40"/>
  <c r="E143" i="40"/>
  <c r="B144" i="40"/>
  <c r="D144" i="40"/>
  <c r="E144" i="40"/>
  <c r="B145" i="40"/>
  <c r="D145" i="40"/>
  <c r="E145" i="40"/>
  <c r="B146" i="40"/>
  <c r="D146" i="40"/>
  <c r="E146" i="40"/>
  <c r="B147" i="40"/>
  <c r="D147" i="40"/>
  <c r="E147" i="40"/>
  <c r="B148" i="40"/>
  <c r="D148" i="40"/>
  <c r="E148" i="40"/>
  <c r="B149" i="40"/>
  <c r="D149" i="40"/>
  <c r="E149" i="40"/>
  <c r="B150" i="40"/>
  <c r="D150" i="40"/>
  <c r="E150" i="40"/>
  <c r="B151" i="40"/>
  <c r="D151" i="40"/>
  <c r="E151" i="40"/>
  <c r="B152" i="40"/>
  <c r="D152" i="40"/>
  <c r="E152" i="40"/>
  <c r="B153" i="40"/>
  <c r="D153" i="40"/>
  <c r="E153" i="40"/>
  <c r="B154" i="40"/>
  <c r="D154" i="40"/>
  <c r="E154" i="40"/>
  <c r="B155" i="40"/>
  <c r="D155" i="40"/>
  <c r="E155" i="40"/>
  <c r="B156" i="40"/>
  <c r="D156" i="40"/>
  <c r="E156" i="40"/>
  <c r="B157" i="40"/>
  <c r="D157" i="40"/>
  <c r="E157" i="40"/>
  <c r="B158" i="40"/>
  <c r="D158" i="40"/>
  <c r="E158" i="40"/>
  <c r="B159" i="40"/>
  <c r="D159" i="40"/>
  <c r="E159" i="40"/>
  <c r="B160" i="40"/>
  <c r="D160" i="40"/>
  <c r="E160" i="40"/>
  <c r="B161" i="40"/>
  <c r="D161" i="40"/>
  <c r="E161" i="40"/>
  <c r="B162" i="40"/>
  <c r="D162" i="40"/>
  <c r="E162" i="40"/>
  <c r="B163" i="40"/>
  <c r="D163" i="40"/>
  <c r="E163" i="40"/>
  <c r="B164" i="40"/>
  <c r="D164" i="40"/>
  <c r="E164" i="40"/>
  <c r="B165" i="40"/>
  <c r="D165" i="40"/>
  <c r="E165" i="40"/>
  <c r="B166" i="40"/>
  <c r="D166" i="40"/>
  <c r="E166" i="40"/>
  <c r="B167" i="40"/>
  <c r="D167" i="40"/>
  <c r="E167" i="40"/>
  <c r="B168" i="40"/>
  <c r="D168" i="40"/>
  <c r="E168" i="40"/>
  <c r="B169" i="40"/>
  <c r="D169" i="40"/>
  <c r="E169" i="40"/>
  <c r="B170" i="40"/>
  <c r="D170" i="40"/>
  <c r="E170" i="40"/>
  <c r="B171" i="40"/>
  <c r="D171" i="40"/>
  <c r="E171" i="40"/>
  <c r="B172" i="40"/>
  <c r="D172" i="40"/>
  <c r="E172" i="40"/>
  <c r="B173" i="40"/>
  <c r="D173" i="40"/>
  <c r="E173" i="40"/>
  <c r="B174" i="40"/>
  <c r="D174" i="40"/>
  <c r="E174" i="40"/>
  <c r="B175" i="40"/>
  <c r="D175" i="40"/>
  <c r="E175" i="40"/>
  <c r="B176" i="40"/>
  <c r="D176" i="40"/>
  <c r="E176" i="40"/>
  <c r="B177" i="40"/>
  <c r="D177" i="40"/>
  <c r="E177" i="40"/>
  <c r="B178" i="40"/>
  <c r="D178" i="40"/>
  <c r="E178" i="40"/>
  <c r="B179" i="40"/>
  <c r="D179" i="40"/>
  <c r="E179" i="40"/>
  <c r="B180" i="40"/>
  <c r="D180" i="40"/>
  <c r="E180" i="40"/>
  <c r="B181" i="40"/>
  <c r="D181" i="40"/>
  <c r="E181" i="40"/>
  <c r="B182" i="40"/>
  <c r="D182" i="40"/>
  <c r="E182" i="40"/>
  <c r="B183" i="40"/>
  <c r="D183" i="40"/>
  <c r="E183" i="40"/>
  <c r="B184" i="40"/>
  <c r="D184" i="40"/>
  <c r="E184" i="40"/>
  <c r="B185" i="40"/>
  <c r="D185" i="40"/>
  <c r="E185" i="40"/>
  <c r="B186" i="40"/>
  <c r="D186" i="40"/>
  <c r="E186" i="40"/>
  <c r="B187" i="40"/>
  <c r="D187" i="40"/>
  <c r="E187" i="40"/>
  <c r="B188" i="40"/>
  <c r="D188" i="40"/>
  <c r="E188" i="40"/>
  <c r="B189" i="40"/>
  <c r="D189" i="40"/>
  <c r="E189" i="40"/>
  <c r="B190" i="40"/>
  <c r="D190" i="40"/>
  <c r="E190" i="40"/>
  <c r="B191" i="40"/>
  <c r="D191" i="40"/>
  <c r="E191" i="40"/>
  <c r="B192" i="40"/>
  <c r="D192" i="40"/>
  <c r="E192" i="40"/>
  <c r="B193" i="40"/>
  <c r="D193" i="40"/>
  <c r="E193" i="40"/>
  <c r="B194" i="40"/>
  <c r="D194" i="40"/>
  <c r="E194" i="40"/>
  <c r="B195" i="40"/>
  <c r="D195" i="40"/>
  <c r="E195" i="40"/>
  <c r="B196" i="40"/>
  <c r="D196" i="40"/>
  <c r="E196" i="40"/>
  <c r="B197" i="40"/>
  <c r="D197" i="40"/>
  <c r="E197" i="40"/>
  <c r="B198" i="40"/>
  <c r="D198" i="40"/>
  <c r="E198" i="40"/>
  <c r="B199" i="40"/>
  <c r="D199" i="40"/>
  <c r="E199" i="40"/>
  <c r="B200" i="40"/>
  <c r="D200" i="40"/>
  <c r="E200" i="40"/>
  <c r="B201" i="40"/>
  <c r="D201" i="40"/>
  <c r="E201" i="40"/>
  <c r="B202" i="40"/>
  <c r="D202" i="40"/>
  <c r="E202" i="40"/>
  <c r="B203" i="40"/>
  <c r="D203" i="40"/>
  <c r="E203" i="40"/>
  <c r="B204" i="40"/>
  <c r="D204" i="40"/>
  <c r="E204" i="40"/>
  <c r="B205" i="40"/>
  <c r="D205" i="40"/>
  <c r="E205" i="40"/>
  <c r="B206" i="40"/>
  <c r="D206" i="40"/>
  <c r="E206" i="40"/>
  <c r="B207" i="40"/>
  <c r="D207" i="40"/>
  <c r="E207" i="40"/>
  <c r="B208" i="40"/>
  <c r="D208" i="40"/>
  <c r="E208" i="40"/>
  <c r="B209" i="40"/>
  <c r="D209" i="40"/>
  <c r="E209" i="40"/>
  <c r="B210" i="40"/>
  <c r="D210" i="40"/>
  <c r="E210" i="40"/>
  <c r="B211" i="40"/>
  <c r="D211" i="40"/>
  <c r="E211" i="40"/>
  <c r="B212" i="40"/>
  <c r="D212" i="40"/>
  <c r="E212" i="40"/>
  <c r="B213" i="40"/>
  <c r="D213" i="40"/>
  <c r="E213" i="40"/>
  <c r="B214" i="40"/>
  <c r="D214" i="40"/>
  <c r="E214" i="40"/>
  <c r="B215" i="40"/>
  <c r="D215" i="40"/>
  <c r="E215" i="40"/>
  <c r="AC735" i="22" l="1"/>
  <c r="AG735" i="22" s="1"/>
  <c r="X735" i="39"/>
  <c r="W215" i="40" l="1"/>
  <c r="V215" i="40"/>
  <c r="W214" i="40"/>
  <c r="V214" i="40"/>
  <c r="W213" i="40"/>
  <c r="V213" i="40"/>
  <c r="W212" i="40"/>
  <c r="V212" i="40"/>
  <c r="W211" i="40"/>
  <c r="V211" i="40"/>
  <c r="W210" i="40"/>
  <c r="V210" i="40"/>
  <c r="W209" i="40"/>
  <c r="V209" i="40"/>
  <c r="W208" i="40"/>
  <c r="V208" i="40"/>
  <c r="W207" i="40"/>
  <c r="V207" i="40"/>
  <c r="W206" i="40"/>
  <c r="V206" i="40"/>
  <c r="W205" i="40"/>
  <c r="V205" i="40"/>
  <c r="W204" i="40"/>
  <c r="V204" i="40"/>
  <c r="W203" i="40"/>
  <c r="V203" i="40"/>
  <c r="W202" i="40"/>
  <c r="V202" i="40"/>
  <c r="W201" i="40"/>
  <c r="V201" i="40"/>
  <c r="W200" i="40"/>
  <c r="V200" i="40"/>
  <c r="W199" i="40"/>
  <c r="V199" i="40"/>
  <c r="W198" i="40"/>
  <c r="V198" i="40"/>
  <c r="W197" i="40"/>
  <c r="V197" i="40"/>
  <c r="W196" i="40"/>
  <c r="V196" i="40"/>
  <c r="W195" i="40"/>
  <c r="V195" i="40"/>
  <c r="W194" i="40"/>
  <c r="V194" i="40"/>
  <c r="W193" i="40"/>
  <c r="V193" i="40"/>
  <c r="W192" i="40"/>
  <c r="V192" i="40"/>
  <c r="W191" i="40"/>
  <c r="V191" i="40"/>
  <c r="W190" i="40"/>
  <c r="V190" i="40"/>
  <c r="W189" i="40"/>
  <c r="V189" i="40"/>
  <c r="W188" i="40"/>
  <c r="V188" i="40"/>
  <c r="W187" i="40"/>
  <c r="V187" i="40"/>
  <c r="W186" i="40"/>
  <c r="V186" i="40"/>
  <c r="W185" i="40"/>
  <c r="V185" i="40"/>
  <c r="W184" i="40"/>
  <c r="V184" i="40"/>
  <c r="W183" i="40"/>
  <c r="V183" i="40"/>
  <c r="W182" i="40"/>
  <c r="V182" i="40"/>
  <c r="W181" i="40"/>
  <c r="V181" i="40"/>
  <c r="W180" i="40"/>
  <c r="V180" i="40"/>
  <c r="W179" i="40"/>
  <c r="V179" i="40"/>
  <c r="W178" i="40"/>
  <c r="V178" i="40"/>
  <c r="W177" i="40"/>
  <c r="V177" i="40"/>
  <c r="W176" i="40"/>
  <c r="V176" i="40"/>
  <c r="W175" i="40"/>
  <c r="V175" i="40"/>
  <c r="W174" i="40"/>
  <c r="V174" i="40"/>
  <c r="W173" i="40"/>
  <c r="V173" i="40"/>
  <c r="W172" i="40"/>
  <c r="V172" i="40"/>
  <c r="W171" i="40"/>
  <c r="V171" i="40"/>
  <c r="W170" i="40"/>
  <c r="V170" i="40"/>
  <c r="W169" i="40"/>
  <c r="V169" i="40"/>
  <c r="W168" i="40"/>
  <c r="V168" i="40"/>
  <c r="W167" i="40"/>
  <c r="V167" i="40"/>
  <c r="W166" i="40"/>
  <c r="V166" i="40"/>
  <c r="W165" i="40"/>
  <c r="V165" i="40"/>
  <c r="W164" i="40"/>
  <c r="V164" i="40"/>
  <c r="W163" i="40"/>
  <c r="V163" i="40"/>
  <c r="W162" i="40"/>
  <c r="V162" i="40"/>
  <c r="W161" i="40"/>
  <c r="V161" i="40"/>
  <c r="W160" i="40"/>
  <c r="V160" i="40"/>
  <c r="W159" i="40"/>
  <c r="V159" i="40"/>
  <c r="W158" i="40"/>
  <c r="V158" i="40"/>
  <c r="W157" i="40"/>
  <c r="V157" i="40"/>
  <c r="W156" i="40"/>
  <c r="V156" i="40"/>
  <c r="W155" i="40"/>
  <c r="V155" i="40"/>
  <c r="W154" i="40"/>
  <c r="V154" i="40"/>
  <c r="W153" i="40"/>
  <c r="V153" i="40"/>
  <c r="W152" i="40"/>
  <c r="V152" i="40"/>
  <c r="W151" i="40"/>
  <c r="V151" i="40"/>
  <c r="W150" i="40"/>
  <c r="V150" i="40"/>
  <c r="W149" i="40"/>
  <c r="V149" i="40"/>
  <c r="W148" i="40"/>
  <c r="V148" i="40"/>
  <c r="W147" i="40"/>
  <c r="V147" i="40"/>
  <c r="W146" i="40"/>
  <c r="V146" i="40"/>
  <c r="W145" i="40"/>
  <c r="V145" i="40"/>
  <c r="W144" i="40"/>
  <c r="V144" i="40"/>
  <c r="W143" i="40"/>
  <c r="V143" i="40"/>
  <c r="W142" i="40"/>
  <c r="V142" i="40"/>
  <c r="W141" i="40"/>
  <c r="V141" i="40"/>
  <c r="W140" i="40"/>
  <c r="V140" i="40"/>
  <c r="W139" i="40"/>
  <c r="V139" i="40"/>
  <c r="W138" i="40"/>
  <c r="V138" i="40"/>
  <c r="W137" i="40"/>
  <c r="V137" i="40"/>
  <c r="W136" i="40"/>
  <c r="V136" i="40"/>
  <c r="W135" i="40"/>
  <c r="V135" i="40"/>
  <c r="W134" i="40"/>
  <c r="V134" i="40"/>
  <c r="W133" i="40"/>
  <c r="V133" i="40"/>
  <c r="W132" i="40"/>
  <c r="V132" i="40"/>
  <c r="W131" i="40"/>
  <c r="V131" i="40"/>
  <c r="W130" i="40"/>
  <c r="V130" i="40"/>
  <c r="W129" i="40"/>
  <c r="V129" i="40"/>
  <c r="W128" i="40"/>
  <c r="V128" i="40"/>
  <c r="W127" i="40"/>
  <c r="V127" i="40"/>
  <c r="W126" i="40"/>
  <c r="V126" i="40"/>
  <c r="W125" i="40"/>
  <c r="V125" i="40"/>
  <c r="W124" i="40"/>
  <c r="V124" i="40"/>
  <c r="W123" i="40"/>
  <c r="V123" i="40"/>
  <c r="W122" i="40"/>
  <c r="V122" i="40"/>
  <c r="W121" i="40"/>
  <c r="V121" i="40"/>
  <c r="W120" i="40"/>
  <c r="V120" i="40"/>
  <c r="W119" i="40"/>
  <c r="V119" i="40"/>
  <c r="W118" i="40"/>
  <c r="V118" i="40"/>
  <c r="W117" i="40"/>
  <c r="V117" i="40"/>
  <c r="S215" i="40"/>
  <c r="R215" i="40"/>
  <c r="Q215" i="40"/>
  <c r="P215" i="40"/>
  <c r="O215" i="40"/>
  <c r="N215" i="40"/>
  <c r="S214" i="40"/>
  <c r="R214" i="40"/>
  <c r="Q214" i="40"/>
  <c r="P214" i="40"/>
  <c r="O214" i="40"/>
  <c r="N214" i="40"/>
  <c r="S213" i="40"/>
  <c r="R213" i="40"/>
  <c r="Q213" i="40"/>
  <c r="P213" i="40"/>
  <c r="O213" i="40"/>
  <c r="N213" i="40"/>
  <c r="S212" i="40"/>
  <c r="R212" i="40"/>
  <c r="Q212" i="40"/>
  <c r="P212" i="40"/>
  <c r="O212" i="40"/>
  <c r="N212" i="40"/>
  <c r="S211" i="40"/>
  <c r="R211" i="40"/>
  <c r="Q211" i="40"/>
  <c r="P211" i="40"/>
  <c r="O211" i="40"/>
  <c r="N211" i="40"/>
  <c r="S210" i="40"/>
  <c r="R210" i="40"/>
  <c r="Q210" i="40"/>
  <c r="P210" i="40"/>
  <c r="O210" i="40"/>
  <c r="N210" i="40"/>
  <c r="S209" i="40"/>
  <c r="R209" i="40"/>
  <c r="Q209" i="40"/>
  <c r="P209" i="40"/>
  <c r="O209" i="40"/>
  <c r="N209" i="40"/>
  <c r="S208" i="40"/>
  <c r="R208" i="40"/>
  <c r="Q208" i="40"/>
  <c r="P208" i="40"/>
  <c r="O208" i="40"/>
  <c r="N208" i="40"/>
  <c r="S207" i="40"/>
  <c r="R207" i="40"/>
  <c r="Q207" i="40"/>
  <c r="P207" i="40"/>
  <c r="O207" i="40"/>
  <c r="N207" i="40"/>
  <c r="S206" i="40"/>
  <c r="R206" i="40"/>
  <c r="Q206" i="40"/>
  <c r="P206" i="40"/>
  <c r="O206" i="40"/>
  <c r="N206" i="40"/>
  <c r="S205" i="40"/>
  <c r="R205" i="40"/>
  <c r="Q205" i="40"/>
  <c r="P205" i="40"/>
  <c r="O205" i="40"/>
  <c r="N205" i="40"/>
  <c r="S204" i="40"/>
  <c r="R204" i="40"/>
  <c r="Q204" i="40"/>
  <c r="P204" i="40"/>
  <c r="O204" i="40"/>
  <c r="N204" i="40"/>
  <c r="S203" i="40"/>
  <c r="R203" i="40"/>
  <c r="Q203" i="40"/>
  <c r="P203" i="40"/>
  <c r="O203" i="40"/>
  <c r="N203" i="40"/>
  <c r="S202" i="40"/>
  <c r="R202" i="40"/>
  <c r="Q202" i="40"/>
  <c r="P202" i="40"/>
  <c r="O202" i="40"/>
  <c r="N202" i="40"/>
  <c r="S201" i="40"/>
  <c r="R201" i="40"/>
  <c r="Q201" i="40"/>
  <c r="P201" i="40"/>
  <c r="O201" i="40"/>
  <c r="N201" i="40"/>
  <c r="S200" i="40"/>
  <c r="R200" i="40"/>
  <c r="Q200" i="40"/>
  <c r="P200" i="40"/>
  <c r="O200" i="40"/>
  <c r="N200" i="40"/>
  <c r="S199" i="40"/>
  <c r="R199" i="40"/>
  <c r="Q199" i="40"/>
  <c r="P199" i="40"/>
  <c r="O199" i="40"/>
  <c r="N199" i="40"/>
  <c r="S198" i="40"/>
  <c r="R198" i="40"/>
  <c r="Q198" i="40"/>
  <c r="P198" i="40"/>
  <c r="O198" i="40"/>
  <c r="N198" i="40"/>
  <c r="S197" i="40"/>
  <c r="R197" i="40"/>
  <c r="Q197" i="40"/>
  <c r="P197" i="40"/>
  <c r="O197" i="40"/>
  <c r="N197" i="40"/>
  <c r="S196" i="40"/>
  <c r="R196" i="40"/>
  <c r="Q196" i="40"/>
  <c r="P196" i="40"/>
  <c r="O196" i="40"/>
  <c r="N196" i="40"/>
  <c r="S195" i="40"/>
  <c r="R195" i="40"/>
  <c r="Q195" i="40"/>
  <c r="P195" i="40"/>
  <c r="O195" i="40"/>
  <c r="N195" i="40"/>
  <c r="S194" i="40"/>
  <c r="R194" i="40"/>
  <c r="Q194" i="40"/>
  <c r="P194" i="40"/>
  <c r="O194" i="40"/>
  <c r="N194" i="40"/>
  <c r="S193" i="40"/>
  <c r="R193" i="40"/>
  <c r="Q193" i="40"/>
  <c r="P193" i="40"/>
  <c r="O193" i="40"/>
  <c r="N193" i="40"/>
  <c r="S192" i="40"/>
  <c r="R192" i="40"/>
  <c r="Q192" i="40"/>
  <c r="P192" i="40"/>
  <c r="O192" i="40"/>
  <c r="N192" i="40"/>
  <c r="S191" i="40"/>
  <c r="R191" i="40"/>
  <c r="Q191" i="40"/>
  <c r="P191" i="40"/>
  <c r="O191" i="40"/>
  <c r="N191" i="40"/>
  <c r="S190" i="40"/>
  <c r="R190" i="40"/>
  <c r="Q190" i="40"/>
  <c r="P190" i="40"/>
  <c r="O190" i="40"/>
  <c r="N190" i="40"/>
  <c r="S189" i="40"/>
  <c r="R189" i="40"/>
  <c r="Q189" i="40"/>
  <c r="P189" i="40"/>
  <c r="O189" i="40"/>
  <c r="N189" i="40"/>
  <c r="S188" i="40"/>
  <c r="R188" i="40"/>
  <c r="Q188" i="40"/>
  <c r="P188" i="40"/>
  <c r="O188" i="40"/>
  <c r="N188" i="40"/>
  <c r="S187" i="40"/>
  <c r="R187" i="40"/>
  <c r="Q187" i="40"/>
  <c r="P187" i="40"/>
  <c r="O187" i="40"/>
  <c r="N187" i="40"/>
  <c r="S186" i="40"/>
  <c r="R186" i="40"/>
  <c r="Q186" i="40"/>
  <c r="P186" i="40"/>
  <c r="O186" i="40"/>
  <c r="N186" i="40"/>
  <c r="S185" i="40"/>
  <c r="R185" i="40"/>
  <c r="Q185" i="40"/>
  <c r="P185" i="40"/>
  <c r="O185" i="40"/>
  <c r="N185" i="40"/>
  <c r="S184" i="40"/>
  <c r="R184" i="40"/>
  <c r="Q184" i="40"/>
  <c r="P184" i="40"/>
  <c r="O184" i="40"/>
  <c r="N184" i="40"/>
  <c r="S183" i="40"/>
  <c r="R183" i="40"/>
  <c r="Q183" i="40"/>
  <c r="P183" i="40"/>
  <c r="O183" i="40"/>
  <c r="N183" i="40"/>
  <c r="S182" i="40"/>
  <c r="R182" i="40"/>
  <c r="Q182" i="40"/>
  <c r="P182" i="40"/>
  <c r="O182" i="40"/>
  <c r="N182" i="40"/>
  <c r="S181" i="40"/>
  <c r="R181" i="40"/>
  <c r="Q181" i="40"/>
  <c r="P181" i="40"/>
  <c r="O181" i="40"/>
  <c r="N181" i="40"/>
  <c r="S180" i="40"/>
  <c r="R180" i="40"/>
  <c r="Q180" i="40"/>
  <c r="P180" i="40"/>
  <c r="O180" i="40"/>
  <c r="N180" i="40"/>
  <c r="S179" i="40"/>
  <c r="R179" i="40"/>
  <c r="Q179" i="40"/>
  <c r="P179" i="40"/>
  <c r="O179" i="40"/>
  <c r="N179" i="40"/>
  <c r="S178" i="40"/>
  <c r="R178" i="40"/>
  <c r="Q178" i="40"/>
  <c r="P178" i="40"/>
  <c r="O178" i="40"/>
  <c r="N178" i="40"/>
  <c r="S177" i="40"/>
  <c r="R177" i="40"/>
  <c r="Q177" i="40"/>
  <c r="P177" i="40"/>
  <c r="O177" i="40"/>
  <c r="N177" i="40"/>
  <c r="S176" i="40"/>
  <c r="R176" i="40"/>
  <c r="Q176" i="40"/>
  <c r="P176" i="40"/>
  <c r="O176" i="40"/>
  <c r="N176" i="40"/>
  <c r="S175" i="40"/>
  <c r="R175" i="40"/>
  <c r="Q175" i="40"/>
  <c r="P175" i="40"/>
  <c r="O175" i="40"/>
  <c r="N175" i="40"/>
  <c r="S174" i="40"/>
  <c r="R174" i="40"/>
  <c r="Q174" i="40"/>
  <c r="P174" i="40"/>
  <c r="O174" i="40"/>
  <c r="N174" i="40"/>
  <c r="S173" i="40"/>
  <c r="R173" i="40"/>
  <c r="Q173" i="40"/>
  <c r="P173" i="40"/>
  <c r="O173" i="40"/>
  <c r="N173" i="40"/>
  <c r="S172" i="40"/>
  <c r="R172" i="40"/>
  <c r="Q172" i="40"/>
  <c r="P172" i="40"/>
  <c r="O172" i="40"/>
  <c r="N172" i="40"/>
  <c r="S171" i="40"/>
  <c r="R171" i="40"/>
  <c r="Q171" i="40"/>
  <c r="P171" i="40"/>
  <c r="O171" i="40"/>
  <c r="N171" i="40"/>
  <c r="S170" i="40"/>
  <c r="R170" i="40"/>
  <c r="Q170" i="40"/>
  <c r="P170" i="40"/>
  <c r="O170" i="40"/>
  <c r="N170" i="40"/>
  <c r="S169" i="40"/>
  <c r="R169" i="40"/>
  <c r="Q169" i="40"/>
  <c r="P169" i="40"/>
  <c r="O169" i="40"/>
  <c r="N169" i="40"/>
  <c r="S168" i="40"/>
  <c r="R168" i="40"/>
  <c r="Q168" i="40"/>
  <c r="P168" i="40"/>
  <c r="O168" i="40"/>
  <c r="N168" i="40"/>
  <c r="S167" i="40"/>
  <c r="R167" i="40"/>
  <c r="Q167" i="40"/>
  <c r="P167" i="40"/>
  <c r="O167" i="40"/>
  <c r="N167" i="40"/>
  <c r="S166" i="40"/>
  <c r="R166" i="40"/>
  <c r="Q166" i="40"/>
  <c r="P166" i="40"/>
  <c r="O166" i="40"/>
  <c r="N166" i="40"/>
  <c r="S165" i="40"/>
  <c r="R165" i="40"/>
  <c r="Q165" i="40"/>
  <c r="P165" i="40"/>
  <c r="O165" i="40"/>
  <c r="N165" i="40"/>
  <c r="S164" i="40"/>
  <c r="R164" i="40"/>
  <c r="Q164" i="40"/>
  <c r="P164" i="40"/>
  <c r="O164" i="40"/>
  <c r="N164" i="40"/>
  <c r="S163" i="40"/>
  <c r="R163" i="40"/>
  <c r="Q163" i="40"/>
  <c r="P163" i="40"/>
  <c r="O163" i="40"/>
  <c r="N163" i="40"/>
  <c r="S162" i="40"/>
  <c r="R162" i="40"/>
  <c r="Q162" i="40"/>
  <c r="P162" i="40"/>
  <c r="O162" i="40"/>
  <c r="N162" i="40"/>
  <c r="S161" i="40"/>
  <c r="R161" i="40"/>
  <c r="Q161" i="40"/>
  <c r="P161" i="40"/>
  <c r="O161" i="40"/>
  <c r="N161" i="40"/>
  <c r="S160" i="40"/>
  <c r="R160" i="40"/>
  <c r="Q160" i="40"/>
  <c r="P160" i="40"/>
  <c r="O160" i="40"/>
  <c r="N160" i="40"/>
  <c r="S159" i="40"/>
  <c r="R159" i="40"/>
  <c r="Q159" i="40"/>
  <c r="P159" i="40"/>
  <c r="O159" i="40"/>
  <c r="N159" i="40"/>
  <c r="S158" i="40"/>
  <c r="R158" i="40"/>
  <c r="Q158" i="40"/>
  <c r="P158" i="40"/>
  <c r="O158" i="40"/>
  <c r="N158" i="40"/>
  <c r="S157" i="40"/>
  <c r="R157" i="40"/>
  <c r="Q157" i="40"/>
  <c r="P157" i="40"/>
  <c r="O157" i="40"/>
  <c r="N157" i="40"/>
  <c r="S156" i="40"/>
  <c r="R156" i="40"/>
  <c r="Q156" i="40"/>
  <c r="P156" i="40"/>
  <c r="O156" i="40"/>
  <c r="N156" i="40"/>
  <c r="S155" i="40"/>
  <c r="R155" i="40"/>
  <c r="Q155" i="40"/>
  <c r="P155" i="40"/>
  <c r="O155" i="40"/>
  <c r="N155" i="40"/>
  <c r="S154" i="40"/>
  <c r="R154" i="40"/>
  <c r="Q154" i="40"/>
  <c r="P154" i="40"/>
  <c r="O154" i="40"/>
  <c r="N154" i="40"/>
  <c r="S153" i="40"/>
  <c r="R153" i="40"/>
  <c r="Q153" i="40"/>
  <c r="P153" i="40"/>
  <c r="O153" i="40"/>
  <c r="N153" i="40"/>
  <c r="S152" i="40"/>
  <c r="R152" i="40"/>
  <c r="Q152" i="40"/>
  <c r="P152" i="40"/>
  <c r="O152" i="40"/>
  <c r="N152" i="40"/>
  <c r="S151" i="40"/>
  <c r="R151" i="40"/>
  <c r="Q151" i="40"/>
  <c r="P151" i="40"/>
  <c r="O151" i="40"/>
  <c r="N151" i="40"/>
  <c r="S150" i="40"/>
  <c r="R150" i="40"/>
  <c r="Q150" i="40"/>
  <c r="P150" i="40"/>
  <c r="O150" i="40"/>
  <c r="N150" i="40"/>
  <c r="S149" i="40"/>
  <c r="R149" i="40"/>
  <c r="Q149" i="40"/>
  <c r="P149" i="40"/>
  <c r="O149" i="40"/>
  <c r="N149" i="40"/>
  <c r="S148" i="40"/>
  <c r="R148" i="40"/>
  <c r="Q148" i="40"/>
  <c r="P148" i="40"/>
  <c r="O148" i="40"/>
  <c r="N148" i="40"/>
  <c r="S147" i="40"/>
  <c r="R147" i="40"/>
  <c r="Q147" i="40"/>
  <c r="P147" i="40"/>
  <c r="O147" i="40"/>
  <c r="N147" i="40"/>
  <c r="S146" i="40"/>
  <c r="R146" i="40"/>
  <c r="Q146" i="40"/>
  <c r="P146" i="40"/>
  <c r="O146" i="40"/>
  <c r="N146" i="40"/>
  <c r="S145" i="40"/>
  <c r="R145" i="40"/>
  <c r="Q145" i="40"/>
  <c r="P145" i="40"/>
  <c r="O145" i="40"/>
  <c r="N145" i="40"/>
  <c r="S144" i="40"/>
  <c r="R144" i="40"/>
  <c r="Q144" i="40"/>
  <c r="P144" i="40"/>
  <c r="O144" i="40"/>
  <c r="N144" i="40"/>
  <c r="S143" i="40"/>
  <c r="R143" i="40"/>
  <c r="Q143" i="40"/>
  <c r="P143" i="40"/>
  <c r="O143" i="40"/>
  <c r="N143" i="40"/>
  <c r="S142" i="40"/>
  <c r="R142" i="40"/>
  <c r="Q142" i="40"/>
  <c r="P142" i="40"/>
  <c r="O142" i="40"/>
  <c r="N142" i="40"/>
  <c r="S141" i="40"/>
  <c r="R141" i="40"/>
  <c r="Q141" i="40"/>
  <c r="P141" i="40"/>
  <c r="O141" i="40"/>
  <c r="N141" i="40"/>
  <c r="S140" i="40"/>
  <c r="R140" i="40"/>
  <c r="Q140" i="40"/>
  <c r="P140" i="40"/>
  <c r="O140" i="40"/>
  <c r="N140" i="40"/>
  <c r="S139" i="40"/>
  <c r="R139" i="40"/>
  <c r="Q139" i="40"/>
  <c r="P139" i="40"/>
  <c r="O139" i="40"/>
  <c r="N139" i="40"/>
  <c r="S138" i="40"/>
  <c r="R138" i="40"/>
  <c r="Q138" i="40"/>
  <c r="P138" i="40"/>
  <c r="O138" i="40"/>
  <c r="N138" i="40"/>
  <c r="S137" i="40"/>
  <c r="R137" i="40"/>
  <c r="Q137" i="40"/>
  <c r="P137" i="40"/>
  <c r="O137" i="40"/>
  <c r="N137" i="40"/>
  <c r="S136" i="40"/>
  <c r="R136" i="40"/>
  <c r="Q136" i="40"/>
  <c r="P136" i="40"/>
  <c r="O136" i="40"/>
  <c r="N136" i="40"/>
  <c r="S135" i="40"/>
  <c r="R135" i="40"/>
  <c r="Q135" i="40"/>
  <c r="P135" i="40"/>
  <c r="O135" i="40"/>
  <c r="N135" i="40"/>
  <c r="S134" i="40"/>
  <c r="R134" i="40"/>
  <c r="Q134" i="40"/>
  <c r="P134" i="40"/>
  <c r="O134" i="40"/>
  <c r="N134" i="40"/>
  <c r="S133" i="40"/>
  <c r="R133" i="40"/>
  <c r="Q133" i="40"/>
  <c r="P133" i="40"/>
  <c r="O133" i="40"/>
  <c r="N133" i="40"/>
  <c r="S132" i="40"/>
  <c r="R132" i="40"/>
  <c r="Q132" i="40"/>
  <c r="P132" i="40"/>
  <c r="O132" i="40"/>
  <c r="N132" i="40"/>
  <c r="S131" i="40"/>
  <c r="R131" i="40"/>
  <c r="Q131" i="40"/>
  <c r="P131" i="40"/>
  <c r="O131" i="40"/>
  <c r="N131" i="40"/>
  <c r="S130" i="40"/>
  <c r="R130" i="40"/>
  <c r="Q130" i="40"/>
  <c r="P130" i="40"/>
  <c r="O130" i="40"/>
  <c r="N130" i="40"/>
  <c r="S129" i="40"/>
  <c r="R129" i="40"/>
  <c r="Q129" i="40"/>
  <c r="P129" i="40"/>
  <c r="O129" i="40"/>
  <c r="N129" i="40"/>
  <c r="S128" i="40"/>
  <c r="R128" i="40"/>
  <c r="Q128" i="40"/>
  <c r="P128" i="40"/>
  <c r="O128" i="40"/>
  <c r="N128" i="40"/>
  <c r="S127" i="40"/>
  <c r="R127" i="40"/>
  <c r="Q127" i="40"/>
  <c r="P127" i="40"/>
  <c r="O127" i="40"/>
  <c r="N127" i="40"/>
  <c r="S126" i="40"/>
  <c r="R126" i="40"/>
  <c r="Q126" i="40"/>
  <c r="P126" i="40"/>
  <c r="O126" i="40"/>
  <c r="N126" i="40"/>
  <c r="S125" i="40"/>
  <c r="R125" i="40"/>
  <c r="Q125" i="40"/>
  <c r="P125" i="40"/>
  <c r="O125" i="40"/>
  <c r="N125" i="40"/>
  <c r="S124" i="40"/>
  <c r="R124" i="40"/>
  <c r="Q124" i="40"/>
  <c r="P124" i="40"/>
  <c r="O124" i="40"/>
  <c r="N124" i="40"/>
  <c r="S123" i="40"/>
  <c r="R123" i="40"/>
  <c r="Q123" i="40"/>
  <c r="P123" i="40"/>
  <c r="O123" i="40"/>
  <c r="N123" i="40"/>
  <c r="S122" i="40"/>
  <c r="R122" i="40"/>
  <c r="Q122" i="40"/>
  <c r="P122" i="40"/>
  <c r="O122" i="40"/>
  <c r="N122" i="40"/>
  <c r="S121" i="40"/>
  <c r="R121" i="40"/>
  <c r="Q121" i="40"/>
  <c r="P121" i="40"/>
  <c r="O121" i="40"/>
  <c r="N121" i="40"/>
  <c r="S120" i="40"/>
  <c r="R120" i="40"/>
  <c r="Q120" i="40"/>
  <c r="P120" i="40"/>
  <c r="O120" i="40"/>
  <c r="N120" i="40"/>
  <c r="S119" i="40"/>
  <c r="R119" i="40"/>
  <c r="Q119" i="40"/>
  <c r="P119" i="40"/>
  <c r="O119" i="40"/>
  <c r="N119" i="40"/>
  <c r="S118" i="40"/>
  <c r="R118" i="40"/>
  <c r="Q118" i="40"/>
  <c r="P118" i="40"/>
  <c r="O118" i="40"/>
  <c r="N118" i="40"/>
  <c r="S117" i="40"/>
  <c r="R117" i="40"/>
  <c r="Q117" i="40"/>
  <c r="P117" i="40"/>
  <c r="O117" i="40"/>
  <c r="N117" i="40"/>
  <c r="K215" i="40"/>
  <c r="J215" i="40"/>
  <c r="K214" i="40"/>
  <c r="J214" i="40"/>
  <c r="K213" i="40"/>
  <c r="J213" i="40"/>
  <c r="K212" i="40"/>
  <c r="J212" i="40"/>
  <c r="K211" i="40"/>
  <c r="J211" i="40"/>
  <c r="K210" i="40"/>
  <c r="J210" i="40"/>
  <c r="K209" i="40"/>
  <c r="J209" i="40"/>
  <c r="K208" i="40"/>
  <c r="J208" i="40"/>
  <c r="K207" i="40"/>
  <c r="J207" i="40"/>
  <c r="K206" i="40"/>
  <c r="J206" i="40"/>
  <c r="K205" i="40"/>
  <c r="J205" i="40"/>
  <c r="K204" i="40"/>
  <c r="J204" i="40"/>
  <c r="K203" i="40"/>
  <c r="J203" i="40"/>
  <c r="K202" i="40"/>
  <c r="J202" i="40"/>
  <c r="K201" i="40"/>
  <c r="J201" i="40"/>
  <c r="K200" i="40"/>
  <c r="J200" i="40"/>
  <c r="K199" i="40"/>
  <c r="J199" i="40"/>
  <c r="K198" i="40"/>
  <c r="J198" i="40"/>
  <c r="K197" i="40"/>
  <c r="J197" i="40"/>
  <c r="K196" i="40"/>
  <c r="J196" i="40"/>
  <c r="K195" i="40"/>
  <c r="J195" i="40"/>
  <c r="K194" i="40"/>
  <c r="J194" i="40"/>
  <c r="K193" i="40"/>
  <c r="J193" i="40"/>
  <c r="K192" i="40"/>
  <c r="J192" i="40"/>
  <c r="K191" i="40"/>
  <c r="J191" i="40"/>
  <c r="K190" i="40"/>
  <c r="J190" i="40"/>
  <c r="K189" i="40"/>
  <c r="J189" i="40"/>
  <c r="K188" i="40"/>
  <c r="J188" i="40"/>
  <c r="K187" i="40"/>
  <c r="J187" i="40"/>
  <c r="K186" i="40"/>
  <c r="J186" i="40"/>
  <c r="K185" i="40"/>
  <c r="J185" i="40"/>
  <c r="K184" i="40"/>
  <c r="J184" i="40"/>
  <c r="K183" i="40"/>
  <c r="J183" i="40"/>
  <c r="K182" i="40"/>
  <c r="J182" i="40"/>
  <c r="K181" i="40"/>
  <c r="J181" i="40"/>
  <c r="K180" i="40"/>
  <c r="J180" i="40"/>
  <c r="K179" i="40"/>
  <c r="J179" i="40"/>
  <c r="K178" i="40"/>
  <c r="J178" i="40"/>
  <c r="K177" i="40"/>
  <c r="J177" i="40"/>
  <c r="K176" i="40"/>
  <c r="J176" i="40"/>
  <c r="K175" i="40"/>
  <c r="J175" i="40"/>
  <c r="K174" i="40"/>
  <c r="J174" i="40"/>
  <c r="K173" i="40"/>
  <c r="J173" i="40"/>
  <c r="K172" i="40"/>
  <c r="J172" i="40"/>
  <c r="K171" i="40"/>
  <c r="J171" i="40"/>
  <c r="K170" i="40"/>
  <c r="J170" i="40"/>
  <c r="K169" i="40"/>
  <c r="J169" i="40"/>
  <c r="K168" i="40"/>
  <c r="J168" i="40"/>
  <c r="K167" i="40"/>
  <c r="J167" i="40"/>
  <c r="K166" i="40"/>
  <c r="J166" i="40"/>
  <c r="K165" i="40"/>
  <c r="J165" i="40"/>
  <c r="K164" i="40"/>
  <c r="J164" i="40"/>
  <c r="K163" i="40"/>
  <c r="J163" i="40"/>
  <c r="K162" i="40"/>
  <c r="J162" i="40"/>
  <c r="K161" i="40"/>
  <c r="J161" i="40"/>
  <c r="K160" i="40"/>
  <c r="J160" i="40"/>
  <c r="K159" i="40"/>
  <c r="J159" i="40"/>
  <c r="K158" i="40"/>
  <c r="J158" i="40"/>
  <c r="K157" i="40"/>
  <c r="J157" i="40"/>
  <c r="K156" i="40"/>
  <c r="J156" i="40"/>
  <c r="K155" i="40"/>
  <c r="J155" i="40"/>
  <c r="K154" i="40"/>
  <c r="J154" i="40"/>
  <c r="K153" i="40"/>
  <c r="J153" i="40"/>
  <c r="K152" i="40"/>
  <c r="J152" i="40"/>
  <c r="K151" i="40"/>
  <c r="J151" i="40"/>
  <c r="K150" i="40"/>
  <c r="J150" i="40"/>
  <c r="K149" i="40"/>
  <c r="J149" i="40"/>
  <c r="K148" i="40"/>
  <c r="J148" i="40"/>
  <c r="K147" i="40"/>
  <c r="J147" i="40"/>
  <c r="K146" i="40"/>
  <c r="J146" i="40"/>
  <c r="K145" i="40"/>
  <c r="J145" i="40"/>
  <c r="K144" i="40"/>
  <c r="J144" i="40"/>
  <c r="K143" i="40"/>
  <c r="J143" i="40"/>
  <c r="K142" i="40"/>
  <c r="J142" i="40"/>
  <c r="K141" i="40"/>
  <c r="J141" i="40"/>
  <c r="K140" i="40"/>
  <c r="J140" i="40"/>
  <c r="K139" i="40"/>
  <c r="J139" i="40"/>
  <c r="K138" i="40"/>
  <c r="J138" i="40"/>
  <c r="K137" i="40"/>
  <c r="J137" i="40"/>
  <c r="K136" i="40"/>
  <c r="J136" i="40"/>
  <c r="K135" i="40"/>
  <c r="J135" i="40"/>
  <c r="K134" i="40"/>
  <c r="J134" i="40"/>
  <c r="K133" i="40"/>
  <c r="J133" i="40"/>
  <c r="K132" i="40"/>
  <c r="J132" i="40"/>
  <c r="K131" i="40"/>
  <c r="J131" i="40"/>
  <c r="K130" i="40"/>
  <c r="J130" i="40"/>
  <c r="K129" i="40"/>
  <c r="J129" i="40"/>
  <c r="K128" i="40"/>
  <c r="J128" i="40"/>
  <c r="K127" i="40"/>
  <c r="J127" i="40"/>
  <c r="K126" i="40"/>
  <c r="J126" i="40"/>
  <c r="K125" i="40"/>
  <c r="J125" i="40"/>
  <c r="K124" i="40"/>
  <c r="J124" i="40"/>
  <c r="K123" i="40"/>
  <c r="J123" i="40"/>
  <c r="K122" i="40"/>
  <c r="J122" i="40"/>
  <c r="K121" i="40"/>
  <c r="J121" i="40"/>
  <c r="K120" i="40"/>
  <c r="J120" i="40"/>
  <c r="K119" i="40"/>
  <c r="J119" i="40"/>
  <c r="K118" i="40"/>
  <c r="J118" i="40"/>
  <c r="K117" i="40"/>
  <c r="J117" i="40"/>
  <c r="I181" i="40" l="1"/>
  <c r="U122" i="33"/>
  <c r="T122" i="33"/>
  <c r="I123" i="40"/>
  <c r="F215" i="40"/>
  <c r="F214" i="40"/>
  <c r="F213" i="40"/>
  <c r="F212" i="40"/>
  <c r="F211" i="40"/>
  <c r="F210" i="40"/>
  <c r="F209" i="40"/>
  <c r="F208" i="40"/>
  <c r="F207" i="40"/>
  <c r="F206" i="40"/>
  <c r="F205" i="40"/>
  <c r="F204" i="40"/>
  <c r="F203" i="40"/>
  <c r="F202" i="40"/>
  <c r="F201" i="40"/>
  <c r="F200" i="40"/>
  <c r="F199" i="40"/>
  <c r="F198" i="40"/>
  <c r="F197" i="40"/>
  <c r="F196" i="40"/>
  <c r="F195" i="40"/>
  <c r="F194" i="40"/>
  <c r="F193" i="40"/>
  <c r="F192" i="40"/>
  <c r="F191" i="40"/>
  <c r="F190" i="40"/>
  <c r="F189" i="40"/>
  <c r="F188" i="40"/>
  <c r="F187" i="40"/>
  <c r="F186" i="40"/>
  <c r="F185" i="40"/>
  <c r="F184" i="40"/>
  <c r="F183" i="40"/>
  <c r="F182" i="40"/>
  <c r="F181" i="40"/>
  <c r="F123" i="40"/>
  <c r="F124" i="40"/>
  <c r="F125" i="40"/>
  <c r="F126" i="40"/>
  <c r="F127" i="40"/>
  <c r="F128" i="40"/>
  <c r="F129" i="40"/>
  <c r="F130" i="40"/>
  <c r="F131" i="40"/>
  <c r="F132" i="40"/>
  <c r="F133" i="40"/>
  <c r="F134" i="40"/>
  <c r="F135" i="40"/>
  <c r="F136" i="40"/>
  <c r="F137" i="40"/>
  <c r="F138" i="40"/>
  <c r="F139" i="40"/>
  <c r="F140" i="40"/>
  <c r="F141" i="40"/>
  <c r="F142" i="40"/>
  <c r="F143" i="40"/>
  <c r="F144" i="40"/>
  <c r="F145" i="40"/>
  <c r="F146" i="40"/>
  <c r="F147" i="40"/>
  <c r="F148" i="40"/>
  <c r="F149" i="40"/>
  <c r="F150" i="40"/>
  <c r="F151" i="40"/>
  <c r="F152" i="40"/>
  <c r="F153" i="40"/>
  <c r="F154" i="40"/>
  <c r="F155" i="40"/>
  <c r="F156" i="40"/>
  <c r="F157" i="40"/>
  <c r="F158" i="40"/>
  <c r="F159" i="40"/>
  <c r="F160" i="40"/>
  <c r="F161" i="40"/>
  <c r="F162" i="40"/>
  <c r="F163" i="40"/>
  <c r="F164" i="40"/>
  <c r="F165" i="40"/>
  <c r="F166" i="40"/>
  <c r="F167" i="40"/>
  <c r="F168" i="40"/>
  <c r="F169" i="40"/>
  <c r="F170" i="40"/>
  <c r="F171" i="40"/>
  <c r="F172" i="40"/>
  <c r="F173" i="40"/>
  <c r="F174" i="40"/>
  <c r="F175" i="40"/>
  <c r="F176" i="40"/>
  <c r="F177" i="40"/>
  <c r="F178" i="40"/>
  <c r="F179" i="40"/>
  <c r="F180" i="40"/>
  <c r="T123" i="40" l="1"/>
  <c r="G122" i="33"/>
  <c r="Y122" i="33"/>
  <c r="U123" i="40"/>
  <c r="X122" i="33"/>
  <c r="K486" i="22"/>
  <c r="G123" i="40" l="1"/>
  <c r="H122" i="33"/>
  <c r="H123" i="40" s="1"/>
  <c r="AC122" i="33"/>
  <c r="AG122" i="33" s="1"/>
  <c r="X123" i="40"/>
  <c r="AI122" i="33"/>
  <c r="AL122" i="33" s="1"/>
  <c r="Y123" i="40"/>
  <c r="W874" i="39" l="1"/>
  <c r="V874" i="39"/>
  <c r="S874" i="39"/>
  <c r="R874" i="39"/>
  <c r="Q874" i="39"/>
  <c r="P874" i="39"/>
  <c r="O874" i="39"/>
  <c r="N874" i="39"/>
  <c r="M874" i="39"/>
  <c r="L874" i="39"/>
  <c r="K874" i="39"/>
  <c r="J874" i="39"/>
  <c r="I874" i="39"/>
  <c r="G874" i="39"/>
  <c r="E874" i="39"/>
  <c r="D874" i="39"/>
  <c r="B874" i="39"/>
  <c r="W846" i="39"/>
  <c r="V846" i="39"/>
  <c r="S846" i="39"/>
  <c r="R846" i="39"/>
  <c r="Q846" i="39"/>
  <c r="P846" i="39"/>
  <c r="O846" i="39"/>
  <c r="N846" i="39"/>
  <c r="M846" i="39"/>
  <c r="L846" i="39"/>
  <c r="K846" i="39"/>
  <c r="J846" i="39"/>
  <c r="I846" i="39"/>
  <c r="G846" i="39"/>
  <c r="E846" i="39"/>
  <c r="D846" i="39"/>
  <c r="B846" i="39"/>
  <c r="W818" i="39"/>
  <c r="V818" i="39"/>
  <c r="S818" i="39"/>
  <c r="R818" i="39"/>
  <c r="Q818" i="39"/>
  <c r="P818" i="39"/>
  <c r="O818" i="39"/>
  <c r="N818" i="39"/>
  <c r="M818" i="39"/>
  <c r="L818" i="39"/>
  <c r="K818" i="39"/>
  <c r="J818" i="39"/>
  <c r="I818" i="39"/>
  <c r="G818" i="39"/>
  <c r="E818" i="39"/>
  <c r="D818" i="39"/>
  <c r="B818" i="39"/>
  <c r="W790" i="39"/>
  <c r="V790" i="39"/>
  <c r="S790" i="39"/>
  <c r="R790" i="39"/>
  <c r="Q790" i="39"/>
  <c r="P790" i="39"/>
  <c r="O790" i="39"/>
  <c r="N790" i="39"/>
  <c r="M790" i="39"/>
  <c r="L790" i="39"/>
  <c r="K790" i="39"/>
  <c r="J790" i="39"/>
  <c r="I790" i="39"/>
  <c r="G790" i="39"/>
  <c r="E790" i="39"/>
  <c r="D790" i="39"/>
  <c r="B790" i="39"/>
  <c r="W762" i="39"/>
  <c r="V762" i="39"/>
  <c r="S762" i="39"/>
  <c r="R762" i="39"/>
  <c r="Q762" i="39"/>
  <c r="P762" i="39"/>
  <c r="O762" i="39"/>
  <c r="N762" i="39"/>
  <c r="M762" i="39"/>
  <c r="L762" i="39"/>
  <c r="K762" i="39"/>
  <c r="J762" i="39"/>
  <c r="I762" i="39"/>
  <c r="G762" i="39"/>
  <c r="E762" i="39"/>
  <c r="D762" i="39"/>
  <c r="B762" i="39"/>
  <c r="W706" i="39"/>
  <c r="V706" i="39"/>
  <c r="S706" i="39"/>
  <c r="R706" i="39"/>
  <c r="Q706" i="39"/>
  <c r="P706" i="39"/>
  <c r="O706" i="39"/>
  <c r="N706" i="39"/>
  <c r="M706" i="39"/>
  <c r="L706" i="39"/>
  <c r="K706" i="39"/>
  <c r="J706" i="39"/>
  <c r="I706" i="39"/>
  <c r="G706" i="39"/>
  <c r="E706" i="39"/>
  <c r="D706" i="39"/>
  <c r="B706" i="39"/>
  <c r="W678" i="39"/>
  <c r="V678" i="39"/>
  <c r="S678" i="39"/>
  <c r="R678" i="39"/>
  <c r="Q678" i="39"/>
  <c r="P678" i="39"/>
  <c r="O678" i="39"/>
  <c r="N678" i="39"/>
  <c r="M678" i="39"/>
  <c r="L678" i="39"/>
  <c r="K678" i="39"/>
  <c r="J678" i="39"/>
  <c r="I678" i="39"/>
  <c r="G678" i="39"/>
  <c r="E678" i="39"/>
  <c r="D678" i="39"/>
  <c r="B678" i="39"/>
  <c r="W650" i="39"/>
  <c r="V650" i="39"/>
  <c r="S650" i="39"/>
  <c r="R650" i="39"/>
  <c r="Q650" i="39"/>
  <c r="P650" i="39"/>
  <c r="O650" i="39"/>
  <c r="N650" i="39"/>
  <c r="M650" i="39"/>
  <c r="L650" i="39"/>
  <c r="K650" i="39"/>
  <c r="J650" i="39"/>
  <c r="I650" i="39"/>
  <c r="G650" i="39"/>
  <c r="E650" i="39"/>
  <c r="D650" i="39"/>
  <c r="B650" i="39"/>
  <c r="W622" i="39"/>
  <c r="V622" i="39"/>
  <c r="S622" i="39"/>
  <c r="R622" i="39"/>
  <c r="Q622" i="39"/>
  <c r="P622" i="39"/>
  <c r="O622" i="39"/>
  <c r="N622" i="39"/>
  <c r="M622" i="39"/>
  <c r="L622" i="39"/>
  <c r="K622" i="39"/>
  <c r="J622" i="39"/>
  <c r="I622" i="39"/>
  <c r="G622" i="39"/>
  <c r="E622" i="39"/>
  <c r="D622" i="39"/>
  <c r="B622" i="39"/>
  <c r="W594" i="39"/>
  <c r="V594" i="39"/>
  <c r="S594" i="39"/>
  <c r="R594" i="39"/>
  <c r="Q594" i="39"/>
  <c r="P594" i="39"/>
  <c r="O594" i="39"/>
  <c r="N594" i="39"/>
  <c r="M594" i="39"/>
  <c r="L594" i="39"/>
  <c r="K594" i="39"/>
  <c r="J594" i="39"/>
  <c r="I594" i="39"/>
  <c r="G594" i="39"/>
  <c r="E594" i="39"/>
  <c r="D594" i="39"/>
  <c r="B594" i="39"/>
  <c r="W566" i="39"/>
  <c r="V566" i="39"/>
  <c r="S566" i="39"/>
  <c r="R566" i="39"/>
  <c r="Q566" i="39"/>
  <c r="P566" i="39"/>
  <c r="O566" i="39"/>
  <c r="N566" i="39"/>
  <c r="M566" i="39"/>
  <c r="L566" i="39"/>
  <c r="K566" i="39"/>
  <c r="J566" i="39"/>
  <c r="I566" i="39"/>
  <c r="G566" i="39"/>
  <c r="E566" i="39"/>
  <c r="D566" i="39"/>
  <c r="B566" i="39"/>
  <c r="W538" i="39"/>
  <c r="V538" i="39"/>
  <c r="S538" i="39"/>
  <c r="R538" i="39"/>
  <c r="Q538" i="39"/>
  <c r="P538" i="39"/>
  <c r="O538" i="39"/>
  <c r="N538" i="39"/>
  <c r="M538" i="39"/>
  <c r="L538" i="39"/>
  <c r="K538" i="39"/>
  <c r="J538" i="39"/>
  <c r="I538" i="39"/>
  <c r="G538" i="39"/>
  <c r="E538" i="39"/>
  <c r="D538" i="39"/>
  <c r="B538" i="39"/>
  <c r="W510" i="39"/>
  <c r="V510" i="39"/>
  <c r="S510" i="39"/>
  <c r="R510" i="39"/>
  <c r="Q510" i="39"/>
  <c r="P510" i="39"/>
  <c r="O510" i="39"/>
  <c r="N510" i="39"/>
  <c r="M510" i="39"/>
  <c r="L510" i="39"/>
  <c r="K510" i="39"/>
  <c r="J510" i="39"/>
  <c r="I510" i="39"/>
  <c r="G510" i="39"/>
  <c r="E510" i="39"/>
  <c r="D510" i="39"/>
  <c r="B510" i="39"/>
  <c r="W482" i="39"/>
  <c r="V482" i="39"/>
  <c r="S482" i="39"/>
  <c r="R482" i="39"/>
  <c r="Q482" i="39"/>
  <c r="P482" i="39"/>
  <c r="O482" i="39"/>
  <c r="N482" i="39"/>
  <c r="M482" i="39"/>
  <c r="L482" i="39"/>
  <c r="K482" i="39"/>
  <c r="J482" i="39"/>
  <c r="I482" i="39"/>
  <c r="G482" i="39"/>
  <c r="E482" i="39"/>
  <c r="D482" i="39"/>
  <c r="B482" i="39"/>
  <c r="W454" i="39"/>
  <c r="V454" i="39"/>
  <c r="S454" i="39"/>
  <c r="R454" i="39"/>
  <c r="Q454" i="39"/>
  <c r="P454" i="39"/>
  <c r="O454" i="39"/>
  <c r="N454" i="39"/>
  <c r="M454" i="39"/>
  <c r="L454" i="39"/>
  <c r="K454" i="39"/>
  <c r="J454" i="39"/>
  <c r="I454" i="39"/>
  <c r="G454" i="39"/>
  <c r="E454" i="39"/>
  <c r="D454" i="39"/>
  <c r="B454" i="39"/>
  <c r="W426" i="39"/>
  <c r="V426" i="39"/>
  <c r="S426" i="39"/>
  <c r="R426" i="39"/>
  <c r="Q426" i="39"/>
  <c r="P426" i="39"/>
  <c r="O426" i="39"/>
  <c r="N426" i="39"/>
  <c r="M426" i="39"/>
  <c r="L426" i="39"/>
  <c r="K426" i="39"/>
  <c r="J426" i="39"/>
  <c r="I426" i="39"/>
  <c r="G426" i="39"/>
  <c r="E426" i="39"/>
  <c r="D426" i="39"/>
  <c r="B426" i="39"/>
  <c r="W398" i="39"/>
  <c r="V398" i="39"/>
  <c r="S398" i="39"/>
  <c r="R398" i="39"/>
  <c r="Q398" i="39"/>
  <c r="P398" i="39"/>
  <c r="O398" i="39"/>
  <c r="N398" i="39"/>
  <c r="M398" i="39"/>
  <c r="L398" i="39"/>
  <c r="K398" i="39"/>
  <c r="J398" i="39"/>
  <c r="I398" i="39"/>
  <c r="G398" i="39"/>
  <c r="E398" i="39"/>
  <c r="D398" i="39"/>
  <c r="B398" i="39"/>
  <c r="W370" i="39"/>
  <c r="V370" i="39"/>
  <c r="S370" i="39"/>
  <c r="R370" i="39"/>
  <c r="Q370" i="39"/>
  <c r="P370" i="39"/>
  <c r="O370" i="39"/>
  <c r="N370" i="39"/>
  <c r="M370" i="39"/>
  <c r="L370" i="39"/>
  <c r="K370" i="39"/>
  <c r="J370" i="39"/>
  <c r="I370" i="39"/>
  <c r="G370" i="39"/>
  <c r="E370" i="39"/>
  <c r="D370" i="39"/>
  <c r="B370" i="39"/>
  <c r="W342" i="39"/>
  <c r="V342" i="39"/>
  <c r="S342" i="39"/>
  <c r="R342" i="39"/>
  <c r="Q342" i="39"/>
  <c r="P342" i="39"/>
  <c r="O342" i="39"/>
  <c r="N342" i="39"/>
  <c r="M342" i="39"/>
  <c r="L342" i="39"/>
  <c r="K342" i="39"/>
  <c r="J342" i="39"/>
  <c r="I342" i="39"/>
  <c r="G342" i="39"/>
  <c r="E342" i="39"/>
  <c r="D342" i="39"/>
  <c r="B342" i="39"/>
  <c r="W314" i="39"/>
  <c r="V314" i="39"/>
  <c r="S314" i="39"/>
  <c r="R314" i="39"/>
  <c r="Q314" i="39"/>
  <c r="P314" i="39"/>
  <c r="O314" i="39"/>
  <c r="N314" i="39"/>
  <c r="M314" i="39"/>
  <c r="L314" i="39"/>
  <c r="K314" i="39"/>
  <c r="J314" i="39"/>
  <c r="I314" i="39"/>
  <c r="G314" i="39"/>
  <c r="E314" i="39"/>
  <c r="D314" i="39"/>
  <c r="B314" i="39"/>
  <c r="W286" i="39"/>
  <c r="V286" i="39"/>
  <c r="S286" i="39"/>
  <c r="R286" i="39"/>
  <c r="Q286" i="39"/>
  <c r="P286" i="39"/>
  <c r="O286" i="39"/>
  <c r="N286" i="39"/>
  <c r="M286" i="39"/>
  <c r="L286" i="39"/>
  <c r="K286" i="39"/>
  <c r="J286" i="39"/>
  <c r="I286" i="39"/>
  <c r="G286" i="39"/>
  <c r="E286" i="39"/>
  <c r="D286" i="39"/>
  <c r="B286" i="39"/>
  <c r="W258" i="39"/>
  <c r="V258" i="39"/>
  <c r="S258" i="39"/>
  <c r="R258" i="39"/>
  <c r="Q258" i="39"/>
  <c r="P258" i="39"/>
  <c r="O258" i="39"/>
  <c r="N258" i="39"/>
  <c r="M258" i="39"/>
  <c r="L258" i="39"/>
  <c r="K258" i="39"/>
  <c r="J258" i="39"/>
  <c r="I258" i="39"/>
  <c r="G258" i="39"/>
  <c r="E258" i="39"/>
  <c r="D258" i="39"/>
  <c r="B258" i="39"/>
  <c r="W230" i="39"/>
  <c r="V230" i="39"/>
  <c r="S230" i="39"/>
  <c r="R230" i="39"/>
  <c r="Q230" i="39"/>
  <c r="P230" i="39"/>
  <c r="O230" i="39"/>
  <c r="N230" i="39"/>
  <c r="M230" i="39"/>
  <c r="L230" i="39"/>
  <c r="K230" i="39"/>
  <c r="J230" i="39"/>
  <c r="I230" i="39"/>
  <c r="G230" i="39"/>
  <c r="E230" i="39"/>
  <c r="D230" i="39"/>
  <c r="B230" i="39"/>
  <c r="W202" i="39"/>
  <c r="V202" i="39"/>
  <c r="S202" i="39"/>
  <c r="R202" i="39"/>
  <c r="Q202" i="39"/>
  <c r="P202" i="39"/>
  <c r="O202" i="39"/>
  <c r="N202" i="39"/>
  <c r="M202" i="39"/>
  <c r="L202" i="39"/>
  <c r="K202" i="39"/>
  <c r="J202" i="39"/>
  <c r="I202" i="39"/>
  <c r="G202" i="39"/>
  <c r="E202" i="39"/>
  <c r="D202" i="39"/>
  <c r="B202" i="39"/>
  <c r="W174" i="39"/>
  <c r="V174" i="39"/>
  <c r="S174" i="39"/>
  <c r="R174" i="39"/>
  <c r="Q174" i="39"/>
  <c r="P174" i="39"/>
  <c r="O174" i="39"/>
  <c r="N174" i="39"/>
  <c r="M174" i="39"/>
  <c r="L174" i="39"/>
  <c r="K174" i="39"/>
  <c r="J174" i="39"/>
  <c r="I174" i="39"/>
  <c r="G174" i="39"/>
  <c r="E174" i="39"/>
  <c r="D174" i="39"/>
  <c r="B174" i="39"/>
  <c r="W146" i="39"/>
  <c r="V146" i="39"/>
  <c r="S146" i="39"/>
  <c r="R146" i="39"/>
  <c r="Q146" i="39"/>
  <c r="P146" i="39"/>
  <c r="O146" i="39"/>
  <c r="N146" i="39"/>
  <c r="M146" i="39"/>
  <c r="L146" i="39"/>
  <c r="K146" i="39"/>
  <c r="J146" i="39"/>
  <c r="I146" i="39"/>
  <c r="G146" i="39"/>
  <c r="E146" i="39"/>
  <c r="D146" i="39"/>
  <c r="B146" i="39"/>
  <c r="W118" i="39"/>
  <c r="V118" i="39"/>
  <c r="S118" i="39"/>
  <c r="R118" i="39"/>
  <c r="Q118" i="39"/>
  <c r="P118" i="39"/>
  <c r="O118" i="39"/>
  <c r="N118" i="39"/>
  <c r="M118" i="39"/>
  <c r="L118" i="39"/>
  <c r="K118" i="39"/>
  <c r="J118" i="39"/>
  <c r="I118" i="39"/>
  <c r="G118" i="39"/>
  <c r="E118" i="39"/>
  <c r="D118" i="39"/>
  <c r="B118" i="39"/>
  <c r="W90" i="39"/>
  <c r="V90" i="39"/>
  <c r="S90" i="39"/>
  <c r="R90" i="39"/>
  <c r="Q90" i="39"/>
  <c r="P90" i="39"/>
  <c r="O90" i="39"/>
  <c r="N90" i="39"/>
  <c r="M90" i="39"/>
  <c r="L90" i="39"/>
  <c r="K90" i="39"/>
  <c r="J90" i="39"/>
  <c r="I90" i="39"/>
  <c r="G90" i="39"/>
  <c r="E90" i="39"/>
  <c r="D90" i="39"/>
  <c r="B90" i="39"/>
  <c r="W62" i="39"/>
  <c r="V62" i="39"/>
  <c r="S62" i="39"/>
  <c r="R62" i="39"/>
  <c r="Q62" i="39"/>
  <c r="P62" i="39"/>
  <c r="O62" i="39"/>
  <c r="N62" i="39"/>
  <c r="M62" i="39"/>
  <c r="L62" i="39"/>
  <c r="K62" i="39"/>
  <c r="J62" i="39"/>
  <c r="I62" i="39"/>
  <c r="G62" i="39"/>
  <c r="E62" i="39"/>
  <c r="D62" i="39"/>
  <c r="B62" i="39"/>
  <c r="W34" i="39"/>
  <c r="V34" i="39"/>
  <c r="S34" i="39"/>
  <c r="R34" i="39"/>
  <c r="Q34" i="39"/>
  <c r="P34" i="39"/>
  <c r="O34" i="39"/>
  <c r="N34" i="39"/>
  <c r="M34" i="39"/>
  <c r="L34" i="39"/>
  <c r="K34" i="39"/>
  <c r="J34" i="39"/>
  <c r="I34" i="39"/>
  <c r="G34" i="39"/>
  <c r="E34" i="39"/>
  <c r="D34" i="39"/>
  <c r="B34" i="39"/>
  <c r="U874" i="22" l="1"/>
  <c r="T874" i="22"/>
  <c r="H874" i="22"/>
  <c r="H874" i="39" s="1"/>
  <c r="F874" i="22"/>
  <c r="F874" i="39" s="1"/>
  <c r="U846" i="22"/>
  <c r="U846" i="39" s="1"/>
  <c r="T846" i="22"/>
  <c r="H846" i="22"/>
  <c r="H846" i="39" s="1"/>
  <c r="F846" i="22"/>
  <c r="F846" i="39" s="1"/>
  <c r="U818" i="22"/>
  <c r="T818" i="22"/>
  <c r="H818" i="22"/>
  <c r="H818" i="39" s="1"/>
  <c r="F818" i="22"/>
  <c r="F818" i="39" s="1"/>
  <c r="U790" i="22"/>
  <c r="T790" i="22"/>
  <c r="H790" i="22"/>
  <c r="H790" i="39" s="1"/>
  <c r="F790" i="22"/>
  <c r="F790" i="39" s="1"/>
  <c r="U762" i="22"/>
  <c r="T762" i="22"/>
  <c r="H762" i="22"/>
  <c r="H762" i="39" s="1"/>
  <c r="F762" i="22"/>
  <c r="F762" i="39" s="1"/>
  <c r="U734" i="22"/>
  <c r="U734" i="39" s="1"/>
  <c r="T734" i="22"/>
  <c r="T734" i="39" s="1"/>
  <c r="H734" i="22"/>
  <c r="H734" i="39" s="1"/>
  <c r="F734" i="22"/>
  <c r="F734" i="39" s="1"/>
  <c r="U706" i="22"/>
  <c r="T706" i="22"/>
  <c r="H706" i="22"/>
  <c r="H706" i="39" s="1"/>
  <c r="F706" i="22"/>
  <c r="F706" i="39" s="1"/>
  <c r="U678" i="22"/>
  <c r="T678" i="22"/>
  <c r="H678" i="22"/>
  <c r="H678" i="39" s="1"/>
  <c r="F678" i="22"/>
  <c r="F678" i="39" s="1"/>
  <c r="U650" i="22"/>
  <c r="U650" i="39" s="1"/>
  <c r="T650" i="22"/>
  <c r="H650" i="22"/>
  <c r="H650" i="39" s="1"/>
  <c r="F650" i="22"/>
  <c r="F650" i="39" s="1"/>
  <c r="U622" i="22"/>
  <c r="T622" i="22"/>
  <c r="H622" i="22"/>
  <c r="H622" i="39" s="1"/>
  <c r="F622" i="22"/>
  <c r="F622" i="39" s="1"/>
  <c r="U594" i="22"/>
  <c r="T594" i="22"/>
  <c r="H594" i="22"/>
  <c r="H594" i="39" s="1"/>
  <c r="F594" i="22"/>
  <c r="F594" i="39" s="1"/>
  <c r="U566" i="22"/>
  <c r="T566" i="22"/>
  <c r="H566" i="22"/>
  <c r="H566" i="39" s="1"/>
  <c r="F566" i="22"/>
  <c r="F566" i="39" s="1"/>
  <c r="U538" i="22"/>
  <c r="T538" i="22"/>
  <c r="H538" i="22"/>
  <c r="H538" i="39" s="1"/>
  <c r="F538" i="22"/>
  <c r="F538" i="39" s="1"/>
  <c r="U510" i="22"/>
  <c r="T510" i="22"/>
  <c r="H510" i="22"/>
  <c r="H510" i="39" s="1"/>
  <c r="F510" i="22"/>
  <c r="F510" i="39" s="1"/>
  <c r="U482" i="22"/>
  <c r="Y482" i="22" s="1"/>
  <c r="T482" i="22"/>
  <c r="X482" i="22" s="1"/>
  <c r="H482" i="22"/>
  <c r="H482" i="39" s="1"/>
  <c r="F482" i="22"/>
  <c r="F482" i="39" s="1"/>
  <c r="U454" i="22"/>
  <c r="T454" i="22"/>
  <c r="H454" i="22"/>
  <c r="H454" i="39" s="1"/>
  <c r="F454" i="22"/>
  <c r="F454" i="39" s="1"/>
  <c r="U426" i="22"/>
  <c r="T426" i="22"/>
  <c r="H426" i="22"/>
  <c r="H426" i="39" s="1"/>
  <c r="F426" i="22"/>
  <c r="F426" i="39" s="1"/>
  <c r="U398" i="22"/>
  <c r="T398" i="22"/>
  <c r="H398" i="22"/>
  <c r="H398" i="39" s="1"/>
  <c r="F398" i="22"/>
  <c r="F398" i="39" s="1"/>
  <c r="U370" i="22"/>
  <c r="T370" i="22"/>
  <c r="H370" i="22"/>
  <c r="H370" i="39" s="1"/>
  <c r="F370" i="22"/>
  <c r="F370" i="39" s="1"/>
  <c r="U342" i="22"/>
  <c r="T342" i="22"/>
  <c r="H342" i="22"/>
  <c r="H342" i="39" s="1"/>
  <c r="F342" i="22"/>
  <c r="F342" i="39" s="1"/>
  <c r="U314" i="22"/>
  <c r="T314" i="22"/>
  <c r="H314" i="22"/>
  <c r="H314" i="39" s="1"/>
  <c r="F314" i="22"/>
  <c r="F314" i="39" s="1"/>
  <c r="U286" i="22"/>
  <c r="T286" i="22"/>
  <c r="H286" i="22"/>
  <c r="H286" i="39" s="1"/>
  <c r="F286" i="22"/>
  <c r="F286" i="39" s="1"/>
  <c r="U258" i="22"/>
  <c r="T258" i="22"/>
  <c r="H258" i="22"/>
  <c r="H258" i="39" s="1"/>
  <c r="F258" i="22"/>
  <c r="F258" i="39" s="1"/>
  <c r="U230" i="22"/>
  <c r="T230" i="22"/>
  <c r="H230" i="22"/>
  <c r="H230" i="39" s="1"/>
  <c r="F230" i="22"/>
  <c r="F230" i="39" s="1"/>
  <c r="U202" i="22"/>
  <c r="T202" i="22"/>
  <c r="H202" i="22"/>
  <c r="H202" i="39" s="1"/>
  <c r="F202" i="22"/>
  <c r="F202" i="39" s="1"/>
  <c r="U174" i="22"/>
  <c r="T174" i="22"/>
  <c r="H174" i="22"/>
  <c r="H174" i="39" s="1"/>
  <c r="F174" i="22"/>
  <c r="F174" i="39" s="1"/>
  <c r="H146" i="22"/>
  <c r="H146" i="39" s="1"/>
  <c r="F146" i="22"/>
  <c r="F146" i="39" s="1"/>
  <c r="U118" i="22"/>
  <c r="T118" i="22"/>
  <c r="H118" i="22"/>
  <c r="H118" i="39" s="1"/>
  <c r="F118" i="22"/>
  <c r="F118" i="39" s="1"/>
  <c r="U90" i="22"/>
  <c r="T90" i="22"/>
  <c r="H90" i="22"/>
  <c r="H90" i="39" s="1"/>
  <c r="F90" i="22"/>
  <c r="F90" i="39" s="1"/>
  <c r="U62" i="22"/>
  <c r="T62" i="22"/>
  <c r="H62" i="22"/>
  <c r="H62" i="39" s="1"/>
  <c r="F62" i="22"/>
  <c r="F62" i="39" s="1"/>
  <c r="X454" i="22" l="1"/>
  <c r="X454" i="39" s="1"/>
  <c r="T454" i="39"/>
  <c r="Y454" i="22"/>
  <c r="Y454" i="39" s="1"/>
  <c r="U454" i="39"/>
  <c r="X426" i="22"/>
  <c r="T426" i="39"/>
  <c r="Y426" i="22"/>
  <c r="U426" i="39"/>
  <c r="X398" i="22"/>
  <c r="T398" i="39"/>
  <c r="Y398" i="22"/>
  <c r="U398" i="39"/>
  <c r="X370" i="22"/>
  <c r="T370" i="39"/>
  <c r="Y370" i="22"/>
  <c r="U370" i="39"/>
  <c r="X342" i="22"/>
  <c r="T342" i="39"/>
  <c r="Y342" i="22"/>
  <c r="U342" i="39"/>
  <c r="X314" i="22"/>
  <c r="T314" i="39"/>
  <c r="Y314" i="22"/>
  <c r="U314" i="39"/>
  <c r="X286" i="22"/>
  <c r="T286" i="39"/>
  <c r="Y286" i="22"/>
  <c r="U286" i="39"/>
  <c r="X258" i="22"/>
  <c r="T258" i="39"/>
  <c r="Y258" i="22"/>
  <c r="U258" i="39"/>
  <c r="X230" i="22"/>
  <c r="T230" i="39"/>
  <c r="Y230" i="22"/>
  <c r="U230" i="39"/>
  <c r="X202" i="22"/>
  <c r="T202" i="39"/>
  <c r="Y202" i="22"/>
  <c r="U202" i="39"/>
  <c r="X174" i="22"/>
  <c r="T174" i="39"/>
  <c r="Y174" i="22"/>
  <c r="U174" i="39"/>
  <c r="X146" i="22"/>
  <c r="T146" i="39"/>
  <c r="Y146" i="22"/>
  <c r="U146" i="39"/>
  <c r="X118" i="22"/>
  <c r="T118" i="39"/>
  <c r="Y118" i="22"/>
  <c r="U118" i="39"/>
  <c r="X90" i="22"/>
  <c r="T90" i="39"/>
  <c r="Y90" i="22"/>
  <c r="U90" i="39"/>
  <c r="X62" i="22"/>
  <c r="T62" i="39"/>
  <c r="Y62" i="22"/>
  <c r="U62" i="39"/>
  <c r="X874" i="22"/>
  <c r="T874" i="39"/>
  <c r="Y874" i="22"/>
  <c r="U874" i="39"/>
  <c r="Y846" i="22"/>
  <c r="X846" i="22"/>
  <c r="T846" i="39"/>
  <c r="X818" i="22"/>
  <c r="T818" i="39"/>
  <c r="Y818" i="22"/>
  <c r="U818" i="39"/>
  <c r="X790" i="22"/>
  <c r="T790" i="39"/>
  <c r="Y790" i="22"/>
  <c r="U790" i="39"/>
  <c r="X762" i="22"/>
  <c r="T762" i="39"/>
  <c r="Y762" i="22"/>
  <c r="U762" i="39"/>
  <c r="Y734" i="22"/>
  <c r="Y734" i="39" s="1"/>
  <c r="X734" i="22"/>
  <c r="X734" i="39" s="1"/>
  <c r="X706" i="22"/>
  <c r="T706" i="39"/>
  <c r="Y706" i="22"/>
  <c r="U706" i="39"/>
  <c r="X678" i="22"/>
  <c r="T678" i="39"/>
  <c r="Y678" i="22"/>
  <c r="U678" i="39"/>
  <c r="Y650" i="22"/>
  <c r="X650" i="22"/>
  <c r="T650" i="39"/>
  <c r="X622" i="22"/>
  <c r="T622" i="39"/>
  <c r="Y622" i="22"/>
  <c r="U622" i="39"/>
  <c r="X594" i="22"/>
  <c r="T594" i="39"/>
  <c r="Y594" i="22"/>
  <c r="U594" i="39"/>
  <c r="Y566" i="22"/>
  <c r="U566" i="39"/>
  <c r="X566" i="22"/>
  <c r="T566" i="39"/>
  <c r="Y538" i="22"/>
  <c r="U538" i="39"/>
  <c r="X538" i="22"/>
  <c r="T538" i="39"/>
  <c r="X510" i="22"/>
  <c r="T510" i="39"/>
  <c r="Y510" i="22"/>
  <c r="U510" i="39"/>
  <c r="T482" i="39"/>
  <c r="U482" i="39"/>
  <c r="U34" i="22"/>
  <c r="T34" i="22"/>
  <c r="H34" i="22"/>
  <c r="H34" i="39" s="1"/>
  <c r="F34" i="22"/>
  <c r="F34" i="39" s="1"/>
  <c r="AI454" i="22" l="1"/>
  <c r="AL454" i="22" s="1"/>
  <c r="AC454" i="22"/>
  <c r="AG454" i="22" s="1"/>
  <c r="AI426" i="22"/>
  <c r="AL426" i="22" s="1"/>
  <c r="Y426" i="39"/>
  <c r="AC426" i="22"/>
  <c r="AG426" i="22" s="1"/>
  <c r="X426" i="39"/>
  <c r="AI398" i="22"/>
  <c r="AL398" i="22" s="1"/>
  <c r="Y398" i="39"/>
  <c r="AC398" i="22"/>
  <c r="AG398" i="22" s="1"/>
  <c r="X398" i="39"/>
  <c r="AI370" i="22"/>
  <c r="AL370" i="22" s="1"/>
  <c r="Y370" i="39"/>
  <c r="AC370" i="22"/>
  <c r="AG370" i="22" s="1"/>
  <c r="X370" i="39"/>
  <c r="AI342" i="22"/>
  <c r="AL342" i="22" s="1"/>
  <c r="Y342" i="39"/>
  <c r="AC342" i="22"/>
  <c r="AG342" i="22" s="1"/>
  <c r="X342" i="39"/>
  <c r="AI314" i="22"/>
  <c r="AL314" i="22" s="1"/>
  <c r="Y314" i="39"/>
  <c r="AC314" i="22"/>
  <c r="AG314" i="22" s="1"/>
  <c r="X314" i="39"/>
  <c r="AI286" i="22"/>
  <c r="AL286" i="22" s="1"/>
  <c r="Y286" i="39"/>
  <c r="AC286" i="22"/>
  <c r="AG286" i="22" s="1"/>
  <c r="X286" i="39"/>
  <c r="AI258" i="22"/>
  <c r="AL258" i="22" s="1"/>
  <c r="Y258" i="39"/>
  <c r="AC258" i="22"/>
  <c r="AG258" i="22" s="1"/>
  <c r="X258" i="39"/>
  <c r="AI230" i="22"/>
  <c r="AL230" i="22" s="1"/>
  <c r="Y230" i="39"/>
  <c r="AC230" i="22"/>
  <c r="AG230" i="22" s="1"/>
  <c r="X230" i="39"/>
  <c r="AI202" i="22"/>
  <c r="AL202" i="22" s="1"/>
  <c r="Y202" i="39"/>
  <c r="AC202" i="22"/>
  <c r="AG202" i="22" s="1"/>
  <c r="X202" i="39"/>
  <c r="AI174" i="22"/>
  <c r="AL174" i="22" s="1"/>
  <c r="Y174" i="39"/>
  <c r="AC174" i="22"/>
  <c r="AG174" i="22" s="1"/>
  <c r="X174" i="39"/>
  <c r="AI146" i="22"/>
  <c r="AL146" i="22" s="1"/>
  <c r="Y146" i="39"/>
  <c r="AC146" i="22"/>
  <c r="AG146" i="22" s="1"/>
  <c r="X146" i="39"/>
  <c r="AC118" i="22"/>
  <c r="AG118" i="22" s="1"/>
  <c r="X118" i="39"/>
  <c r="AI118" i="22"/>
  <c r="AL118" i="22" s="1"/>
  <c r="Y118" i="39"/>
  <c r="AI90" i="22"/>
  <c r="AL90" i="22" s="1"/>
  <c r="Y90" i="39"/>
  <c r="AC90" i="22"/>
  <c r="AG90" i="22" s="1"/>
  <c r="X90" i="39"/>
  <c r="AI62" i="22"/>
  <c r="AL62" i="22" s="1"/>
  <c r="Y62" i="39"/>
  <c r="AC62" i="22"/>
  <c r="AG62" i="22" s="1"/>
  <c r="X62" i="39"/>
  <c r="X34" i="22"/>
  <c r="T34" i="39"/>
  <c r="Y34" i="22"/>
  <c r="U34" i="39"/>
  <c r="AI874" i="22"/>
  <c r="AL874" i="22" s="1"/>
  <c r="Y874" i="39"/>
  <c r="AC874" i="22"/>
  <c r="AG874" i="22" s="1"/>
  <c r="X874" i="39"/>
  <c r="AC846" i="22"/>
  <c r="AG846" i="22" s="1"/>
  <c r="X846" i="39"/>
  <c r="Y846" i="39"/>
  <c r="AI846" i="22"/>
  <c r="AL846" i="22" s="1"/>
  <c r="AI818" i="22"/>
  <c r="AL818" i="22" s="1"/>
  <c r="Y818" i="39"/>
  <c r="AC818" i="22"/>
  <c r="AG818" i="22" s="1"/>
  <c r="X818" i="39"/>
  <c r="AI790" i="22"/>
  <c r="AL790" i="22" s="1"/>
  <c r="Y790" i="39"/>
  <c r="AC790" i="22"/>
  <c r="AG790" i="22" s="1"/>
  <c r="X790" i="39"/>
  <c r="AI762" i="22"/>
  <c r="AL762" i="22" s="1"/>
  <c r="Y762" i="39"/>
  <c r="AC762" i="22"/>
  <c r="AG762" i="22" s="1"/>
  <c r="X762" i="39"/>
  <c r="AC734" i="22"/>
  <c r="AG734" i="22" s="1"/>
  <c r="AI734" i="22"/>
  <c r="AL734" i="22" s="1"/>
  <c r="AI706" i="22"/>
  <c r="AL706" i="22" s="1"/>
  <c r="Y706" i="39"/>
  <c r="AC706" i="22"/>
  <c r="AG706" i="22" s="1"/>
  <c r="X706" i="39"/>
  <c r="AI678" i="22"/>
  <c r="AL678" i="22" s="1"/>
  <c r="Y678" i="39"/>
  <c r="AC678" i="22"/>
  <c r="AG678" i="22" s="1"/>
  <c r="X678" i="39"/>
  <c r="AC650" i="22"/>
  <c r="AG650" i="22" s="1"/>
  <c r="X650" i="39"/>
  <c r="AI650" i="22"/>
  <c r="AL650" i="22" s="1"/>
  <c r="Y650" i="39"/>
  <c r="AI622" i="22"/>
  <c r="AL622" i="22" s="1"/>
  <c r="Y622" i="39"/>
  <c r="AC622" i="22"/>
  <c r="AG622" i="22" s="1"/>
  <c r="X622" i="39"/>
  <c r="AI594" i="22"/>
  <c r="AL594" i="22" s="1"/>
  <c r="Y594" i="39"/>
  <c r="AC594" i="22"/>
  <c r="AG594" i="22" s="1"/>
  <c r="X594" i="39"/>
  <c r="AC566" i="22"/>
  <c r="AG566" i="22" s="1"/>
  <c r="X566" i="39"/>
  <c r="AI566" i="22"/>
  <c r="AL566" i="22" s="1"/>
  <c r="Y566" i="39"/>
  <c r="AC538" i="22"/>
  <c r="AG538" i="22" s="1"/>
  <c r="X538" i="39"/>
  <c r="AI538" i="22"/>
  <c r="AL538" i="22" s="1"/>
  <c r="Y538" i="39"/>
  <c r="AI510" i="22"/>
  <c r="AL510" i="22" s="1"/>
  <c r="Y510" i="39"/>
  <c r="AC510" i="22"/>
  <c r="AG510" i="22" s="1"/>
  <c r="X510" i="39"/>
  <c r="AI482" i="22"/>
  <c r="AL482" i="22" s="1"/>
  <c r="Y482" i="39"/>
  <c r="AC482" i="22"/>
  <c r="AG482" i="22" s="1"/>
  <c r="X482" i="39"/>
  <c r="AI34" i="22" l="1"/>
  <c r="AL34" i="22" s="1"/>
  <c r="Y34" i="39"/>
  <c r="AC34" i="22"/>
  <c r="AG34" i="22" s="1"/>
  <c r="X34" i="39"/>
  <c r="U134" i="33"/>
  <c r="T134" i="33"/>
  <c r="G134" i="33" s="1"/>
  <c r="G135" i="40" s="1"/>
  <c r="I135" i="40"/>
  <c r="H134" i="33" l="1"/>
  <c r="H135" i="40" s="1"/>
  <c r="Y134" i="33"/>
  <c r="U135" i="40"/>
  <c r="X134" i="33"/>
  <c r="T135" i="40"/>
  <c r="AC134" i="33" l="1"/>
  <c r="AG134" i="33" s="1"/>
  <c r="X135" i="40"/>
  <c r="AI134" i="33"/>
  <c r="AL134" i="33" s="1"/>
  <c r="Y135" i="40"/>
  <c r="U160" i="33" l="1"/>
  <c r="T160" i="33"/>
  <c r="G160" i="33" s="1"/>
  <c r="G161" i="40" s="1"/>
  <c r="I161" i="40"/>
  <c r="H160" i="33" l="1"/>
  <c r="H161" i="40" s="1"/>
  <c r="X160" i="33"/>
  <c r="T161" i="40"/>
  <c r="Y160" i="33"/>
  <c r="U161" i="40"/>
  <c r="AI160" i="33" l="1"/>
  <c r="AL160" i="33" s="1"/>
  <c r="Y161" i="40"/>
  <c r="AC160" i="33"/>
  <c r="AG160" i="33" s="1"/>
  <c r="X161" i="40"/>
  <c r="T153" i="22" l="1"/>
  <c r="U153" i="22"/>
  <c r="T154" i="22"/>
  <c r="U154" i="22"/>
  <c r="T155" i="22"/>
  <c r="U155" i="22"/>
  <c r="T156" i="22"/>
  <c r="U156" i="22"/>
  <c r="T157" i="22"/>
  <c r="U157" i="22"/>
  <c r="T158" i="22"/>
  <c r="U158" i="22"/>
  <c r="T159" i="22"/>
  <c r="U159" i="22"/>
  <c r="T160" i="22"/>
  <c r="U160" i="22"/>
  <c r="T161" i="22"/>
  <c r="U161" i="22"/>
  <c r="T162" i="22"/>
  <c r="U162" i="22"/>
  <c r="T163" i="22"/>
  <c r="U163" i="22"/>
  <c r="T164" i="22"/>
  <c r="U164" i="22"/>
  <c r="T165" i="22"/>
  <c r="U165" i="22"/>
  <c r="T166" i="22"/>
  <c r="U166" i="22"/>
  <c r="T167" i="22"/>
  <c r="U167" i="22"/>
  <c r="T168" i="22"/>
  <c r="U168" i="22"/>
  <c r="T169" i="22"/>
  <c r="U169" i="22"/>
  <c r="T170" i="22"/>
  <c r="U170" i="22"/>
  <c r="T171" i="22"/>
  <c r="U171" i="22"/>
  <c r="T173" i="22"/>
  <c r="U173" i="22"/>
  <c r="AI3" i="40" l="1"/>
  <c r="AH3" i="40"/>
  <c r="AG3" i="40"/>
  <c r="AF3" i="40"/>
  <c r="AE3" i="40"/>
  <c r="AD3" i="40"/>
  <c r="AI2" i="40"/>
  <c r="AH2" i="40"/>
  <c r="AG2" i="40"/>
  <c r="AF2" i="40"/>
  <c r="AE2" i="40"/>
  <c r="AD2" i="40"/>
  <c r="AI1" i="40"/>
  <c r="AH1" i="40"/>
  <c r="AG1" i="40"/>
  <c r="AF1" i="40"/>
  <c r="AE1" i="40"/>
  <c r="AD1" i="40"/>
  <c r="M215" i="40"/>
  <c r="L215" i="40"/>
  <c r="M214" i="40"/>
  <c r="L214" i="40"/>
  <c r="M213" i="40"/>
  <c r="L213" i="40"/>
  <c r="M212" i="40"/>
  <c r="L212" i="40"/>
  <c r="M211" i="40"/>
  <c r="L211" i="40"/>
  <c r="M210" i="40"/>
  <c r="L210" i="40"/>
  <c r="M209" i="40"/>
  <c r="L209" i="40"/>
  <c r="M208" i="40"/>
  <c r="L208" i="40"/>
  <c r="M207" i="40"/>
  <c r="L207" i="40"/>
  <c r="M206" i="40"/>
  <c r="L206" i="40"/>
  <c r="M205" i="40"/>
  <c r="L205" i="40"/>
  <c r="M204" i="40"/>
  <c r="L204" i="40"/>
  <c r="M203" i="40"/>
  <c r="L203" i="40"/>
  <c r="M202" i="40"/>
  <c r="L202" i="40"/>
  <c r="M201" i="40"/>
  <c r="L201" i="40"/>
  <c r="M200" i="40"/>
  <c r="L200" i="40"/>
  <c r="M199" i="40"/>
  <c r="L199" i="40"/>
  <c r="M198" i="40"/>
  <c r="L198" i="40"/>
  <c r="M197" i="40"/>
  <c r="L197" i="40"/>
  <c r="M196" i="40"/>
  <c r="L196" i="40"/>
  <c r="M195" i="40"/>
  <c r="L195" i="40"/>
  <c r="M194" i="40"/>
  <c r="L194" i="40"/>
  <c r="M193" i="40"/>
  <c r="L193" i="40"/>
  <c r="M192" i="40"/>
  <c r="L192" i="40"/>
  <c r="M191" i="40"/>
  <c r="L191" i="40"/>
  <c r="M190" i="40"/>
  <c r="L190" i="40"/>
  <c r="M189" i="40"/>
  <c r="L189" i="40"/>
  <c r="M188" i="40"/>
  <c r="L188" i="40"/>
  <c r="M187" i="40"/>
  <c r="L187" i="40"/>
  <c r="M186" i="40"/>
  <c r="L186" i="40"/>
  <c r="M185" i="40"/>
  <c r="L185" i="40"/>
  <c r="M184" i="40"/>
  <c r="L184" i="40"/>
  <c r="M183" i="40"/>
  <c r="L183" i="40"/>
  <c r="M182" i="40"/>
  <c r="L182" i="40"/>
  <c r="M181" i="40"/>
  <c r="L181" i="40"/>
  <c r="M180" i="40"/>
  <c r="L180" i="40"/>
  <c r="M179" i="40"/>
  <c r="L179" i="40"/>
  <c r="M178" i="40"/>
  <c r="L178" i="40"/>
  <c r="M177" i="40"/>
  <c r="L177" i="40"/>
  <c r="M176" i="40"/>
  <c r="L176" i="40"/>
  <c r="M175" i="40"/>
  <c r="L175" i="40"/>
  <c r="M174" i="40"/>
  <c r="L174" i="40"/>
  <c r="M173" i="40"/>
  <c r="L173" i="40"/>
  <c r="M172" i="40"/>
  <c r="L172" i="40"/>
  <c r="M171" i="40"/>
  <c r="L171" i="40"/>
  <c r="M170" i="40"/>
  <c r="L170" i="40"/>
  <c r="M169" i="40"/>
  <c r="L169" i="40"/>
  <c r="M168" i="40"/>
  <c r="L168" i="40"/>
  <c r="M167" i="40"/>
  <c r="L167" i="40"/>
  <c r="M166" i="40"/>
  <c r="L166" i="40"/>
  <c r="M165" i="40"/>
  <c r="L165" i="40"/>
  <c r="M164" i="40"/>
  <c r="L164" i="40"/>
  <c r="M163" i="40"/>
  <c r="L163" i="40"/>
  <c r="M162" i="40"/>
  <c r="L162" i="40"/>
  <c r="M161" i="40"/>
  <c r="L161" i="40"/>
  <c r="M160" i="40"/>
  <c r="L160" i="40"/>
  <c r="M159" i="40"/>
  <c r="L159" i="40"/>
  <c r="M158" i="40"/>
  <c r="L158" i="40"/>
  <c r="M157" i="40"/>
  <c r="L157" i="40"/>
  <c r="M156" i="40"/>
  <c r="L156" i="40"/>
  <c r="M155" i="40"/>
  <c r="L155" i="40"/>
  <c r="M154" i="40"/>
  <c r="L154" i="40"/>
  <c r="M153" i="40"/>
  <c r="L153" i="40"/>
  <c r="M152" i="40"/>
  <c r="L152" i="40"/>
  <c r="M151" i="40"/>
  <c r="L151" i="40"/>
  <c r="M150" i="40"/>
  <c r="L150" i="40"/>
  <c r="M149" i="40"/>
  <c r="L149" i="40"/>
  <c r="M148" i="40"/>
  <c r="L148" i="40"/>
  <c r="M147" i="40"/>
  <c r="L147" i="40"/>
  <c r="M146" i="40"/>
  <c r="L146" i="40"/>
  <c r="M145" i="40"/>
  <c r="L145" i="40"/>
  <c r="M144" i="40"/>
  <c r="L144" i="40"/>
  <c r="M143" i="40"/>
  <c r="L143" i="40"/>
  <c r="M142" i="40"/>
  <c r="L142" i="40"/>
  <c r="M141" i="40"/>
  <c r="L141" i="40"/>
  <c r="M140" i="40"/>
  <c r="L140" i="40"/>
  <c r="M139" i="40"/>
  <c r="L139" i="40"/>
  <c r="M138" i="40"/>
  <c r="L138" i="40"/>
  <c r="M137" i="40"/>
  <c r="L137" i="40"/>
  <c r="M136" i="40"/>
  <c r="L136" i="40"/>
  <c r="M135" i="40"/>
  <c r="L135" i="40"/>
  <c r="M134" i="40"/>
  <c r="L134" i="40"/>
  <c r="M133" i="40"/>
  <c r="L133" i="40"/>
  <c r="M132" i="40"/>
  <c r="L132" i="40"/>
  <c r="M131" i="40"/>
  <c r="L131" i="40"/>
  <c r="M130" i="40"/>
  <c r="L130" i="40"/>
  <c r="M129" i="40"/>
  <c r="L129" i="40"/>
  <c r="M128" i="40"/>
  <c r="L128" i="40"/>
  <c r="M127" i="40"/>
  <c r="L127" i="40"/>
  <c r="M126" i="40"/>
  <c r="L126" i="40"/>
  <c r="M125" i="40"/>
  <c r="L125" i="40"/>
  <c r="M124" i="40"/>
  <c r="L124" i="40"/>
  <c r="M123" i="40"/>
  <c r="L123" i="40"/>
  <c r="M122" i="40"/>
  <c r="L122" i="40"/>
  <c r="M121" i="40"/>
  <c r="L121" i="40"/>
  <c r="M120" i="40"/>
  <c r="L120" i="40"/>
  <c r="M119" i="40"/>
  <c r="L119" i="40"/>
  <c r="M118" i="40"/>
  <c r="L118" i="40"/>
  <c r="M117" i="40"/>
  <c r="L117" i="40"/>
  <c r="W116" i="40"/>
  <c r="V116" i="40"/>
  <c r="S116" i="40"/>
  <c r="R116" i="40"/>
  <c r="Q116" i="40"/>
  <c r="P116" i="40"/>
  <c r="O116" i="40"/>
  <c r="N116" i="40"/>
  <c r="M116" i="40"/>
  <c r="L116" i="40"/>
  <c r="K116" i="40"/>
  <c r="J116" i="40"/>
  <c r="E116" i="40"/>
  <c r="D116" i="40"/>
  <c r="B116" i="40"/>
  <c r="W13" i="40"/>
  <c r="V13" i="40"/>
  <c r="S13" i="40"/>
  <c r="R13" i="40"/>
  <c r="Q13" i="40"/>
  <c r="P13" i="40"/>
  <c r="O13" i="40"/>
  <c r="N13" i="40"/>
  <c r="M13" i="40"/>
  <c r="L13" i="40"/>
  <c r="K13" i="40"/>
  <c r="J13" i="40"/>
  <c r="E13" i="40"/>
  <c r="D13" i="40"/>
  <c r="B13" i="40"/>
  <c r="AI3" i="39"/>
  <c r="AH3" i="39"/>
  <c r="AG3" i="39"/>
  <c r="AF3" i="39"/>
  <c r="AE3" i="39"/>
  <c r="AD3" i="39"/>
  <c r="AI2" i="39"/>
  <c r="AH2" i="39"/>
  <c r="AG2" i="39"/>
  <c r="AF2" i="39"/>
  <c r="AE2" i="39"/>
  <c r="AD2" i="39"/>
  <c r="AI1" i="39"/>
  <c r="AH1" i="39"/>
  <c r="AG1" i="39"/>
  <c r="AF1" i="39"/>
  <c r="AE1" i="39"/>
  <c r="AD1" i="39"/>
  <c r="F878" i="39"/>
  <c r="E878" i="39"/>
  <c r="W877" i="39"/>
  <c r="V877" i="39"/>
  <c r="S877" i="39"/>
  <c r="R877" i="39"/>
  <c r="Q877" i="39"/>
  <c r="P877" i="39"/>
  <c r="O877" i="39"/>
  <c r="N877" i="39"/>
  <c r="M877" i="39"/>
  <c r="L877" i="39"/>
  <c r="K877" i="39"/>
  <c r="J877" i="39"/>
  <c r="I877" i="39"/>
  <c r="G877" i="39"/>
  <c r="E877" i="39"/>
  <c r="D877" i="39"/>
  <c r="B877" i="39"/>
  <c r="W873" i="39"/>
  <c r="V873" i="39"/>
  <c r="S873" i="39"/>
  <c r="R873" i="39"/>
  <c r="Q873" i="39"/>
  <c r="P873" i="39"/>
  <c r="O873" i="39"/>
  <c r="N873" i="39"/>
  <c r="M873" i="39"/>
  <c r="L873" i="39"/>
  <c r="K873" i="39"/>
  <c r="J873" i="39"/>
  <c r="I873" i="39"/>
  <c r="G873" i="39"/>
  <c r="E873" i="39"/>
  <c r="D873" i="39"/>
  <c r="B873" i="39"/>
  <c r="W871" i="39"/>
  <c r="V871" i="39"/>
  <c r="S871" i="39"/>
  <c r="R871" i="39"/>
  <c r="Q871" i="39"/>
  <c r="P871" i="39"/>
  <c r="O871" i="39"/>
  <c r="N871" i="39"/>
  <c r="M871" i="39"/>
  <c r="L871" i="39"/>
  <c r="K871" i="39"/>
  <c r="J871" i="39"/>
  <c r="I871" i="39"/>
  <c r="G871" i="39"/>
  <c r="E871" i="39"/>
  <c r="D871" i="39"/>
  <c r="B871" i="39"/>
  <c r="W870" i="39"/>
  <c r="V870" i="39"/>
  <c r="S870" i="39"/>
  <c r="R870" i="39"/>
  <c r="Q870" i="39"/>
  <c r="P870" i="39"/>
  <c r="O870" i="39"/>
  <c r="N870" i="39"/>
  <c r="M870" i="39"/>
  <c r="L870" i="39"/>
  <c r="K870" i="39"/>
  <c r="J870" i="39"/>
  <c r="I870" i="39"/>
  <c r="G870" i="39"/>
  <c r="E870" i="39"/>
  <c r="D870" i="39"/>
  <c r="B870" i="39"/>
  <c r="W869" i="39"/>
  <c r="V869" i="39"/>
  <c r="S869" i="39"/>
  <c r="R869" i="39"/>
  <c r="Q869" i="39"/>
  <c r="P869" i="39"/>
  <c r="O869" i="39"/>
  <c r="N869" i="39"/>
  <c r="M869" i="39"/>
  <c r="L869" i="39"/>
  <c r="K869" i="39"/>
  <c r="J869" i="39"/>
  <c r="I869" i="39"/>
  <c r="G869" i="39"/>
  <c r="E869" i="39"/>
  <c r="D869" i="39"/>
  <c r="B869" i="39"/>
  <c r="W868" i="39"/>
  <c r="V868" i="39"/>
  <c r="S868" i="39"/>
  <c r="R868" i="39"/>
  <c r="Q868" i="39"/>
  <c r="P868" i="39"/>
  <c r="O868" i="39"/>
  <c r="N868" i="39"/>
  <c r="M868" i="39"/>
  <c r="L868" i="39"/>
  <c r="K868" i="39"/>
  <c r="J868" i="39"/>
  <c r="I868" i="39"/>
  <c r="G868" i="39"/>
  <c r="E868" i="39"/>
  <c r="D868" i="39"/>
  <c r="B868" i="39"/>
  <c r="W867" i="39"/>
  <c r="V867" i="39"/>
  <c r="S867" i="39"/>
  <c r="R867" i="39"/>
  <c r="Q867" i="39"/>
  <c r="P867" i="39"/>
  <c r="O867" i="39"/>
  <c r="N867" i="39"/>
  <c r="M867" i="39"/>
  <c r="L867" i="39"/>
  <c r="K867" i="39"/>
  <c r="J867" i="39"/>
  <c r="I867" i="39"/>
  <c r="G867" i="39"/>
  <c r="E867" i="39"/>
  <c r="D867" i="39"/>
  <c r="B867" i="39"/>
  <c r="W866" i="39"/>
  <c r="V866" i="39"/>
  <c r="S866" i="39"/>
  <c r="R866" i="39"/>
  <c r="Q866" i="39"/>
  <c r="P866" i="39"/>
  <c r="O866" i="39"/>
  <c r="N866" i="39"/>
  <c r="M866" i="39"/>
  <c r="L866" i="39"/>
  <c r="K866" i="39"/>
  <c r="J866" i="39"/>
  <c r="I866" i="39"/>
  <c r="G866" i="39"/>
  <c r="E866" i="39"/>
  <c r="D866" i="39"/>
  <c r="B866" i="39"/>
  <c r="W865" i="39"/>
  <c r="V865" i="39"/>
  <c r="S865" i="39"/>
  <c r="R865" i="39"/>
  <c r="Q865" i="39"/>
  <c r="P865" i="39"/>
  <c r="O865" i="39"/>
  <c r="N865" i="39"/>
  <c r="M865" i="39"/>
  <c r="L865" i="39"/>
  <c r="K865" i="39"/>
  <c r="J865" i="39"/>
  <c r="I865" i="39"/>
  <c r="G865" i="39"/>
  <c r="E865" i="39"/>
  <c r="D865" i="39"/>
  <c r="B865" i="39"/>
  <c r="W864" i="39"/>
  <c r="V864" i="39"/>
  <c r="S864" i="39"/>
  <c r="R864" i="39"/>
  <c r="Q864" i="39"/>
  <c r="P864" i="39"/>
  <c r="O864" i="39"/>
  <c r="N864" i="39"/>
  <c r="M864" i="39"/>
  <c r="L864" i="39"/>
  <c r="K864" i="39"/>
  <c r="J864" i="39"/>
  <c r="I864" i="39"/>
  <c r="G864" i="39"/>
  <c r="E864" i="39"/>
  <c r="D864" i="39"/>
  <c r="B864" i="39"/>
  <c r="W863" i="39"/>
  <c r="V863" i="39"/>
  <c r="S863" i="39"/>
  <c r="R863" i="39"/>
  <c r="Q863" i="39"/>
  <c r="P863" i="39"/>
  <c r="O863" i="39"/>
  <c r="N863" i="39"/>
  <c r="M863" i="39"/>
  <c r="L863" i="39"/>
  <c r="K863" i="39"/>
  <c r="J863" i="39"/>
  <c r="I863" i="39"/>
  <c r="G863" i="39"/>
  <c r="E863" i="39"/>
  <c r="D863" i="39"/>
  <c r="B863" i="39"/>
  <c r="W862" i="39"/>
  <c r="V862" i="39"/>
  <c r="S862" i="39"/>
  <c r="R862" i="39"/>
  <c r="Q862" i="39"/>
  <c r="P862" i="39"/>
  <c r="O862" i="39"/>
  <c r="N862" i="39"/>
  <c r="M862" i="39"/>
  <c r="L862" i="39"/>
  <c r="K862" i="39"/>
  <c r="J862" i="39"/>
  <c r="I862" i="39"/>
  <c r="G862" i="39"/>
  <c r="E862" i="39"/>
  <c r="D862" i="39"/>
  <c r="B862" i="39"/>
  <c r="W861" i="39"/>
  <c r="V861" i="39"/>
  <c r="S861" i="39"/>
  <c r="R861" i="39"/>
  <c r="Q861" i="39"/>
  <c r="P861" i="39"/>
  <c r="O861" i="39"/>
  <c r="N861" i="39"/>
  <c r="M861" i="39"/>
  <c r="L861" i="39"/>
  <c r="K861" i="39"/>
  <c r="J861" i="39"/>
  <c r="I861" i="39"/>
  <c r="G861" i="39"/>
  <c r="E861" i="39"/>
  <c r="D861" i="39"/>
  <c r="B861" i="39"/>
  <c r="W860" i="39"/>
  <c r="V860" i="39"/>
  <c r="S860" i="39"/>
  <c r="R860" i="39"/>
  <c r="Q860" i="39"/>
  <c r="P860" i="39"/>
  <c r="O860" i="39"/>
  <c r="N860" i="39"/>
  <c r="M860" i="39"/>
  <c r="L860" i="39"/>
  <c r="K860" i="39"/>
  <c r="J860" i="39"/>
  <c r="I860" i="39"/>
  <c r="G860" i="39"/>
  <c r="E860" i="39"/>
  <c r="D860" i="39"/>
  <c r="B860" i="39"/>
  <c r="W859" i="39"/>
  <c r="V859" i="39"/>
  <c r="S859" i="39"/>
  <c r="R859" i="39"/>
  <c r="Q859" i="39"/>
  <c r="P859" i="39"/>
  <c r="O859" i="39"/>
  <c r="N859" i="39"/>
  <c r="M859" i="39"/>
  <c r="L859" i="39"/>
  <c r="K859" i="39"/>
  <c r="J859" i="39"/>
  <c r="I859" i="39"/>
  <c r="G859" i="39"/>
  <c r="E859" i="39"/>
  <c r="D859" i="39"/>
  <c r="B859" i="39"/>
  <c r="W858" i="39"/>
  <c r="V858" i="39"/>
  <c r="S858" i="39"/>
  <c r="R858" i="39"/>
  <c r="Q858" i="39"/>
  <c r="P858" i="39"/>
  <c r="O858" i="39"/>
  <c r="N858" i="39"/>
  <c r="M858" i="39"/>
  <c r="L858" i="39"/>
  <c r="K858" i="39"/>
  <c r="J858" i="39"/>
  <c r="I858" i="39"/>
  <c r="G858" i="39"/>
  <c r="E858" i="39"/>
  <c r="D858" i="39"/>
  <c r="B858" i="39"/>
  <c r="W857" i="39"/>
  <c r="V857" i="39"/>
  <c r="S857" i="39"/>
  <c r="R857" i="39"/>
  <c r="Q857" i="39"/>
  <c r="P857" i="39"/>
  <c r="O857" i="39"/>
  <c r="N857" i="39"/>
  <c r="M857" i="39"/>
  <c r="L857" i="39"/>
  <c r="K857" i="39"/>
  <c r="J857" i="39"/>
  <c r="I857" i="39"/>
  <c r="G857" i="39"/>
  <c r="E857" i="39"/>
  <c r="D857" i="39"/>
  <c r="B857" i="39"/>
  <c r="W856" i="39"/>
  <c r="V856" i="39"/>
  <c r="S856" i="39"/>
  <c r="R856" i="39"/>
  <c r="Q856" i="39"/>
  <c r="P856" i="39"/>
  <c r="O856" i="39"/>
  <c r="N856" i="39"/>
  <c r="M856" i="39"/>
  <c r="L856" i="39"/>
  <c r="K856" i="39"/>
  <c r="J856" i="39"/>
  <c r="I856" i="39"/>
  <c r="G856" i="39"/>
  <c r="E856" i="39"/>
  <c r="D856" i="39"/>
  <c r="B856" i="39"/>
  <c r="W855" i="39"/>
  <c r="V855" i="39"/>
  <c r="S855" i="39"/>
  <c r="R855" i="39"/>
  <c r="Q855" i="39"/>
  <c r="P855" i="39"/>
  <c r="O855" i="39"/>
  <c r="N855" i="39"/>
  <c r="M855" i="39"/>
  <c r="L855" i="39"/>
  <c r="K855" i="39"/>
  <c r="J855" i="39"/>
  <c r="I855" i="39"/>
  <c r="G855" i="39"/>
  <c r="E855" i="39"/>
  <c r="D855" i="39"/>
  <c r="B855" i="39"/>
  <c r="W854" i="39"/>
  <c r="V854" i="39"/>
  <c r="S854" i="39"/>
  <c r="R854" i="39"/>
  <c r="Q854" i="39"/>
  <c r="P854" i="39"/>
  <c r="O854" i="39"/>
  <c r="N854" i="39"/>
  <c r="M854" i="39"/>
  <c r="L854" i="39"/>
  <c r="K854" i="39"/>
  <c r="J854" i="39"/>
  <c r="I854" i="39"/>
  <c r="G854" i="39"/>
  <c r="E854" i="39"/>
  <c r="D854" i="39"/>
  <c r="B854" i="39"/>
  <c r="W853" i="39"/>
  <c r="V853" i="39"/>
  <c r="S853" i="39"/>
  <c r="R853" i="39"/>
  <c r="Q853" i="39"/>
  <c r="P853" i="39"/>
  <c r="O853" i="39"/>
  <c r="N853" i="39"/>
  <c r="M853" i="39"/>
  <c r="L853" i="39"/>
  <c r="K853" i="39"/>
  <c r="J853" i="39"/>
  <c r="I853" i="39"/>
  <c r="G853" i="39"/>
  <c r="E853" i="39"/>
  <c r="D853" i="39"/>
  <c r="B853" i="39"/>
  <c r="F850" i="39"/>
  <c r="E850" i="39"/>
  <c r="W849" i="39"/>
  <c r="V849" i="39"/>
  <c r="S849" i="39"/>
  <c r="R849" i="39"/>
  <c r="Q849" i="39"/>
  <c r="P849" i="39"/>
  <c r="O849" i="39"/>
  <c r="N849" i="39"/>
  <c r="M849" i="39"/>
  <c r="L849" i="39"/>
  <c r="K849" i="39"/>
  <c r="J849" i="39"/>
  <c r="I849" i="39"/>
  <c r="G849" i="39"/>
  <c r="E849" i="39"/>
  <c r="D849" i="39"/>
  <c r="B849" i="39"/>
  <c r="W845" i="39"/>
  <c r="V845" i="39"/>
  <c r="S845" i="39"/>
  <c r="R845" i="39"/>
  <c r="Q845" i="39"/>
  <c r="P845" i="39"/>
  <c r="O845" i="39"/>
  <c r="N845" i="39"/>
  <c r="M845" i="39"/>
  <c r="L845" i="39"/>
  <c r="K845" i="39"/>
  <c r="J845" i="39"/>
  <c r="I845" i="39"/>
  <c r="G845" i="39"/>
  <c r="E845" i="39"/>
  <c r="D845" i="39"/>
  <c r="B845" i="39"/>
  <c r="W843" i="39"/>
  <c r="V843" i="39"/>
  <c r="S843" i="39"/>
  <c r="R843" i="39"/>
  <c r="Q843" i="39"/>
  <c r="P843" i="39"/>
  <c r="O843" i="39"/>
  <c r="N843" i="39"/>
  <c r="M843" i="39"/>
  <c r="L843" i="39"/>
  <c r="K843" i="39"/>
  <c r="J843" i="39"/>
  <c r="I843" i="39"/>
  <c r="G843" i="39"/>
  <c r="E843" i="39"/>
  <c r="D843" i="39"/>
  <c r="B843" i="39"/>
  <c r="W842" i="39"/>
  <c r="V842" i="39"/>
  <c r="S842" i="39"/>
  <c r="R842" i="39"/>
  <c r="Q842" i="39"/>
  <c r="P842" i="39"/>
  <c r="O842" i="39"/>
  <c r="N842" i="39"/>
  <c r="M842" i="39"/>
  <c r="L842" i="39"/>
  <c r="K842" i="39"/>
  <c r="J842" i="39"/>
  <c r="I842" i="39"/>
  <c r="G842" i="39"/>
  <c r="E842" i="39"/>
  <c r="D842" i="39"/>
  <c r="B842" i="39"/>
  <c r="W841" i="39"/>
  <c r="V841" i="39"/>
  <c r="S841" i="39"/>
  <c r="R841" i="39"/>
  <c r="Q841" i="39"/>
  <c r="P841" i="39"/>
  <c r="O841" i="39"/>
  <c r="N841" i="39"/>
  <c r="M841" i="39"/>
  <c r="L841" i="39"/>
  <c r="K841" i="39"/>
  <c r="J841" i="39"/>
  <c r="I841" i="39"/>
  <c r="G841" i="39"/>
  <c r="E841" i="39"/>
  <c r="D841" i="39"/>
  <c r="B841" i="39"/>
  <c r="W840" i="39"/>
  <c r="V840" i="39"/>
  <c r="S840" i="39"/>
  <c r="R840" i="39"/>
  <c r="Q840" i="39"/>
  <c r="P840" i="39"/>
  <c r="O840" i="39"/>
  <c r="N840" i="39"/>
  <c r="M840" i="39"/>
  <c r="L840" i="39"/>
  <c r="K840" i="39"/>
  <c r="J840" i="39"/>
  <c r="I840" i="39"/>
  <c r="G840" i="39"/>
  <c r="E840" i="39"/>
  <c r="D840" i="39"/>
  <c r="B840" i="39"/>
  <c r="W839" i="39"/>
  <c r="V839" i="39"/>
  <c r="S839" i="39"/>
  <c r="R839" i="39"/>
  <c r="Q839" i="39"/>
  <c r="P839" i="39"/>
  <c r="O839" i="39"/>
  <c r="N839" i="39"/>
  <c r="M839" i="39"/>
  <c r="L839" i="39"/>
  <c r="K839" i="39"/>
  <c r="J839" i="39"/>
  <c r="I839" i="39"/>
  <c r="G839" i="39"/>
  <c r="E839" i="39"/>
  <c r="D839" i="39"/>
  <c r="B839" i="39"/>
  <c r="W838" i="39"/>
  <c r="V838" i="39"/>
  <c r="S838" i="39"/>
  <c r="R838" i="39"/>
  <c r="Q838" i="39"/>
  <c r="P838" i="39"/>
  <c r="O838" i="39"/>
  <c r="N838" i="39"/>
  <c r="M838" i="39"/>
  <c r="L838" i="39"/>
  <c r="K838" i="39"/>
  <c r="J838" i="39"/>
  <c r="I838" i="39"/>
  <c r="G838" i="39"/>
  <c r="E838" i="39"/>
  <c r="D838" i="39"/>
  <c r="B838" i="39"/>
  <c r="W837" i="39"/>
  <c r="V837" i="39"/>
  <c r="S837" i="39"/>
  <c r="R837" i="39"/>
  <c r="Q837" i="39"/>
  <c r="P837" i="39"/>
  <c r="O837" i="39"/>
  <c r="N837" i="39"/>
  <c r="M837" i="39"/>
  <c r="L837" i="39"/>
  <c r="K837" i="39"/>
  <c r="J837" i="39"/>
  <c r="I837" i="39"/>
  <c r="G837" i="39"/>
  <c r="E837" i="39"/>
  <c r="D837" i="39"/>
  <c r="B837" i="39"/>
  <c r="W836" i="39"/>
  <c r="V836" i="39"/>
  <c r="S836" i="39"/>
  <c r="R836" i="39"/>
  <c r="Q836" i="39"/>
  <c r="P836" i="39"/>
  <c r="O836" i="39"/>
  <c r="N836" i="39"/>
  <c r="M836" i="39"/>
  <c r="L836" i="39"/>
  <c r="K836" i="39"/>
  <c r="J836" i="39"/>
  <c r="I836" i="39"/>
  <c r="G836" i="39"/>
  <c r="E836" i="39"/>
  <c r="D836" i="39"/>
  <c r="B836" i="39"/>
  <c r="W835" i="39"/>
  <c r="V835" i="39"/>
  <c r="S835" i="39"/>
  <c r="R835" i="39"/>
  <c r="Q835" i="39"/>
  <c r="P835" i="39"/>
  <c r="O835" i="39"/>
  <c r="N835" i="39"/>
  <c r="M835" i="39"/>
  <c r="L835" i="39"/>
  <c r="K835" i="39"/>
  <c r="J835" i="39"/>
  <c r="I835" i="39"/>
  <c r="G835" i="39"/>
  <c r="E835" i="39"/>
  <c r="D835" i="39"/>
  <c r="B835" i="39"/>
  <c r="W834" i="39"/>
  <c r="V834" i="39"/>
  <c r="S834" i="39"/>
  <c r="R834" i="39"/>
  <c r="Q834" i="39"/>
  <c r="P834" i="39"/>
  <c r="O834" i="39"/>
  <c r="N834" i="39"/>
  <c r="M834" i="39"/>
  <c r="L834" i="39"/>
  <c r="K834" i="39"/>
  <c r="J834" i="39"/>
  <c r="I834" i="39"/>
  <c r="G834" i="39"/>
  <c r="E834" i="39"/>
  <c r="D834" i="39"/>
  <c r="B834" i="39"/>
  <c r="W833" i="39"/>
  <c r="V833" i="39"/>
  <c r="S833" i="39"/>
  <c r="R833" i="39"/>
  <c r="Q833" i="39"/>
  <c r="P833" i="39"/>
  <c r="O833" i="39"/>
  <c r="N833" i="39"/>
  <c r="M833" i="39"/>
  <c r="L833" i="39"/>
  <c r="K833" i="39"/>
  <c r="J833" i="39"/>
  <c r="I833" i="39"/>
  <c r="G833" i="39"/>
  <c r="E833" i="39"/>
  <c r="D833" i="39"/>
  <c r="B833" i="39"/>
  <c r="W832" i="39"/>
  <c r="V832" i="39"/>
  <c r="S832" i="39"/>
  <c r="R832" i="39"/>
  <c r="Q832" i="39"/>
  <c r="P832" i="39"/>
  <c r="O832" i="39"/>
  <c r="N832" i="39"/>
  <c r="M832" i="39"/>
  <c r="L832" i="39"/>
  <c r="K832" i="39"/>
  <c r="J832" i="39"/>
  <c r="I832" i="39"/>
  <c r="G832" i="39"/>
  <c r="E832" i="39"/>
  <c r="D832" i="39"/>
  <c r="B832" i="39"/>
  <c r="W831" i="39"/>
  <c r="V831" i="39"/>
  <c r="S831" i="39"/>
  <c r="R831" i="39"/>
  <c r="Q831" i="39"/>
  <c r="P831" i="39"/>
  <c r="O831" i="39"/>
  <c r="N831" i="39"/>
  <c r="M831" i="39"/>
  <c r="L831" i="39"/>
  <c r="K831" i="39"/>
  <c r="J831" i="39"/>
  <c r="I831" i="39"/>
  <c r="G831" i="39"/>
  <c r="E831" i="39"/>
  <c r="D831" i="39"/>
  <c r="B831" i="39"/>
  <c r="W830" i="39"/>
  <c r="V830" i="39"/>
  <c r="S830" i="39"/>
  <c r="R830" i="39"/>
  <c r="Q830" i="39"/>
  <c r="P830" i="39"/>
  <c r="O830" i="39"/>
  <c r="N830" i="39"/>
  <c r="M830" i="39"/>
  <c r="L830" i="39"/>
  <c r="K830" i="39"/>
  <c r="J830" i="39"/>
  <c r="I830" i="39"/>
  <c r="G830" i="39"/>
  <c r="E830" i="39"/>
  <c r="D830" i="39"/>
  <c r="B830" i="39"/>
  <c r="W829" i="39"/>
  <c r="V829" i="39"/>
  <c r="S829" i="39"/>
  <c r="R829" i="39"/>
  <c r="Q829" i="39"/>
  <c r="P829" i="39"/>
  <c r="O829" i="39"/>
  <c r="N829" i="39"/>
  <c r="M829" i="39"/>
  <c r="L829" i="39"/>
  <c r="K829" i="39"/>
  <c r="J829" i="39"/>
  <c r="I829" i="39"/>
  <c r="G829" i="39"/>
  <c r="E829" i="39"/>
  <c r="D829" i="39"/>
  <c r="B829" i="39"/>
  <c r="W828" i="39"/>
  <c r="V828" i="39"/>
  <c r="S828" i="39"/>
  <c r="R828" i="39"/>
  <c r="Q828" i="39"/>
  <c r="P828" i="39"/>
  <c r="O828" i="39"/>
  <c r="N828" i="39"/>
  <c r="M828" i="39"/>
  <c r="L828" i="39"/>
  <c r="K828" i="39"/>
  <c r="J828" i="39"/>
  <c r="I828" i="39"/>
  <c r="G828" i="39"/>
  <c r="E828" i="39"/>
  <c r="D828" i="39"/>
  <c r="B828" i="39"/>
  <c r="W827" i="39"/>
  <c r="V827" i="39"/>
  <c r="S827" i="39"/>
  <c r="R827" i="39"/>
  <c r="Q827" i="39"/>
  <c r="P827" i="39"/>
  <c r="O827" i="39"/>
  <c r="N827" i="39"/>
  <c r="M827" i="39"/>
  <c r="L827" i="39"/>
  <c r="K827" i="39"/>
  <c r="J827" i="39"/>
  <c r="I827" i="39"/>
  <c r="G827" i="39"/>
  <c r="E827" i="39"/>
  <c r="D827" i="39"/>
  <c r="B827" i="39"/>
  <c r="W826" i="39"/>
  <c r="V826" i="39"/>
  <c r="S826" i="39"/>
  <c r="R826" i="39"/>
  <c r="Q826" i="39"/>
  <c r="P826" i="39"/>
  <c r="O826" i="39"/>
  <c r="N826" i="39"/>
  <c r="M826" i="39"/>
  <c r="L826" i="39"/>
  <c r="K826" i="39"/>
  <c r="J826" i="39"/>
  <c r="I826" i="39"/>
  <c r="G826" i="39"/>
  <c r="E826" i="39"/>
  <c r="D826" i="39"/>
  <c r="B826" i="39"/>
  <c r="W825" i="39"/>
  <c r="V825" i="39"/>
  <c r="S825" i="39"/>
  <c r="R825" i="39"/>
  <c r="Q825" i="39"/>
  <c r="P825" i="39"/>
  <c r="O825" i="39"/>
  <c r="N825" i="39"/>
  <c r="M825" i="39"/>
  <c r="L825" i="39"/>
  <c r="K825" i="39"/>
  <c r="J825" i="39"/>
  <c r="I825" i="39"/>
  <c r="G825" i="39"/>
  <c r="E825" i="39"/>
  <c r="D825" i="39"/>
  <c r="B825" i="39"/>
  <c r="F822" i="39"/>
  <c r="E822" i="39"/>
  <c r="W821" i="39"/>
  <c r="V821" i="39"/>
  <c r="S821" i="39"/>
  <c r="R821" i="39"/>
  <c r="Q821" i="39"/>
  <c r="P821" i="39"/>
  <c r="O821" i="39"/>
  <c r="N821" i="39"/>
  <c r="M821" i="39"/>
  <c r="L821" i="39"/>
  <c r="K821" i="39"/>
  <c r="J821" i="39"/>
  <c r="I821" i="39"/>
  <c r="G821" i="39"/>
  <c r="E821" i="39"/>
  <c r="D821" i="39"/>
  <c r="B821" i="39"/>
  <c r="W817" i="39"/>
  <c r="V817" i="39"/>
  <c r="S817" i="39"/>
  <c r="R817" i="39"/>
  <c r="Q817" i="39"/>
  <c r="P817" i="39"/>
  <c r="O817" i="39"/>
  <c r="N817" i="39"/>
  <c r="M817" i="39"/>
  <c r="L817" i="39"/>
  <c r="K817" i="39"/>
  <c r="J817" i="39"/>
  <c r="I817" i="39"/>
  <c r="G817" i="39"/>
  <c r="E817" i="39"/>
  <c r="D817" i="39"/>
  <c r="B817" i="39"/>
  <c r="W815" i="39"/>
  <c r="V815" i="39"/>
  <c r="S815" i="39"/>
  <c r="R815" i="39"/>
  <c r="Q815" i="39"/>
  <c r="P815" i="39"/>
  <c r="O815" i="39"/>
  <c r="N815" i="39"/>
  <c r="M815" i="39"/>
  <c r="L815" i="39"/>
  <c r="K815" i="39"/>
  <c r="J815" i="39"/>
  <c r="I815" i="39"/>
  <c r="G815" i="39"/>
  <c r="E815" i="39"/>
  <c r="D815" i="39"/>
  <c r="B815" i="39"/>
  <c r="W814" i="39"/>
  <c r="V814" i="39"/>
  <c r="S814" i="39"/>
  <c r="R814" i="39"/>
  <c r="Q814" i="39"/>
  <c r="P814" i="39"/>
  <c r="O814" i="39"/>
  <c r="N814" i="39"/>
  <c r="M814" i="39"/>
  <c r="L814" i="39"/>
  <c r="K814" i="39"/>
  <c r="J814" i="39"/>
  <c r="I814" i="39"/>
  <c r="G814" i="39"/>
  <c r="E814" i="39"/>
  <c r="D814" i="39"/>
  <c r="B814" i="39"/>
  <c r="W813" i="39"/>
  <c r="V813" i="39"/>
  <c r="S813" i="39"/>
  <c r="R813" i="39"/>
  <c r="Q813" i="39"/>
  <c r="P813" i="39"/>
  <c r="O813" i="39"/>
  <c r="N813" i="39"/>
  <c r="M813" i="39"/>
  <c r="L813" i="39"/>
  <c r="K813" i="39"/>
  <c r="J813" i="39"/>
  <c r="I813" i="39"/>
  <c r="G813" i="39"/>
  <c r="E813" i="39"/>
  <c r="D813" i="39"/>
  <c r="B813" i="39"/>
  <c r="W812" i="39"/>
  <c r="V812" i="39"/>
  <c r="S812" i="39"/>
  <c r="R812" i="39"/>
  <c r="Q812" i="39"/>
  <c r="P812" i="39"/>
  <c r="O812" i="39"/>
  <c r="N812" i="39"/>
  <c r="M812" i="39"/>
  <c r="L812" i="39"/>
  <c r="K812" i="39"/>
  <c r="J812" i="39"/>
  <c r="I812" i="39"/>
  <c r="G812" i="39"/>
  <c r="E812" i="39"/>
  <c r="D812" i="39"/>
  <c r="B812" i="39"/>
  <c r="W811" i="39"/>
  <c r="V811" i="39"/>
  <c r="S811" i="39"/>
  <c r="R811" i="39"/>
  <c r="Q811" i="39"/>
  <c r="P811" i="39"/>
  <c r="O811" i="39"/>
  <c r="N811" i="39"/>
  <c r="M811" i="39"/>
  <c r="L811" i="39"/>
  <c r="K811" i="39"/>
  <c r="J811" i="39"/>
  <c r="I811" i="39"/>
  <c r="G811" i="39"/>
  <c r="E811" i="39"/>
  <c r="D811" i="39"/>
  <c r="B811" i="39"/>
  <c r="W810" i="39"/>
  <c r="V810" i="39"/>
  <c r="S810" i="39"/>
  <c r="R810" i="39"/>
  <c r="Q810" i="39"/>
  <c r="P810" i="39"/>
  <c r="O810" i="39"/>
  <c r="N810" i="39"/>
  <c r="M810" i="39"/>
  <c r="L810" i="39"/>
  <c r="K810" i="39"/>
  <c r="J810" i="39"/>
  <c r="I810" i="39"/>
  <c r="G810" i="39"/>
  <c r="E810" i="39"/>
  <c r="D810" i="39"/>
  <c r="B810" i="39"/>
  <c r="W809" i="39"/>
  <c r="V809" i="39"/>
  <c r="S809" i="39"/>
  <c r="R809" i="39"/>
  <c r="Q809" i="39"/>
  <c r="P809" i="39"/>
  <c r="O809" i="39"/>
  <c r="N809" i="39"/>
  <c r="M809" i="39"/>
  <c r="L809" i="39"/>
  <c r="K809" i="39"/>
  <c r="J809" i="39"/>
  <c r="I809" i="39"/>
  <c r="G809" i="39"/>
  <c r="E809" i="39"/>
  <c r="D809" i="39"/>
  <c r="B809" i="39"/>
  <c r="W808" i="39"/>
  <c r="V808" i="39"/>
  <c r="S808" i="39"/>
  <c r="R808" i="39"/>
  <c r="Q808" i="39"/>
  <c r="P808" i="39"/>
  <c r="O808" i="39"/>
  <c r="N808" i="39"/>
  <c r="M808" i="39"/>
  <c r="L808" i="39"/>
  <c r="K808" i="39"/>
  <c r="J808" i="39"/>
  <c r="I808" i="39"/>
  <c r="G808" i="39"/>
  <c r="E808" i="39"/>
  <c r="D808" i="39"/>
  <c r="B808" i="39"/>
  <c r="W807" i="39"/>
  <c r="V807" i="39"/>
  <c r="S807" i="39"/>
  <c r="R807" i="39"/>
  <c r="Q807" i="39"/>
  <c r="P807" i="39"/>
  <c r="O807" i="39"/>
  <c r="N807" i="39"/>
  <c r="M807" i="39"/>
  <c r="L807" i="39"/>
  <c r="K807" i="39"/>
  <c r="J807" i="39"/>
  <c r="I807" i="39"/>
  <c r="G807" i="39"/>
  <c r="E807" i="39"/>
  <c r="D807" i="39"/>
  <c r="B807" i="39"/>
  <c r="W806" i="39"/>
  <c r="V806" i="39"/>
  <c r="S806" i="39"/>
  <c r="R806" i="39"/>
  <c r="Q806" i="39"/>
  <c r="P806" i="39"/>
  <c r="O806" i="39"/>
  <c r="N806" i="39"/>
  <c r="M806" i="39"/>
  <c r="L806" i="39"/>
  <c r="K806" i="39"/>
  <c r="J806" i="39"/>
  <c r="I806" i="39"/>
  <c r="G806" i="39"/>
  <c r="E806" i="39"/>
  <c r="D806" i="39"/>
  <c r="B806" i="39"/>
  <c r="W805" i="39"/>
  <c r="V805" i="39"/>
  <c r="S805" i="39"/>
  <c r="R805" i="39"/>
  <c r="Q805" i="39"/>
  <c r="P805" i="39"/>
  <c r="O805" i="39"/>
  <c r="N805" i="39"/>
  <c r="M805" i="39"/>
  <c r="L805" i="39"/>
  <c r="K805" i="39"/>
  <c r="J805" i="39"/>
  <c r="I805" i="39"/>
  <c r="G805" i="39"/>
  <c r="E805" i="39"/>
  <c r="D805" i="39"/>
  <c r="B805" i="39"/>
  <c r="W804" i="39"/>
  <c r="V804" i="39"/>
  <c r="S804" i="39"/>
  <c r="R804" i="39"/>
  <c r="Q804" i="39"/>
  <c r="P804" i="39"/>
  <c r="O804" i="39"/>
  <c r="N804" i="39"/>
  <c r="M804" i="39"/>
  <c r="L804" i="39"/>
  <c r="K804" i="39"/>
  <c r="J804" i="39"/>
  <c r="I804" i="39"/>
  <c r="G804" i="39"/>
  <c r="E804" i="39"/>
  <c r="D804" i="39"/>
  <c r="B804" i="39"/>
  <c r="W803" i="39"/>
  <c r="V803" i="39"/>
  <c r="S803" i="39"/>
  <c r="R803" i="39"/>
  <c r="Q803" i="39"/>
  <c r="P803" i="39"/>
  <c r="O803" i="39"/>
  <c r="N803" i="39"/>
  <c r="M803" i="39"/>
  <c r="L803" i="39"/>
  <c r="K803" i="39"/>
  <c r="J803" i="39"/>
  <c r="I803" i="39"/>
  <c r="G803" i="39"/>
  <c r="E803" i="39"/>
  <c r="D803" i="39"/>
  <c r="B803" i="39"/>
  <c r="W802" i="39"/>
  <c r="V802" i="39"/>
  <c r="S802" i="39"/>
  <c r="R802" i="39"/>
  <c r="Q802" i="39"/>
  <c r="P802" i="39"/>
  <c r="O802" i="39"/>
  <c r="N802" i="39"/>
  <c r="M802" i="39"/>
  <c r="L802" i="39"/>
  <c r="K802" i="39"/>
  <c r="J802" i="39"/>
  <c r="I802" i="39"/>
  <c r="G802" i="39"/>
  <c r="E802" i="39"/>
  <c r="D802" i="39"/>
  <c r="B802" i="39"/>
  <c r="W801" i="39"/>
  <c r="V801" i="39"/>
  <c r="S801" i="39"/>
  <c r="R801" i="39"/>
  <c r="Q801" i="39"/>
  <c r="P801" i="39"/>
  <c r="O801" i="39"/>
  <c r="N801" i="39"/>
  <c r="M801" i="39"/>
  <c r="L801" i="39"/>
  <c r="K801" i="39"/>
  <c r="J801" i="39"/>
  <c r="I801" i="39"/>
  <c r="G801" i="39"/>
  <c r="E801" i="39"/>
  <c r="D801" i="39"/>
  <c r="B801" i="39"/>
  <c r="W800" i="39"/>
  <c r="V800" i="39"/>
  <c r="S800" i="39"/>
  <c r="R800" i="39"/>
  <c r="Q800" i="39"/>
  <c r="P800" i="39"/>
  <c r="O800" i="39"/>
  <c r="N800" i="39"/>
  <c r="M800" i="39"/>
  <c r="L800" i="39"/>
  <c r="K800" i="39"/>
  <c r="J800" i="39"/>
  <c r="I800" i="39"/>
  <c r="G800" i="39"/>
  <c r="E800" i="39"/>
  <c r="D800" i="39"/>
  <c r="B800" i="39"/>
  <c r="W799" i="39"/>
  <c r="V799" i="39"/>
  <c r="S799" i="39"/>
  <c r="R799" i="39"/>
  <c r="Q799" i="39"/>
  <c r="P799" i="39"/>
  <c r="O799" i="39"/>
  <c r="N799" i="39"/>
  <c r="M799" i="39"/>
  <c r="L799" i="39"/>
  <c r="K799" i="39"/>
  <c r="J799" i="39"/>
  <c r="I799" i="39"/>
  <c r="G799" i="39"/>
  <c r="E799" i="39"/>
  <c r="D799" i="39"/>
  <c r="B799" i="39"/>
  <c r="W798" i="39"/>
  <c r="V798" i="39"/>
  <c r="S798" i="39"/>
  <c r="R798" i="39"/>
  <c r="Q798" i="39"/>
  <c r="P798" i="39"/>
  <c r="O798" i="39"/>
  <c r="N798" i="39"/>
  <c r="M798" i="39"/>
  <c r="L798" i="39"/>
  <c r="K798" i="39"/>
  <c r="J798" i="39"/>
  <c r="I798" i="39"/>
  <c r="G798" i="39"/>
  <c r="E798" i="39"/>
  <c r="D798" i="39"/>
  <c r="B798" i="39"/>
  <c r="W797" i="39"/>
  <c r="V797" i="39"/>
  <c r="S797" i="39"/>
  <c r="R797" i="39"/>
  <c r="Q797" i="39"/>
  <c r="P797" i="39"/>
  <c r="O797" i="39"/>
  <c r="N797" i="39"/>
  <c r="M797" i="39"/>
  <c r="L797" i="39"/>
  <c r="K797" i="39"/>
  <c r="J797" i="39"/>
  <c r="I797" i="39"/>
  <c r="G797" i="39"/>
  <c r="E797" i="39"/>
  <c r="D797" i="39"/>
  <c r="B797" i="39"/>
  <c r="F794" i="39"/>
  <c r="E794" i="39"/>
  <c r="W793" i="39"/>
  <c r="V793" i="39"/>
  <c r="S793" i="39"/>
  <c r="R793" i="39"/>
  <c r="Q793" i="39"/>
  <c r="P793" i="39"/>
  <c r="O793" i="39"/>
  <c r="N793" i="39"/>
  <c r="M793" i="39"/>
  <c r="L793" i="39"/>
  <c r="K793" i="39"/>
  <c r="J793" i="39"/>
  <c r="I793" i="39"/>
  <c r="G793" i="39"/>
  <c r="E793" i="39"/>
  <c r="D793" i="39"/>
  <c r="B793" i="39"/>
  <c r="W789" i="39"/>
  <c r="V789" i="39"/>
  <c r="S789" i="39"/>
  <c r="R789" i="39"/>
  <c r="Q789" i="39"/>
  <c r="P789" i="39"/>
  <c r="O789" i="39"/>
  <c r="N789" i="39"/>
  <c r="M789" i="39"/>
  <c r="L789" i="39"/>
  <c r="K789" i="39"/>
  <c r="J789" i="39"/>
  <c r="I789" i="39"/>
  <c r="G789" i="39"/>
  <c r="E789" i="39"/>
  <c r="D789" i="39"/>
  <c r="B789" i="39"/>
  <c r="W787" i="39"/>
  <c r="V787" i="39"/>
  <c r="S787" i="39"/>
  <c r="R787" i="39"/>
  <c r="Q787" i="39"/>
  <c r="P787" i="39"/>
  <c r="O787" i="39"/>
  <c r="N787" i="39"/>
  <c r="M787" i="39"/>
  <c r="L787" i="39"/>
  <c r="K787" i="39"/>
  <c r="J787" i="39"/>
  <c r="I787" i="39"/>
  <c r="G787" i="39"/>
  <c r="E787" i="39"/>
  <c r="D787" i="39"/>
  <c r="B787" i="39"/>
  <c r="W786" i="39"/>
  <c r="V786" i="39"/>
  <c r="S786" i="39"/>
  <c r="R786" i="39"/>
  <c r="Q786" i="39"/>
  <c r="P786" i="39"/>
  <c r="O786" i="39"/>
  <c r="N786" i="39"/>
  <c r="M786" i="39"/>
  <c r="L786" i="39"/>
  <c r="K786" i="39"/>
  <c r="J786" i="39"/>
  <c r="I786" i="39"/>
  <c r="G786" i="39"/>
  <c r="E786" i="39"/>
  <c r="D786" i="39"/>
  <c r="B786" i="39"/>
  <c r="W785" i="39"/>
  <c r="V785" i="39"/>
  <c r="S785" i="39"/>
  <c r="R785" i="39"/>
  <c r="Q785" i="39"/>
  <c r="P785" i="39"/>
  <c r="O785" i="39"/>
  <c r="N785" i="39"/>
  <c r="M785" i="39"/>
  <c r="L785" i="39"/>
  <c r="K785" i="39"/>
  <c r="J785" i="39"/>
  <c r="I785" i="39"/>
  <c r="G785" i="39"/>
  <c r="E785" i="39"/>
  <c r="D785" i="39"/>
  <c r="B785" i="39"/>
  <c r="W784" i="39"/>
  <c r="V784" i="39"/>
  <c r="S784" i="39"/>
  <c r="R784" i="39"/>
  <c r="Q784" i="39"/>
  <c r="P784" i="39"/>
  <c r="O784" i="39"/>
  <c r="N784" i="39"/>
  <c r="M784" i="39"/>
  <c r="L784" i="39"/>
  <c r="K784" i="39"/>
  <c r="J784" i="39"/>
  <c r="I784" i="39"/>
  <c r="G784" i="39"/>
  <c r="E784" i="39"/>
  <c r="D784" i="39"/>
  <c r="B784" i="39"/>
  <c r="W783" i="39"/>
  <c r="V783" i="39"/>
  <c r="S783" i="39"/>
  <c r="R783" i="39"/>
  <c r="Q783" i="39"/>
  <c r="P783" i="39"/>
  <c r="O783" i="39"/>
  <c r="N783" i="39"/>
  <c r="M783" i="39"/>
  <c r="L783" i="39"/>
  <c r="K783" i="39"/>
  <c r="J783" i="39"/>
  <c r="I783" i="39"/>
  <c r="G783" i="39"/>
  <c r="E783" i="39"/>
  <c r="D783" i="39"/>
  <c r="B783" i="39"/>
  <c r="W782" i="39"/>
  <c r="V782" i="39"/>
  <c r="S782" i="39"/>
  <c r="R782" i="39"/>
  <c r="Q782" i="39"/>
  <c r="P782" i="39"/>
  <c r="O782" i="39"/>
  <c r="N782" i="39"/>
  <c r="M782" i="39"/>
  <c r="L782" i="39"/>
  <c r="K782" i="39"/>
  <c r="J782" i="39"/>
  <c r="I782" i="39"/>
  <c r="G782" i="39"/>
  <c r="E782" i="39"/>
  <c r="D782" i="39"/>
  <c r="B782" i="39"/>
  <c r="W781" i="39"/>
  <c r="V781" i="39"/>
  <c r="S781" i="39"/>
  <c r="R781" i="39"/>
  <c r="Q781" i="39"/>
  <c r="P781" i="39"/>
  <c r="O781" i="39"/>
  <c r="N781" i="39"/>
  <c r="M781" i="39"/>
  <c r="L781" i="39"/>
  <c r="K781" i="39"/>
  <c r="J781" i="39"/>
  <c r="I781" i="39"/>
  <c r="G781" i="39"/>
  <c r="E781" i="39"/>
  <c r="D781" i="39"/>
  <c r="B781" i="39"/>
  <c r="W780" i="39"/>
  <c r="V780" i="39"/>
  <c r="S780" i="39"/>
  <c r="R780" i="39"/>
  <c r="Q780" i="39"/>
  <c r="P780" i="39"/>
  <c r="O780" i="39"/>
  <c r="N780" i="39"/>
  <c r="M780" i="39"/>
  <c r="L780" i="39"/>
  <c r="K780" i="39"/>
  <c r="J780" i="39"/>
  <c r="I780" i="39"/>
  <c r="G780" i="39"/>
  <c r="E780" i="39"/>
  <c r="D780" i="39"/>
  <c r="B780" i="39"/>
  <c r="W779" i="39"/>
  <c r="V779" i="39"/>
  <c r="S779" i="39"/>
  <c r="R779" i="39"/>
  <c r="Q779" i="39"/>
  <c r="P779" i="39"/>
  <c r="O779" i="39"/>
  <c r="N779" i="39"/>
  <c r="M779" i="39"/>
  <c r="L779" i="39"/>
  <c r="K779" i="39"/>
  <c r="J779" i="39"/>
  <c r="I779" i="39"/>
  <c r="G779" i="39"/>
  <c r="E779" i="39"/>
  <c r="D779" i="39"/>
  <c r="B779" i="39"/>
  <c r="W778" i="39"/>
  <c r="V778" i="39"/>
  <c r="S778" i="39"/>
  <c r="R778" i="39"/>
  <c r="Q778" i="39"/>
  <c r="P778" i="39"/>
  <c r="O778" i="39"/>
  <c r="N778" i="39"/>
  <c r="M778" i="39"/>
  <c r="L778" i="39"/>
  <c r="K778" i="39"/>
  <c r="J778" i="39"/>
  <c r="I778" i="39"/>
  <c r="G778" i="39"/>
  <c r="E778" i="39"/>
  <c r="D778" i="39"/>
  <c r="B778" i="39"/>
  <c r="W777" i="39"/>
  <c r="V777" i="39"/>
  <c r="S777" i="39"/>
  <c r="R777" i="39"/>
  <c r="Q777" i="39"/>
  <c r="P777" i="39"/>
  <c r="O777" i="39"/>
  <c r="N777" i="39"/>
  <c r="M777" i="39"/>
  <c r="L777" i="39"/>
  <c r="K777" i="39"/>
  <c r="J777" i="39"/>
  <c r="I777" i="39"/>
  <c r="G777" i="39"/>
  <c r="E777" i="39"/>
  <c r="D777" i="39"/>
  <c r="B777" i="39"/>
  <c r="W776" i="39"/>
  <c r="V776" i="39"/>
  <c r="S776" i="39"/>
  <c r="R776" i="39"/>
  <c r="Q776" i="39"/>
  <c r="P776" i="39"/>
  <c r="O776" i="39"/>
  <c r="N776" i="39"/>
  <c r="M776" i="39"/>
  <c r="L776" i="39"/>
  <c r="K776" i="39"/>
  <c r="J776" i="39"/>
  <c r="I776" i="39"/>
  <c r="G776" i="39"/>
  <c r="E776" i="39"/>
  <c r="D776" i="39"/>
  <c r="B776" i="39"/>
  <c r="W775" i="39"/>
  <c r="V775" i="39"/>
  <c r="S775" i="39"/>
  <c r="R775" i="39"/>
  <c r="Q775" i="39"/>
  <c r="P775" i="39"/>
  <c r="O775" i="39"/>
  <c r="N775" i="39"/>
  <c r="M775" i="39"/>
  <c r="L775" i="39"/>
  <c r="K775" i="39"/>
  <c r="J775" i="39"/>
  <c r="I775" i="39"/>
  <c r="G775" i="39"/>
  <c r="E775" i="39"/>
  <c r="D775" i="39"/>
  <c r="B775" i="39"/>
  <c r="W774" i="39"/>
  <c r="V774" i="39"/>
  <c r="S774" i="39"/>
  <c r="R774" i="39"/>
  <c r="Q774" i="39"/>
  <c r="P774" i="39"/>
  <c r="O774" i="39"/>
  <c r="N774" i="39"/>
  <c r="M774" i="39"/>
  <c r="L774" i="39"/>
  <c r="K774" i="39"/>
  <c r="J774" i="39"/>
  <c r="I774" i="39"/>
  <c r="G774" i="39"/>
  <c r="E774" i="39"/>
  <c r="D774" i="39"/>
  <c r="B774" i="39"/>
  <c r="W773" i="39"/>
  <c r="V773" i="39"/>
  <c r="S773" i="39"/>
  <c r="R773" i="39"/>
  <c r="Q773" i="39"/>
  <c r="P773" i="39"/>
  <c r="O773" i="39"/>
  <c r="N773" i="39"/>
  <c r="M773" i="39"/>
  <c r="L773" i="39"/>
  <c r="K773" i="39"/>
  <c r="J773" i="39"/>
  <c r="I773" i="39"/>
  <c r="G773" i="39"/>
  <c r="E773" i="39"/>
  <c r="D773" i="39"/>
  <c r="B773" i="39"/>
  <c r="W772" i="39"/>
  <c r="V772" i="39"/>
  <c r="S772" i="39"/>
  <c r="R772" i="39"/>
  <c r="Q772" i="39"/>
  <c r="P772" i="39"/>
  <c r="O772" i="39"/>
  <c r="N772" i="39"/>
  <c r="M772" i="39"/>
  <c r="L772" i="39"/>
  <c r="K772" i="39"/>
  <c r="J772" i="39"/>
  <c r="I772" i="39"/>
  <c r="G772" i="39"/>
  <c r="E772" i="39"/>
  <c r="D772" i="39"/>
  <c r="B772" i="39"/>
  <c r="W771" i="39"/>
  <c r="V771" i="39"/>
  <c r="S771" i="39"/>
  <c r="R771" i="39"/>
  <c r="Q771" i="39"/>
  <c r="P771" i="39"/>
  <c r="O771" i="39"/>
  <c r="N771" i="39"/>
  <c r="M771" i="39"/>
  <c r="L771" i="39"/>
  <c r="K771" i="39"/>
  <c r="J771" i="39"/>
  <c r="I771" i="39"/>
  <c r="G771" i="39"/>
  <c r="E771" i="39"/>
  <c r="D771" i="39"/>
  <c r="B771" i="39"/>
  <c r="W770" i="39"/>
  <c r="V770" i="39"/>
  <c r="S770" i="39"/>
  <c r="R770" i="39"/>
  <c r="Q770" i="39"/>
  <c r="P770" i="39"/>
  <c r="O770" i="39"/>
  <c r="N770" i="39"/>
  <c r="M770" i="39"/>
  <c r="L770" i="39"/>
  <c r="K770" i="39"/>
  <c r="J770" i="39"/>
  <c r="I770" i="39"/>
  <c r="G770" i="39"/>
  <c r="E770" i="39"/>
  <c r="D770" i="39"/>
  <c r="B770" i="39"/>
  <c r="W769" i="39"/>
  <c r="V769" i="39"/>
  <c r="S769" i="39"/>
  <c r="R769" i="39"/>
  <c r="Q769" i="39"/>
  <c r="P769" i="39"/>
  <c r="O769" i="39"/>
  <c r="N769" i="39"/>
  <c r="M769" i="39"/>
  <c r="L769" i="39"/>
  <c r="K769" i="39"/>
  <c r="J769" i="39"/>
  <c r="I769" i="39"/>
  <c r="G769" i="39"/>
  <c r="E769" i="39"/>
  <c r="D769" i="39"/>
  <c r="B769" i="39"/>
  <c r="F766" i="39"/>
  <c r="E766" i="39"/>
  <c r="W765" i="39"/>
  <c r="V765" i="39"/>
  <c r="S765" i="39"/>
  <c r="R765" i="39"/>
  <c r="Q765" i="39"/>
  <c r="P765" i="39"/>
  <c r="O765" i="39"/>
  <c r="N765" i="39"/>
  <c r="M765" i="39"/>
  <c r="L765" i="39"/>
  <c r="K765" i="39"/>
  <c r="J765" i="39"/>
  <c r="I765" i="39"/>
  <c r="G765" i="39"/>
  <c r="E765" i="39"/>
  <c r="D765" i="39"/>
  <c r="B765" i="39"/>
  <c r="W761" i="39"/>
  <c r="V761" i="39"/>
  <c r="S761" i="39"/>
  <c r="R761" i="39"/>
  <c r="Q761" i="39"/>
  <c r="P761" i="39"/>
  <c r="O761" i="39"/>
  <c r="N761" i="39"/>
  <c r="M761" i="39"/>
  <c r="L761" i="39"/>
  <c r="K761" i="39"/>
  <c r="J761" i="39"/>
  <c r="I761" i="39"/>
  <c r="G761" i="39"/>
  <c r="E761" i="39"/>
  <c r="D761" i="39"/>
  <c r="B761" i="39"/>
  <c r="W759" i="39"/>
  <c r="V759" i="39"/>
  <c r="S759" i="39"/>
  <c r="R759" i="39"/>
  <c r="Q759" i="39"/>
  <c r="P759" i="39"/>
  <c r="O759" i="39"/>
  <c r="N759" i="39"/>
  <c r="M759" i="39"/>
  <c r="L759" i="39"/>
  <c r="K759" i="39"/>
  <c r="J759" i="39"/>
  <c r="I759" i="39"/>
  <c r="G759" i="39"/>
  <c r="E759" i="39"/>
  <c r="D759" i="39"/>
  <c r="B759" i="39"/>
  <c r="W758" i="39"/>
  <c r="V758" i="39"/>
  <c r="S758" i="39"/>
  <c r="R758" i="39"/>
  <c r="Q758" i="39"/>
  <c r="P758" i="39"/>
  <c r="O758" i="39"/>
  <c r="N758" i="39"/>
  <c r="M758" i="39"/>
  <c r="L758" i="39"/>
  <c r="K758" i="39"/>
  <c r="J758" i="39"/>
  <c r="I758" i="39"/>
  <c r="G758" i="39"/>
  <c r="E758" i="39"/>
  <c r="D758" i="39"/>
  <c r="B758" i="39"/>
  <c r="W757" i="39"/>
  <c r="V757" i="39"/>
  <c r="S757" i="39"/>
  <c r="R757" i="39"/>
  <c r="Q757" i="39"/>
  <c r="P757" i="39"/>
  <c r="O757" i="39"/>
  <c r="N757" i="39"/>
  <c r="M757" i="39"/>
  <c r="L757" i="39"/>
  <c r="K757" i="39"/>
  <c r="J757" i="39"/>
  <c r="I757" i="39"/>
  <c r="G757" i="39"/>
  <c r="E757" i="39"/>
  <c r="D757" i="39"/>
  <c r="B757" i="39"/>
  <c r="W756" i="39"/>
  <c r="V756" i="39"/>
  <c r="S756" i="39"/>
  <c r="R756" i="39"/>
  <c r="Q756" i="39"/>
  <c r="P756" i="39"/>
  <c r="O756" i="39"/>
  <c r="N756" i="39"/>
  <c r="M756" i="39"/>
  <c r="L756" i="39"/>
  <c r="K756" i="39"/>
  <c r="J756" i="39"/>
  <c r="I756" i="39"/>
  <c r="G756" i="39"/>
  <c r="E756" i="39"/>
  <c r="D756" i="39"/>
  <c r="B756" i="39"/>
  <c r="W755" i="39"/>
  <c r="V755" i="39"/>
  <c r="S755" i="39"/>
  <c r="R755" i="39"/>
  <c r="Q755" i="39"/>
  <c r="P755" i="39"/>
  <c r="O755" i="39"/>
  <c r="N755" i="39"/>
  <c r="M755" i="39"/>
  <c r="L755" i="39"/>
  <c r="K755" i="39"/>
  <c r="J755" i="39"/>
  <c r="I755" i="39"/>
  <c r="G755" i="39"/>
  <c r="E755" i="39"/>
  <c r="D755" i="39"/>
  <c r="B755" i="39"/>
  <c r="W754" i="39"/>
  <c r="V754" i="39"/>
  <c r="S754" i="39"/>
  <c r="R754" i="39"/>
  <c r="Q754" i="39"/>
  <c r="P754" i="39"/>
  <c r="O754" i="39"/>
  <c r="N754" i="39"/>
  <c r="M754" i="39"/>
  <c r="L754" i="39"/>
  <c r="K754" i="39"/>
  <c r="J754" i="39"/>
  <c r="I754" i="39"/>
  <c r="G754" i="39"/>
  <c r="E754" i="39"/>
  <c r="D754" i="39"/>
  <c r="B754" i="39"/>
  <c r="W753" i="39"/>
  <c r="V753" i="39"/>
  <c r="S753" i="39"/>
  <c r="R753" i="39"/>
  <c r="Q753" i="39"/>
  <c r="P753" i="39"/>
  <c r="O753" i="39"/>
  <c r="N753" i="39"/>
  <c r="M753" i="39"/>
  <c r="L753" i="39"/>
  <c r="K753" i="39"/>
  <c r="J753" i="39"/>
  <c r="I753" i="39"/>
  <c r="G753" i="39"/>
  <c r="E753" i="39"/>
  <c r="D753" i="39"/>
  <c r="B753" i="39"/>
  <c r="W752" i="39"/>
  <c r="V752" i="39"/>
  <c r="S752" i="39"/>
  <c r="R752" i="39"/>
  <c r="Q752" i="39"/>
  <c r="P752" i="39"/>
  <c r="O752" i="39"/>
  <c r="N752" i="39"/>
  <c r="M752" i="39"/>
  <c r="L752" i="39"/>
  <c r="K752" i="39"/>
  <c r="J752" i="39"/>
  <c r="I752" i="39"/>
  <c r="G752" i="39"/>
  <c r="E752" i="39"/>
  <c r="D752" i="39"/>
  <c r="B752" i="39"/>
  <c r="W751" i="39"/>
  <c r="V751" i="39"/>
  <c r="S751" i="39"/>
  <c r="R751" i="39"/>
  <c r="Q751" i="39"/>
  <c r="P751" i="39"/>
  <c r="O751" i="39"/>
  <c r="N751" i="39"/>
  <c r="M751" i="39"/>
  <c r="L751" i="39"/>
  <c r="K751" i="39"/>
  <c r="J751" i="39"/>
  <c r="I751" i="39"/>
  <c r="G751" i="39"/>
  <c r="E751" i="39"/>
  <c r="D751" i="39"/>
  <c r="B751" i="39"/>
  <c r="W750" i="39"/>
  <c r="V750" i="39"/>
  <c r="S750" i="39"/>
  <c r="R750" i="39"/>
  <c r="Q750" i="39"/>
  <c r="P750" i="39"/>
  <c r="O750" i="39"/>
  <c r="N750" i="39"/>
  <c r="M750" i="39"/>
  <c r="L750" i="39"/>
  <c r="K750" i="39"/>
  <c r="J750" i="39"/>
  <c r="I750" i="39"/>
  <c r="G750" i="39"/>
  <c r="E750" i="39"/>
  <c r="D750" i="39"/>
  <c r="B750" i="39"/>
  <c r="W749" i="39"/>
  <c r="V749" i="39"/>
  <c r="S749" i="39"/>
  <c r="R749" i="39"/>
  <c r="Q749" i="39"/>
  <c r="P749" i="39"/>
  <c r="O749" i="39"/>
  <c r="N749" i="39"/>
  <c r="M749" i="39"/>
  <c r="L749" i="39"/>
  <c r="K749" i="39"/>
  <c r="J749" i="39"/>
  <c r="I749" i="39"/>
  <c r="G749" i="39"/>
  <c r="E749" i="39"/>
  <c r="D749" i="39"/>
  <c r="B749" i="39"/>
  <c r="W748" i="39"/>
  <c r="V748" i="39"/>
  <c r="S748" i="39"/>
  <c r="R748" i="39"/>
  <c r="Q748" i="39"/>
  <c r="P748" i="39"/>
  <c r="O748" i="39"/>
  <c r="N748" i="39"/>
  <c r="M748" i="39"/>
  <c r="L748" i="39"/>
  <c r="K748" i="39"/>
  <c r="J748" i="39"/>
  <c r="I748" i="39"/>
  <c r="G748" i="39"/>
  <c r="E748" i="39"/>
  <c r="D748" i="39"/>
  <c r="B748" i="39"/>
  <c r="W747" i="39"/>
  <c r="V747" i="39"/>
  <c r="S747" i="39"/>
  <c r="R747" i="39"/>
  <c r="Q747" i="39"/>
  <c r="P747" i="39"/>
  <c r="O747" i="39"/>
  <c r="N747" i="39"/>
  <c r="M747" i="39"/>
  <c r="L747" i="39"/>
  <c r="K747" i="39"/>
  <c r="J747" i="39"/>
  <c r="I747" i="39"/>
  <c r="G747" i="39"/>
  <c r="E747" i="39"/>
  <c r="D747" i="39"/>
  <c r="B747" i="39"/>
  <c r="W746" i="39"/>
  <c r="V746" i="39"/>
  <c r="S746" i="39"/>
  <c r="R746" i="39"/>
  <c r="Q746" i="39"/>
  <c r="P746" i="39"/>
  <c r="O746" i="39"/>
  <c r="N746" i="39"/>
  <c r="M746" i="39"/>
  <c r="L746" i="39"/>
  <c r="K746" i="39"/>
  <c r="J746" i="39"/>
  <c r="I746" i="39"/>
  <c r="G746" i="39"/>
  <c r="E746" i="39"/>
  <c r="D746" i="39"/>
  <c r="B746" i="39"/>
  <c r="W745" i="39"/>
  <c r="V745" i="39"/>
  <c r="S745" i="39"/>
  <c r="R745" i="39"/>
  <c r="Q745" i="39"/>
  <c r="P745" i="39"/>
  <c r="O745" i="39"/>
  <c r="N745" i="39"/>
  <c r="M745" i="39"/>
  <c r="L745" i="39"/>
  <c r="K745" i="39"/>
  <c r="J745" i="39"/>
  <c r="I745" i="39"/>
  <c r="G745" i="39"/>
  <c r="E745" i="39"/>
  <c r="D745" i="39"/>
  <c r="B745" i="39"/>
  <c r="W744" i="39"/>
  <c r="V744" i="39"/>
  <c r="S744" i="39"/>
  <c r="R744" i="39"/>
  <c r="Q744" i="39"/>
  <c r="P744" i="39"/>
  <c r="O744" i="39"/>
  <c r="N744" i="39"/>
  <c r="M744" i="39"/>
  <c r="L744" i="39"/>
  <c r="K744" i="39"/>
  <c r="J744" i="39"/>
  <c r="I744" i="39"/>
  <c r="G744" i="39"/>
  <c r="E744" i="39"/>
  <c r="D744" i="39"/>
  <c r="B744" i="39"/>
  <c r="W743" i="39"/>
  <c r="V743" i="39"/>
  <c r="S743" i="39"/>
  <c r="R743" i="39"/>
  <c r="Q743" i="39"/>
  <c r="P743" i="39"/>
  <c r="O743" i="39"/>
  <c r="N743" i="39"/>
  <c r="M743" i="39"/>
  <c r="L743" i="39"/>
  <c r="K743" i="39"/>
  <c r="J743" i="39"/>
  <c r="I743" i="39"/>
  <c r="G743" i="39"/>
  <c r="E743" i="39"/>
  <c r="D743" i="39"/>
  <c r="B743" i="39"/>
  <c r="W742" i="39"/>
  <c r="V742" i="39"/>
  <c r="S742" i="39"/>
  <c r="R742" i="39"/>
  <c r="Q742" i="39"/>
  <c r="P742" i="39"/>
  <c r="O742" i="39"/>
  <c r="N742" i="39"/>
  <c r="M742" i="39"/>
  <c r="L742" i="39"/>
  <c r="K742" i="39"/>
  <c r="J742" i="39"/>
  <c r="I742" i="39"/>
  <c r="G742" i="39"/>
  <c r="E742" i="39"/>
  <c r="D742" i="39"/>
  <c r="B742" i="39"/>
  <c r="W741" i="39"/>
  <c r="V741" i="39"/>
  <c r="S741" i="39"/>
  <c r="R741" i="39"/>
  <c r="Q741" i="39"/>
  <c r="P741" i="39"/>
  <c r="O741" i="39"/>
  <c r="N741" i="39"/>
  <c r="M741" i="39"/>
  <c r="L741" i="39"/>
  <c r="K741" i="39"/>
  <c r="J741" i="39"/>
  <c r="I741" i="39"/>
  <c r="G741" i="39"/>
  <c r="E741" i="39"/>
  <c r="D741" i="39"/>
  <c r="B741" i="39"/>
  <c r="F738" i="39"/>
  <c r="E738" i="39"/>
  <c r="W737" i="39"/>
  <c r="V737" i="39"/>
  <c r="S737" i="39"/>
  <c r="R737" i="39"/>
  <c r="Q737" i="39"/>
  <c r="P737" i="39"/>
  <c r="O737" i="39"/>
  <c r="N737" i="39"/>
  <c r="M737" i="39"/>
  <c r="L737" i="39"/>
  <c r="K737" i="39"/>
  <c r="J737" i="39"/>
  <c r="I737" i="39"/>
  <c r="G737" i="39"/>
  <c r="E737" i="39"/>
  <c r="D737" i="39"/>
  <c r="B737" i="39"/>
  <c r="W725" i="39"/>
  <c r="V725" i="39"/>
  <c r="S725" i="39"/>
  <c r="R725" i="39"/>
  <c r="Q725" i="39"/>
  <c r="P725" i="39"/>
  <c r="O725" i="39"/>
  <c r="N725" i="39"/>
  <c r="M725" i="39"/>
  <c r="L725" i="39"/>
  <c r="K725" i="39"/>
  <c r="J725" i="39"/>
  <c r="I725" i="39"/>
  <c r="G725" i="39"/>
  <c r="E725" i="39"/>
  <c r="D725" i="39"/>
  <c r="B725" i="39"/>
  <c r="W724" i="39"/>
  <c r="V724" i="39"/>
  <c r="S724" i="39"/>
  <c r="R724" i="39"/>
  <c r="Q724" i="39"/>
  <c r="P724" i="39"/>
  <c r="O724" i="39"/>
  <c r="N724" i="39"/>
  <c r="M724" i="39"/>
  <c r="L724" i="39"/>
  <c r="K724" i="39"/>
  <c r="J724" i="39"/>
  <c r="I724" i="39"/>
  <c r="G724" i="39"/>
  <c r="E724" i="39"/>
  <c r="D724" i="39"/>
  <c r="B724" i="39"/>
  <c r="W723" i="39"/>
  <c r="V723" i="39"/>
  <c r="S723" i="39"/>
  <c r="R723" i="39"/>
  <c r="Q723" i="39"/>
  <c r="P723" i="39"/>
  <c r="O723" i="39"/>
  <c r="N723" i="39"/>
  <c r="M723" i="39"/>
  <c r="L723" i="39"/>
  <c r="K723" i="39"/>
  <c r="J723" i="39"/>
  <c r="I723" i="39"/>
  <c r="G723" i="39"/>
  <c r="E723" i="39"/>
  <c r="D723" i="39"/>
  <c r="B723" i="39"/>
  <c r="W722" i="39"/>
  <c r="V722" i="39"/>
  <c r="S722" i="39"/>
  <c r="R722" i="39"/>
  <c r="Q722" i="39"/>
  <c r="P722" i="39"/>
  <c r="O722" i="39"/>
  <c r="N722" i="39"/>
  <c r="M722" i="39"/>
  <c r="L722" i="39"/>
  <c r="K722" i="39"/>
  <c r="J722" i="39"/>
  <c r="I722" i="39"/>
  <c r="G722" i="39"/>
  <c r="E722" i="39"/>
  <c r="D722" i="39"/>
  <c r="B722" i="39"/>
  <c r="W721" i="39"/>
  <c r="V721" i="39"/>
  <c r="S721" i="39"/>
  <c r="R721" i="39"/>
  <c r="Q721" i="39"/>
  <c r="P721" i="39"/>
  <c r="O721" i="39"/>
  <c r="N721" i="39"/>
  <c r="M721" i="39"/>
  <c r="L721" i="39"/>
  <c r="K721" i="39"/>
  <c r="J721" i="39"/>
  <c r="I721" i="39"/>
  <c r="G721" i="39"/>
  <c r="E721" i="39"/>
  <c r="D721" i="39"/>
  <c r="B721" i="39"/>
  <c r="W720" i="39"/>
  <c r="V720" i="39"/>
  <c r="S720" i="39"/>
  <c r="R720" i="39"/>
  <c r="Q720" i="39"/>
  <c r="P720" i="39"/>
  <c r="O720" i="39"/>
  <c r="N720" i="39"/>
  <c r="M720" i="39"/>
  <c r="L720" i="39"/>
  <c r="K720" i="39"/>
  <c r="J720" i="39"/>
  <c r="I720" i="39"/>
  <c r="G720" i="39"/>
  <c r="E720" i="39"/>
  <c r="D720" i="39"/>
  <c r="B720" i="39"/>
  <c r="W719" i="39"/>
  <c r="V719" i="39"/>
  <c r="S719" i="39"/>
  <c r="R719" i="39"/>
  <c r="Q719" i="39"/>
  <c r="P719" i="39"/>
  <c r="O719" i="39"/>
  <c r="N719" i="39"/>
  <c r="M719" i="39"/>
  <c r="L719" i="39"/>
  <c r="K719" i="39"/>
  <c r="J719" i="39"/>
  <c r="I719" i="39"/>
  <c r="G719" i="39"/>
  <c r="E719" i="39"/>
  <c r="D719" i="39"/>
  <c r="B719" i="39"/>
  <c r="W718" i="39"/>
  <c r="V718" i="39"/>
  <c r="S718" i="39"/>
  <c r="R718" i="39"/>
  <c r="Q718" i="39"/>
  <c r="P718" i="39"/>
  <c r="O718" i="39"/>
  <c r="N718" i="39"/>
  <c r="M718" i="39"/>
  <c r="L718" i="39"/>
  <c r="K718" i="39"/>
  <c r="J718" i="39"/>
  <c r="I718" i="39"/>
  <c r="G718" i="39"/>
  <c r="E718" i="39"/>
  <c r="D718" i="39"/>
  <c r="B718" i="39"/>
  <c r="W717" i="39"/>
  <c r="V717" i="39"/>
  <c r="S717" i="39"/>
  <c r="R717" i="39"/>
  <c r="Q717" i="39"/>
  <c r="P717" i="39"/>
  <c r="O717" i="39"/>
  <c r="N717" i="39"/>
  <c r="M717" i="39"/>
  <c r="L717" i="39"/>
  <c r="K717" i="39"/>
  <c r="J717" i="39"/>
  <c r="I717" i="39"/>
  <c r="G717" i="39"/>
  <c r="E717" i="39"/>
  <c r="D717" i="39"/>
  <c r="B717" i="39"/>
  <c r="W716" i="39"/>
  <c r="V716" i="39"/>
  <c r="S716" i="39"/>
  <c r="R716" i="39"/>
  <c r="Q716" i="39"/>
  <c r="P716" i="39"/>
  <c r="O716" i="39"/>
  <c r="N716" i="39"/>
  <c r="M716" i="39"/>
  <c r="L716" i="39"/>
  <c r="K716" i="39"/>
  <c r="J716" i="39"/>
  <c r="I716" i="39"/>
  <c r="G716" i="39"/>
  <c r="E716" i="39"/>
  <c r="D716" i="39"/>
  <c r="B716" i="39"/>
  <c r="W715" i="39"/>
  <c r="V715" i="39"/>
  <c r="S715" i="39"/>
  <c r="R715" i="39"/>
  <c r="Q715" i="39"/>
  <c r="P715" i="39"/>
  <c r="O715" i="39"/>
  <c r="N715" i="39"/>
  <c r="M715" i="39"/>
  <c r="L715" i="39"/>
  <c r="K715" i="39"/>
  <c r="J715" i="39"/>
  <c r="I715" i="39"/>
  <c r="G715" i="39"/>
  <c r="E715" i="39"/>
  <c r="D715" i="39"/>
  <c r="B715" i="39"/>
  <c r="W714" i="39"/>
  <c r="V714" i="39"/>
  <c r="S714" i="39"/>
  <c r="R714" i="39"/>
  <c r="Q714" i="39"/>
  <c r="P714" i="39"/>
  <c r="O714" i="39"/>
  <c r="N714" i="39"/>
  <c r="M714" i="39"/>
  <c r="L714" i="39"/>
  <c r="K714" i="39"/>
  <c r="J714" i="39"/>
  <c r="I714" i="39"/>
  <c r="G714" i="39"/>
  <c r="E714" i="39"/>
  <c r="D714" i="39"/>
  <c r="B714" i="39"/>
  <c r="W713" i="39"/>
  <c r="V713" i="39"/>
  <c r="S713" i="39"/>
  <c r="R713" i="39"/>
  <c r="Q713" i="39"/>
  <c r="P713" i="39"/>
  <c r="O713" i="39"/>
  <c r="N713" i="39"/>
  <c r="M713" i="39"/>
  <c r="L713" i="39"/>
  <c r="K713" i="39"/>
  <c r="J713" i="39"/>
  <c r="I713" i="39"/>
  <c r="G713" i="39"/>
  <c r="E713" i="39"/>
  <c r="D713" i="39"/>
  <c r="B713" i="39"/>
  <c r="F710" i="39"/>
  <c r="E710" i="39"/>
  <c r="W709" i="39"/>
  <c r="V709" i="39"/>
  <c r="S709" i="39"/>
  <c r="R709" i="39"/>
  <c r="Q709" i="39"/>
  <c r="P709" i="39"/>
  <c r="O709" i="39"/>
  <c r="N709" i="39"/>
  <c r="M709" i="39"/>
  <c r="L709" i="39"/>
  <c r="K709" i="39"/>
  <c r="J709" i="39"/>
  <c r="I709" i="39"/>
  <c r="G709" i="39"/>
  <c r="E709" i="39"/>
  <c r="D709" i="39"/>
  <c r="B709" i="39"/>
  <c r="W705" i="39"/>
  <c r="V705" i="39"/>
  <c r="S705" i="39"/>
  <c r="R705" i="39"/>
  <c r="Q705" i="39"/>
  <c r="P705" i="39"/>
  <c r="O705" i="39"/>
  <c r="N705" i="39"/>
  <c r="M705" i="39"/>
  <c r="L705" i="39"/>
  <c r="K705" i="39"/>
  <c r="J705" i="39"/>
  <c r="I705" i="39"/>
  <c r="G705" i="39"/>
  <c r="E705" i="39"/>
  <c r="D705" i="39"/>
  <c r="B705" i="39"/>
  <c r="W703" i="39"/>
  <c r="V703" i="39"/>
  <c r="S703" i="39"/>
  <c r="R703" i="39"/>
  <c r="Q703" i="39"/>
  <c r="P703" i="39"/>
  <c r="O703" i="39"/>
  <c r="N703" i="39"/>
  <c r="M703" i="39"/>
  <c r="L703" i="39"/>
  <c r="K703" i="39"/>
  <c r="J703" i="39"/>
  <c r="I703" i="39"/>
  <c r="G703" i="39"/>
  <c r="E703" i="39"/>
  <c r="D703" i="39"/>
  <c r="B703" i="39"/>
  <c r="W702" i="39"/>
  <c r="V702" i="39"/>
  <c r="S702" i="39"/>
  <c r="R702" i="39"/>
  <c r="Q702" i="39"/>
  <c r="P702" i="39"/>
  <c r="O702" i="39"/>
  <c r="N702" i="39"/>
  <c r="M702" i="39"/>
  <c r="L702" i="39"/>
  <c r="K702" i="39"/>
  <c r="J702" i="39"/>
  <c r="I702" i="39"/>
  <c r="G702" i="39"/>
  <c r="E702" i="39"/>
  <c r="D702" i="39"/>
  <c r="B702" i="39"/>
  <c r="W701" i="39"/>
  <c r="V701" i="39"/>
  <c r="S701" i="39"/>
  <c r="R701" i="39"/>
  <c r="Q701" i="39"/>
  <c r="P701" i="39"/>
  <c r="O701" i="39"/>
  <c r="N701" i="39"/>
  <c r="M701" i="39"/>
  <c r="L701" i="39"/>
  <c r="K701" i="39"/>
  <c r="J701" i="39"/>
  <c r="I701" i="39"/>
  <c r="G701" i="39"/>
  <c r="E701" i="39"/>
  <c r="D701" i="39"/>
  <c r="B701" i="39"/>
  <c r="W700" i="39"/>
  <c r="V700" i="39"/>
  <c r="S700" i="39"/>
  <c r="R700" i="39"/>
  <c r="Q700" i="39"/>
  <c r="P700" i="39"/>
  <c r="O700" i="39"/>
  <c r="N700" i="39"/>
  <c r="M700" i="39"/>
  <c r="L700" i="39"/>
  <c r="K700" i="39"/>
  <c r="J700" i="39"/>
  <c r="I700" i="39"/>
  <c r="G700" i="39"/>
  <c r="E700" i="39"/>
  <c r="D700" i="39"/>
  <c r="B700" i="39"/>
  <c r="W699" i="39"/>
  <c r="V699" i="39"/>
  <c r="S699" i="39"/>
  <c r="R699" i="39"/>
  <c r="Q699" i="39"/>
  <c r="P699" i="39"/>
  <c r="O699" i="39"/>
  <c r="N699" i="39"/>
  <c r="M699" i="39"/>
  <c r="L699" i="39"/>
  <c r="K699" i="39"/>
  <c r="J699" i="39"/>
  <c r="I699" i="39"/>
  <c r="G699" i="39"/>
  <c r="E699" i="39"/>
  <c r="D699" i="39"/>
  <c r="B699" i="39"/>
  <c r="W698" i="39"/>
  <c r="V698" i="39"/>
  <c r="S698" i="39"/>
  <c r="R698" i="39"/>
  <c r="Q698" i="39"/>
  <c r="P698" i="39"/>
  <c r="O698" i="39"/>
  <c r="N698" i="39"/>
  <c r="M698" i="39"/>
  <c r="L698" i="39"/>
  <c r="K698" i="39"/>
  <c r="J698" i="39"/>
  <c r="I698" i="39"/>
  <c r="G698" i="39"/>
  <c r="E698" i="39"/>
  <c r="D698" i="39"/>
  <c r="B698" i="39"/>
  <c r="W697" i="39"/>
  <c r="V697" i="39"/>
  <c r="S697" i="39"/>
  <c r="R697" i="39"/>
  <c r="Q697" i="39"/>
  <c r="P697" i="39"/>
  <c r="O697" i="39"/>
  <c r="N697" i="39"/>
  <c r="M697" i="39"/>
  <c r="L697" i="39"/>
  <c r="K697" i="39"/>
  <c r="J697" i="39"/>
  <c r="I697" i="39"/>
  <c r="G697" i="39"/>
  <c r="E697" i="39"/>
  <c r="D697" i="39"/>
  <c r="B697" i="39"/>
  <c r="W696" i="39"/>
  <c r="V696" i="39"/>
  <c r="S696" i="39"/>
  <c r="R696" i="39"/>
  <c r="Q696" i="39"/>
  <c r="P696" i="39"/>
  <c r="O696" i="39"/>
  <c r="N696" i="39"/>
  <c r="M696" i="39"/>
  <c r="L696" i="39"/>
  <c r="K696" i="39"/>
  <c r="J696" i="39"/>
  <c r="I696" i="39"/>
  <c r="G696" i="39"/>
  <c r="E696" i="39"/>
  <c r="D696" i="39"/>
  <c r="B696" i="39"/>
  <c r="W695" i="39"/>
  <c r="V695" i="39"/>
  <c r="S695" i="39"/>
  <c r="R695" i="39"/>
  <c r="Q695" i="39"/>
  <c r="P695" i="39"/>
  <c r="O695" i="39"/>
  <c r="N695" i="39"/>
  <c r="M695" i="39"/>
  <c r="L695" i="39"/>
  <c r="K695" i="39"/>
  <c r="J695" i="39"/>
  <c r="I695" i="39"/>
  <c r="G695" i="39"/>
  <c r="E695" i="39"/>
  <c r="D695" i="39"/>
  <c r="B695" i="39"/>
  <c r="W694" i="39"/>
  <c r="V694" i="39"/>
  <c r="S694" i="39"/>
  <c r="R694" i="39"/>
  <c r="Q694" i="39"/>
  <c r="P694" i="39"/>
  <c r="O694" i="39"/>
  <c r="N694" i="39"/>
  <c r="M694" i="39"/>
  <c r="L694" i="39"/>
  <c r="K694" i="39"/>
  <c r="J694" i="39"/>
  <c r="I694" i="39"/>
  <c r="G694" i="39"/>
  <c r="E694" i="39"/>
  <c r="D694" i="39"/>
  <c r="B694" i="39"/>
  <c r="W693" i="39"/>
  <c r="V693" i="39"/>
  <c r="S693" i="39"/>
  <c r="R693" i="39"/>
  <c r="Q693" i="39"/>
  <c r="P693" i="39"/>
  <c r="O693" i="39"/>
  <c r="N693" i="39"/>
  <c r="M693" i="39"/>
  <c r="L693" i="39"/>
  <c r="K693" i="39"/>
  <c r="J693" i="39"/>
  <c r="I693" i="39"/>
  <c r="G693" i="39"/>
  <c r="E693" i="39"/>
  <c r="D693" i="39"/>
  <c r="B693" i="39"/>
  <c r="W692" i="39"/>
  <c r="V692" i="39"/>
  <c r="S692" i="39"/>
  <c r="R692" i="39"/>
  <c r="Q692" i="39"/>
  <c r="P692" i="39"/>
  <c r="O692" i="39"/>
  <c r="N692" i="39"/>
  <c r="M692" i="39"/>
  <c r="L692" i="39"/>
  <c r="K692" i="39"/>
  <c r="J692" i="39"/>
  <c r="I692" i="39"/>
  <c r="G692" i="39"/>
  <c r="E692" i="39"/>
  <c r="D692" i="39"/>
  <c r="B692" i="39"/>
  <c r="W691" i="39"/>
  <c r="V691" i="39"/>
  <c r="S691" i="39"/>
  <c r="R691" i="39"/>
  <c r="Q691" i="39"/>
  <c r="P691" i="39"/>
  <c r="O691" i="39"/>
  <c r="N691" i="39"/>
  <c r="M691" i="39"/>
  <c r="L691" i="39"/>
  <c r="K691" i="39"/>
  <c r="J691" i="39"/>
  <c r="I691" i="39"/>
  <c r="G691" i="39"/>
  <c r="E691" i="39"/>
  <c r="D691" i="39"/>
  <c r="B691" i="39"/>
  <c r="W690" i="39"/>
  <c r="V690" i="39"/>
  <c r="S690" i="39"/>
  <c r="R690" i="39"/>
  <c r="Q690" i="39"/>
  <c r="P690" i="39"/>
  <c r="O690" i="39"/>
  <c r="N690" i="39"/>
  <c r="M690" i="39"/>
  <c r="L690" i="39"/>
  <c r="K690" i="39"/>
  <c r="J690" i="39"/>
  <c r="I690" i="39"/>
  <c r="G690" i="39"/>
  <c r="E690" i="39"/>
  <c r="D690" i="39"/>
  <c r="B690" i="39"/>
  <c r="W689" i="39"/>
  <c r="V689" i="39"/>
  <c r="S689" i="39"/>
  <c r="R689" i="39"/>
  <c r="Q689" i="39"/>
  <c r="P689" i="39"/>
  <c r="O689" i="39"/>
  <c r="N689" i="39"/>
  <c r="M689" i="39"/>
  <c r="L689" i="39"/>
  <c r="K689" i="39"/>
  <c r="J689" i="39"/>
  <c r="I689" i="39"/>
  <c r="G689" i="39"/>
  <c r="E689" i="39"/>
  <c r="D689" i="39"/>
  <c r="B689" i="39"/>
  <c r="W688" i="39"/>
  <c r="V688" i="39"/>
  <c r="S688" i="39"/>
  <c r="R688" i="39"/>
  <c r="Q688" i="39"/>
  <c r="P688" i="39"/>
  <c r="O688" i="39"/>
  <c r="N688" i="39"/>
  <c r="M688" i="39"/>
  <c r="L688" i="39"/>
  <c r="K688" i="39"/>
  <c r="J688" i="39"/>
  <c r="I688" i="39"/>
  <c r="G688" i="39"/>
  <c r="E688" i="39"/>
  <c r="D688" i="39"/>
  <c r="B688" i="39"/>
  <c r="W687" i="39"/>
  <c r="V687" i="39"/>
  <c r="S687" i="39"/>
  <c r="R687" i="39"/>
  <c r="Q687" i="39"/>
  <c r="P687" i="39"/>
  <c r="O687" i="39"/>
  <c r="N687" i="39"/>
  <c r="M687" i="39"/>
  <c r="L687" i="39"/>
  <c r="K687" i="39"/>
  <c r="J687" i="39"/>
  <c r="I687" i="39"/>
  <c r="G687" i="39"/>
  <c r="E687" i="39"/>
  <c r="D687" i="39"/>
  <c r="B687" i="39"/>
  <c r="W686" i="39"/>
  <c r="V686" i="39"/>
  <c r="S686" i="39"/>
  <c r="R686" i="39"/>
  <c r="Q686" i="39"/>
  <c r="P686" i="39"/>
  <c r="O686" i="39"/>
  <c r="N686" i="39"/>
  <c r="M686" i="39"/>
  <c r="L686" i="39"/>
  <c r="K686" i="39"/>
  <c r="J686" i="39"/>
  <c r="I686" i="39"/>
  <c r="G686" i="39"/>
  <c r="E686" i="39"/>
  <c r="D686" i="39"/>
  <c r="B686" i="39"/>
  <c r="W685" i="39"/>
  <c r="V685" i="39"/>
  <c r="S685" i="39"/>
  <c r="R685" i="39"/>
  <c r="Q685" i="39"/>
  <c r="P685" i="39"/>
  <c r="O685" i="39"/>
  <c r="N685" i="39"/>
  <c r="M685" i="39"/>
  <c r="L685" i="39"/>
  <c r="K685" i="39"/>
  <c r="J685" i="39"/>
  <c r="I685" i="39"/>
  <c r="G685" i="39"/>
  <c r="E685" i="39"/>
  <c r="D685" i="39"/>
  <c r="B685" i="39"/>
  <c r="F682" i="39"/>
  <c r="E682" i="39"/>
  <c r="W681" i="39"/>
  <c r="V681" i="39"/>
  <c r="S681" i="39"/>
  <c r="R681" i="39"/>
  <c r="Q681" i="39"/>
  <c r="P681" i="39"/>
  <c r="O681" i="39"/>
  <c r="N681" i="39"/>
  <c r="M681" i="39"/>
  <c r="L681" i="39"/>
  <c r="K681" i="39"/>
  <c r="J681" i="39"/>
  <c r="I681" i="39"/>
  <c r="G681" i="39"/>
  <c r="E681" i="39"/>
  <c r="D681" i="39"/>
  <c r="B681" i="39"/>
  <c r="W677" i="39"/>
  <c r="V677" i="39"/>
  <c r="S677" i="39"/>
  <c r="R677" i="39"/>
  <c r="Q677" i="39"/>
  <c r="P677" i="39"/>
  <c r="O677" i="39"/>
  <c r="N677" i="39"/>
  <c r="M677" i="39"/>
  <c r="L677" i="39"/>
  <c r="K677" i="39"/>
  <c r="J677" i="39"/>
  <c r="I677" i="39"/>
  <c r="G677" i="39"/>
  <c r="E677" i="39"/>
  <c r="D677" i="39"/>
  <c r="B677" i="39"/>
  <c r="W675" i="39"/>
  <c r="V675" i="39"/>
  <c r="S675" i="39"/>
  <c r="R675" i="39"/>
  <c r="Q675" i="39"/>
  <c r="P675" i="39"/>
  <c r="O675" i="39"/>
  <c r="N675" i="39"/>
  <c r="M675" i="39"/>
  <c r="L675" i="39"/>
  <c r="K675" i="39"/>
  <c r="J675" i="39"/>
  <c r="I675" i="39"/>
  <c r="G675" i="39"/>
  <c r="E675" i="39"/>
  <c r="D675" i="39"/>
  <c r="B675" i="39"/>
  <c r="W674" i="39"/>
  <c r="V674" i="39"/>
  <c r="S674" i="39"/>
  <c r="R674" i="39"/>
  <c r="Q674" i="39"/>
  <c r="P674" i="39"/>
  <c r="O674" i="39"/>
  <c r="N674" i="39"/>
  <c r="M674" i="39"/>
  <c r="L674" i="39"/>
  <c r="K674" i="39"/>
  <c r="J674" i="39"/>
  <c r="I674" i="39"/>
  <c r="G674" i="39"/>
  <c r="E674" i="39"/>
  <c r="D674" i="39"/>
  <c r="B674" i="39"/>
  <c r="W673" i="39"/>
  <c r="V673" i="39"/>
  <c r="S673" i="39"/>
  <c r="R673" i="39"/>
  <c r="Q673" i="39"/>
  <c r="P673" i="39"/>
  <c r="O673" i="39"/>
  <c r="N673" i="39"/>
  <c r="M673" i="39"/>
  <c r="L673" i="39"/>
  <c r="K673" i="39"/>
  <c r="J673" i="39"/>
  <c r="I673" i="39"/>
  <c r="G673" i="39"/>
  <c r="E673" i="39"/>
  <c r="D673" i="39"/>
  <c r="B673" i="39"/>
  <c r="W672" i="39"/>
  <c r="V672" i="39"/>
  <c r="S672" i="39"/>
  <c r="R672" i="39"/>
  <c r="Q672" i="39"/>
  <c r="P672" i="39"/>
  <c r="O672" i="39"/>
  <c r="N672" i="39"/>
  <c r="M672" i="39"/>
  <c r="L672" i="39"/>
  <c r="K672" i="39"/>
  <c r="J672" i="39"/>
  <c r="I672" i="39"/>
  <c r="G672" i="39"/>
  <c r="E672" i="39"/>
  <c r="D672" i="39"/>
  <c r="B672" i="39"/>
  <c r="W671" i="39"/>
  <c r="V671" i="39"/>
  <c r="S671" i="39"/>
  <c r="R671" i="39"/>
  <c r="Q671" i="39"/>
  <c r="P671" i="39"/>
  <c r="O671" i="39"/>
  <c r="N671" i="39"/>
  <c r="M671" i="39"/>
  <c r="L671" i="39"/>
  <c r="K671" i="39"/>
  <c r="J671" i="39"/>
  <c r="I671" i="39"/>
  <c r="G671" i="39"/>
  <c r="E671" i="39"/>
  <c r="D671" i="39"/>
  <c r="B671" i="39"/>
  <c r="W670" i="39"/>
  <c r="V670" i="39"/>
  <c r="S670" i="39"/>
  <c r="R670" i="39"/>
  <c r="Q670" i="39"/>
  <c r="P670" i="39"/>
  <c r="O670" i="39"/>
  <c r="N670" i="39"/>
  <c r="M670" i="39"/>
  <c r="L670" i="39"/>
  <c r="K670" i="39"/>
  <c r="J670" i="39"/>
  <c r="I670" i="39"/>
  <c r="G670" i="39"/>
  <c r="E670" i="39"/>
  <c r="D670" i="39"/>
  <c r="B670" i="39"/>
  <c r="W669" i="39"/>
  <c r="V669" i="39"/>
  <c r="S669" i="39"/>
  <c r="R669" i="39"/>
  <c r="Q669" i="39"/>
  <c r="P669" i="39"/>
  <c r="O669" i="39"/>
  <c r="N669" i="39"/>
  <c r="M669" i="39"/>
  <c r="L669" i="39"/>
  <c r="K669" i="39"/>
  <c r="J669" i="39"/>
  <c r="I669" i="39"/>
  <c r="G669" i="39"/>
  <c r="E669" i="39"/>
  <c r="D669" i="39"/>
  <c r="B669" i="39"/>
  <c r="W668" i="39"/>
  <c r="V668" i="39"/>
  <c r="S668" i="39"/>
  <c r="R668" i="39"/>
  <c r="Q668" i="39"/>
  <c r="P668" i="39"/>
  <c r="O668" i="39"/>
  <c r="N668" i="39"/>
  <c r="M668" i="39"/>
  <c r="L668" i="39"/>
  <c r="K668" i="39"/>
  <c r="J668" i="39"/>
  <c r="I668" i="39"/>
  <c r="G668" i="39"/>
  <c r="E668" i="39"/>
  <c r="D668" i="39"/>
  <c r="B668" i="39"/>
  <c r="W667" i="39"/>
  <c r="V667" i="39"/>
  <c r="S667" i="39"/>
  <c r="R667" i="39"/>
  <c r="Q667" i="39"/>
  <c r="P667" i="39"/>
  <c r="O667" i="39"/>
  <c r="N667" i="39"/>
  <c r="M667" i="39"/>
  <c r="L667" i="39"/>
  <c r="K667" i="39"/>
  <c r="J667" i="39"/>
  <c r="I667" i="39"/>
  <c r="G667" i="39"/>
  <c r="E667" i="39"/>
  <c r="D667" i="39"/>
  <c r="B667" i="39"/>
  <c r="W666" i="39"/>
  <c r="V666" i="39"/>
  <c r="S666" i="39"/>
  <c r="R666" i="39"/>
  <c r="Q666" i="39"/>
  <c r="P666" i="39"/>
  <c r="O666" i="39"/>
  <c r="N666" i="39"/>
  <c r="M666" i="39"/>
  <c r="L666" i="39"/>
  <c r="K666" i="39"/>
  <c r="J666" i="39"/>
  <c r="I666" i="39"/>
  <c r="G666" i="39"/>
  <c r="E666" i="39"/>
  <c r="D666" i="39"/>
  <c r="B666" i="39"/>
  <c r="W665" i="39"/>
  <c r="V665" i="39"/>
  <c r="S665" i="39"/>
  <c r="R665" i="39"/>
  <c r="Q665" i="39"/>
  <c r="P665" i="39"/>
  <c r="O665" i="39"/>
  <c r="N665" i="39"/>
  <c r="M665" i="39"/>
  <c r="L665" i="39"/>
  <c r="K665" i="39"/>
  <c r="J665" i="39"/>
  <c r="I665" i="39"/>
  <c r="G665" i="39"/>
  <c r="E665" i="39"/>
  <c r="D665" i="39"/>
  <c r="B665" i="39"/>
  <c r="W664" i="39"/>
  <c r="V664" i="39"/>
  <c r="S664" i="39"/>
  <c r="R664" i="39"/>
  <c r="Q664" i="39"/>
  <c r="P664" i="39"/>
  <c r="O664" i="39"/>
  <c r="N664" i="39"/>
  <c r="M664" i="39"/>
  <c r="L664" i="39"/>
  <c r="K664" i="39"/>
  <c r="J664" i="39"/>
  <c r="I664" i="39"/>
  <c r="G664" i="39"/>
  <c r="E664" i="39"/>
  <c r="D664" i="39"/>
  <c r="B664" i="39"/>
  <c r="W663" i="39"/>
  <c r="V663" i="39"/>
  <c r="S663" i="39"/>
  <c r="R663" i="39"/>
  <c r="Q663" i="39"/>
  <c r="P663" i="39"/>
  <c r="O663" i="39"/>
  <c r="N663" i="39"/>
  <c r="M663" i="39"/>
  <c r="L663" i="39"/>
  <c r="K663" i="39"/>
  <c r="J663" i="39"/>
  <c r="I663" i="39"/>
  <c r="G663" i="39"/>
  <c r="E663" i="39"/>
  <c r="D663" i="39"/>
  <c r="B663" i="39"/>
  <c r="W662" i="39"/>
  <c r="V662" i="39"/>
  <c r="S662" i="39"/>
  <c r="R662" i="39"/>
  <c r="Q662" i="39"/>
  <c r="P662" i="39"/>
  <c r="O662" i="39"/>
  <c r="N662" i="39"/>
  <c r="M662" i="39"/>
  <c r="L662" i="39"/>
  <c r="K662" i="39"/>
  <c r="J662" i="39"/>
  <c r="I662" i="39"/>
  <c r="G662" i="39"/>
  <c r="E662" i="39"/>
  <c r="D662" i="39"/>
  <c r="B662" i="39"/>
  <c r="W661" i="39"/>
  <c r="V661" i="39"/>
  <c r="S661" i="39"/>
  <c r="R661" i="39"/>
  <c r="Q661" i="39"/>
  <c r="P661" i="39"/>
  <c r="O661" i="39"/>
  <c r="N661" i="39"/>
  <c r="M661" i="39"/>
  <c r="L661" i="39"/>
  <c r="K661" i="39"/>
  <c r="J661" i="39"/>
  <c r="I661" i="39"/>
  <c r="G661" i="39"/>
  <c r="E661" i="39"/>
  <c r="D661" i="39"/>
  <c r="B661" i="39"/>
  <c r="W660" i="39"/>
  <c r="V660" i="39"/>
  <c r="S660" i="39"/>
  <c r="R660" i="39"/>
  <c r="Q660" i="39"/>
  <c r="P660" i="39"/>
  <c r="O660" i="39"/>
  <c r="N660" i="39"/>
  <c r="M660" i="39"/>
  <c r="L660" i="39"/>
  <c r="K660" i="39"/>
  <c r="J660" i="39"/>
  <c r="I660" i="39"/>
  <c r="G660" i="39"/>
  <c r="E660" i="39"/>
  <c r="D660" i="39"/>
  <c r="B660" i="39"/>
  <c r="W659" i="39"/>
  <c r="V659" i="39"/>
  <c r="S659" i="39"/>
  <c r="R659" i="39"/>
  <c r="Q659" i="39"/>
  <c r="P659" i="39"/>
  <c r="O659" i="39"/>
  <c r="N659" i="39"/>
  <c r="M659" i="39"/>
  <c r="L659" i="39"/>
  <c r="K659" i="39"/>
  <c r="J659" i="39"/>
  <c r="I659" i="39"/>
  <c r="G659" i="39"/>
  <c r="E659" i="39"/>
  <c r="D659" i="39"/>
  <c r="B659" i="39"/>
  <c r="W658" i="39"/>
  <c r="V658" i="39"/>
  <c r="S658" i="39"/>
  <c r="R658" i="39"/>
  <c r="Q658" i="39"/>
  <c r="P658" i="39"/>
  <c r="O658" i="39"/>
  <c r="N658" i="39"/>
  <c r="M658" i="39"/>
  <c r="L658" i="39"/>
  <c r="K658" i="39"/>
  <c r="J658" i="39"/>
  <c r="I658" i="39"/>
  <c r="G658" i="39"/>
  <c r="E658" i="39"/>
  <c r="D658" i="39"/>
  <c r="B658" i="39"/>
  <c r="W657" i="39"/>
  <c r="V657" i="39"/>
  <c r="S657" i="39"/>
  <c r="R657" i="39"/>
  <c r="Q657" i="39"/>
  <c r="P657" i="39"/>
  <c r="O657" i="39"/>
  <c r="N657" i="39"/>
  <c r="M657" i="39"/>
  <c r="L657" i="39"/>
  <c r="K657" i="39"/>
  <c r="J657" i="39"/>
  <c r="I657" i="39"/>
  <c r="G657" i="39"/>
  <c r="E657" i="39"/>
  <c r="D657" i="39"/>
  <c r="B657" i="39"/>
  <c r="F654" i="39"/>
  <c r="E654" i="39"/>
  <c r="W653" i="39"/>
  <c r="V653" i="39"/>
  <c r="S653" i="39"/>
  <c r="R653" i="39"/>
  <c r="Q653" i="39"/>
  <c r="P653" i="39"/>
  <c r="O653" i="39"/>
  <c r="N653" i="39"/>
  <c r="M653" i="39"/>
  <c r="L653" i="39"/>
  <c r="K653" i="39"/>
  <c r="J653" i="39"/>
  <c r="I653" i="39"/>
  <c r="G653" i="39"/>
  <c r="E653" i="39"/>
  <c r="D653" i="39"/>
  <c r="B653" i="39"/>
  <c r="W649" i="39"/>
  <c r="V649" i="39"/>
  <c r="S649" i="39"/>
  <c r="R649" i="39"/>
  <c r="Q649" i="39"/>
  <c r="P649" i="39"/>
  <c r="O649" i="39"/>
  <c r="N649" i="39"/>
  <c r="M649" i="39"/>
  <c r="L649" i="39"/>
  <c r="K649" i="39"/>
  <c r="J649" i="39"/>
  <c r="I649" i="39"/>
  <c r="G649" i="39"/>
  <c r="E649" i="39"/>
  <c r="D649" i="39"/>
  <c r="B649" i="39"/>
  <c r="W647" i="39"/>
  <c r="V647" i="39"/>
  <c r="S647" i="39"/>
  <c r="R647" i="39"/>
  <c r="Q647" i="39"/>
  <c r="P647" i="39"/>
  <c r="O647" i="39"/>
  <c r="N647" i="39"/>
  <c r="M647" i="39"/>
  <c r="L647" i="39"/>
  <c r="K647" i="39"/>
  <c r="J647" i="39"/>
  <c r="I647" i="39"/>
  <c r="G647" i="39"/>
  <c r="E647" i="39"/>
  <c r="D647" i="39"/>
  <c r="B647" i="39"/>
  <c r="W646" i="39"/>
  <c r="V646" i="39"/>
  <c r="S646" i="39"/>
  <c r="R646" i="39"/>
  <c r="Q646" i="39"/>
  <c r="P646" i="39"/>
  <c r="O646" i="39"/>
  <c r="N646" i="39"/>
  <c r="M646" i="39"/>
  <c r="L646" i="39"/>
  <c r="K646" i="39"/>
  <c r="J646" i="39"/>
  <c r="I646" i="39"/>
  <c r="G646" i="39"/>
  <c r="E646" i="39"/>
  <c r="D646" i="39"/>
  <c r="B646" i="39"/>
  <c r="W645" i="39"/>
  <c r="V645" i="39"/>
  <c r="S645" i="39"/>
  <c r="R645" i="39"/>
  <c r="Q645" i="39"/>
  <c r="P645" i="39"/>
  <c r="O645" i="39"/>
  <c r="N645" i="39"/>
  <c r="M645" i="39"/>
  <c r="L645" i="39"/>
  <c r="K645" i="39"/>
  <c r="J645" i="39"/>
  <c r="I645" i="39"/>
  <c r="G645" i="39"/>
  <c r="E645" i="39"/>
  <c r="D645" i="39"/>
  <c r="B645" i="39"/>
  <c r="W644" i="39"/>
  <c r="V644" i="39"/>
  <c r="S644" i="39"/>
  <c r="R644" i="39"/>
  <c r="Q644" i="39"/>
  <c r="P644" i="39"/>
  <c r="O644" i="39"/>
  <c r="N644" i="39"/>
  <c r="M644" i="39"/>
  <c r="L644" i="39"/>
  <c r="K644" i="39"/>
  <c r="J644" i="39"/>
  <c r="I644" i="39"/>
  <c r="G644" i="39"/>
  <c r="E644" i="39"/>
  <c r="D644" i="39"/>
  <c r="B644" i="39"/>
  <c r="W643" i="39"/>
  <c r="V643" i="39"/>
  <c r="S643" i="39"/>
  <c r="R643" i="39"/>
  <c r="Q643" i="39"/>
  <c r="P643" i="39"/>
  <c r="O643" i="39"/>
  <c r="N643" i="39"/>
  <c r="M643" i="39"/>
  <c r="L643" i="39"/>
  <c r="K643" i="39"/>
  <c r="J643" i="39"/>
  <c r="I643" i="39"/>
  <c r="G643" i="39"/>
  <c r="E643" i="39"/>
  <c r="D643" i="39"/>
  <c r="B643" i="39"/>
  <c r="W642" i="39"/>
  <c r="V642" i="39"/>
  <c r="S642" i="39"/>
  <c r="R642" i="39"/>
  <c r="Q642" i="39"/>
  <c r="P642" i="39"/>
  <c r="O642" i="39"/>
  <c r="N642" i="39"/>
  <c r="M642" i="39"/>
  <c r="L642" i="39"/>
  <c r="K642" i="39"/>
  <c r="J642" i="39"/>
  <c r="I642" i="39"/>
  <c r="G642" i="39"/>
  <c r="E642" i="39"/>
  <c r="D642" i="39"/>
  <c r="B642" i="39"/>
  <c r="W641" i="39"/>
  <c r="V641" i="39"/>
  <c r="S641" i="39"/>
  <c r="R641" i="39"/>
  <c r="Q641" i="39"/>
  <c r="P641" i="39"/>
  <c r="O641" i="39"/>
  <c r="N641" i="39"/>
  <c r="M641" i="39"/>
  <c r="L641" i="39"/>
  <c r="K641" i="39"/>
  <c r="J641" i="39"/>
  <c r="I641" i="39"/>
  <c r="G641" i="39"/>
  <c r="E641" i="39"/>
  <c r="D641" i="39"/>
  <c r="B641" i="39"/>
  <c r="W640" i="39"/>
  <c r="V640" i="39"/>
  <c r="S640" i="39"/>
  <c r="R640" i="39"/>
  <c r="Q640" i="39"/>
  <c r="P640" i="39"/>
  <c r="O640" i="39"/>
  <c r="N640" i="39"/>
  <c r="M640" i="39"/>
  <c r="L640" i="39"/>
  <c r="K640" i="39"/>
  <c r="J640" i="39"/>
  <c r="I640" i="39"/>
  <c r="G640" i="39"/>
  <c r="E640" i="39"/>
  <c r="D640" i="39"/>
  <c r="B640" i="39"/>
  <c r="W639" i="39"/>
  <c r="V639" i="39"/>
  <c r="S639" i="39"/>
  <c r="R639" i="39"/>
  <c r="Q639" i="39"/>
  <c r="P639" i="39"/>
  <c r="O639" i="39"/>
  <c r="N639" i="39"/>
  <c r="M639" i="39"/>
  <c r="L639" i="39"/>
  <c r="K639" i="39"/>
  <c r="J639" i="39"/>
  <c r="I639" i="39"/>
  <c r="G639" i="39"/>
  <c r="E639" i="39"/>
  <c r="D639" i="39"/>
  <c r="B639" i="39"/>
  <c r="W638" i="39"/>
  <c r="V638" i="39"/>
  <c r="S638" i="39"/>
  <c r="R638" i="39"/>
  <c r="Q638" i="39"/>
  <c r="P638" i="39"/>
  <c r="O638" i="39"/>
  <c r="N638" i="39"/>
  <c r="M638" i="39"/>
  <c r="L638" i="39"/>
  <c r="K638" i="39"/>
  <c r="J638" i="39"/>
  <c r="I638" i="39"/>
  <c r="G638" i="39"/>
  <c r="E638" i="39"/>
  <c r="D638" i="39"/>
  <c r="B638" i="39"/>
  <c r="W637" i="39"/>
  <c r="V637" i="39"/>
  <c r="S637" i="39"/>
  <c r="R637" i="39"/>
  <c r="Q637" i="39"/>
  <c r="P637" i="39"/>
  <c r="O637" i="39"/>
  <c r="N637" i="39"/>
  <c r="M637" i="39"/>
  <c r="L637" i="39"/>
  <c r="K637" i="39"/>
  <c r="J637" i="39"/>
  <c r="I637" i="39"/>
  <c r="G637" i="39"/>
  <c r="E637" i="39"/>
  <c r="D637" i="39"/>
  <c r="B637" i="39"/>
  <c r="W636" i="39"/>
  <c r="V636" i="39"/>
  <c r="S636" i="39"/>
  <c r="R636" i="39"/>
  <c r="Q636" i="39"/>
  <c r="P636" i="39"/>
  <c r="O636" i="39"/>
  <c r="N636" i="39"/>
  <c r="M636" i="39"/>
  <c r="L636" i="39"/>
  <c r="K636" i="39"/>
  <c r="J636" i="39"/>
  <c r="I636" i="39"/>
  <c r="G636" i="39"/>
  <c r="E636" i="39"/>
  <c r="D636" i="39"/>
  <c r="B636" i="39"/>
  <c r="W635" i="39"/>
  <c r="V635" i="39"/>
  <c r="S635" i="39"/>
  <c r="R635" i="39"/>
  <c r="Q635" i="39"/>
  <c r="P635" i="39"/>
  <c r="O635" i="39"/>
  <c r="N635" i="39"/>
  <c r="M635" i="39"/>
  <c r="L635" i="39"/>
  <c r="K635" i="39"/>
  <c r="J635" i="39"/>
  <c r="I635" i="39"/>
  <c r="G635" i="39"/>
  <c r="E635" i="39"/>
  <c r="D635" i="39"/>
  <c r="B635" i="39"/>
  <c r="W634" i="39"/>
  <c r="V634" i="39"/>
  <c r="S634" i="39"/>
  <c r="R634" i="39"/>
  <c r="Q634" i="39"/>
  <c r="P634" i="39"/>
  <c r="O634" i="39"/>
  <c r="N634" i="39"/>
  <c r="M634" i="39"/>
  <c r="L634" i="39"/>
  <c r="K634" i="39"/>
  <c r="J634" i="39"/>
  <c r="I634" i="39"/>
  <c r="G634" i="39"/>
  <c r="E634" i="39"/>
  <c r="D634" i="39"/>
  <c r="B634" i="39"/>
  <c r="W633" i="39"/>
  <c r="V633" i="39"/>
  <c r="S633" i="39"/>
  <c r="R633" i="39"/>
  <c r="Q633" i="39"/>
  <c r="P633" i="39"/>
  <c r="O633" i="39"/>
  <c r="N633" i="39"/>
  <c r="M633" i="39"/>
  <c r="L633" i="39"/>
  <c r="K633" i="39"/>
  <c r="J633" i="39"/>
  <c r="I633" i="39"/>
  <c r="G633" i="39"/>
  <c r="E633" i="39"/>
  <c r="D633" i="39"/>
  <c r="B633" i="39"/>
  <c r="W632" i="39"/>
  <c r="V632" i="39"/>
  <c r="S632" i="39"/>
  <c r="R632" i="39"/>
  <c r="Q632" i="39"/>
  <c r="P632" i="39"/>
  <c r="O632" i="39"/>
  <c r="N632" i="39"/>
  <c r="M632" i="39"/>
  <c r="L632" i="39"/>
  <c r="K632" i="39"/>
  <c r="J632" i="39"/>
  <c r="I632" i="39"/>
  <c r="G632" i="39"/>
  <c r="E632" i="39"/>
  <c r="D632" i="39"/>
  <c r="B632" i="39"/>
  <c r="W631" i="39"/>
  <c r="V631" i="39"/>
  <c r="S631" i="39"/>
  <c r="R631" i="39"/>
  <c r="Q631" i="39"/>
  <c r="P631" i="39"/>
  <c r="O631" i="39"/>
  <c r="N631" i="39"/>
  <c r="M631" i="39"/>
  <c r="L631" i="39"/>
  <c r="K631" i="39"/>
  <c r="J631" i="39"/>
  <c r="I631" i="39"/>
  <c r="G631" i="39"/>
  <c r="E631" i="39"/>
  <c r="D631" i="39"/>
  <c r="B631" i="39"/>
  <c r="W630" i="39"/>
  <c r="V630" i="39"/>
  <c r="S630" i="39"/>
  <c r="R630" i="39"/>
  <c r="Q630" i="39"/>
  <c r="P630" i="39"/>
  <c r="O630" i="39"/>
  <c r="N630" i="39"/>
  <c r="M630" i="39"/>
  <c r="L630" i="39"/>
  <c r="K630" i="39"/>
  <c r="J630" i="39"/>
  <c r="I630" i="39"/>
  <c r="G630" i="39"/>
  <c r="E630" i="39"/>
  <c r="D630" i="39"/>
  <c r="B630" i="39"/>
  <c r="W629" i="39"/>
  <c r="V629" i="39"/>
  <c r="S629" i="39"/>
  <c r="R629" i="39"/>
  <c r="Q629" i="39"/>
  <c r="P629" i="39"/>
  <c r="O629" i="39"/>
  <c r="N629" i="39"/>
  <c r="M629" i="39"/>
  <c r="L629" i="39"/>
  <c r="K629" i="39"/>
  <c r="J629" i="39"/>
  <c r="I629" i="39"/>
  <c r="G629" i="39"/>
  <c r="E629" i="39"/>
  <c r="D629" i="39"/>
  <c r="B629" i="39"/>
  <c r="E626" i="39"/>
  <c r="W625" i="39"/>
  <c r="V625" i="39"/>
  <c r="S625" i="39"/>
  <c r="R625" i="39"/>
  <c r="Q625" i="39"/>
  <c r="P625" i="39"/>
  <c r="O625" i="39"/>
  <c r="N625" i="39"/>
  <c r="M625" i="39"/>
  <c r="L625" i="39"/>
  <c r="K625" i="39"/>
  <c r="J625" i="39"/>
  <c r="I625" i="39"/>
  <c r="G625" i="39"/>
  <c r="E625" i="39"/>
  <c r="D625" i="39"/>
  <c r="B625" i="39"/>
  <c r="W621" i="39"/>
  <c r="V621" i="39"/>
  <c r="S621" i="39"/>
  <c r="R621" i="39"/>
  <c r="Q621" i="39"/>
  <c r="P621" i="39"/>
  <c r="O621" i="39"/>
  <c r="N621" i="39"/>
  <c r="M621" i="39"/>
  <c r="L621" i="39"/>
  <c r="K621" i="39"/>
  <c r="J621" i="39"/>
  <c r="I621" i="39"/>
  <c r="G621" i="39"/>
  <c r="E621" i="39"/>
  <c r="D621" i="39"/>
  <c r="B621" i="39"/>
  <c r="W619" i="39"/>
  <c r="V619" i="39"/>
  <c r="S619" i="39"/>
  <c r="R619" i="39"/>
  <c r="Q619" i="39"/>
  <c r="P619" i="39"/>
  <c r="O619" i="39"/>
  <c r="N619" i="39"/>
  <c r="M619" i="39"/>
  <c r="L619" i="39"/>
  <c r="K619" i="39"/>
  <c r="J619" i="39"/>
  <c r="I619" i="39"/>
  <c r="G619" i="39"/>
  <c r="E619" i="39"/>
  <c r="D619" i="39"/>
  <c r="B619" i="39"/>
  <c r="W618" i="39"/>
  <c r="V618" i="39"/>
  <c r="S618" i="39"/>
  <c r="R618" i="39"/>
  <c r="Q618" i="39"/>
  <c r="P618" i="39"/>
  <c r="O618" i="39"/>
  <c r="N618" i="39"/>
  <c r="M618" i="39"/>
  <c r="L618" i="39"/>
  <c r="K618" i="39"/>
  <c r="J618" i="39"/>
  <c r="I618" i="39"/>
  <c r="G618" i="39"/>
  <c r="E618" i="39"/>
  <c r="D618" i="39"/>
  <c r="B618" i="39"/>
  <c r="W617" i="39"/>
  <c r="V617" i="39"/>
  <c r="S617" i="39"/>
  <c r="R617" i="39"/>
  <c r="Q617" i="39"/>
  <c r="P617" i="39"/>
  <c r="O617" i="39"/>
  <c r="N617" i="39"/>
  <c r="M617" i="39"/>
  <c r="L617" i="39"/>
  <c r="K617" i="39"/>
  <c r="J617" i="39"/>
  <c r="I617" i="39"/>
  <c r="G617" i="39"/>
  <c r="E617" i="39"/>
  <c r="D617" i="39"/>
  <c r="B617" i="39"/>
  <c r="W616" i="39"/>
  <c r="V616" i="39"/>
  <c r="S616" i="39"/>
  <c r="R616" i="39"/>
  <c r="Q616" i="39"/>
  <c r="P616" i="39"/>
  <c r="O616" i="39"/>
  <c r="N616" i="39"/>
  <c r="M616" i="39"/>
  <c r="L616" i="39"/>
  <c r="K616" i="39"/>
  <c r="J616" i="39"/>
  <c r="I616" i="39"/>
  <c r="G616" i="39"/>
  <c r="E616" i="39"/>
  <c r="D616" i="39"/>
  <c r="B616" i="39"/>
  <c r="W615" i="39"/>
  <c r="V615" i="39"/>
  <c r="S615" i="39"/>
  <c r="R615" i="39"/>
  <c r="Q615" i="39"/>
  <c r="P615" i="39"/>
  <c r="O615" i="39"/>
  <c r="N615" i="39"/>
  <c r="M615" i="39"/>
  <c r="L615" i="39"/>
  <c r="K615" i="39"/>
  <c r="J615" i="39"/>
  <c r="I615" i="39"/>
  <c r="G615" i="39"/>
  <c r="E615" i="39"/>
  <c r="D615" i="39"/>
  <c r="B615" i="39"/>
  <c r="W614" i="39"/>
  <c r="V614" i="39"/>
  <c r="S614" i="39"/>
  <c r="R614" i="39"/>
  <c r="Q614" i="39"/>
  <c r="P614" i="39"/>
  <c r="O614" i="39"/>
  <c r="N614" i="39"/>
  <c r="M614" i="39"/>
  <c r="L614" i="39"/>
  <c r="K614" i="39"/>
  <c r="J614" i="39"/>
  <c r="I614" i="39"/>
  <c r="G614" i="39"/>
  <c r="E614" i="39"/>
  <c r="D614" i="39"/>
  <c r="B614" i="39"/>
  <c r="W613" i="39"/>
  <c r="V613" i="39"/>
  <c r="S613" i="39"/>
  <c r="R613" i="39"/>
  <c r="Q613" i="39"/>
  <c r="P613" i="39"/>
  <c r="O613" i="39"/>
  <c r="N613" i="39"/>
  <c r="M613" i="39"/>
  <c r="L613" i="39"/>
  <c r="K613" i="39"/>
  <c r="J613" i="39"/>
  <c r="I613" i="39"/>
  <c r="G613" i="39"/>
  <c r="E613" i="39"/>
  <c r="D613" i="39"/>
  <c r="B613" i="39"/>
  <c r="W612" i="39"/>
  <c r="V612" i="39"/>
  <c r="S612" i="39"/>
  <c r="R612" i="39"/>
  <c r="Q612" i="39"/>
  <c r="P612" i="39"/>
  <c r="O612" i="39"/>
  <c r="N612" i="39"/>
  <c r="M612" i="39"/>
  <c r="L612" i="39"/>
  <c r="K612" i="39"/>
  <c r="J612" i="39"/>
  <c r="I612" i="39"/>
  <c r="G612" i="39"/>
  <c r="E612" i="39"/>
  <c r="D612" i="39"/>
  <c r="B612" i="39"/>
  <c r="W611" i="39"/>
  <c r="V611" i="39"/>
  <c r="S611" i="39"/>
  <c r="R611" i="39"/>
  <c r="Q611" i="39"/>
  <c r="P611" i="39"/>
  <c r="O611" i="39"/>
  <c r="N611" i="39"/>
  <c r="M611" i="39"/>
  <c r="L611" i="39"/>
  <c r="K611" i="39"/>
  <c r="J611" i="39"/>
  <c r="I611" i="39"/>
  <c r="G611" i="39"/>
  <c r="E611" i="39"/>
  <c r="D611" i="39"/>
  <c r="B611" i="39"/>
  <c r="W610" i="39"/>
  <c r="V610" i="39"/>
  <c r="S610" i="39"/>
  <c r="R610" i="39"/>
  <c r="Q610" i="39"/>
  <c r="P610" i="39"/>
  <c r="O610" i="39"/>
  <c r="N610" i="39"/>
  <c r="M610" i="39"/>
  <c r="L610" i="39"/>
  <c r="K610" i="39"/>
  <c r="J610" i="39"/>
  <c r="I610" i="39"/>
  <c r="G610" i="39"/>
  <c r="E610" i="39"/>
  <c r="D610" i="39"/>
  <c r="B610" i="39"/>
  <c r="W609" i="39"/>
  <c r="V609" i="39"/>
  <c r="S609" i="39"/>
  <c r="R609" i="39"/>
  <c r="Q609" i="39"/>
  <c r="P609" i="39"/>
  <c r="O609" i="39"/>
  <c r="N609" i="39"/>
  <c r="M609" i="39"/>
  <c r="L609" i="39"/>
  <c r="K609" i="39"/>
  <c r="J609" i="39"/>
  <c r="I609" i="39"/>
  <c r="G609" i="39"/>
  <c r="E609" i="39"/>
  <c r="D609" i="39"/>
  <c r="B609" i="39"/>
  <c r="W608" i="39"/>
  <c r="V608" i="39"/>
  <c r="S608" i="39"/>
  <c r="R608" i="39"/>
  <c r="Q608" i="39"/>
  <c r="P608" i="39"/>
  <c r="O608" i="39"/>
  <c r="N608" i="39"/>
  <c r="M608" i="39"/>
  <c r="L608" i="39"/>
  <c r="K608" i="39"/>
  <c r="J608" i="39"/>
  <c r="I608" i="39"/>
  <c r="G608" i="39"/>
  <c r="E608" i="39"/>
  <c r="D608" i="39"/>
  <c r="B608" i="39"/>
  <c r="W607" i="39"/>
  <c r="V607" i="39"/>
  <c r="S607" i="39"/>
  <c r="R607" i="39"/>
  <c r="Q607" i="39"/>
  <c r="P607" i="39"/>
  <c r="O607" i="39"/>
  <c r="N607" i="39"/>
  <c r="M607" i="39"/>
  <c r="L607" i="39"/>
  <c r="K607" i="39"/>
  <c r="J607" i="39"/>
  <c r="I607" i="39"/>
  <c r="G607" i="39"/>
  <c r="E607" i="39"/>
  <c r="D607" i="39"/>
  <c r="B607" i="39"/>
  <c r="W606" i="39"/>
  <c r="V606" i="39"/>
  <c r="S606" i="39"/>
  <c r="R606" i="39"/>
  <c r="Q606" i="39"/>
  <c r="P606" i="39"/>
  <c r="O606" i="39"/>
  <c r="N606" i="39"/>
  <c r="M606" i="39"/>
  <c r="L606" i="39"/>
  <c r="K606" i="39"/>
  <c r="J606" i="39"/>
  <c r="I606" i="39"/>
  <c r="G606" i="39"/>
  <c r="E606" i="39"/>
  <c r="D606" i="39"/>
  <c r="B606" i="39"/>
  <c r="W605" i="39"/>
  <c r="V605" i="39"/>
  <c r="S605" i="39"/>
  <c r="R605" i="39"/>
  <c r="Q605" i="39"/>
  <c r="P605" i="39"/>
  <c r="O605" i="39"/>
  <c r="N605" i="39"/>
  <c r="M605" i="39"/>
  <c r="L605" i="39"/>
  <c r="K605" i="39"/>
  <c r="J605" i="39"/>
  <c r="I605" i="39"/>
  <c r="G605" i="39"/>
  <c r="E605" i="39"/>
  <c r="D605" i="39"/>
  <c r="B605" i="39"/>
  <c r="W604" i="39"/>
  <c r="V604" i="39"/>
  <c r="S604" i="39"/>
  <c r="R604" i="39"/>
  <c r="Q604" i="39"/>
  <c r="P604" i="39"/>
  <c r="O604" i="39"/>
  <c r="N604" i="39"/>
  <c r="M604" i="39"/>
  <c r="L604" i="39"/>
  <c r="K604" i="39"/>
  <c r="J604" i="39"/>
  <c r="I604" i="39"/>
  <c r="G604" i="39"/>
  <c r="E604" i="39"/>
  <c r="D604" i="39"/>
  <c r="B604" i="39"/>
  <c r="W603" i="39"/>
  <c r="V603" i="39"/>
  <c r="S603" i="39"/>
  <c r="R603" i="39"/>
  <c r="Q603" i="39"/>
  <c r="P603" i="39"/>
  <c r="O603" i="39"/>
  <c r="N603" i="39"/>
  <c r="M603" i="39"/>
  <c r="L603" i="39"/>
  <c r="K603" i="39"/>
  <c r="J603" i="39"/>
  <c r="I603" i="39"/>
  <c r="G603" i="39"/>
  <c r="E603" i="39"/>
  <c r="D603" i="39"/>
  <c r="B603" i="39"/>
  <c r="W602" i="39"/>
  <c r="V602" i="39"/>
  <c r="S602" i="39"/>
  <c r="R602" i="39"/>
  <c r="Q602" i="39"/>
  <c r="P602" i="39"/>
  <c r="O602" i="39"/>
  <c r="N602" i="39"/>
  <c r="M602" i="39"/>
  <c r="L602" i="39"/>
  <c r="K602" i="39"/>
  <c r="J602" i="39"/>
  <c r="I602" i="39"/>
  <c r="G602" i="39"/>
  <c r="E602" i="39"/>
  <c r="D602" i="39"/>
  <c r="B602" i="39"/>
  <c r="W601" i="39"/>
  <c r="V601" i="39"/>
  <c r="S601" i="39"/>
  <c r="R601" i="39"/>
  <c r="Q601" i="39"/>
  <c r="P601" i="39"/>
  <c r="O601" i="39"/>
  <c r="N601" i="39"/>
  <c r="M601" i="39"/>
  <c r="L601" i="39"/>
  <c r="K601" i="39"/>
  <c r="J601" i="39"/>
  <c r="I601" i="39"/>
  <c r="G601" i="39"/>
  <c r="E601" i="39"/>
  <c r="D601" i="39"/>
  <c r="B601" i="39"/>
  <c r="F598" i="39"/>
  <c r="E598" i="39"/>
  <c r="W597" i="39"/>
  <c r="V597" i="39"/>
  <c r="S597" i="39"/>
  <c r="R597" i="39"/>
  <c r="Q597" i="39"/>
  <c r="P597" i="39"/>
  <c r="O597" i="39"/>
  <c r="N597" i="39"/>
  <c r="M597" i="39"/>
  <c r="L597" i="39"/>
  <c r="K597" i="39"/>
  <c r="J597" i="39"/>
  <c r="I597" i="39"/>
  <c r="G597" i="39"/>
  <c r="E597" i="39"/>
  <c r="D597" i="39"/>
  <c r="B597" i="39"/>
  <c r="W593" i="39"/>
  <c r="V593" i="39"/>
  <c r="S593" i="39"/>
  <c r="R593" i="39"/>
  <c r="Q593" i="39"/>
  <c r="P593" i="39"/>
  <c r="O593" i="39"/>
  <c r="N593" i="39"/>
  <c r="M593" i="39"/>
  <c r="L593" i="39"/>
  <c r="K593" i="39"/>
  <c r="J593" i="39"/>
  <c r="I593" i="39"/>
  <c r="G593" i="39"/>
  <c r="E593" i="39"/>
  <c r="D593" i="39"/>
  <c r="B593" i="39"/>
  <c r="W591" i="39"/>
  <c r="V591" i="39"/>
  <c r="S591" i="39"/>
  <c r="R591" i="39"/>
  <c r="Q591" i="39"/>
  <c r="P591" i="39"/>
  <c r="O591" i="39"/>
  <c r="N591" i="39"/>
  <c r="M591" i="39"/>
  <c r="L591" i="39"/>
  <c r="K591" i="39"/>
  <c r="J591" i="39"/>
  <c r="I591" i="39"/>
  <c r="G591" i="39"/>
  <c r="E591" i="39"/>
  <c r="D591" i="39"/>
  <c r="B591" i="39"/>
  <c r="W590" i="39"/>
  <c r="V590" i="39"/>
  <c r="S590" i="39"/>
  <c r="R590" i="39"/>
  <c r="Q590" i="39"/>
  <c r="P590" i="39"/>
  <c r="O590" i="39"/>
  <c r="N590" i="39"/>
  <c r="M590" i="39"/>
  <c r="L590" i="39"/>
  <c r="K590" i="39"/>
  <c r="J590" i="39"/>
  <c r="I590" i="39"/>
  <c r="G590" i="39"/>
  <c r="E590" i="39"/>
  <c r="D590" i="39"/>
  <c r="B590" i="39"/>
  <c r="W589" i="39"/>
  <c r="V589" i="39"/>
  <c r="S589" i="39"/>
  <c r="R589" i="39"/>
  <c r="Q589" i="39"/>
  <c r="P589" i="39"/>
  <c r="O589" i="39"/>
  <c r="N589" i="39"/>
  <c r="M589" i="39"/>
  <c r="L589" i="39"/>
  <c r="K589" i="39"/>
  <c r="J589" i="39"/>
  <c r="I589" i="39"/>
  <c r="G589" i="39"/>
  <c r="E589" i="39"/>
  <c r="D589" i="39"/>
  <c r="B589" i="39"/>
  <c r="W588" i="39"/>
  <c r="V588" i="39"/>
  <c r="S588" i="39"/>
  <c r="R588" i="39"/>
  <c r="Q588" i="39"/>
  <c r="P588" i="39"/>
  <c r="O588" i="39"/>
  <c r="N588" i="39"/>
  <c r="M588" i="39"/>
  <c r="L588" i="39"/>
  <c r="K588" i="39"/>
  <c r="J588" i="39"/>
  <c r="I588" i="39"/>
  <c r="G588" i="39"/>
  <c r="E588" i="39"/>
  <c r="D588" i="39"/>
  <c r="B588" i="39"/>
  <c r="W587" i="39"/>
  <c r="V587" i="39"/>
  <c r="S587" i="39"/>
  <c r="R587" i="39"/>
  <c r="Q587" i="39"/>
  <c r="P587" i="39"/>
  <c r="O587" i="39"/>
  <c r="N587" i="39"/>
  <c r="M587" i="39"/>
  <c r="L587" i="39"/>
  <c r="K587" i="39"/>
  <c r="J587" i="39"/>
  <c r="I587" i="39"/>
  <c r="G587" i="39"/>
  <c r="E587" i="39"/>
  <c r="D587" i="39"/>
  <c r="B587" i="39"/>
  <c r="W586" i="39"/>
  <c r="V586" i="39"/>
  <c r="S586" i="39"/>
  <c r="R586" i="39"/>
  <c r="Q586" i="39"/>
  <c r="P586" i="39"/>
  <c r="O586" i="39"/>
  <c r="N586" i="39"/>
  <c r="M586" i="39"/>
  <c r="L586" i="39"/>
  <c r="K586" i="39"/>
  <c r="J586" i="39"/>
  <c r="I586" i="39"/>
  <c r="G586" i="39"/>
  <c r="E586" i="39"/>
  <c r="D586" i="39"/>
  <c r="B586" i="39"/>
  <c r="W585" i="39"/>
  <c r="V585" i="39"/>
  <c r="S585" i="39"/>
  <c r="R585" i="39"/>
  <c r="Q585" i="39"/>
  <c r="P585" i="39"/>
  <c r="O585" i="39"/>
  <c r="N585" i="39"/>
  <c r="M585" i="39"/>
  <c r="L585" i="39"/>
  <c r="K585" i="39"/>
  <c r="J585" i="39"/>
  <c r="I585" i="39"/>
  <c r="G585" i="39"/>
  <c r="E585" i="39"/>
  <c r="D585" i="39"/>
  <c r="B585" i="39"/>
  <c r="W584" i="39"/>
  <c r="V584" i="39"/>
  <c r="S584" i="39"/>
  <c r="R584" i="39"/>
  <c r="Q584" i="39"/>
  <c r="P584" i="39"/>
  <c r="O584" i="39"/>
  <c r="N584" i="39"/>
  <c r="M584" i="39"/>
  <c r="L584" i="39"/>
  <c r="K584" i="39"/>
  <c r="J584" i="39"/>
  <c r="I584" i="39"/>
  <c r="G584" i="39"/>
  <c r="E584" i="39"/>
  <c r="D584" i="39"/>
  <c r="B584" i="39"/>
  <c r="W583" i="39"/>
  <c r="V583" i="39"/>
  <c r="S583" i="39"/>
  <c r="R583" i="39"/>
  <c r="Q583" i="39"/>
  <c r="P583" i="39"/>
  <c r="O583" i="39"/>
  <c r="N583" i="39"/>
  <c r="M583" i="39"/>
  <c r="L583" i="39"/>
  <c r="K583" i="39"/>
  <c r="J583" i="39"/>
  <c r="I583" i="39"/>
  <c r="G583" i="39"/>
  <c r="E583" i="39"/>
  <c r="D583" i="39"/>
  <c r="B583" i="39"/>
  <c r="W582" i="39"/>
  <c r="V582" i="39"/>
  <c r="S582" i="39"/>
  <c r="R582" i="39"/>
  <c r="Q582" i="39"/>
  <c r="P582" i="39"/>
  <c r="O582" i="39"/>
  <c r="N582" i="39"/>
  <c r="M582" i="39"/>
  <c r="L582" i="39"/>
  <c r="K582" i="39"/>
  <c r="J582" i="39"/>
  <c r="I582" i="39"/>
  <c r="G582" i="39"/>
  <c r="E582" i="39"/>
  <c r="D582" i="39"/>
  <c r="B582" i="39"/>
  <c r="W581" i="39"/>
  <c r="V581" i="39"/>
  <c r="S581" i="39"/>
  <c r="R581" i="39"/>
  <c r="Q581" i="39"/>
  <c r="P581" i="39"/>
  <c r="O581" i="39"/>
  <c r="N581" i="39"/>
  <c r="M581" i="39"/>
  <c r="L581" i="39"/>
  <c r="K581" i="39"/>
  <c r="J581" i="39"/>
  <c r="I581" i="39"/>
  <c r="G581" i="39"/>
  <c r="E581" i="39"/>
  <c r="D581" i="39"/>
  <c r="B581" i="39"/>
  <c r="W580" i="39"/>
  <c r="V580" i="39"/>
  <c r="S580" i="39"/>
  <c r="R580" i="39"/>
  <c r="Q580" i="39"/>
  <c r="P580" i="39"/>
  <c r="O580" i="39"/>
  <c r="N580" i="39"/>
  <c r="M580" i="39"/>
  <c r="L580" i="39"/>
  <c r="K580" i="39"/>
  <c r="J580" i="39"/>
  <c r="I580" i="39"/>
  <c r="G580" i="39"/>
  <c r="E580" i="39"/>
  <c r="D580" i="39"/>
  <c r="B580" i="39"/>
  <c r="W579" i="39"/>
  <c r="V579" i="39"/>
  <c r="S579" i="39"/>
  <c r="R579" i="39"/>
  <c r="Q579" i="39"/>
  <c r="P579" i="39"/>
  <c r="O579" i="39"/>
  <c r="N579" i="39"/>
  <c r="M579" i="39"/>
  <c r="L579" i="39"/>
  <c r="K579" i="39"/>
  <c r="J579" i="39"/>
  <c r="I579" i="39"/>
  <c r="G579" i="39"/>
  <c r="E579" i="39"/>
  <c r="D579" i="39"/>
  <c r="B579" i="39"/>
  <c r="W578" i="39"/>
  <c r="V578" i="39"/>
  <c r="S578" i="39"/>
  <c r="R578" i="39"/>
  <c r="Q578" i="39"/>
  <c r="P578" i="39"/>
  <c r="O578" i="39"/>
  <c r="N578" i="39"/>
  <c r="M578" i="39"/>
  <c r="L578" i="39"/>
  <c r="K578" i="39"/>
  <c r="J578" i="39"/>
  <c r="I578" i="39"/>
  <c r="G578" i="39"/>
  <c r="E578" i="39"/>
  <c r="D578" i="39"/>
  <c r="B578" i="39"/>
  <c r="W577" i="39"/>
  <c r="V577" i="39"/>
  <c r="S577" i="39"/>
  <c r="R577" i="39"/>
  <c r="Q577" i="39"/>
  <c r="P577" i="39"/>
  <c r="O577" i="39"/>
  <c r="N577" i="39"/>
  <c r="M577" i="39"/>
  <c r="L577" i="39"/>
  <c r="K577" i="39"/>
  <c r="J577" i="39"/>
  <c r="I577" i="39"/>
  <c r="G577" i="39"/>
  <c r="E577" i="39"/>
  <c r="D577" i="39"/>
  <c r="B577" i="39"/>
  <c r="W576" i="39"/>
  <c r="V576" i="39"/>
  <c r="S576" i="39"/>
  <c r="R576" i="39"/>
  <c r="Q576" i="39"/>
  <c r="P576" i="39"/>
  <c r="O576" i="39"/>
  <c r="N576" i="39"/>
  <c r="M576" i="39"/>
  <c r="L576" i="39"/>
  <c r="K576" i="39"/>
  <c r="J576" i="39"/>
  <c r="I576" i="39"/>
  <c r="G576" i="39"/>
  <c r="E576" i="39"/>
  <c r="D576" i="39"/>
  <c r="B576" i="39"/>
  <c r="W575" i="39"/>
  <c r="V575" i="39"/>
  <c r="S575" i="39"/>
  <c r="R575" i="39"/>
  <c r="Q575" i="39"/>
  <c r="P575" i="39"/>
  <c r="O575" i="39"/>
  <c r="N575" i="39"/>
  <c r="M575" i="39"/>
  <c r="L575" i="39"/>
  <c r="K575" i="39"/>
  <c r="J575" i="39"/>
  <c r="I575" i="39"/>
  <c r="G575" i="39"/>
  <c r="E575" i="39"/>
  <c r="D575" i="39"/>
  <c r="B575" i="39"/>
  <c r="W574" i="39"/>
  <c r="V574" i="39"/>
  <c r="S574" i="39"/>
  <c r="R574" i="39"/>
  <c r="Q574" i="39"/>
  <c r="P574" i="39"/>
  <c r="O574" i="39"/>
  <c r="N574" i="39"/>
  <c r="M574" i="39"/>
  <c r="L574" i="39"/>
  <c r="K574" i="39"/>
  <c r="J574" i="39"/>
  <c r="I574" i="39"/>
  <c r="G574" i="39"/>
  <c r="E574" i="39"/>
  <c r="D574" i="39"/>
  <c r="B574" i="39"/>
  <c r="W573" i="39"/>
  <c r="V573" i="39"/>
  <c r="S573" i="39"/>
  <c r="R573" i="39"/>
  <c r="Q573" i="39"/>
  <c r="P573" i="39"/>
  <c r="O573" i="39"/>
  <c r="N573" i="39"/>
  <c r="M573" i="39"/>
  <c r="L573" i="39"/>
  <c r="K573" i="39"/>
  <c r="J573" i="39"/>
  <c r="I573" i="39"/>
  <c r="G573" i="39"/>
  <c r="E573" i="39"/>
  <c r="D573" i="39"/>
  <c r="B573" i="39"/>
  <c r="F570" i="39"/>
  <c r="E570" i="39"/>
  <c r="W569" i="39"/>
  <c r="V569" i="39"/>
  <c r="S569" i="39"/>
  <c r="R569" i="39"/>
  <c r="Q569" i="39"/>
  <c r="P569" i="39"/>
  <c r="O569" i="39"/>
  <c r="N569" i="39"/>
  <c r="M569" i="39"/>
  <c r="L569" i="39"/>
  <c r="K569" i="39"/>
  <c r="J569" i="39"/>
  <c r="I569" i="39"/>
  <c r="G569" i="39"/>
  <c r="E569" i="39"/>
  <c r="D569" i="39"/>
  <c r="B569" i="39"/>
  <c r="W565" i="39"/>
  <c r="V565" i="39"/>
  <c r="S565" i="39"/>
  <c r="R565" i="39"/>
  <c r="Q565" i="39"/>
  <c r="P565" i="39"/>
  <c r="O565" i="39"/>
  <c r="N565" i="39"/>
  <c r="M565" i="39"/>
  <c r="L565" i="39"/>
  <c r="K565" i="39"/>
  <c r="J565" i="39"/>
  <c r="I565" i="39"/>
  <c r="G565" i="39"/>
  <c r="E565" i="39"/>
  <c r="D565" i="39"/>
  <c r="B565" i="39"/>
  <c r="W563" i="39"/>
  <c r="V563" i="39"/>
  <c r="S563" i="39"/>
  <c r="R563" i="39"/>
  <c r="Q563" i="39"/>
  <c r="P563" i="39"/>
  <c r="O563" i="39"/>
  <c r="N563" i="39"/>
  <c r="M563" i="39"/>
  <c r="L563" i="39"/>
  <c r="K563" i="39"/>
  <c r="J563" i="39"/>
  <c r="I563" i="39"/>
  <c r="G563" i="39"/>
  <c r="E563" i="39"/>
  <c r="D563" i="39"/>
  <c r="B563" i="39"/>
  <c r="W562" i="39"/>
  <c r="V562" i="39"/>
  <c r="S562" i="39"/>
  <c r="R562" i="39"/>
  <c r="Q562" i="39"/>
  <c r="P562" i="39"/>
  <c r="O562" i="39"/>
  <c r="N562" i="39"/>
  <c r="M562" i="39"/>
  <c r="L562" i="39"/>
  <c r="K562" i="39"/>
  <c r="J562" i="39"/>
  <c r="I562" i="39"/>
  <c r="G562" i="39"/>
  <c r="E562" i="39"/>
  <c r="D562" i="39"/>
  <c r="B562" i="39"/>
  <c r="W561" i="39"/>
  <c r="V561" i="39"/>
  <c r="S561" i="39"/>
  <c r="R561" i="39"/>
  <c r="Q561" i="39"/>
  <c r="P561" i="39"/>
  <c r="O561" i="39"/>
  <c r="N561" i="39"/>
  <c r="M561" i="39"/>
  <c r="L561" i="39"/>
  <c r="K561" i="39"/>
  <c r="J561" i="39"/>
  <c r="I561" i="39"/>
  <c r="G561" i="39"/>
  <c r="E561" i="39"/>
  <c r="D561" i="39"/>
  <c r="B561" i="39"/>
  <c r="W560" i="39"/>
  <c r="V560" i="39"/>
  <c r="S560" i="39"/>
  <c r="R560" i="39"/>
  <c r="Q560" i="39"/>
  <c r="P560" i="39"/>
  <c r="O560" i="39"/>
  <c r="N560" i="39"/>
  <c r="M560" i="39"/>
  <c r="L560" i="39"/>
  <c r="K560" i="39"/>
  <c r="J560" i="39"/>
  <c r="I560" i="39"/>
  <c r="G560" i="39"/>
  <c r="E560" i="39"/>
  <c r="D560" i="39"/>
  <c r="B560" i="39"/>
  <c r="W559" i="39"/>
  <c r="V559" i="39"/>
  <c r="S559" i="39"/>
  <c r="R559" i="39"/>
  <c r="Q559" i="39"/>
  <c r="P559" i="39"/>
  <c r="O559" i="39"/>
  <c r="N559" i="39"/>
  <c r="M559" i="39"/>
  <c r="L559" i="39"/>
  <c r="K559" i="39"/>
  <c r="J559" i="39"/>
  <c r="I559" i="39"/>
  <c r="G559" i="39"/>
  <c r="E559" i="39"/>
  <c r="D559" i="39"/>
  <c r="B559" i="39"/>
  <c r="W558" i="39"/>
  <c r="V558" i="39"/>
  <c r="S558" i="39"/>
  <c r="R558" i="39"/>
  <c r="Q558" i="39"/>
  <c r="P558" i="39"/>
  <c r="O558" i="39"/>
  <c r="N558" i="39"/>
  <c r="M558" i="39"/>
  <c r="L558" i="39"/>
  <c r="K558" i="39"/>
  <c r="J558" i="39"/>
  <c r="I558" i="39"/>
  <c r="G558" i="39"/>
  <c r="E558" i="39"/>
  <c r="D558" i="39"/>
  <c r="B558" i="39"/>
  <c r="W557" i="39"/>
  <c r="V557" i="39"/>
  <c r="S557" i="39"/>
  <c r="R557" i="39"/>
  <c r="Q557" i="39"/>
  <c r="P557" i="39"/>
  <c r="O557" i="39"/>
  <c r="N557" i="39"/>
  <c r="M557" i="39"/>
  <c r="L557" i="39"/>
  <c r="K557" i="39"/>
  <c r="J557" i="39"/>
  <c r="I557" i="39"/>
  <c r="G557" i="39"/>
  <c r="E557" i="39"/>
  <c r="D557" i="39"/>
  <c r="B557" i="39"/>
  <c r="W556" i="39"/>
  <c r="V556" i="39"/>
  <c r="S556" i="39"/>
  <c r="R556" i="39"/>
  <c r="Q556" i="39"/>
  <c r="P556" i="39"/>
  <c r="O556" i="39"/>
  <c r="N556" i="39"/>
  <c r="M556" i="39"/>
  <c r="L556" i="39"/>
  <c r="K556" i="39"/>
  <c r="J556" i="39"/>
  <c r="I556" i="39"/>
  <c r="G556" i="39"/>
  <c r="E556" i="39"/>
  <c r="D556" i="39"/>
  <c r="B556" i="39"/>
  <c r="W555" i="39"/>
  <c r="V555" i="39"/>
  <c r="S555" i="39"/>
  <c r="R555" i="39"/>
  <c r="Q555" i="39"/>
  <c r="P555" i="39"/>
  <c r="O555" i="39"/>
  <c r="N555" i="39"/>
  <c r="M555" i="39"/>
  <c r="L555" i="39"/>
  <c r="K555" i="39"/>
  <c r="J555" i="39"/>
  <c r="I555" i="39"/>
  <c r="G555" i="39"/>
  <c r="E555" i="39"/>
  <c r="D555" i="39"/>
  <c r="B555" i="39"/>
  <c r="W554" i="39"/>
  <c r="V554" i="39"/>
  <c r="S554" i="39"/>
  <c r="R554" i="39"/>
  <c r="Q554" i="39"/>
  <c r="P554" i="39"/>
  <c r="O554" i="39"/>
  <c r="N554" i="39"/>
  <c r="M554" i="39"/>
  <c r="L554" i="39"/>
  <c r="K554" i="39"/>
  <c r="J554" i="39"/>
  <c r="I554" i="39"/>
  <c r="G554" i="39"/>
  <c r="E554" i="39"/>
  <c r="D554" i="39"/>
  <c r="B554" i="39"/>
  <c r="W553" i="39"/>
  <c r="V553" i="39"/>
  <c r="S553" i="39"/>
  <c r="R553" i="39"/>
  <c r="Q553" i="39"/>
  <c r="P553" i="39"/>
  <c r="O553" i="39"/>
  <c r="N553" i="39"/>
  <c r="M553" i="39"/>
  <c r="L553" i="39"/>
  <c r="K553" i="39"/>
  <c r="J553" i="39"/>
  <c r="I553" i="39"/>
  <c r="G553" i="39"/>
  <c r="E553" i="39"/>
  <c r="D553" i="39"/>
  <c r="B553" i="39"/>
  <c r="W552" i="39"/>
  <c r="V552" i="39"/>
  <c r="S552" i="39"/>
  <c r="R552" i="39"/>
  <c r="Q552" i="39"/>
  <c r="P552" i="39"/>
  <c r="O552" i="39"/>
  <c r="N552" i="39"/>
  <c r="M552" i="39"/>
  <c r="L552" i="39"/>
  <c r="K552" i="39"/>
  <c r="J552" i="39"/>
  <c r="I552" i="39"/>
  <c r="G552" i="39"/>
  <c r="E552" i="39"/>
  <c r="D552" i="39"/>
  <c r="B552" i="39"/>
  <c r="W551" i="39"/>
  <c r="V551" i="39"/>
  <c r="S551" i="39"/>
  <c r="R551" i="39"/>
  <c r="Q551" i="39"/>
  <c r="P551" i="39"/>
  <c r="O551" i="39"/>
  <c r="N551" i="39"/>
  <c r="M551" i="39"/>
  <c r="L551" i="39"/>
  <c r="K551" i="39"/>
  <c r="J551" i="39"/>
  <c r="I551" i="39"/>
  <c r="G551" i="39"/>
  <c r="E551" i="39"/>
  <c r="D551" i="39"/>
  <c r="B551" i="39"/>
  <c r="W550" i="39"/>
  <c r="V550" i="39"/>
  <c r="S550" i="39"/>
  <c r="R550" i="39"/>
  <c r="Q550" i="39"/>
  <c r="P550" i="39"/>
  <c r="O550" i="39"/>
  <c r="N550" i="39"/>
  <c r="M550" i="39"/>
  <c r="L550" i="39"/>
  <c r="K550" i="39"/>
  <c r="J550" i="39"/>
  <c r="I550" i="39"/>
  <c r="G550" i="39"/>
  <c r="E550" i="39"/>
  <c r="D550" i="39"/>
  <c r="B550" i="39"/>
  <c r="W549" i="39"/>
  <c r="V549" i="39"/>
  <c r="S549" i="39"/>
  <c r="R549" i="39"/>
  <c r="Q549" i="39"/>
  <c r="P549" i="39"/>
  <c r="O549" i="39"/>
  <c r="N549" i="39"/>
  <c r="M549" i="39"/>
  <c r="L549" i="39"/>
  <c r="K549" i="39"/>
  <c r="J549" i="39"/>
  <c r="I549" i="39"/>
  <c r="G549" i="39"/>
  <c r="E549" i="39"/>
  <c r="D549" i="39"/>
  <c r="B549" i="39"/>
  <c r="W548" i="39"/>
  <c r="V548" i="39"/>
  <c r="S548" i="39"/>
  <c r="R548" i="39"/>
  <c r="Q548" i="39"/>
  <c r="P548" i="39"/>
  <c r="O548" i="39"/>
  <c r="N548" i="39"/>
  <c r="M548" i="39"/>
  <c r="L548" i="39"/>
  <c r="K548" i="39"/>
  <c r="J548" i="39"/>
  <c r="I548" i="39"/>
  <c r="G548" i="39"/>
  <c r="E548" i="39"/>
  <c r="D548" i="39"/>
  <c r="B548" i="39"/>
  <c r="W547" i="39"/>
  <c r="V547" i="39"/>
  <c r="S547" i="39"/>
  <c r="R547" i="39"/>
  <c r="Q547" i="39"/>
  <c r="P547" i="39"/>
  <c r="O547" i="39"/>
  <c r="N547" i="39"/>
  <c r="M547" i="39"/>
  <c r="L547" i="39"/>
  <c r="K547" i="39"/>
  <c r="J547" i="39"/>
  <c r="I547" i="39"/>
  <c r="G547" i="39"/>
  <c r="E547" i="39"/>
  <c r="D547" i="39"/>
  <c r="B547" i="39"/>
  <c r="W546" i="39"/>
  <c r="V546" i="39"/>
  <c r="S546" i="39"/>
  <c r="R546" i="39"/>
  <c r="Q546" i="39"/>
  <c r="P546" i="39"/>
  <c r="O546" i="39"/>
  <c r="N546" i="39"/>
  <c r="M546" i="39"/>
  <c r="L546" i="39"/>
  <c r="K546" i="39"/>
  <c r="J546" i="39"/>
  <c r="I546" i="39"/>
  <c r="G546" i="39"/>
  <c r="E546" i="39"/>
  <c r="D546" i="39"/>
  <c r="B546" i="39"/>
  <c r="W545" i="39"/>
  <c r="V545" i="39"/>
  <c r="S545" i="39"/>
  <c r="R545" i="39"/>
  <c r="Q545" i="39"/>
  <c r="P545" i="39"/>
  <c r="O545" i="39"/>
  <c r="N545" i="39"/>
  <c r="M545" i="39"/>
  <c r="L545" i="39"/>
  <c r="K545" i="39"/>
  <c r="J545" i="39"/>
  <c r="I545" i="39"/>
  <c r="G545" i="39"/>
  <c r="E545" i="39"/>
  <c r="D545" i="39"/>
  <c r="B545" i="39"/>
  <c r="F542" i="39"/>
  <c r="E542" i="39"/>
  <c r="W541" i="39"/>
  <c r="V541" i="39"/>
  <c r="S541" i="39"/>
  <c r="R541" i="39"/>
  <c r="Q541" i="39"/>
  <c r="P541" i="39"/>
  <c r="O541" i="39"/>
  <c r="N541" i="39"/>
  <c r="M541" i="39"/>
  <c r="L541" i="39"/>
  <c r="K541" i="39"/>
  <c r="J541" i="39"/>
  <c r="I541" i="39"/>
  <c r="G541" i="39"/>
  <c r="E541" i="39"/>
  <c r="D541" i="39"/>
  <c r="B541" i="39"/>
  <c r="W537" i="39"/>
  <c r="V537" i="39"/>
  <c r="S537" i="39"/>
  <c r="R537" i="39"/>
  <c r="Q537" i="39"/>
  <c r="P537" i="39"/>
  <c r="O537" i="39"/>
  <c r="N537" i="39"/>
  <c r="M537" i="39"/>
  <c r="L537" i="39"/>
  <c r="K537" i="39"/>
  <c r="J537" i="39"/>
  <c r="I537" i="39"/>
  <c r="G537" i="39"/>
  <c r="E537" i="39"/>
  <c r="D537" i="39"/>
  <c r="B537" i="39"/>
  <c r="W535" i="39"/>
  <c r="V535" i="39"/>
  <c r="S535" i="39"/>
  <c r="R535" i="39"/>
  <c r="Q535" i="39"/>
  <c r="P535" i="39"/>
  <c r="O535" i="39"/>
  <c r="N535" i="39"/>
  <c r="M535" i="39"/>
  <c r="L535" i="39"/>
  <c r="K535" i="39"/>
  <c r="J535" i="39"/>
  <c r="I535" i="39"/>
  <c r="G535" i="39"/>
  <c r="E535" i="39"/>
  <c r="D535" i="39"/>
  <c r="B535" i="39"/>
  <c r="W534" i="39"/>
  <c r="V534" i="39"/>
  <c r="S534" i="39"/>
  <c r="R534" i="39"/>
  <c r="Q534" i="39"/>
  <c r="P534" i="39"/>
  <c r="O534" i="39"/>
  <c r="N534" i="39"/>
  <c r="M534" i="39"/>
  <c r="L534" i="39"/>
  <c r="K534" i="39"/>
  <c r="J534" i="39"/>
  <c r="I534" i="39"/>
  <c r="G534" i="39"/>
  <c r="E534" i="39"/>
  <c r="D534" i="39"/>
  <c r="B534" i="39"/>
  <c r="W533" i="39"/>
  <c r="V533" i="39"/>
  <c r="S533" i="39"/>
  <c r="R533" i="39"/>
  <c r="Q533" i="39"/>
  <c r="P533" i="39"/>
  <c r="O533" i="39"/>
  <c r="N533" i="39"/>
  <c r="M533" i="39"/>
  <c r="L533" i="39"/>
  <c r="K533" i="39"/>
  <c r="J533" i="39"/>
  <c r="I533" i="39"/>
  <c r="G533" i="39"/>
  <c r="E533" i="39"/>
  <c r="D533" i="39"/>
  <c r="B533" i="39"/>
  <c r="W532" i="39"/>
  <c r="V532" i="39"/>
  <c r="S532" i="39"/>
  <c r="R532" i="39"/>
  <c r="Q532" i="39"/>
  <c r="P532" i="39"/>
  <c r="O532" i="39"/>
  <c r="N532" i="39"/>
  <c r="M532" i="39"/>
  <c r="L532" i="39"/>
  <c r="K532" i="39"/>
  <c r="J532" i="39"/>
  <c r="I532" i="39"/>
  <c r="G532" i="39"/>
  <c r="E532" i="39"/>
  <c r="D532" i="39"/>
  <c r="B532" i="39"/>
  <c r="W531" i="39"/>
  <c r="V531" i="39"/>
  <c r="S531" i="39"/>
  <c r="R531" i="39"/>
  <c r="Q531" i="39"/>
  <c r="P531" i="39"/>
  <c r="O531" i="39"/>
  <c r="N531" i="39"/>
  <c r="M531" i="39"/>
  <c r="L531" i="39"/>
  <c r="K531" i="39"/>
  <c r="J531" i="39"/>
  <c r="I531" i="39"/>
  <c r="G531" i="39"/>
  <c r="E531" i="39"/>
  <c r="D531" i="39"/>
  <c r="B531" i="39"/>
  <c r="W530" i="39"/>
  <c r="V530" i="39"/>
  <c r="S530" i="39"/>
  <c r="R530" i="39"/>
  <c r="Q530" i="39"/>
  <c r="P530" i="39"/>
  <c r="O530" i="39"/>
  <c r="N530" i="39"/>
  <c r="M530" i="39"/>
  <c r="L530" i="39"/>
  <c r="K530" i="39"/>
  <c r="J530" i="39"/>
  <c r="I530" i="39"/>
  <c r="G530" i="39"/>
  <c r="E530" i="39"/>
  <c r="D530" i="39"/>
  <c r="B530" i="39"/>
  <c r="W529" i="39"/>
  <c r="V529" i="39"/>
  <c r="S529" i="39"/>
  <c r="R529" i="39"/>
  <c r="Q529" i="39"/>
  <c r="P529" i="39"/>
  <c r="O529" i="39"/>
  <c r="N529" i="39"/>
  <c r="M529" i="39"/>
  <c r="L529" i="39"/>
  <c r="K529" i="39"/>
  <c r="J529" i="39"/>
  <c r="I529" i="39"/>
  <c r="G529" i="39"/>
  <c r="E529" i="39"/>
  <c r="D529" i="39"/>
  <c r="B529" i="39"/>
  <c r="W528" i="39"/>
  <c r="V528" i="39"/>
  <c r="S528" i="39"/>
  <c r="R528" i="39"/>
  <c r="Q528" i="39"/>
  <c r="P528" i="39"/>
  <c r="O528" i="39"/>
  <c r="N528" i="39"/>
  <c r="M528" i="39"/>
  <c r="L528" i="39"/>
  <c r="K528" i="39"/>
  <c r="J528" i="39"/>
  <c r="I528" i="39"/>
  <c r="G528" i="39"/>
  <c r="E528" i="39"/>
  <c r="D528" i="39"/>
  <c r="B528" i="39"/>
  <c r="W527" i="39"/>
  <c r="V527" i="39"/>
  <c r="S527" i="39"/>
  <c r="R527" i="39"/>
  <c r="Q527" i="39"/>
  <c r="P527" i="39"/>
  <c r="O527" i="39"/>
  <c r="N527" i="39"/>
  <c r="M527" i="39"/>
  <c r="L527" i="39"/>
  <c r="K527" i="39"/>
  <c r="J527" i="39"/>
  <c r="I527" i="39"/>
  <c r="G527" i="39"/>
  <c r="E527" i="39"/>
  <c r="D527" i="39"/>
  <c r="B527" i="39"/>
  <c r="W526" i="39"/>
  <c r="V526" i="39"/>
  <c r="S526" i="39"/>
  <c r="R526" i="39"/>
  <c r="Q526" i="39"/>
  <c r="P526" i="39"/>
  <c r="O526" i="39"/>
  <c r="N526" i="39"/>
  <c r="M526" i="39"/>
  <c r="L526" i="39"/>
  <c r="K526" i="39"/>
  <c r="J526" i="39"/>
  <c r="I526" i="39"/>
  <c r="G526" i="39"/>
  <c r="E526" i="39"/>
  <c r="D526" i="39"/>
  <c r="B526" i="39"/>
  <c r="W525" i="39"/>
  <c r="V525" i="39"/>
  <c r="S525" i="39"/>
  <c r="R525" i="39"/>
  <c r="Q525" i="39"/>
  <c r="P525" i="39"/>
  <c r="O525" i="39"/>
  <c r="N525" i="39"/>
  <c r="M525" i="39"/>
  <c r="L525" i="39"/>
  <c r="K525" i="39"/>
  <c r="J525" i="39"/>
  <c r="I525" i="39"/>
  <c r="G525" i="39"/>
  <c r="E525" i="39"/>
  <c r="D525" i="39"/>
  <c r="B525" i="39"/>
  <c r="W524" i="39"/>
  <c r="V524" i="39"/>
  <c r="S524" i="39"/>
  <c r="R524" i="39"/>
  <c r="Q524" i="39"/>
  <c r="P524" i="39"/>
  <c r="O524" i="39"/>
  <c r="N524" i="39"/>
  <c r="M524" i="39"/>
  <c r="L524" i="39"/>
  <c r="K524" i="39"/>
  <c r="J524" i="39"/>
  <c r="I524" i="39"/>
  <c r="G524" i="39"/>
  <c r="E524" i="39"/>
  <c r="D524" i="39"/>
  <c r="B524" i="39"/>
  <c r="W523" i="39"/>
  <c r="V523" i="39"/>
  <c r="S523" i="39"/>
  <c r="R523" i="39"/>
  <c r="Q523" i="39"/>
  <c r="P523" i="39"/>
  <c r="O523" i="39"/>
  <c r="N523" i="39"/>
  <c r="M523" i="39"/>
  <c r="L523" i="39"/>
  <c r="K523" i="39"/>
  <c r="J523" i="39"/>
  <c r="I523" i="39"/>
  <c r="G523" i="39"/>
  <c r="E523" i="39"/>
  <c r="D523" i="39"/>
  <c r="B523" i="39"/>
  <c r="W522" i="39"/>
  <c r="V522" i="39"/>
  <c r="S522" i="39"/>
  <c r="R522" i="39"/>
  <c r="Q522" i="39"/>
  <c r="P522" i="39"/>
  <c r="O522" i="39"/>
  <c r="N522" i="39"/>
  <c r="M522" i="39"/>
  <c r="L522" i="39"/>
  <c r="K522" i="39"/>
  <c r="J522" i="39"/>
  <c r="I522" i="39"/>
  <c r="G522" i="39"/>
  <c r="E522" i="39"/>
  <c r="D522" i="39"/>
  <c r="B522" i="39"/>
  <c r="W521" i="39"/>
  <c r="V521" i="39"/>
  <c r="S521" i="39"/>
  <c r="R521" i="39"/>
  <c r="Q521" i="39"/>
  <c r="P521" i="39"/>
  <c r="O521" i="39"/>
  <c r="N521" i="39"/>
  <c r="M521" i="39"/>
  <c r="L521" i="39"/>
  <c r="K521" i="39"/>
  <c r="J521" i="39"/>
  <c r="I521" i="39"/>
  <c r="G521" i="39"/>
  <c r="E521" i="39"/>
  <c r="D521" i="39"/>
  <c r="B521" i="39"/>
  <c r="W520" i="39"/>
  <c r="V520" i="39"/>
  <c r="S520" i="39"/>
  <c r="R520" i="39"/>
  <c r="Q520" i="39"/>
  <c r="P520" i="39"/>
  <c r="O520" i="39"/>
  <c r="N520" i="39"/>
  <c r="M520" i="39"/>
  <c r="L520" i="39"/>
  <c r="K520" i="39"/>
  <c r="J520" i="39"/>
  <c r="I520" i="39"/>
  <c r="G520" i="39"/>
  <c r="E520" i="39"/>
  <c r="D520" i="39"/>
  <c r="B520" i="39"/>
  <c r="W519" i="39"/>
  <c r="V519" i="39"/>
  <c r="S519" i="39"/>
  <c r="R519" i="39"/>
  <c r="Q519" i="39"/>
  <c r="P519" i="39"/>
  <c r="O519" i="39"/>
  <c r="N519" i="39"/>
  <c r="M519" i="39"/>
  <c r="L519" i="39"/>
  <c r="K519" i="39"/>
  <c r="J519" i="39"/>
  <c r="I519" i="39"/>
  <c r="G519" i="39"/>
  <c r="E519" i="39"/>
  <c r="D519" i="39"/>
  <c r="B519" i="39"/>
  <c r="W518" i="39"/>
  <c r="V518" i="39"/>
  <c r="S518" i="39"/>
  <c r="R518" i="39"/>
  <c r="Q518" i="39"/>
  <c r="P518" i="39"/>
  <c r="O518" i="39"/>
  <c r="N518" i="39"/>
  <c r="M518" i="39"/>
  <c r="L518" i="39"/>
  <c r="K518" i="39"/>
  <c r="J518" i="39"/>
  <c r="I518" i="39"/>
  <c r="G518" i="39"/>
  <c r="E518" i="39"/>
  <c r="D518" i="39"/>
  <c r="B518" i="39"/>
  <c r="W517" i="39"/>
  <c r="V517" i="39"/>
  <c r="S517" i="39"/>
  <c r="R517" i="39"/>
  <c r="Q517" i="39"/>
  <c r="P517" i="39"/>
  <c r="O517" i="39"/>
  <c r="N517" i="39"/>
  <c r="M517" i="39"/>
  <c r="L517" i="39"/>
  <c r="K517" i="39"/>
  <c r="J517" i="39"/>
  <c r="I517" i="39"/>
  <c r="G517" i="39"/>
  <c r="E517" i="39"/>
  <c r="D517" i="39"/>
  <c r="B517" i="39"/>
  <c r="F514" i="39"/>
  <c r="E514" i="39"/>
  <c r="W513" i="39"/>
  <c r="V513" i="39"/>
  <c r="S513" i="39"/>
  <c r="R513" i="39"/>
  <c r="Q513" i="39"/>
  <c r="P513" i="39"/>
  <c r="O513" i="39"/>
  <c r="N513" i="39"/>
  <c r="M513" i="39"/>
  <c r="L513" i="39"/>
  <c r="K513" i="39"/>
  <c r="J513" i="39"/>
  <c r="I513" i="39"/>
  <c r="G513" i="39"/>
  <c r="E513" i="39"/>
  <c r="D513" i="39"/>
  <c r="B513" i="39"/>
  <c r="W509" i="39"/>
  <c r="V509" i="39"/>
  <c r="S509" i="39"/>
  <c r="R509" i="39"/>
  <c r="Q509" i="39"/>
  <c r="P509" i="39"/>
  <c r="O509" i="39"/>
  <c r="N509" i="39"/>
  <c r="M509" i="39"/>
  <c r="L509" i="39"/>
  <c r="K509" i="39"/>
  <c r="J509" i="39"/>
  <c r="I509" i="39"/>
  <c r="G509" i="39"/>
  <c r="E509" i="39"/>
  <c r="D509" i="39"/>
  <c r="B509" i="39"/>
  <c r="W507" i="39"/>
  <c r="V507" i="39"/>
  <c r="S507" i="39"/>
  <c r="R507" i="39"/>
  <c r="Q507" i="39"/>
  <c r="P507" i="39"/>
  <c r="O507" i="39"/>
  <c r="N507" i="39"/>
  <c r="M507" i="39"/>
  <c r="L507" i="39"/>
  <c r="K507" i="39"/>
  <c r="J507" i="39"/>
  <c r="I507" i="39"/>
  <c r="G507" i="39"/>
  <c r="E507" i="39"/>
  <c r="D507" i="39"/>
  <c r="B507" i="39"/>
  <c r="W506" i="39"/>
  <c r="V506" i="39"/>
  <c r="S506" i="39"/>
  <c r="R506" i="39"/>
  <c r="Q506" i="39"/>
  <c r="P506" i="39"/>
  <c r="O506" i="39"/>
  <c r="N506" i="39"/>
  <c r="M506" i="39"/>
  <c r="L506" i="39"/>
  <c r="K506" i="39"/>
  <c r="J506" i="39"/>
  <c r="I506" i="39"/>
  <c r="G506" i="39"/>
  <c r="E506" i="39"/>
  <c r="D506" i="39"/>
  <c r="B506" i="39"/>
  <c r="W505" i="39"/>
  <c r="V505" i="39"/>
  <c r="S505" i="39"/>
  <c r="R505" i="39"/>
  <c r="Q505" i="39"/>
  <c r="P505" i="39"/>
  <c r="O505" i="39"/>
  <c r="N505" i="39"/>
  <c r="M505" i="39"/>
  <c r="L505" i="39"/>
  <c r="K505" i="39"/>
  <c r="J505" i="39"/>
  <c r="I505" i="39"/>
  <c r="G505" i="39"/>
  <c r="E505" i="39"/>
  <c r="D505" i="39"/>
  <c r="B505" i="39"/>
  <c r="W504" i="39"/>
  <c r="V504" i="39"/>
  <c r="S504" i="39"/>
  <c r="R504" i="39"/>
  <c r="Q504" i="39"/>
  <c r="P504" i="39"/>
  <c r="O504" i="39"/>
  <c r="N504" i="39"/>
  <c r="M504" i="39"/>
  <c r="L504" i="39"/>
  <c r="K504" i="39"/>
  <c r="J504" i="39"/>
  <c r="I504" i="39"/>
  <c r="G504" i="39"/>
  <c r="E504" i="39"/>
  <c r="D504" i="39"/>
  <c r="B504" i="39"/>
  <c r="W503" i="39"/>
  <c r="V503" i="39"/>
  <c r="S503" i="39"/>
  <c r="R503" i="39"/>
  <c r="Q503" i="39"/>
  <c r="P503" i="39"/>
  <c r="O503" i="39"/>
  <c r="N503" i="39"/>
  <c r="M503" i="39"/>
  <c r="L503" i="39"/>
  <c r="K503" i="39"/>
  <c r="J503" i="39"/>
  <c r="I503" i="39"/>
  <c r="G503" i="39"/>
  <c r="E503" i="39"/>
  <c r="D503" i="39"/>
  <c r="B503" i="39"/>
  <c r="W502" i="39"/>
  <c r="V502" i="39"/>
  <c r="S502" i="39"/>
  <c r="R502" i="39"/>
  <c r="Q502" i="39"/>
  <c r="P502" i="39"/>
  <c r="O502" i="39"/>
  <c r="N502" i="39"/>
  <c r="M502" i="39"/>
  <c r="L502" i="39"/>
  <c r="K502" i="39"/>
  <c r="J502" i="39"/>
  <c r="I502" i="39"/>
  <c r="G502" i="39"/>
  <c r="E502" i="39"/>
  <c r="D502" i="39"/>
  <c r="B502" i="39"/>
  <c r="W501" i="39"/>
  <c r="V501" i="39"/>
  <c r="S501" i="39"/>
  <c r="R501" i="39"/>
  <c r="Q501" i="39"/>
  <c r="P501" i="39"/>
  <c r="O501" i="39"/>
  <c r="N501" i="39"/>
  <c r="M501" i="39"/>
  <c r="L501" i="39"/>
  <c r="K501" i="39"/>
  <c r="J501" i="39"/>
  <c r="I501" i="39"/>
  <c r="G501" i="39"/>
  <c r="E501" i="39"/>
  <c r="D501" i="39"/>
  <c r="B501" i="39"/>
  <c r="W500" i="39"/>
  <c r="V500" i="39"/>
  <c r="S500" i="39"/>
  <c r="R500" i="39"/>
  <c r="Q500" i="39"/>
  <c r="P500" i="39"/>
  <c r="O500" i="39"/>
  <c r="N500" i="39"/>
  <c r="M500" i="39"/>
  <c r="L500" i="39"/>
  <c r="K500" i="39"/>
  <c r="J500" i="39"/>
  <c r="I500" i="39"/>
  <c r="G500" i="39"/>
  <c r="E500" i="39"/>
  <c r="D500" i="39"/>
  <c r="B500" i="39"/>
  <c r="W499" i="39"/>
  <c r="V499" i="39"/>
  <c r="S499" i="39"/>
  <c r="R499" i="39"/>
  <c r="Q499" i="39"/>
  <c r="P499" i="39"/>
  <c r="O499" i="39"/>
  <c r="N499" i="39"/>
  <c r="M499" i="39"/>
  <c r="L499" i="39"/>
  <c r="K499" i="39"/>
  <c r="J499" i="39"/>
  <c r="I499" i="39"/>
  <c r="G499" i="39"/>
  <c r="E499" i="39"/>
  <c r="D499" i="39"/>
  <c r="B499" i="39"/>
  <c r="W498" i="39"/>
  <c r="V498" i="39"/>
  <c r="S498" i="39"/>
  <c r="R498" i="39"/>
  <c r="Q498" i="39"/>
  <c r="P498" i="39"/>
  <c r="O498" i="39"/>
  <c r="N498" i="39"/>
  <c r="M498" i="39"/>
  <c r="L498" i="39"/>
  <c r="K498" i="39"/>
  <c r="J498" i="39"/>
  <c r="I498" i="39"/>
  <c r="G498" i="39"/>
  <c r="E498" i="39"/>
  <c r="D498" i="39"/>
  <c r="B498" i="39"/>
  <c r="W497" i="39"/>
  <c r="V497" i="39"/>
  <c r="S497" i="39"/>
  <c r="R497" i="39"/>
  <c r="Q497" i="39"/>
  <c r="P497" i="39"/>
  <c r="O497" i="39"/>
  <c r="N497" i="39"/>
  <c r="M497" i="39"/>
  <c r="L497" i="39"/>
  <c r="K497" i="39"/>
  <c r="J497" i="39"/>
  <c r="I497" i="39"/>
  <c r="G497" i="39"/>
  <c r="E497" i="39"/>
  <c r="D497" i="39"/>
  <c r="B497" i="39"/>
  <c r="W496" i="39"/>
  <c r="V496" i="39"/>
  <c r="S496" i="39"/>
  <c r="R496" i="39"/>
  <c r="Q496" i="39"/>
  <c r="P496" i="39"/>
  <c r="O496" i="39"/>
  <c r="N496" i="39"/>
  <c r="M496" i="39"/>
  <c r="L496" i="39"/>
  <c r="K496" i="39"/>
  <c r="J496" i="39"/>
  <c r="I496" i="39"/>
  <c r="G496" i="39"/>
  <c r="E496" i="39"/>
  <c r="D496" i="39"/>
  <c r="B496" i="39"/>
  <c r="W495" i="39"/>
  <c r="V495" i="39"/>
  <c r="S495" i="39"/>
  <c r="R495" i="39"/>
  <c r="Q495" i="39"/>
  <c r="P495" i="39"/>
  <c r="O495" i="39"/>
  <c r="N495" i="39"/>
  <c r="M495" i="39"/>
  <c r="L495" i="39"/>
  <c r="K495" i="39"/>
  <c r="J495" i="39"/>
  <c r="I495" i="39"/>
  <c r="G495" i="39"/>
  <c r="E495" i="39"/>
  <c r="D495" i="39"/>
  <c r="B495" i="39"/>
  <c r="W494" i="39"/>
  <c r="V494" i="39"/>
  <c r="S494" i="39"/>
  <c r="R494" i="39"/>
  <c r="Q494" i="39"/>
  <c r="P494" i="39"/>
  <c r="O494" i="39"/>
  <c r="N494" i="39"/>
  <c r="M494" i="39"/>
  <c r="L494" i="39"/>
  <c r="K494" i="39"/>
  <c r="J494" i="39"/>
  <c r="I494" i="39"/>
  <c r="G494" i="39"/>
  <c r="E494" i="39"/>
  <c r="D494" i="39"/>
  <c r="B494" i="39"/>
  <c r="W493" i="39"/>
  <c r="V493" i="39"/>
  <c r="S493" i="39"/>
  <c r="R493" i="39"/>
  <c r="Q493" i="39"/>
  <c r="P493" i="39"/>
  <c r="O493" i="39"/>
  <c r="N493" i="39"/>
  <c r="M493" i="39"/>
  <c r="L493" i="39"/>
  <c r="K493" i="39"/>
  <c r="J493" i="39"/>
  <c r="I493" i="39"/>
  <c r="G493" i="39"/>
  <c r="E493" i="39"/>
  <c r="D493" i="39"/>
  <c r="B493" i="39"/>
  <c r="W492" i="39"/>
  <c r="V492" i="39"/>
  <c r="S492" i="39"/>
  <c r="R492" i="39"/>
  <c r="Q492" i="39"/>
  <c r="P492" i="39"/>
  <c r="O492" i="39"/>
  <c r="N492" i="39"/>
  <c r="M492" i="39"/>
  <c r="L492" i="39"/>
  <c r="K492" i="39"/>
  <c r="J492" i="39"/>
  <c r="I492" i="39"/>
  <c r="G492" i="39"/>
  <c r="E492" i="39"/>
  <c r="D492" i="39"/>
  <c r="B492" i="39"/>
  <c r="W491" i="39"/>
  <c r="V491" i="39"/>
  <c r="S491" i="39"/>
  <c r="R491" i="39"/>
  <c r="Q491" i="39"/>
  <c r="P491" i="39"/>
  <c r="O491" i="39"/>
  <c r="N491" i="39"/>
  <c r="M491" i="39"/>
  <c r="L491" i="39"/>
  <c r="K491" i="39"/>
  <c r="J491" i="39"/>
  <c r="I491" i="39"/>
  <c r="G491" i="39"/>
  <c r="E491" i="39"/>
  <c r="D491" i="39"/>
  <c r="B491" i="39"/>
  <c r="W490" i="39"/>
  <c r="V490" i="39"/>
  <c r="S490" i="39"/>
  <c r="R490" i="39"/>
  <c r="Q490" i="39"/>
  <c r="P490" i="39"/>
  <c r="O490" i="39"/>
  <c r="N490" i="39"/>
  <c r="M490" i="39"/>
  <c r="L490" i="39"/>
  <c r="K490" i="39"/>
  <c r="J490" i="39"/>
  <c r="I490" i="39"/>
  <c r="G490" i="39"/>
  <c r="E490" i="39"/>
  <c r="D490" i="39"/>
  <c r="B490" i="39"/>
  <c r="W489" i="39"/>
  <c r="V489" i="39"/>
  <c r="S489" i="39"/>
  <c r="R489" i="39"/>
  <c r="Q489" i="39"/>
  <c r="P489" i="39"/>
  <c r="O489" i="39"/>
  <c r="N489" i="39"/>
  <c r="M489" i="39"/>
  <c r="L489" i="39"/>
  <c r="K489" i="39"/>
  <c r="J489" i="39"/>
  <c r="I489" i="39"/>
  <c r="G489" i="39"/>
  <c r="E489" i="39"/>
  <c r="D489" i="39"/>
  <c r="B489" i="39"/>
  <c r="F486" i="39"/>
  <c r="E486" i="39"/>
  <c r="W485" i="39"/>
  <c r="V485" i="39"/>
  <c r="S485" i="39"/>
  <c r="R485" i="39"/>
  <c r="Q485" i="39"/>
  <c r="P485" i="39"/>
  <c r="O485" i="39"/>
  <c r="N485" i="39"/>
  <c r="M485" i="39"/>
  <c r="L485" i="39"/>
  <c r="K485" i="39"/>
  <c r="J485" i="39"/>
  <c r="I485" i="39"/>
  <c r="G485" i="39"/>
  <c r="E485" i="39"/>
  <c r="D485" i="39"/>
  <c r="B485" i="39"/>
  <c r="W481" i="39"/>
  <c r="V481" i="39"/>
  <c r="S481" i="39"/>
  <c r="R481" i="39"/>
  <c r="Q481" i="39"/>
  <c r="P481" i="39"/>
  <c r="O481" i="39"/>
  <c r="N481" i="39"/>
  <c r="M481" i="39"/>
  <c r="L481" i="39"/>
  <c r="K481" i="39"/>
  <c r="J481" i="39"/>
  <c r="I481" i="39"/>
  <c r="G481" i="39"/>
  <c r="E481" i="39"/>
  <c r="D481" i="39"/>
  <c r="B481" i="39"/>
  <c r="W479" i="39"/>
  <c r="V479" i="39"/>
  <c r="S479" i="39"/>
  <c r="R479" i="39"/>
  <c r="Q479" i="39"/>
  <c r="P479" i="39"/>
  <c r="O479" i="39"/>
  <c r="N479" i="39"/>
  <c r="M479" i="39"/>
  <c r="L479" i="39"/>
  <c r="K479" i="39"/>
  <c r="J479" i="39"/>
  <c r="I479" i="39"/>
  <c r="G479" i="39"/>
  <c r="E479" i="39"/>
  <c r="D479" i="39"/>
  <c r="B479" i="39"/>
  <c r="W478" i="39"/>
  <c r="V478" i="39"/>
  <c r="S478" i="39"/>
  <c r="R478" i="39"/>
  <c r="Q478" i="39"/>
  <c r="P478" i="39"/>
  <c r="O478" i="39"/>
  <c r="N478" i="39"/>
  <c r="M478" i="39"/>
  <c r="L478" i="39"/>
  <c r="K478" i="39"/>
  <c r="J478" i="39"/>
  <c r="I478" i="39"/>
  <c r="G478" i="39"/>
  <c r="E478" i="39"/>
  <c r="D478" i="39"/>
  <c r="B478" i="39"/>
  <c r="W477" i="39"/>
  <c r="V477" i="39"/>
  <c r="S477" i="39"/>
  <c r="R477" i="39"/>
  <c r="Q477" i="39"/>
  <c r="P477" i="39"/>
  <c r="O477" i="39"/>
  <c r="N477" i="39"/>
  <c r="M477" i="39"/>
  <c r="L477" i="39"/>
  <c r="K477" i="39"/>
  <c r="J477" i="39"/>
  <c r="I477" i="39"/>
  <c r="G477" i="39"/>
  <c r="E477" i="39"/>
  <c r="D477" i="39"/>
  <c r="B477" i="39"/>
  <c r="W476" i="39"/>
  <c r="V476" i="39"/>
  <c r="S476" i="39"/>
  <c r="R476" i="39"/>
  <c r="Q476" i="39"/>
  <c r="P476" i="39"/>
  <c r="O476" i="39"/>
  <c r="N476" i="39"/>
  <c r="M476" i="39"/>
  <c r="L476" i="39"/>
  <c r="K476" i="39"/>
  <c r="J476" i="39"/>
  <c r="I476" i="39"/>
  <c r="G476" i="39"/>
  <c r="E476" i="39"/>
  <c r="D476" i="39"/>
  <c r="B476" i="39"/>
  <c r="W475" i="39"/>
  <c r="V475" i="39"/>
  <c r="S475" i="39"/>
  <c r="R475" i="39"/>
  <c r="Q475" i="39"/>
  <c r="P475" i="39"/>
  <c r="O475" i="39"/>
  <c r="N475" i="39"/>
  <c r="M475" i="39"/>
  <c r="L475" i="39"/>
  <c r="K475" i="39"/>
  <c r="J475" i="39"/>
  <c r="I475" i="39"/>
  <c r="G475" i="39"/>
  <c r="E475" i="39"/>
  <c r="D475" i="39"/>
  <c r="B475" i="39"/>
  <c r="W474" i="39"/>
  <c r="V474" i="39"/>
  <c r="S474" i="39"/>
  <c r="R474" i="39"/>
  <c r="Q474" i="39"/>
  <c r="P474" i="39"/>
  <c r="O474" i="39"/>
  <c r="N474" i="39"/>
  <c r="M474" i="39"/>
  <c r="L474" i="39"/>
  <c r="K474" i="39"/>
  <c r="J474" i="39"/>
  <c r="I474" i="39"/>
  <c r="G474" i="39"/>
  <c r="E474" i="39"/>
  <c r="D474" i="39"/>
  <c r="B474" i="39"/>
  <c r="W473" i="39"/>
  <c r="V473" i="39"/>
  <c r="S473" i="39"/>
  <c r="R473" i="39"/>
  <c r="Q473" i="39"/>
  <c r="P473" i="39"/>
  <c r="O473" i="39"/>
  <c r="N473" i="39"/>
  <c r="M473" i="39"/>
  <c r="L473" i="39"/>
  <c r="K473" i="39"/>
  <c r="J473" i="39"/>
  <c r="I473" i="39"/>
  <c r="G473" i="39"/>
  <c r="E473" i="39"/>
  <c r="D473" i="39"/>
  <c r="B473" i="39"/>
  <c r="W472" i="39"/>
  <c r="V472" i="39"/>
  <c r="S472" i="39"/>
  <c r="R472" i="39"/>
  <c r="Q472" i="39"/>
  <c r="P472" i="39"/>
  <c r="O472" i="39"/>
  <c r="N472" i="39"/>
  <c r="M472" i="39"/>
  <c r="L472" i="39"/>
  <c r="K472" i="39"/>
  <c r="J472" i="39"/>
  <c r="I472" i="39"/>
  <c r="G472" i="39"/>
  <c r="E472" i="39"/>
  <c r="D472" i="39"/>
  <c r="B472" i="39"/>
  <c r="W471" i="39"/>
  <c r="V471" i="39"/>
  <c r="S471" i="39"/>
  <c r="R471" i="39"/>
  <c r="Q471" i="39"/>
  <c r="P471" i="39"/>
  <c r="O471" i="39"/>
  <c r="N471" i="39"/>
  <c r="M471" i="39"/>
  <c r="L471" i="39"/>
  <c r="K471" i="39"/>
  <c r="J471" i="39"/>
  <c r="I471" i="39"/>
  <c r="G471" i="39"/>
  <c r="E471" i="39"/>
  <c r="D471" i="39"/>
  <c r="B471" i="39"/>
  <c r="W470" i="39"/>
  <c r="V470" i="39"/>
  <c r="S470" i="39"/>
  <c r="R470" i="39"/>
  <c r="Q470" i="39"/>
  <c r="P470" i="39"/>
  <c r="O470" i="39"/>
  <c r="N470" i="39"/>
  <c r="M470" i="39"/>
  <c r="L470" i="39"/>
  <c r="K470" i="39"/>
  <c r="J470" i="39"/>
  <c r="I470" i="39"/>
  <c r="G470" i="39"/>
  <c r="E470" i="39"/>
  <c r="D470" i="39"/>
  <c r="B470" i="39"/>
  <c r="W469" i="39"/>
  <c r="V469" i="39"/>
  <c r="S469" i="39"/>
  <c r="R469" i="39"/>
  <c r="Q469" i="39"/>
  <c r="P469" i="39"/>
  <c r="O469" i="39"/>
  <c r="N469" i="39"/>
  <c r="M469" i="39"/>
  <c r="L469" i="39"/>
  <c r="K469" i="39"/>
  <c r="J469" i="39"/>
  <c r="I469" i="39"/>
  <c r="G469" i="39"/>
  <c r="E469" i="39"/>
  <c r="D469" i="39"/>
  <c r="B469" i="39"/>
  <c r="W468" i="39"/>
  <c r="V468" i="39"/>
  <c r="S468" i="39"/>
  <c r="R468" i="39"/>
  <c r="Q468" i="39"/>
  <c r="P468" i="39"/>
  <c r="O468" i="39"/>
  <c r="N468" i="39"/>
  <c r="M468" i="39"/>
  <c r="L468" i="39"/>
  <c r="K468" i="39"/>
  <c r="J468" i="39"/>
  <c r="I468" i="39"/>
  <c r="G468" i="39"/>
  <c r="E468" i="39"/>
  <c r="D468" i="39"/>
  <c r="B468" i="39"/>
  <c r="W467" i="39"/>
  <c r="V467" i="39"/>
  <c r="S467" i="39"/>
  <c r="R467" i="39"/>
  <c r="Q467" i="39"/>
  <c r="P467" i="39"/>
  <c r="O467" i="39"/>
  <c r="N467" i="39"/>
  <c r="M467" i="39"/>
  <c r="L467" i="39"/>
  <c r="K467" i="39"/>
  <c r="J467" i="39"/>
  <c r="I467" i="39"/>
  <c r="G467" i="39"/>
  <c r="E467" i="39"/>
  <c r="D467" i="39"/>
  <c r="B467" i="39"/>
  <c r="W466" i="39"/>
  <c r="V466" i="39"/>
  <c r="S466" i="39"/>
  <c r="R466" i="39"/>
  <c r="Q466" i="39"/>
  <c r="P466" i="39"/>
  <c r="O466" i="39"/>
  <c r="N466" i="39"/>
  <c r="M466" i="39"/>
  <c r="L466" i="39"/>
  <c r="K466" i="39"/>
  <c r="J466" i="39"/>
  <c r="I466" i="39"/>
  <c r="G466" i="39"/>
  <c r="E466" i="39"/>
  <c r="D466" i="39"/>
  <c r="B466" i="39"/>
  <c r="W465" i="39"/>
  <c r="V465" i="39"/>
  <c r="S465" i="39"/>
  <c r="R465" i="39"/>
  <c r="Q465" i="39"/>
  <c r="P465" i="39"/>
  <c r="O465" i="39"/>
  <c r="N465" i="39"/>
  <c r="M465" i="39"/>
  <c r="L465" i="39"/>
  <c r="K465" i="39"/>
  <c r="J465" i="39"/>
  <c r="I465" i="39"/>
  <c r="G465" i="39"/>
  <c r="E465" i="39"/>
  <c r="D465" i="39"/>
  <c r="B465" i="39"/>
  <c r="W464" i="39"/>
  <c r="V464" i="39"/>
  <c r="S464" i="39"/>
  <c r="R464" i="39"/>
  <c r="Q464" i="39"/>
  <c r="P464" i="39"/>
  <c r="O464" i="39"/>
  <c r="N464" i="39"/>
  <c r="M464" i="39"/>
  <c r="L464" i="39"/>
  <c r="K464" i="39"/>
  <c r="J464" i="39"/>
  <c r="I464" i="39"/>
  <c r="G464" i="39"/>
  <c r="E464" i="39"/>
  <c r="D464" i="39"/>
  <c r="B464" i="39"/>
  <c r="W463" i="39"/>
  <c r="V463" i="39"/>
  <c r="S463" i="39"/>
  <c r="R463" i="39"/>
  <c r="Q463" i="39"/>
  <c r="P463" i="39"/>
  <c r="O463" i="39"/>
  <c r="N463" i="39"/>
  <c r="M463" i="39"/>
  <c r="L463" i="39"/>
  <c r="K463" i="39"/>
  <c r="J463" i="39"/>
  <c r="I463" i="39"/>
  <c r="G463" i="39"/>
  <c r="E463" i="39"/>
  <c r="D463" i="39"/>
  <c r="B463" i="39"/>
  <c r="W462" i="39"/>
  <c r="V462" i="39"/>
  <c r="S462" i="39"/>
  <c r="R462" i="39"/>
  <c r="Q462" i="39"/>
  <c r="P462" i="39"/>
  <c r="O462" i="39"/>
  <c r="N462" i="39"/>
  <c r="M462" i="39"/>
  <c r="L462" i="39"/>
  <c r="K462" i="39"/>
  <c r="J462" i="39"/>
  <c r="I462" i="39"/>
  <c r="G462" i="39"/>
  <c r="E462" i="39"/>
  <c r="D462" i="39"/>
  <c r="B462" i="39"/>
  <c r="W461" i="39"/>
  <c r="V461" i="39"/>
  <c r="S461" i="39"/>
  <c r="R461" i="39"/>
  <c r="Q461" i="39"/>
  <c r="P461" i="39"/>
  <c r="O461" i="39"/>
  <c r="N461" i="39"/>
  <c r="M461" i="39"/>
  <c r="L461" i="39"/>
  <c r="K461" i="39"/>
  <c r="J461" i="39"/>
  <c r="I461" i="39"/>
  <c r="G461" i="39"/>
  <c r="E461" i="39"/>
  <c r="D461" i="39"/>
  <c r="B461" i="39"/>
  <c r="F458" i="39"/>
  <c r="E458" i="39"/>
  <c r="W457" i="39"/>
  <c r="V457" i="39"/>
  <c r="S457" i="39"/>
  <c r="R457" i="39"/>
  <c r="Q457" i="39"/>
  <c r="P457" i="39"/>
  <c r="O457" i="39"/>
  <c r="N457" i="39"/>
  <c r="M457" i="39"/>
  <c r="L457" i="39"/>
  <c r="K457" i="39"/>
  <c r="J457" i="39"/>
  <c r="I457" i="39"/>
  <c r="G457" i="39"/>
  <c r="E457" i="39"/>
  <c r="D457" i="39"/>
  <c r="B457" i="39"/>
  <c r="W453" i="39"/>
  <c r="V453" i="39"/>
  <c r="S453" i="39"/>
  <c r="R453" i="39"/>
  <c r="Q453" i="39"/>
  <c r="P453" i="39"/>
  <c r="O453" i="39"/>
  <c r="N453" i="39"/>
  <c r="M453" i="39"/>
  <c r="L453" i="39"/>
  <c r="K453" i="39"/>
  <c r="J453" i="39"/>
  <c r="I453" i="39"/>
  <c r="G453" i="39"/>
  <c r="E453" i="39"/>
  <c r="D453" i="39"/>
  <c r="B453" i="39"/>
  <c r="W451" i="39"/>
  <c r="V451" i="39"/>
  <c r="S451" i="39"/>
  <c r="R451" i="39"/>
  <c r="Q451" i="39"/>
  <c r="P451" i="39"/>
  <c r="O451" i="39"/>
  <c r="N451" i="39"/>
  <c r="M451" i="39"/>
  <c r="L451" i="39"/>
  <c r="K451" i="39"/>
  <c r="J451" i="39"/>
  <c r="I451" i="39"/>
  <c r="G451" i="39"/>
  <c r="E451" i="39"/>
  <c r="D451" i="39"/>
  <c r="B451" i="39"/>
  <c r="W450" i="39"/>
  <c r="V450" i="39"/>
  <c r="S450" i="39"/>
  <c r="R450" i="39"/>
  <c r="Q450" i="39"/>
  <c r="P450" i="39"/>
  <c r="O450" i="39"/>
  <c r="N450" i="39"/>
  <c r="M450" i="39"/>
  <c r="L450" i="39"/>
  <c r="K450" i="39"/>
  <c r="J450" i="39"/>
  <c r="I450" i="39"/>
  <c r="G450" i="39"/>
  <c r="E450" i="39"/>
  <c r="D450" i="39"/>
  <c r="B450" i="39"/>
  <c r="W449" i="39"/>
  <c r="V449" i="39"/>
  <c r="S449" i="39"/>
  <c r="R449" i="39"/>
  <c r="Q449" i="39"/>
  <c r="P449" i="39"/>
  <c r="O449" i="39"/>
  <c r="N449" i="39"/>
  <c r="M449" i="39"/>
  <c r="L449" i="39"/>
  <c r="K449" i="39"/>
  <c r="J449" i="39"/>
  <c r="I449" i="39"/>
  <c r="G449" i="39"/>
  <c r="E449" i="39"/>
  <c r="D449" i="39"/>
  <c r="B449" i="39"/>
  <c r="W448" i="39"/>
  <c r="V448" i="39"/>
  <c r="S448" i="39"/>
  <c r="R448" i="39"/>
  <c r="Q448" i="39"/>
  <c r="P448" i="39"/>
  <c r="O448" i="39"/>
  <c r="N448" i="39"/>
  <c r="M448" i="39"/>
  <c r="L448" i="39"/>
  <c r="K448" i="39"/>
  <c r="J448" i="39"/>
  <c r="I448" i="39"/>
  <c r="G448" i="39"/>
  <c r="E448" i="39"/>
  <c r="D448" i="39"/>
  <c r="B448" i="39"/>
  <c r="W447" i="39"/>
  <c r="V447" i="39"/>
  <c r="S447" i="39"/>
  <c r="R447" i="39"/>
  <c r="Q447" i="39"/>
  <c r="P447" i="39"/>
  <c r="O447" i="39"/>
  <c r="N447" i="39"/>
  <c r="M447" i="39"/>
  <c r="L447" i="39"/>
  <c r="K447" i="39"/>
  <c r="J447" i="39"/>
  <c r="I447" i="39"/>
  <c r="G447" i="39"/>
  <c r="E447" i="39"/>
  <c r="D447" i="39"/>
  <c r="B447" i="39"/>
  <c r="W446" i="39"/>
  <c r="V446" i="39"/>
  <c r="S446" i="39"/>
  <c r="R446" i="39"/>
  <c r="Q446" i="39"/>
  <c r="P446" i="39"/>
  <c r="O446" i="39"/>
  <c r="N446" i="39"/>
  <c r="M446" i="39"/>
  <c r="L446" i="39"/>
  <c r="K446" i="39"/>
  <c r="J446" i="39"/>
  <c r="I446" i="39"/>
  <c r="G446" i="39"/>
  <c r="E446" i="39"/>
  <c r="D446" i="39"/>
  <c r="B446" i="39"/>
  <c r="W445" i="39"/>
  <c r="V445" i="39"/>
  <c r="S445" i="39"/>
  <c r="R445" i="39"/>
  <c r="Q445" i="39"/>
  <c r="P445" i="39"/>
  <c r="O445" i="39"/>
  <c r="N445" i="39"/>
  <c r="M445" i="39"/>
  <c r="L445" i="39"/>
  <c r="K445" i="39"/>
  <c r="J445" i="39"/>
  <c r="I445" i="39"/>
  <c r="G445" i="39"/>
  <c r="E445" i="39"/>
  <c r="D445" i="39"/>
  <c r="B445" i="39"/>
  <c r="W444" i="39"/>
  <c r="V444" i="39"/>
  <c r="S444" i="39"/>
  <c r="R444" i="39"/>
  <c r="Q444" i="39"/>
  <c r="P444" i="39"/>
  <c r="O444" i="39"/>
  <c r="N444" i="39"/>
  <c r="M444" i="39"/>
  <c r="L444" i="39"/>
  <c r="K444" i="39"/>
  <c r="J444" i="39"/>
  <c r="I444" i="39"/>
  <c r="G444" i="39"/>
  <c r="E444" i="39"/>
  <c r="D444" i="39"/>
  <c r="B444" i="39"/>
  <c r="W443" i="39"/>
  <c r="V443" i="39"/>
  <c r="S443" i="39"/>
  <c r="R443" i="39"/>
  <c r="Q443" i="39"/>
  <c r="P443" i="39"/>
  <c r="O443" i="39"/>
  <c r="N443" i="39"/>
  <c r="M443" i="39"/>
  <c r="L443" i="39"/>
  <c r="K443" i="39"/>
  <c r="J443" i="39"/>
  <c r="I443" i="39"/>
  <c r="G443" i="39"/>
  <c r="E443" i="39"/>
  <c r="D443" i="39"/>
  <c r="B443" i="39"/>
  <c r="W442" i="39"/>
  <c r="V442" i="39"/>
  <c r="S442" i="39"/>
  <c r="R442" i="39"/>
  <c r="Q442" i="39"/>
  <c r="P442" i="39"/>
  <c r="O442" i="39"/>
  <c r="N442" i="39"/>
  <c r="M442" i="39"/>
  <c r="L442" i="39"/>
  <c r="K442" i="39"/>
  <c r="J442" i="39"/>
  <c r="I442" i="39"/>
  <c r="G442" i="39"/>
  <c r="E442" i="39"/>
  <c r="D442" i="39"/>
  <c r="B442" i="39"/>
  <c r="W441" i="39"/>
  <c r="V441" i="39"/>
  <c r="S441" i="39"/>
  <c r="R441" i="39"/>
  <c r="Q441" i="39"/>
  <c r="P441" i="39"/>
  <c r="O441" i="39"/>
  <c r="N441" i="39"/>
  <c r="M441" i="39"/>
  <c r="L441" i="39"/>
  <c r="K441" i="39"/>
  <c r="J441" i="39"/>
  <c r="I441" i="39"/>
  <c r="G441" i="39"/>
  <c r="E441" i="39"/>
  <c r="D441" i="39"/>
  <c r="B441" i="39"/>
  <c r="W440" i="39"/>
  <c r="V440" i="39"/>
  <c r="S440" i="39"/>
  <c r="R440" i="39"/>
  <c r="Q440" i="39"/>
  <c r="P440" i="39"/>
  <c r="O440" i="39"/>
  <c r="N440" i="39"/>
  <c r="M440" i="39"/>
  <c r="L440" i="39"/>
  <c r="K440" i="39"/>
  <c r="J440" i="39"/>
  <c r="I440" i="39"/>
  <c r="G440" i="39"/>
  <c r="E440" i="39"/>
  <c r="D440" i="39"/>
  <c r="B440" i="39"/>
  <c r="W439" i="39"/>
  <c r="V439" i="39"/>
  <c r="S439" i="39"/>
  <c r="R439" i="39"/>
  <c r="Q439" i="39"/>
  <c r="P439" i="39"/>
  <c r="O439" i="39"/>
  <c r="N439" i="39"/>
  <c r="M439" i="39"/>
  <c r="L439" i="39"/>
  <c r="K439" i="39"/>
  <c r="J439" i="39"/>
  <c r="I439" i="39"/>
  <c r="G439" i="39"/>
  <c r="E439" i="39"/>
  <c r="D439" i="39"/>
  <c r="B439" i="39"/>
  <c r="W438" i="39"/>
  <c r="V438" i="39"/>
  <c r="S438" i="39"/>
  <c r="R438" i="39"/>
  <c r="Q438" i="39"/>
  <c r="P438" i="39"/>
  <c r="O438" i="39"/>
  <c r="N438" i="39"/>
  <c r="M438" i="39"/>
  <c r="L438" i="39"/>
  <c r="K438" i="39"/>
  <c r="J438" i="39"/>
  <c r="I438" i="39"/>
  <c r="G438" i="39"/>
  <c r="E438" i="39"/>
  <c r="D438" i="39"/>
  <c r="B438" i="39"/>
  <c r="W437" i="39"/>
  <c r="V437" i="39"/>
  <c r="S437" i="39"/>
  <c r="R437" i="39"/>
  <c r="Q437" i="39"/>
  <c r="P437" i="39"/>
  <c r="O437" i="39"/>
  <c r="N437" i="39"/>
  <c r="M437" i="39"/>
  <c r="L437" i="39"/>
  <c r="K437" i="39"/>
  <c r="J437" i="39"/>
  <c r="I437" i="39"/>
  <c r="G437" i="39"/>
  <c r="E437" i="39"/>
  <c r="D437" i="39"/>
  <c r="B437" i="39"/>
  <c r="W436" i="39"/>
  <c r="V436" i="39"/>
  <c r="S436" i="39"/>
  <c r="R436" i="39"/>
  <c r="Q436" i="39"/>
  <c r="P436" i="39"/>
  <c r="O436" i="39"/>
  <c r="N436" i="39"/>
  <c r="M436" i="39"/>
  <c r="L436" i="39"/>
  <c r="K436" i="39"/>
  <c r="J436" i="39"/>
  <c r="I436" i="39"/>
  <c r="G436" i="39"/>
  <c r="E436" i="39"/>
  <c r="D436" i="39"/>
  <c r="B436" i="39"/>
  <c r="W435" i="39"/>
  <c r="V435" i="39"/>
  <c r="S435" i="39"/>
  <c r="R435" i="39"/>
  <c r="Q435" i="39"/>
  <c r="P435" i="39"/>
  <c r="O435" i="39"/>
  <c r="N435" i="39"/>
  <c r="M435" i="39"/>
  <c r="L435" i="39"/>
  <c r="K435" i="39"/>
  <c r="J435" i="39"/>
  <c r="I435" i="39"/>
  <c r="G435" i="39"/>
  <c r="E435" i="39"/>
  <c r="D435" i="39"/>
  <c r="B435" i="39"/>
  <c r="W434" i="39"/>
  <c r="V434" i="39"/>
  <c r="S434" i="39"/>
  <c r="R434" i="39"/>
  <c r="Q434" i="39"/>
  <c r="P434" i="39"/>
  <c r="O434" i="39"/>
  <c r="N434" i="39"/>
  <c r="M434" i="39"/>
  <c r="L434" i="39"/>
  <c r="K434" i="39"/>
  <c r="J434" i="39"/>
  <c r="I434" i="39"/>
  <c r="G434" i="39"/>
  <c r="E434" i="39"/>
  <c r="D434" i="39"/>
  <c r="B434" i="39"/>
  <c r="W433" i="39"/>
  <c r="V433" i="39"/>
  <c r="S433" i="39"/>
  <c r="R433" i="39"/>
  <c r="Q433" i="39"/>
  <c r="P433" i="39"/>
  <c r="O433" i="39"/>
  <c r="N433" i="39"/>
  <c r="M433" i="39"/>
  <c r="L433" i="39"/>
  <c r="K433" i="39"/>
  <c r="J433" i="39"/>
  <c r="I433" i="39"/>
  <c r="G433" i="39"/>
  <c r="E433" i="39"/>
  <c r="D433" i="39"/>
  <c r="B433" i="39"/>
  <c r="F430" i="39"/>
  <c r="E430" i="39"/>
  <c r="W429" i="39"/>
  <c r="V429" i="39"/>
  <c r="S429" i="39"/>
  <c r="R429" i="39"/>
  <c r="Q429" i="39"/>
  <c r="P429" i="39"/>
  <c r="O429" i="39"/>
  <c r="N429" i="39"/>
  <c r="M429" i="39"/>
  <c r="L429" i="39"/>
  <c r="K429" i="39"/>
  <c r="J429" i="39"/>
  <c r="I429" i="39"/>
  <c r="G429" i="39"/>
  <c r="E429" i="39"/>
  <c r="D429" i="39"/>
  <c r="B429" i="39"/>
  <c r="W425" i="39"/>
  <c r="V425" i="39"/>
  <c r="S425" i="39"/>
  <c r="R425" i="39"/>
  <c r="Q425" i="39"/>
  <c r="P425" i="39"/>
  <c r="O425" i="39"/>
  <c r="N425" i="39"/>
  <c r="M425" i="39"/>
  <c r="L425" i="39"/>
  <c r="K425" i="39"/>
  <c r="J425" i="39"/>
  <c r="I425" i="39"/>
  <c r="G425" i="39"/>
  <c r="E425" i="39"/>
  <c r="D425" i="39"/>
  <c r="B425" i="39"/>
  <c r="W423" i="39"/>
  <c r="V423" i="39"/>
  <c r="S423" i="39"/>
  <c r="R423" i="39"/>
  <c r="Q423" i="39"/>
  <c r="P423" i="39"/>
  <c r="O423" i="39"/>
  <c r="N423" i="39"/>
  <c r="M423" i="39"/>
  <c r="L423" i="39"/>
  <c r="K423" i="39"/>
  <c r="J423" i="39"/>
  <c r="I423" i="39"/>
  <c r="G423" i="39"/>
  <c r="E423" i="39"/>
  <c r="D423" i="39"/>
  <c r="B423" i="39"/>
  <c r="W422" i="39"/>
  <c r="V422" i="39"/>
  <c r="S422" i="39"/>
  <c r="R422" i="39"/>
  <c r="Q422" i="39"/>
  <c r="P422" i="39"/>
  <c r="O422" i="39"/>
  <c r="N422" i="39"/>
  <c r="M422" i="39"/>
  <c r="L422" i="39"/>
  <c r="K422" i="39"/>
  <c r="J422" i="39"/>
  <c r="I422" i="39"/>
  <c r="G422" i="39"/>
  <c r="E422" i="39"/>
  <c r="D422" i="39"/>
  <c r="B422" i="39"/>
  <c r="W421" i="39"/>
  <c r="V421" i="39"/>
  <c r="S421" i="39"/>
  <c r="R421" i="39"/>
  <c r="Q421" i="39"/>
  <c r="P421" i="39"/>
  <c r="O421" i="39"/>
  <c r="N421" i="39"/>
  <c r="M421" i="39"/>
  <c r="L421" i="39"/>
  <c r="K421" i="39"/>
  <c r="J421" i="39"/>
  <c r="I421" i="39"/>
  <c r="G421" i="39"/>
  <c r="E421" i="39"/>
  <c r="D421" i="39"/>
  <c r="B421" i="39"/>
  <c r="W420" i="39"/>
  <c r="V420" i="39"/>
  <c r="S420" i="39"/>
  <c r="R420" i="39"/>
  <c r="Q420" i="39"/>
  <c r="P420" i="39"/>
  <c r="O420" i="39"/>
  <c r="N420" i="39"/>
  <c r="M420" i="39"/>
  <c r="L420" i="39"/>
  <c r="K420" i="39"/>
  <c r="J420" i="39"/>
  <c r="I420" i="39"/>
  <c r="G420" i="39"/>
  <c r="E420" i="39"/>
  <c r="D420" i="39"/>
  <c r="B420" i="39"/>
  <c r="W419" i="39"/>
  <c r="V419" i="39"/>
  <c r="S419" i="39"/>
  <c r="R419" i="39"/>
  <c r="Q419" i="39"/>
  <c r="P419" i="39"/>
  <c r="O419" i="39"/>
  <c r="N419" i="39"/>
  <c r="M419" i="39"/>
  <c r="L419" i="39"/>
  <c r="K419" i="39"/>
  <c r="J419" i="39"/>
  <c r="I419" i="39"/>
  <c r="G419" i="39"/>
  <c r="E419" i="39"/>
  <c r="D419" i="39"/>
  <c r="B419" i="39"/>
  <c r="W418" i="39"/>
  <c r="V418" i="39"/>
  <c r="S418" i="39"/>
  <c r="R418" i="39"/>
  <c r="Q418" i="39"/>
  <c r="P418" i="39"/>
  <c r="O418" i="39"/>
  <c r="N418" i="39"/>
  <c r="M418" i="39"/>
  <c r="L418" i="39"/>
  <c r="K418" i="39"/>
  <c r="J418" i="39"/>
  <c r="I418" i="39"/>
  <c r="G418" i="39"/>
  <c r="E418" i="39"/>
  <c r="D418" i="39"/>
  <c r="B418" i="39"/>
  <c r="W417" i="39"/>
  <c r="V417" i="39"/>
  <c r="S417" i="39"/>
  <c r="R417" i="39"/>
  <c r="Q417" i="39"/>
  <c r="P417" i="39"/>
  <c r="O417" i="39"/>
  <c r="N417" i="39"/>
  <c r="M417" i="39"/>
  <c r="L417" i="39"/>
  <c r="K417" i="39"/>
  <c r="J417" i="39"/>
  <c r="I417" i="39"/>
  <c r="G417" i="39"/>
  <c r="E417" i="39"/>
  <c r="D417" i="39"/>
  <c r="B417" i="39"/>
  <c r="W416" i="39"/>
  <c r="V416" i="39"/>
  <c r="S416" i="39"/>
  <c r="R416" i="39"/>
  <c r="Q416" i="39"/>
  <c r="P416" i="39"/>
  <c r="O416" i="39"/>
  <c r="N416" i="39"/>
  <c r="M416" i="39"/>
  <c r="L416" i="39"/>
  <c r="K416" i="39"/>
  <c r="J416" i="39"/>
  <c r="I416" i="39"/>
  <c r="G416" i="39"/>
  <c r="E416" i="39"/>
  <c r="D416" i="39"/>
  <c r="B416" i="39"/>
  <c r="W415" i="39"/>
  <c r="V415" i="39"/>
  <c r="S415" i="39"/>
  <c r="R415" i="39"/>
  <c r="Q415" i="39"/>
  <c r="P415" i="39"/>
  <c r="O415" i="39"/>
  <c r="N415" i="39"/>
  <c r="M415" i="39"/>
  <c r="L415" i="39"/>
  <c r="K415" i="39"/>
  <c r="J415" i="39"/>
  <c r="I415" i="39"/>
  <c r="G415" i="39"/>
  <c r="E415" i="39"/>
  <c r="D415" i="39"/>
  <c r="B415" i="39"/>
  <c r="W414" i="39"/>
  <c r="V414" i="39"/>
  <c r="S414" i="39"/>
  <c r="R414" i="39"/>
  <c r="Q414" i="39"/>
  <c r="P414" i="39"/>
  <c r="O414" i="39"/>
  <c r="N414" i="39"/>
  <c r="M414" i="39"/>
  <c r="L414" i="39"/>
  <c r="K414" i="39"/>
  <c r="J414" i="39"/>
  <c r="I414" i="39"/>
  <c r="G414" i="39"/>
  <c r="E414" i="39"/>
  <c r="D414" i="39"/>
  <c r="B414" i="39"/>
  <c r="W413" i="39"/>
  <c r="V413" i="39"/>
  <c r="S413" i="39"/>
  <c r="R413" i="39"/>
  <c r="Q413" i="39"/>
  <c r="P413" i="39"/>
  <c r="O413" i="39"/>
  <c r="N413" i="39"/>
  <c r="M413" i="39"/>
  <c r="L413" i="39"/>
  <c r="K413" i="39"/>
  <c r="J413" i="39"/>
  <c r="I413" i="39"/>
  <c r="G413" i="39"/>
  <c r="E413" i="39"/>
  <c r="D413" i="39"/>
  <c r="B413" i="39"/>
  <c r="W412" i="39"/>
  <c r="V412" i="39"/>
  <c r="S412" i="39"/>
  <c r="R412" i="39"/>
  <c r="Q412" i="39"/>
  <c r="P412" i="39"/>
  <c r="O412" i="39"/>
  <c r="N412" i="39"/>
  <c r="M412" i="39"/>
  <c r="L412" i="39"/>
  <c r="K412" i="39"/>
  <c r="J412" i="39"/>
  <c r="I412" i="39"/>
  <c r="G412" i="39"/>
  <c r="E412" i="39"/>
  <c r="D412" i="39"/>
  <c r="B412" i="39"/>
  <c r="W411" i="39"/>
  <c r="V411" i="39"/>
  <c r="S411" i="39"/>
  <c r="R411" i="39"/>
  <c r="Q411" i="39"/>
  <c r="P411" i="39"/>
  <c r="O411" i="39"/>
  <c r="N411" i="39"/>
  <c r="M411" i="39"/>
  <c r="L411" i="39"/>
  <c r="K411" i="39"/>
  <c r="J411" i="39"/>
  <c r="I411" i="39"/>
  <c r="G411" i="39"/>
  <c r="E411" i="39"/>
  <c r="D411" i="39"/>
  <c r="B411" i="39"/>
  <c r="W410" i="39"/>
  <c r="V410" i="39"/>
  <c r="S410" i="39"/>
  <c r="R410" i="39"/>
  <c r="Q410" i="39"/>
  <c r="P410" i="39"/>
  <c r="O410" i="39"/>
  <c r="N410" i="39"/>
  <c r="M410" i="39"/>
  <c r="L410" i="39"/>
  <c r="K410" i="39"/>
  <c r="J410" i="39"/>
  <c r="I410" i="39"/>
  <c r="G410" i="39"/>
  <c r="E410" i="39"/>
  <c r="D410" i="39"/>
  <c r="B410" i="39"/>
  <c r="W409" i="39"/>
  <c r="V409" i="39"/>
  <c r="S409" i="39"/>
  <c r="R409" i="39"/>
  <c r="Q409" i="39"/>
  <c r="P409" i="39"/>
  <c r="O409" i="39"/>
  <c r="N409" i="39"/>
  <c r="M409" i="39"/>
  <c r="L409" i="39"/>
  <c r="K409" i="39"/>
  <c r="J409" i="39"/>
  <c r="I409" i="39"/>
  <c r="G409" i="39"/>
  <c r="E409" i="39"/>
  <c r="D409" i="39"/>
  <c r="B409" i="39"/>
  <c r="W408" i="39"/>
  <c r="V408" i="39"/>
  <c r="S408" i="39"/>
  <c r="R408" i="39"/>
  <c r="Q408" i="39"/>
  <c r="P408" i="39"/>
  <c r="O408" i="39"/>
  <c r="N408" i="39"/>
  <c r="M408" i="39"/>
  <c r="L408" i="39"/>
  <c r="K408" i="39"/>
  <c r="J408" i="39"/>
  <c r="I408" i="39"/>
  <c r="G408" i="39"/>
  <c r="E408" i="39"/>
  <c r="D408" i="39"/>
  <c r="B408" i="39"/>
  <c r="W407" i="39"/>
  <c r="V407" i="39"/>
  <c r="S407" i="39"/>
  <c r="R407" i="39"/>
  <c r="Q407" i="39"/>
  <c r="P407" i="39"/>
  <c r="O407" i="39"/>
  <c r="N407" i="39"/>
  <c r="M407" i="39"/>
  <c r="L407" i="39"/>
  <c r="K407" i="39"/>
  <c r="J407" i="39"/>
  <c r="I407" i="39"/>
  <c r="G407" i="39"/>
  <c r="E407" i="39"/>
  <c r="D407" i="39"/>
  <c r="B407" i="39"/>
  <c r="W406" i="39"/>
  <c r="V406" i="39"/>
  <c r="S406" i="39"/>
  <c r="R406" i="39"/>
  <c r="Q406" i="39"/>
  <c r="P406" i="39"/>
  <c r="O406" i="39"/>
  <c r="N406" i="39"/>
  <c r="M406" i="39"/>
  <c r="L406" i="39"/>
  <c r="K406" i="39"/>
  <c r="J406" i="39"/>
  <c r="I406" i="39"/>
  <c r="G406" i="39"/>
  <c r="E406" i="39"/>
  <c r="D406" i="39"/>
  <c r="B406" i="39"/>
  <c r="W405" i="39"/>
  <c r="V405" i="39"/>
  <c r="S405" i="39"/>
  <c r="R405" i="39"/>
  <c r="Q405" i="39"/>
  <c r="P405" i="39"/>
  <c r="O405" i="39"/>
  <c r="N405" i="39"/>
  <c r="M405" i="39"/>
  <c r="L405" i="39"/>
  <c r="K405" i="39"/>
  <c r="J405" i="39"/>
  <c r="I405" i="39"/>
  <c r="G405" i="39"/>
  <c r="E405" i="39"/>
  <c r="D405" i="39"/>
  <c r="B405" i="39"/>
  <c r="F402" i="39"/>
  <c r="E402" i="39"/>
  <c r="W401" i="39"/>
  <c r="V401" i="39"/>
  <c r="S401" i="39"/>
  <c r="R401" i="39"/>
  <c r="Q401" i="39"/>
  <c r="P401" i="39"/>
  <c r="O401" i="39"/>
  <c r="N401" i="39"/>
  <c r="M401" i="39"/>
  <c r="L401" i="39"/>
  <c r="K401" i="39"/>
  <c r="J401" i="39"/>
  <c r="I401" i="39"/>
  <c r="G401" i="39"/>
  <c r="E401" i="39"/>
  <c r="D401" i="39"/>
  <c r="B401" i="39"/>
  <c r="W397" i="39"/>
  <c r="V397" i="39"/>
  <c r="S397" i="39"/>
  <c r="R397" i="39"/>
  <c r="Q397" i="39"/>
  <c r="P397" i="39"/>
  <c r="O397" i="39"/>
  <c r="N397" i="39"/>
  <c r="M397" i="39"/>
  <c r="L397" i="39"/>
  <c r="K397" i="39"/>
  <c r="J397" i="39"/>
  <c r="I397" i="39"/>
  <c r="G397" i="39"/>
  <c r="E397" i="39"/>
  <c r="D397" i="39"/>
  <c r="B397" i="39"/>
  <c r="W395" i="39"/>
  <c r="V395" i="39"/>
  <c r="S395" i="39"/>
  <c r="R395" i="39"/>
  <c r="Q395" i="39"/>
  <c r="P395" i="39"/>
  <c r="O395" i="39"/>
  <c r="N395" i="39"/>
  <c r="M395" i="39"/>
  <c r="L395" i="39"/>
  <c r="K395" i="39"/>
  <c r="J395" i="39"/>
  <c r="I395" i="39"/>
  <c r="G395" i="39"/>
  <c r="E395" i="39"/>
  <c r="D395" i="39"/>
  <c r="B395" i="39"/>
  <c r="W394" i="39"/>
  <c r="V394" i="39"/>
  <c r="S394" i="39"/>
  <c r="R394" i="39"/>
  <c r="Q394" i="39"/>
  <c r="P394" i="39"/>
  <c r="O394" i="39"/>
  <c r="N394" i="39"/>
  <c r="M394" i="39"/>
  <c r="L394" i="39"/>
  <c r="K394" i="39"/>
  <c r="J394" i="39"/>
  <c r="I394" i="39"/>
  <c r="G394" i="39"/>
  <c r="E394" i="39"/>
  <c r="D394" i="39"/>
  <c r="B394" i="39"/>
  <c r="W393" i="39"/>
  <c r="V393" i="39"/>
  <c r="S393" i="39"/>
  <c r="R393" i="39"/>
  <c r="Q393" i="39"/>
  <c r="P393" i="39"/>
  <c r="O393" i="39"/>
  <c r="N393" i="39"/>
  <c r="M393" i="39"/>
  <c r="L393" i="39"/>
  <c r="K393" i="39"/>
  <c r="J393" i="39"/>
  <c r="I393" i="39"/>
  <c r="G393" i="39"/>
  <c r="E393" i="39"/>
  <c r="D393" i="39"/>
  <c r="B393" i="39"/>
  <c r="W392" i="39"/>
  <c r="V392" i="39"/>
  <c r="S392" i="39"/>
  <c r="R392" i="39"/>
  <c r="Q392" i="39"/>
  <c r="P392" i="39"/>
  <c r="O392" i="39"/>
  <c r="N392" i="39"/>
  <c r="M392" i="39"/>
  <c r="L392" i="39"/>
  <c r="K392" i="39"/>
  <c r="J392" i="39"/>
  <c r="I392" i="39"/>
  <c r="G392" i="39"/>
  <c r="E392" i="39"/>
  <c r="D392" i="39"/>
  <c r="B392" i="39"/>
  <c r="W391" i="39"/>
  <c r="V391" i="39"/>
  <c r="S391" i="39"/>
  <c r="R391" i="39"/>
  <c r="Q391" i="39"/>
  <c r="P391" i="39"/>
  <c r="O391" i="39"/>
  <c r="N391" i="39"/>
  <c r="M391" i="39"/>
  <c r="L391" i="39"/>
  <c r="K391" i="39"/>
  <c r="J391" i="39"/>
  <c r="I391" i="39"/>
  <c r="G391" i="39"/>
  <c r="E391" i="39"/>
  <c r="D391" i="39"/>
  <c r="B391" i="39"/>
  <c r="W390" i="39"/>
  <c r="V390" i="39"/>
  <c r="S390" i="39"/>
  <c r="R390" i="39"/>
  <c r="Q390" i="39"/>
  <c r="P390" i="39"/>
  <c r="O390" i="39"/>
  <c r="N390" i="39"/>
  <c r="M390" i="39"/>
  <c r="L390" i="39"/>
  <c r="K390" i="39"/>
  <c r="J390" i="39"/>
  <c r="I390" i="39"/>
  <c r="G390" i="39"/>
  <c r="E390" i="39"/>
  <c r="D390" i="39"/>
  <c r="B390" i="39"/>
  <c r="W389" i="39"/>
  <c r="V389" i="39"/>
  <c r="S389" i="39"/>
  <c r="R389" i="39"/>
  <c r="Q389" i="39"/>
  <c r="P389" i="39"/>
  <c r="O389" i="39"/>
  <c r="N389" i="39"/>
  <c r="M389" i="39"/>
  <c r="L389" i="39"/>
  <c r="K389" i="39"/>
  <c r="J389" i="39"/>
  <c r="I389" i="39"/>
  <c r="G389" i="39"/>
  <c r="E389" i="39"/>
  <c r="D389" i="39"/>
  <c r="B389" i="39"/>
  <c r="W388" i="39"/>
  <c r="V388" i="39"/>
  <c r="S388" i="39"/>
  <c r="R388" i="39"/>
  <c r="Q388" i="39"/>
  <c r="P388" i="39"/>
  <c r="O388" i="39"/>
  <c r="N388" i="39"/>
  <c r="M388" i="39"/>
  <c r="L388" i="39"/>
  <c r="K388" i="39"/>
  <c r="J388" i="39"/>
  <c r="I388" i="39"/>
  <c r="G388" i="39"/>
  <c r="E388" i="39"/>
  <c r="D388" i="39"/>
  <c r="B388" i="39"/>
  <c r="W387" i="39"/>
  <c r="V387" i="39"/>
  <c r="S387" i="39"/>
  <c r="R387" i="39"/>
  <c r="Q387" i="39"/>
  <c r="P387" i="39"/>
  <c r="O387" i="39"/>
  <c r="N387" i="39"/>
  <c r="M387" i="39"/>
  <c r="L387" i="39"/>
  <c r="K387" i="39"/>
  <c r="J387" i="39"/>
  <c r="I387" i="39"/>
  <c r="G387" i="39"/>
  <c r="E387" i="39"/>
  <c r="D387" i="39"/>
  <c r="B387" i="39"/>
  <c r="W386" i="39"/>
  <c r="V386" i="39"/>
  <c r="S386" i="39"/>
  <c r="R386" i="39"/>
  <c r="Q386" i="39"/>
  <c r="P386" i="39"/>
  <c r="O386" i="39"/>
  <c r="N386" i="39"/>
  <c r="M386" i="39"/>
  <c r="L386" i="39"/>
  <c r="K386" i="39"/>
  <c r="J386" i="39"/>
  <c r="I386" i="39"/>
  <c r="G386" i="39"/>
  <c r="E386" i="39"/>
  <c r="D386" i="39"/>
  <c r="B386" i="39"/>
  <c r="W385" i="39"/>
  <c r="V385" i="39"/>
  <c r="S385" i="39"/>
  <c r="R385" i="39"/>
  <c r="Q385" i="39"/>
  <c r="P385" i="39"/>
  <c r="O385" i="39"/>
  <c r="N385" i="39"/>
  <c r="M385" i="39"/>
  <c r="L385" i="39"/>
  <c r="K385" i="39"/>
  <c r="J385" i="39"/>
  <c r="I385" i="39"/>
  <c r="G385" i="39"/>
  <c r="E385" i="39"/>
  <c r="D385" i="39"/>
  <c r="B385" i="39"/>
  <c r="W384" i="39"/>
  <c r="V384" i="39"/>
  <c r="S384" i="39"/>
  <c r="R384" i="39"/>
  <c r="Q384" i="39"/>
  <c r="P384" i="39"/>
  <c r="O384" i="39"/>
  <c r="N384" i="39"/>
  <c r="M384" i="39"/>
  <c r="L384" i="39"/>
  <c r="K384" i="39"/>
  <c r="J384" i="39"/>
  <c r="I384" i="39"/>
  <c r="G384" i="39"/>
  <c r="E384" i="39"/>
  <c r="D384" i="39"/>
  <c r="B384" i="39"/>
  <c r="W383" i="39"/>
  <c r="V383" i="39"/>
  <c r="S383" i="39"/>
  <c r="R383" i="39"/>
  <c r="Q383" i="39"/>
  <c r="P383" i="39"/>
  <c r="O383" i="39"/>
  <c r="N383" i="39"/>
  <c r="M383" i="39"/>
  <c r="L383" i="39"/>
  <c r="K383" i="39"/>
  <c r="J383" i="39"/>
  <c r="I383" i="39"/>
  <c r="G383" i="39"/>
  <c r="E383" i="39"/>
  <c r="D383" i="39"/>
  <c r="B383" i="39"/>
  <c r="W382" i="39"/>
  <c r="V382" i="39"/>
  <c r="S382" i="39"/>
  <c r="R382" i="39"/>
  <c r="Q382" i="39"/>
  <c r="P382" i="39"/>
  <c r="O382" i="39"/>
  <c r="N382" i="39"/>
  <c r="M382" i="39"/>
  <c r="L382" i="39"/>
  <c r="K382" i="39"/>
  <c r="J382" i="39"/>
  <c r="I382" i="39"/>
  <c r="G382" i="39"/>
  <c r="E382" i="39"/>
  <c r="D382" i="39"/>
  <c r="B382" i="39"/>
  <c r="W381" i="39"/>
  <c r="V381" i="39"/>
  <c r="S381" i="39"/>
  <c r="R381" i="39"/>
  <c r="Q381" i="39"/>
  <c r="P381" i="39"/>
  <c r="O381" i="39"/>
  <c r="N381" i="39"/>
  <c r="M381" i="39"/>
  <c r="L381" i="39"/>
  <c r="K381" i="39"/>
  <c r="J381" i="39"/>
  <c r="I381" i="39"/>
  <c r="G381" i="39"/>
  <c r="E381" i="39"/>
  <c r="D381" i="39"/>
  <c r="B381" i="39"/>
  <c r="W380" i="39"/>
  <c r="V380" i="39"/>
  <c r="S380" i="39"/>
  <c r="R380" i="39"/>
  <c r="Q380" i="39"/>
  <c r="P380" i="39"/>
  <c r="O380" i="39"/>
  <c r="N380" i="39"/>
  <c r="M380" i="39"/>
  <c r="L380" i="39"/>
  <c r="K380" i="39"/>
  <c r="J380" i="39"/>
  <c r="I380" i="39"/>
  <c r="G380" i="39"/>
  <c r="E380" i="39"/>
  <c r="D380" i="39"/>
  <c r="B380" i="39"/>
  <c r="W379" i="39"/>
  <c r="V379" i="39"/>
  <c r="S379" i="39"/>
  <c r="R379" i="39"/>
  <c r="Q379" i="39"/>
  <c r="P379" i="39"/>
  <c r="O379" i="39"/>
  <c r="N379" i="39"/>
  <c r="M379" i="39"/>
  <c r="L379" i="39"/>
  <c r="K379" i="39"/>
  <c r="J379" i="39"/>
  <c r="I379" i="39"/>
  <c r="G379" i="39"/>
  <c r="E379" i="39"/>
  <c r="D379" i="39"/>
  <c r="B379" i="39"/>
  <c r="W378" i="39"/>
  <c r="V378" i="39"/>
  <c r="S378" i="39"/>
  <c r="R378" i="39"/>
  <c r="Q378" i="39"/>
  <c r="P378" i="39"/>
  <c r="O378" i="39"/>
  <c r="N378" i="39"/>
  <c r="M378" i="39"/>
  <c r="L378" i="39"/>
  <c r="K378" i="39"/>
  <c r="J378" i="39"/>
  <c r="I378" i="39"/>
  <c r="G378" i="39"/>
  <c r="E378" i="39"/>
  <c r="D378" i="39"/>
  <c r="B378" i="39"/>
  <c r="W377" i="39"/>
  <c r="V377" i="39"/>
  <c r="S377" i="39"/>
  <c r="R377" i="39"/>
  <c r="Q377" i="39"/>
  <c r="P377" i="39"/>
  <c r="O377" i="39"/>
  <c r="N377" i="39"/>
  <c r="M377" i="39"/>
  <c r="L377" i="39"/>
  <c r="K377" i="39"/>
  <c r="J377" i="39"/>
  <c r="I377" i="39"/>
  <c r="G377" i="39"/>
  <c r="E377" i="39"/>
  <c r="D377" i="39"/>
  <c r="B377" i="39"/>
  <c r="F374" i="39"/>
  <c r="E374" i="39"/>
  <c r="W373" i="39"/>
  <c r="V373" i="39"/>
  <c r="S373" i="39"/>
  <c r="R373" i="39"/>
  <c r="Q373" i="39"/>
  <c r="P373" i="39"/>
  <c r="O373" i="39"/>
  <c r="N373" i="39"/>
  <c r="M373" i="39"/>
  <c r="L373" i="39"/>
  <c r="K373" i="39"/>
  <c r="J373" i="39"/>
  <c r="I373" i="39"/>
  <c r="G373" i="39"/>
  <c r="E373" i="39"/>
  <c r="D373" i="39"/>
  <c r="B373" i="39"/>
  <c r="W369" i="39"/>
  <c r="V369" i="39"/>
  <c r="S369" i="39"/>
  <c r="R369" i="39"/>
  <c r="Q369" i="39"/>
  <c r="P369" i="39"/>
  <c r="O369" i="39"/>
  <c r="N369" i="39"/>
  <c r="M369" i="39"/>
  <c r="L369" i="39"/>
  <c r="K369" i="39"/>
  <c r="J369" i="39"/>
  <c r="I369" i="39"/>
  <c r="G369" i="39"/>
  <c r="E369" i="39"/>
  <c r="D369" i="39"/>
  <c r="B369" i="39"/>
  <c r="W367" i="39"/>
  <c r="V367" i="39"/>
  <c r="S367" i="39"/>
  <c r="R367" i="39"/>
  <c r="Q367" i="39"/>
  <c r="P367" i="39"/>
  <c r="O367" i="39"/>
  <c r="N367" i="39"/>
  <c r="M367" i="39"/>
  <c r="L367" i="39"/>
  <c r="K367" i="39"/>
  <c r="J367" i="39"/>
  <c r="I367" i="39"/>
  <c r="G367" i="39"/>
  <c r="E367" i="39"/>
  <c r="D367" i="39"/>
  <c r="B367" i="39"/>
  <c r="W366" i="39"/>
  <c r="V366" i="39"/>
  <c r="S366" i="39"/>
  <c r="R366" i="39"/>
  <c r="Q366" i="39"/>
  <c r="P366" i="39"/>
  <c r="O366" i="39"/>
  <c r="N366" i="39"/>
  <c r="M366" i="39"/>
  <c r="L366" i="39"/>
  <c r="K366" i="39"/>
  <c r="J366" i="39"/>
  <c r="I366" i="39"/>
  <c r="G366" i="39"/>
  <c r="E366" i="39"/>
  <c r="D366" i="39"/>
  <c r="B366" i="39"/>
  <c r="W365" i="39"/>
  <c r="V365" i="39"/>
  <c r="S365" i="39"/>
  <c r="R365" i="39"/>
  <c r="Q365" i="39"/>
  <c r="P365" i="39"/>
  <c r="O365" i="39"/>
  <c r="N365" i="39"/>
  <c r="M365" i="39"/>
  <c r="L365" i="39"/>
  <c r="K365" i="39"/>
  <c r="J365" i="39"/>
  <c r="I365" i="39"/>
  <c r="G365" i="39"/>
  <c r="E365" i="39"/>
  <c r="D365" i="39"/>
  <c r="B365" i="39"/>
  <c r="W364" i="39"/>
  <c r="V364" i="39"/>
  <c r="S364" i="39"/>
  <c r="R364" i="39"/>
  <c r="Q364" i="39"/>
  <c r="P364" i="39"/>
  <c r="O364" i="39"/>
  <c r="N364" i="39"/>
  <c r="M364" i="39"/>
  <c r="L364" i="39"/>
  <c r="K364" i="39"/>
  <c r="J364" i="39"/>
  <c r="I364" i="39"/>
  <c r="G364" i="39"/>
  <c r="E364" i="39"/>
  <c r="D364" i="39"/>
  <c r="B364" i="39"/>
  <c r="W363" i="39"/>
  <c r="V363" i="39"/>
  <c r="S363" i="39"/>
  <c r="R363" i="39"/>
  <c r="Q363" i="39"/>
  <c r="P363" i="39"/>
  <c r="O363" i="39"/>
  <c r="N363" i="39"/>
  <c r="M363" i="39"/>
  <c r="L363" i="39"/>
  <c r="K363" i="39"/>
  <c r="J363" i="39"/>
  <c r="I363" i="39"/>
  <c r="G363" i="39"/>
  <c r="E363" i="39"/>
  <c r="D363" i="39"/>
  <c r="B363" i="39"/>
  <c r="W362" i="39"/>
  <c r="V362" i="39"/>
  <c r="S362" i="39"/>
  <c r="R362" i="39"/>
  <c r="Q362" i="39"/>
  <c r="P362" i="39"/>
  <c r="O362" i="39"/>
  <c r="N362" i="39"/>
  <c r="M362" i="39"/>
  <c r="L362" i="39"/>
  <c r="K362" i="39"/>
  <c r="J362" i="39"/>
  <c r="I362" i="39"/>
  <c r="G362" i="39"/>
  <c r="E362" i="39"/>
  <c r="D362" i="39"/>
  <c r="B362" i="39"/>
  <c r="W361" i="39"/>
  <c r="V361" i="39"/>
  <c r="S361" i="39"/>
  <c r="R361" i="39"/>
  <c r="Q361" i="39"/>
  <c r="P361" i="39"/>
  <c r="O361" i="39"/>
  <c r="N361" i="39"/>
  <c r="M361" i="39"/>
  <c r="L361" i="39"/>
  <c r="K361" i="39"/>
  <c r="J361" i="39"/>
  <c r="I361" i="39"/>
  <c r="G361" i="39"/>
  <c r="E361" i="39"/>
  <c r="D361" i="39"/>
  <c r="B361" i="39"/>
  <c r="W360" i="39"/>
  <c r="V360" i="39"/>
  <c r="S360" i="39"/>
  <c r="R360" i="39"/>
  <c r="Q360" i="39"/>
  <c r="P360" i="39"/>
  <c r="O360" i="39"/>
  <c r="N360" i="39"/>
  <c r="M360" i="39"/>
  <c r="L360" i="39"/>
  <c r="K360" i="39"/>
  <c r="J360" i="39"/>
  <c r="I360" i="39"/>
  <c r="G360" i="39"/>
  <c r="E360" i="39"/>
  <c r="D360" i="39"/>
  <c r="B360" i="39"/>
  <c r="W359" i="39"/>
  <c r="V359" i="39"/>
  <c r="S359" i="39"/>
  <c r="R359" i="39"/>
  <c r="Q359" i="39"/>
  <c r="P359" i="39"/>
  <c r="O359" i="39"/>
  <c r="N359" i="39"/>
  <c r="M359" i="39"/>
  <c r="L359" i="39"/>
  <c r="K359" i="39"/>
  <c r="J359" i="39"/>
  <c r="I359" i="39"/>
  <c r="G359" i="39"/>
  <c r="E359" i="39"/>
  <c r="D359" i="39"/>
  <c r="B359" i="39"/>
  <c r="W358" i="39"/>
  <c r="V358" i="39"/>
  <c r="S358" i="39"/>
  <c r="R358" i="39"/>
  <c r="Q358" i="39"/>
  <c r="P358" i="39"/>
  <c r="O358" i="39"/>
  <c r="N358" i="39"/>
  <c r="M358" i="39"/>
  <c r="L358" i="39"/>
  <c r="K358" i="39"/>
  <c r="J358" i="39"/>
  <c r="I358" i="39"/>
  <c r="G358" i="39"/>
  <c r="E358" i="39"/>
  <c r="D358" i="39"/>
  <c r="B358" i="39"/>
  <c r="W357" i="39"/>
  <c r="V357" i="39"/>
  <c r="S357" i="39"/>
  <c r="R357" i="39"/>
  <c r="Q357" i="39"/>
  <c r="P357" i="39"/>
  <c r="O357" i="39"/>
  <c r="N357" i="39"/>
  <c r="M357" i="39"/>
  <c r="L357" i="39"/>
  <c r="K357" i="39"/>
  <c r="J357" i="39"/>
  <c r="I357" i="39"/>
  <c r="G357" i="39"/>
  <c r="E357" i="39"/>
  <c r="D357" i="39"/>
  <c r="B357" i="39"/>
  <c r="W356" i="39"/>
  <c r="V356" i="39"/>
  <c r="S356" i="39"/>
  <c r="R356" i="39"/>
  <c r="Q356" i="39"/>
  <c r="P356" i="39"/>
  <c r="O356" i="39"/>
  <c r="N356" i="39"/>
  <c r="M356" i="39"/>
  <c r="L356" i="39"/>
  <c r="K356" i="39"/>
  <c r="J356" i="39"/>
  <c r="I356" i="39"/>
  <c r="G356" i="39"/>
  <c r="E356" i="39"/>
  <c r="D356" i="39"/>
  <c r="B356" i="39"/>
  <c r="W355" i="39"/>
  <c r="V355" i="39"/>
  <c r="S355" i="39"/>
  <c r="R355" i="39"/>
  <c r="Q355" i="39"/>
  <c r="P355" i="39"/>
  <c r="O355" i="39"/>
  <c r="N355" i="39"/>
  <c r="M355" i="39"/>
  <c r="L355" i="39"/>
  <c r="K355" i="39"/>
  <c r="J355" i="39"/>
  <c r="I355" i="39"/>
  <c r="G355" i="39"/>
  <c r="E355" i="39"/>
  <c r="D355" i="39"/>
  <c r="B355" i="39"/>
  <c r="W354" i="39"/>
  <c r="V354" i="39"/>
  <c r="S354" i="39"/>
  <c r="R354" i="39"/>
  <c r="Q354" i="39"/>
  <c r="P354" i="39"/>
  <c r="O354" i="39"/>
  <c r="N354" i="39"/>
  <c r="M354" i="39"/>
  <c r="L354" i="39"/>
  <c r="K354" i="39"/>
  <c r="J354" i="39"/>
  <c r="I354" i="39"/>
  <c r="G354" i="39"/>
  <c r="E354" i="39"/>
  <c r="D354" i="39"/>
  <c r="B354" i="39"/>
  <c r="W353" i="39"/>
  <c r="V353" i="39"/>
  <c r="S353" i="39"/>
  <c r="R353" i="39"/>
  <c r="Q353" i="39"/>
  <c r="P353" i="39"/>
  <c r="O353" i="39"/>
  <c r="N353" i="39"/>
  <c r="M353" i="39"/>
  <c r="L353" i="39"/>
  <c r="K353" i="39"/>
  <c r="J353" i="39"/>
  <c r="I353" i="39"/>
  <c r="G353" i="39"/>
  <c r="E353" i="39"/>
  <c r="D353" i="39"/>
  <c r="B353" i="39"/>
  <c r="W352" i="39"/>
  <c r="V352" i="39"/>
  <c r="S352" i="39"/>
  <c r="R352" i="39"/>
  <c r="Q352" i="39"/>
  <c r="P352" i="39"/>
  <c r="O352" i="39"/>
  <c r="N352" i="39"/>
  <c r="M352" i="39"/>
  <c r="L352" i="39"/>
  <c r="K352" i="39"/>
  <c r="J352" i="39"/>
  <c r="I352" i="39"/>
  <c r="G352" i="39"/>
  <c r="E352" i="39"/>
  <c r="D352" i="39"/>
  <c r="B352" i="39"/>
  <c r="W351" i="39"/>
  <c r="V351" i="39"/>
  <c r="S351" i="39"/>
  <c r="R351" i="39"/>
  <c r="Q351" i="39"/>
  <c r="P351" i="39"/>
  <c r="O351" i="39"/>
  <c r="N351" i="39"/>
  <c r="M351" i="39"/>
  <c r="L351" i="39"/>
  <c r="K351" i="39"/>
  <c r="J351" i="39"/>
  <c r="I351" i="39"/>
  <c r="G351" i="39"/>
  <c r="E351" i="39"/>
  <c r="D351" i="39"/>
  <c r="B351" i="39"/>
  <c r="W350" i="39"/>
  <c r="V350" i="39"/>
  <c r="S350" i="39"/>
  <c r="R350" i="39"/>
  <c r="Q350" i="39"/>
  <c r="P350" i="39"/>
  <c r="O350" i="39"/>
  <c r="N350" i="39"/>
  <c r="M350" i="39"/>
  <c r="L350" i="39"/>
  <c r="K350" i="39"/>
  <c r="J350" i="39"/>
  <c r="I350" i="39"/>
  <c r="G350" i="39"/>
  <c r="E350" i="39"/>
  <c r="D350" i="39"/>
  <c r="B350" i="39"/>
  <c r="W349" i="39"/>
  <c r="V349" i="39"/>
  <c r="S349" i="39"/>
  <c r="R349" i="39"/>
  <c r="Q349" i="39"/>
  <c r="P349" i="39"/>
  <c r="O349" i="39"/>
  <c r="N349" i="39"/>
  <c r="M349" i="39"/>
  <c r="L349" i="39"/>
  <c r="K349" i="39"/>
  <c r="J349" i="39"/>
  <c r="I349" i="39"/>
  <c r="G349" i="39"/>
  <c r="E349" i="39"/>
  <c r="D349" i="39"/>
  <c r="B349" i="39"/>
  <c r="F346" i="39"/>
  <c r="E346" i="39"/>
  <c r="W345" i="39"/>
  <c r="V345" i="39"/>
  <c r="S345" i="39"/>
  <c r="R345" i="39"/>
  <c r="Q345" i="39"/>
  <c r="P345" i="39"/>
  <c r="O345" i="39"/>
  <c r="N345" i="39"/>
  <c r="M345" i="39"/>
  <c r="L345" i="39"/>
  <c r="K345" i="39"/>
  <c r="J345" i="39"/>
  <c r="I345" i="39"/>
  <c r="G345" i="39"/>
  <c r="E345" i="39"/>
  <c r="D345" i="39"/>
  <c r="B345" i="39"/>
  <c r="W341" i="39"/>
  <c r="V341" i="39"/>
  <c r="S341" i="39"/>
  <c r="R341" i="39"/>
  <c r="Q341" i="39"/>
  <c r="P341" i="39"/>
  <c r="O341" i="39"/>
  <c r="N341" i="39"/>
  <c r="M341" i="39"/>
  <c r="L341" i="39"/>
  <c r="K341" i="39"/>
  <c r="J341" i="39"/>
  <c r="I341" i="39"/>
  <c r="G341" i="39"/>
  <c r="E341" i="39"/>
  <c r="D341" i="39"/>
  <c r="B341" i="39"/>
  <c r="W339" i="39"/>
  <c r="V339" i="39"/>
  <c r="S339" i="39"/>
  <c r="R339" i="39"/>
  <c r="Q339" i="39"/>
  <c r="P339" i="39"/>
  <c r="O339" i="39"/>
  <c r="N339" i="39"/>
  <c r="M339" i="39"/>
  <c r="L339" i="39"/>
  <c r="K339" i="39"/>
  <c r="J339" i="39"/>
  <c r="I339" i="39"/>
  <c r="G339" i="39"/>
  <c r="E339" i="39"/>
  <c r="D339" i="39"/>
  <c r="B339" i="39"/>
  <c r="W338" i="39"/>
  <c r="V338" i="39"/>
  <c r="S338" i="39"/>
  <c r="R338" i="39"/>
  <c r="Q338" i="39"/>
  <c r="P338" i="39"/>
  <c r="O338" i="39"/>
  <c r="N338" i="39"/>
  <c r="M338" i="39"/>
  <c r="L338" i="39"/>
  <c r="K338" i="39"/>
  <c r="J338" i="39"/>
  <c r="I338" i="39"/>
  <c r="G338" i="39"/>
  <c r="E338" i="39"/>
  <c r="D338" i="39"/>
  <c r="B338" i="39"/>
  <c r="W337" i="39"/>
  <c r="V337" i="39"/>
  <c r="S337" i="39"/>
  <c r="R337" i="39"/>
  <c r="Q337" i="39"/>
  <c r="P337" i="39"/>
  <c r="O337" i="39"/>
  <c r="N337" i="39"/>
  <c r="M337" i="39"/>
  <c r="L337" i="39"/>
  <c r="K337" i="39"/>
  <c r="J337" i="39"/>
  <c r="I337" i="39"/>
  <c r="G337" i="39"/>
  <c r="E337" i="39"/>
  <c r="D337" i="39"/>
  <c r="B337" i="39"/>
  <c r="W336" i="39"/>
  <c r="V336" i="39"/>
  <c r="S336" i="39"/>
  <c r="R336" i="39"/>
  <c r="Q336" i="39"/>
  <c r="P336" i="39"/>
  <c r="O336" i="39"/>
  <c r="N336" i="39"/>
  <c r="M336" i="39"/>
  <c r="L336" i="39"/>
  <c r="K336" i="39"/>
  <c r="J336" i="39"/>
  <c r="I336" i="39"/>
  <c r="G336" i="39"/>
  <c r="E336" i="39"/>
  <c r="D336" i="39"/>
  <c r="B336" i="39"/>
  <c r="W335" i="39"/>
  <c r="V335" i="39"/>
  <c r="S335" i="39"/>
  <c r="R335" i="39"/>
  <c r="Q335" i="39"/>
  <c r="P335" i="39"/>
  <c r="O335" i="39"/>
  <c r="N335" i="39"/>
  <c r="M335" i="39"/>
  <c r="L335" i="39"/>
  <c r="K335" i="39"/>
  <c r="J335" i="39"/>
  <c r="I335" i="39"/>
  <c r="G335" i="39"/>
  <c r="E335" i="39"/>
  <c r="D335" i="39"/>
  <c r="B335" i="39"/>
  <c r="W334" i="39"/>
  <c r="V334" i="39"/>
  <c r="S334" i="39"/>
  <c r="R334" i="39"/>
  <c r="Q334" i="39"/>
  <c r="P334" i="39"/>
  <c r="O334" i="39"/>
  <c r="N334" i="39"/>
  <c r="M334" i="39"/>
  <c r="L334" i="39"/>
  <c r="K334" i="39"/>
  <c r="J334" i="39"/>
  <c r="I334" i="39"/>
  <c r="G334" i="39"/>
  <c r="E334" i="39"/>
  <c r="D334" i="39"/>
  <c r="B334" i="39"/>
  <c r="W333" i="39"/>
  <c r="V333" i="39"/>
  <c r="S333" i="39"/>
  <c r="R333" i="39"/>
  <c r="Q333" i="39"/>
  <c r="P333" i="39"/>
  <c r="O333" i="39"/>
  <c r="N333" i="39"/>
  <c r="M333" i="39"/>
  <c r="L333" i="39"/>
  <c r="K333" i="39"/>
  <c r="J333" i="39"/>
  <c r="I333" i="39"/>
  <c r="G333" i="39"/>
  <c r="E333" i="39"/>
  <c r="D333" i="39"/>
  <c r="B333" i="39"/>
  <c r="W332" i="39"/>
  <c r="V332" i="39"/>
  <c r="S332" i="39"/>
  <c r="R332" i="39"/>
  <c r="Q332" i="39"/>
  <c r="P332" i="39"/>
  <c r="O332" i="39"/>
  <c r="N332" i="39"/>
  <c r="M332" i="39"/>
  <c r="L332" i="39"/>
  <c r="K332" i="39"/>
  <c r="J332" i="39"/>
  <c r="I332" i="39"/>
  <c r="G332" i="39"/>
  <c r="E332" i="39"/>
  <c r="D332" i="39"/>
  <c r="B332" i="39"/>
  <c r="W331" i="39"/>
  <c r="V331" i="39"/>
  <c r="S331" i="39"/>
  <c r="R331" i="39"/>
  <c r="Q331" i="39"/>
  <c r="P331" i="39"/>
  <c r="O331" i="39"/>
  <c r="N331" i="39"/>
  <c r="M331" i="39"/>
  <c r="L331" i="39"/>
  <c r="K331" i="39"/>
  <c r="J331" i="39"/>
  <c r="I331" i="39"/>
  <c r="G331" i="39"/>
  <c r="E331" i="39"/>
  <c r="D331" i="39"/>
  <c r="B331" i="39"/>
  <c r="W330" i="39"/>
  <c r="V330" i="39"/>
  <c r="S330" i="39"/>
  <c r="R330" i="39"/>
  <c r="Q330" i="39"/>
  <c r="P330" i="39"/>
  <c r="O330" i="39"/>
  <c r="N330" i="39"/>
  <c r="M330" i="39"/>
  <c r="L330" i="39"/>
  <c r="K330" i="39"/>
  <c r="J330" i="39"/>
  <c r="I330" i="39"/>
  <c r="G330" i="39"/>
  <c r="E330" i="39"/>
  <c r="D330" i="39"/>
  <c r="B330" i="39"/>
  <c r="W329" i="39"/>
  <c r="V329" i="39"/>
  <c r="S329" i="39"/>
  <c r="R329" i="39"/>
  <c r="Q329" i="39"/>
  <c r="P329" i="39"/>
  <c r="O329" i="39"/>
  <c r="N329" i="39"/>
  <c r="M329" i="39"/>
  <c r="L329" i="39"/>
  <c r="K329" i="39"/>
  <c r="J329" i="39"/>
  <c r="I329" i="39"/>
  <c r="G329" i="39"/>
  <c r="E329" i="39"/>
  <c r="D329" i="39"/>
  <c r="B329" i="39"/>
  <c r="W328" i="39"/>
  <c r="V328" i="39"/>
  <c r="S328" i="39"/>
  <c r="R328" i="39"/>
  <c r="Q328" i="39"/>
  <c r="P328" i="39"/>
  <c r="O328" i="39"/>
  <c r="N328" i="39"/>
  <c r="M328" i="39"/>
  <c r="L328" i="39"/>
  <c r="K328" i="39"/>
  <c r="J328" i="39"/>
  <c r="I328" i="39"/>
  <c r="G328" i="39"/>
  <c r="E328" i="39"/>
  <c r="D328" i="39"/>
  <c r="B328" i="39"/>
  <c r="W327" i="39"/>
  <c r="V327" i="39"/>
  <c r="S327" i="39"/>
  <c r="R327" i="39"/>
  <c r="Q327" i="39"/>
  <c r="P327" i="39"/>
  <c r="O327" i="39"/>
  <c r="N327" i="39"/>
  <c r="M327" i="39"/>
  <c r="L327" i="39"/>
  <c r="K327" i="39"/>
  <c r="J327" i="39"/>
  <c r="I327" i="39"/>
  <c r="G327" i="39"/>
  <c r="E327" i="39"/>
  <c r="D327" i="39"/>
  <c r="B327" i="39"/>
  <c r="W326" i="39"/>
  <c r="V326" i="39"/>
  <c r="S326" i="39"/>
  <c r="R326" i="39"/>
  <c r="Q326" i="39"/>
  <c r="P326" i="39"/>
  <c r="O326" i="39"/>
  <c r="N326" i="39"/>
  <c r="M326" i="39"/>
  <c r="L326" i="39"/>
  <c r="K326" i="39"/>
  <c r="J326" i="39"/>
  <c r="I326" i="39"/>
  <c r="G326" i="39"/>
  <c r="E326" i="39"/>
  <c r="D326" i="39"/>
  <c r="B326" i="39"/>
  <c r="W325" i="39"/>
  <c r="V325" i="39"/>
  <c r="S325" i="39"/>
  <c r="R325" i="39"/>
  <c r="Q325" i="39"/>
  <c r="P325" i="39"/>
  <c r="O325" i="39"/>
  <c r="N325" i="39"/>
  <c r="M325" i="39"/>
  <c r="L325" i="39"/>
  <c r="K325" i="39"/>
  <c r="J325" i="39"/>
  <c r="I325" i="39"/>
  <c r="G325" i="39"/>
  <c r="E325" i="39"/>
  <c r="D325" i="39"/>
  <c r="B325" i="39"/>
  <c r="W324" i="39"/>
  <c r="V324" i="39"/>
  <c r="S324" i="39"/>
  <c r="R324" i="39"/>
  <c r="Q324" i="39"/>
  <c r="P324" i="39"/>
  <c r="O324" i="39"/>
  <c r="N324" i="39"/>
  <c r="M324" i="39"/>
  <c r="L324" i="39"/>
  <c r="K324" i="39"/>
  <c r="J324" i="39"/>
  <c r="I324" i="39"/>
  <c r="G324" i="39"/>
  <c r="E324" i="39"/>
  <c r="D324" i="39"/>
  <c r="B324" i="39"/>
  <c r="W323" i="39"/>
  <c r="V323" i="39"/>
  <c r="S323" i="39"/>
  <c r="R323" i="39"/>
  <c r="Q323" i="39"/>
  <c r="P323" i="39"/>
  <c r="O323" i="39"/>
  <c r="N323" i="39"/>
  <c r="M323" i="39"/>
  <c r="L323" i="39"/>
  <c r="K323" i="39"/>
  <c r="J323" i="39"/>
  <c r="I323" i="39"/>
  <c r="G323" i="39"/>
  <c r="E323" i="39"/>
  <c r="D323" i="39"/>
  <c r="B323" i="39"/>
  <c r="W322" i="39"/>
  <c r="V322" i="39"/>
  <c r="S322" i="39"/>
  <c r="R322" i="39"/>
  <c r="Q322" i="39"/>
  <c r="P322" i="39"/>
  <c r="O322" i="39"/>
  <c r="N322" i="39"/>
  <c r="M322" i="39"/>
  <c r="L322" i="39"/>
  <c r="K322" i="39"/>
  <c r="J322" i="39"/>
  <c r="I322" i="39"/>
  <c r="G322" i="39"/>
  <c r="E322" i="39"/>
  <c r="D322" i="39"/>
  <c r="B322" i="39"/>
  <c r="W321" i="39"/>
  <c r="V321" i="39"/>
  <c r="S321" i="39"/>
  <c r="R321" i="39"/>
  <c r="Q321" i="39"/>
  <c r="P321" i="39"/>
  <c r="O321" i="39"/>
  <c r="N321" i="39"/>
  <c r="M321" i="39"/>
  <c r="L321" i="39"/>
  <c r="K321" i="39"/>
  <c r="J321" i="39"/>
  <c r="I321" i="39"/>
  <c r="G321" i="39"/>
  <c r="E321" i="39"/>
  <c r="D321" i="39"/>
  <c r="B321" i="39"/>
  <c r="F318" i="39"/>
  <c r="E318" i="39"/>
  <c r="W317" i="39"/>
  <c r="V317" i="39"/>
  <c r="S317" i="39"/>
  <c r="R317" i="39"/>
  <c r="Q317" i="39"/>
  <c r="P317" i="39"/>
  <c r="O317" i="39"/>
  <c r="N317" i="39"/>
  <c r="M317" i="39"/>
  <c r="L317" i="39"/>
  <c r="K317" i="39"/>
  <c r="J317" i="39"/>
  <c r="I317" i="39"/>
  <c r="G317" i="39"/>
  <c r="E317" i="39"/>
  <c r="D317" i="39"/>
  <c r="B317" i="39"/>
  <c r="W313" i="39"/>
  <c r="V313" i="39"/>
  <c r="S313" i="39"/>
  <c r="R313" i="39"/>
  <c r="Q313" i="39"/>
  <c r="P313" i="39"/>
  <c r="O313" i="39"/>
  <c r="N313" i="39"/>
  <c r="M313" i="39"/>
  <c r="L313" i="39"/>
  <c r="K313" i="39"/>
  <c r="J313" i="39"/>
  <c r="I313" i="39"/>
  <c r="G313" i="39"/>
  <c r="E313" i="39"/>
  <c r="D313" i="39"/>
  <c r="B313" i="39"/>
  <c r="W311" i="39"/>
  <c r="V311" i="39"/>
  <c r="S311" i="39"/>
  <c r="R311" i="39"/>
  <c r="Q311" i="39"/>
  <c r="P311" i="39"/>
  <c r="O311" i="39"/>
  <c r="N311" i="39"/>
  <c r="M311" i="39"/>
  <c r="L311" i="39"/>
  <c r="K311" i="39"/>
  <c r="J311" i="39"/>
  <c r="I311" i="39"/>
  <c r="G311" i="39"/>
  <c r="E311" i="39"/>
  <c r="D311" i="39"/>
  <c r="B311" i="39"/>
  <c r="W310" i="39"/>
  <c r="V310" i="39"/>
  <c r="S310" i="39"/>
  <c r="R310" i="39"/>
  <c r="Q310" i="39"/>
  <c r="P310" i="39"/>
  <c r="O310" i="39"/>
  <c r="N310" i="39"/>
  <c r="M310" i="39"/>
  <c r="L310" i="39"/>
  <c r="K310" i="39"/>
  <c r="J310" i="39"/>
  <c r="I310" i="39"/>
  <c r="G310" i="39"/>
  <c r="E310" i="39"/>
  <c r="D310" i="39"/>
  <c r="B310" i="39"/>
  <c r="W309" i="39"/>
  <c r="V309" i="39"/>
  <c r="S309" i="39"/>
  <c r="R309" i="39"/>
  <c r="Q309" i="39"/>
  <c r="P309" i="39"/>
  <c r="O309" i="39"/>
  <c r="N309" i="39"/>
  <c r="M309" i="39"/>
  <c r="L309" i="39"/>
  <c r="K309" i="39"/>
  <c r="J309" i="39"/>
  <c r="I309" i="39"/>
  <c r="G309" i="39"/>
  <c r="E309" i="39"/>
  <c r="D309" i="39"/>
  <c r="B309" i="39"/>
  <c r="W308" i="39"/>
  <c r="V308" i="39"/>
  <c r="S308" i="39"/>
  <c r="R308" i="39"/>
  <c r="Q308" i="39"/>
  <c r="P308" i="39"/>
  <c r="O308" i="39"/>
  <c r="N308" i="39"/>
  <c r="M308" i="39"/>
  <c r="L308" i="39"/>
  <c r="K308" i="39"/>
  <c r="J308" i="39"/>
  <c r="I308" i="39"/>
  <c r="G308" i="39"/>
  <c r="E308" i="39"/>
  <c r="D308" i="39"/>
  <c r="B308" i="39"/>
  <c r="W307" i="39"/>
  <c r="V307" i="39"/>
  <c r="S307" i="39"/>
  <c r="R307" i="39"/>
  <c r="Q307" i="39"/>
  <c r="P307" i="39"/>
  <c r="O307" i="39"/>
  <c r="N307" i="39"/>
  <c r="M307" i="39"/>
  <c r="L307" i="39"/>
  <c r="K307" i="39"/>
  <c r="J307" i="39"/>
  <c r="I307" i="39"/>
  <c r="G307" i="39"/>
  <c r="E307" i="39"/>
  <c r="D307" i="39"/>
  <c r="B307" i="39"/>
  <c r="W306" i="39"/>
  <c r="V306" i="39"/>
  <c r="S306" i="39"/>
  <c r="R306" i="39"/>
  <c r="Q306" i="39"/>
  <c r="P306" i="39"/>
  <c r="O306" i="39"/>
  <c r="N306" i="39"/>
  <c r="M306" i="39"/>
  <c r="L306" i="39"/>
  <c r="K306" i="39"/>
  <c r="J306" i="39"/>
  <c r="I306" i="39"/>
  <c r="G306" i="39"/>
  <c r="E306" i="39"/>
  <c r="D306" i="39"/>
  <c r="B306" i="39"/>
  <c r="W305" i="39"/>
  <c r="V305" i="39"/>
  <c r="S305" i="39"/>
  <c r="R305" i="39"/>
  <c r="Q305" i="39"/>
  <c r="P305" i="39"/>
  <c r="O305" i="39"/>
  <c r="N305" i="39"/>
  <c r="M305" i="39"/>
  <c r="L305" i="39"/>
  <c r="K305" i="39"/>
  <c r="J305" i="39"/>
  <c r="I305" i="39"/>
  <c r="G305" i="39"/>
  <c r="E305" i="39"/>
  <c r="D305" i="39"/>
  <c r="B305" i="39"/>
  <c r="W304" i="39"/>
  <c r="V304" i="39"/>
  <c r="S304" i="39"/>
  <c r="R304" i="39"/>
  <c r="Q304" i="39"/>
  <c r="P304" i="39"/>
  <c r="O304" i="39"/>
  <c r="N304" i="39"/>
  <c r="M304" i="39"/>
  <c r="L304" i="39"/>
  <c r="K304" i="39"/>
  <c r="J304" i="39"/>
  <c r="I304" i="39"/>
  <c r="G304" i="39"/>
  <c r="E304" i="39"/>
  <c r="D304" i="39"/>
  <c r="B304" i="39"/>
  <c r="W303" i="39"/>
  <c r="V303" i="39"/>
  <c r="S303" i="39"/>
  <c r="R303" i="39"/>
  <c r="Q303" i="39"/>
  <c r="P303" i="39"/>
  <c r="O303" i="39"/>
  <c r="N303" i="39"/>
  <c r="M303" i="39"/>
  <c r="L303" i="39"/>
  <c r="K303" i="39"/>
  <c r="J303" i="39"/>
  <c r="I303" i="39"/>
  <c r="G303" i="39"/>
  <c r="E303" i="39"/>
  <c r="D303" i="39"/>
  <c r="B303" i="39"/>
  <c r="W302" i="39"/>
  <c r="V302" i="39"/>
  <c r="S302" i="39"/>
  <c r="R302" i="39"/>
  <c r="Q302" i="39"/>
  <c r="P302" i="39"/>
  <c r="O302" i="39"/>
  <c r="N302" i="39"/>
  <c r="M302" i="39"/>
  <c r="L302" i="39"/>
  <c r="K302" i="39"/>
  <c r="J302" i="39"/>
  <c r="I302" i="39"/>
  <c r="G302" i="39"/>
  <c r="E302" i="39"/>
  <c r="D302" i="39"/>
  <c r="B302" i="39"/>
  <c r="W301" i="39"/>
  <c r="V301" i="39"/>
  <c r="S301" i="39"/>
  <c r="R301" i="39"/>
  <c r="Q301" i="39"/>
  <c r="P301" i="39"/>
  <c r="O301" i="39"/>
  <c r="N301" i="39"/>
  <c r="M301" i="39"/>
  <c r="L301" i="39"/>
  <c r="K301" i="39"/>
  <c r="J301" i="39"/>
  <c r="I301" i="39"/>
  <c r="G301" i="39"/>
  <c r="E301" i="39"/>
  <c r="D301" i="39"/>
  <c r="B301" i="39"/>
  <c r="W300" i="39"/>
  <c r="V300" i="39"/>
  <c r="S300" i="39"/>
  <c r="R300" i="39"/>
  <c r="Q300" i="39"/>
  <c r="P300" i="39"/>
  <c r="O300" i="39"/>
  <c r="N300" i="39"/>
  <c r="M300" i="39"/>
  <c r="L300" i="39"/>
  <c r="K300" i="39"/>
  <c r="J300" i="39"/>
  <c r="I300" i="39"/>
  <c r="G300" i="39"/>
  <c r="E300" i="39"/>
  <c r="D300" i="39"/>
  <c r="B300" i="39"/>
  <c r="W299" i="39"/>
  <c r="V299" i="39"/>
  <c r="S299" i="39"/>
  <c r="R299" i="39"/>
  <c r="Q299" i="39"/>
  <c r="P299" i="39"/>
  <c r="O299" i="39"/>
  <c r="N299" i="39"/>
  <c r="M299" i="39"/>
  <c r="L299" i="39"/>
  <c r="K299" i="39"/>
  <c r="J299" i="39"/>
  <c r="I299" i="39"/>
  <c r="G299" i="39"/>
  <c r="E299" i="39"/>
  <c r="D299" i="39"/>
  <c r="B299" i="39"/>
  <c r="W298" i="39"/>
  <c r="V298" i="39"/>
  <c r="S298" i="39"/>
  <c r="R298" i="39"/>
  <c r="Q298" i="39"/>
  <c r="P298" i="39"/>
  <c r="O298" i="39"/>
  <c r="N298" i="39"/>
  <c r="M298" i="39"/>
  <c r="L298" i="39"/>
  <c r="K298" i="39"/>
  <c r="J298" i="39"/>
  <c r="I298" i="39"/>
  <c r="G298" i="39"/>
  <c r="E298" i="39"/>
  <c r="D298" i="39"/>
  <c r="B298" i="39"/>
  <c r="W297" i="39"/>
  <c r="V297" i="39"/>
  <c r="S297" i="39"/>
  <c r="R297" i="39"/>
  <c r="Q297" i="39"/>
  <c r="P297" i="39"/>
  <c r="O297" i="39"/>
  <c r="N297" i="39"/>
  <c r="M297" i="39"/>
  <c r="L297" i="39"/>
  <c r="K297" i="39"/>
  <c r="J297" i="39"/>
  <c r="I297" i="39"/>
  <c r="G297" i="39"/>
  <c r="E297" i="39"/>
  <c r="D297" i="39"/>
  <c r="B297" i="39"/>
  <c r="W296" i="39"/>
  <c r="V296" i="39"/>
  <c r="S296" i="39"/>
  <c r="R296" i="39"/>
  <c r="Q296" i="39"/>
  <c r="P296" i="39"/>
  <c r="O296" i="39"/>
  <c r="N296" i="39"/>
  <c r="M296" i="39"/>
  <c r="L296" i="39"/>
  <c r="K296" i="39"/>
  <c r="J296" i="39"/>
  <c r="I296" i="39"/>
  <c r="G296" i="39"/>
  <c r="E296" i="39"/>
  <c r="D296" i="39"/>
  <c r="B296" i="39"/>
  <c r="W295" i="39"/>
  <c r="V295" i="39"/>
  <c r="S295" i="39"/>
  <c r="R295" i="39"/>
  <c r="Q295" i="39"/>
  <c r="P295" i="39"/>
  <c r="O295" i="39"/>
  <c r="N295" i="39"/>
  <c r="M295" i="39"/>
  <c r="L295" i="39"/>
  <c r="K295" i="39"/>
  <c r="J295" i="39"/>
  <c r="I295" i="39"/>
  <c r="G295" i="39"/>
  <c r="E295" i="39"/>
  <c r="D295" i="39"/>
  <c r="B295" i="39"/>
  <c r="W294" i="39"/>
  <c r="V294" i="39"/>
  <c r="S294" i="39"/>
  <c r="R294" i="39"/>
  <c r="Q294" i="39"/>
  <c r="P294" i="39"/>
  <c r="O294" i="39"/>
  <c r="N294" i="39"/>
  <c r="M294" i="39"/>
  <c r="L294" i="39"/>
  <c r="K294" i="39"/>
  <c r="J294" i="39"/>
  <c r="I294" i="39"/>
  <c r="G294" i="39"/>
  <c r="E294" i="39"/>
  <c r="D294" i="39"/>
  <c r="B294" i="39"/>
  <c r="W293" i="39"/>
  <c r="V293" i="39"/>
  <c r="S293" i="39"/>
  <c r="R293" i="39"/>
  <c r="Q293" i="39"/>
  <c r="P293" i="39"/>
  <c r="O293" i="39"/>
  <c r="N293" i="39"/>
  <c r="M293" i="39"/>
  <c r="L293" i="39"/>
  <c r="K293" i="39"/>
  <c r="J293" i="39"/>
  <c r="I293" i="39"/>
  <c r="G293" i="39"/>
  <c r="E293" i="39"/>
  <c r="D293" i="39"/>
  <c r="B293" i="39"/>
  <c r="F290" i="39"/>
  <c r="E290" i="39"/>
  <c r="W289" i="39"/>
  <c r="V289" i="39"/>
  <c r="S289" i="39"/>
  <c r="R289" i="39"/>
  <c r="Q289" i="39"/>
  <c r="P289" i="39"/>
  <c r="O289" i="39"/>
  <c r="N289" i="39"/>
  <c r="M289" i="39"/>
  <c r="L289" i="39"/>
  <c r="K289" i="39"/>
  <c r="J289" i="39"/>
  <c r="I289" i="39"/>
  <c r="G289" i="39"/>
  <c r="E289" i="39"/>
  <c r="D289" i="39"/>
  <c r="B289" i="39"/>
  <c r="W285" i="39"/>
  <c r="V285" i="39"/>
  <c r="S285" i="39"/>
  <c r="R285" i="39"/>
  <c r="Q285" i="39"/>
  <c r="P285" i="39"/>
  <c r="O285" i="39"/>
  <c r="N285" i="39"/>
  <c r="M285" i="39"/>
  <c r="L285" i="39"/>
  <c r="K285" i="39"/>
  <c r="J285" i="39"/>
  <c r="I285" i="39"/>
  <c r="G285" i="39"/>
  <c r="E285" i="39"/>
  <c r="D285" i="39"/>
  <c r="B285" i="39"/>
  <c r="W283" i="39"/>
  <c r="V283" i="39"/>
  <c r="S283" i="39"/>
  <c r="R283" i="39"/>
  <c r="Q283" i="39"/>
  <c r="P283" i="39"/>
  <c r="O283" i="39"/>
  <c r="N283" i="39"/>
  <c r="M283" i="39"/>
  <c r="L283" i="39"/>
  <c r="K283" i="39"/>
  <c r="J283" i="39"/>
  <c r="I283" i="39"/>
  <c r="G283" i="39"/>
  <c r="E283" i="39"/>
  <c r="D283" i="39"/>
  <c r="B283" i="39"/>
  <c r="W282" i="39"/>
  <c r="V282" i="39"/>
  <c r="S282" i="39"/>
  <c r="R282" i="39"/>
  <c r="Q282" i="39"/>
  <c r="P282" i="39"/>
  <c r="O282" i="39"/>
  <c r="N282" i="39"/>
  <c r="M282" i="39"/>
  <c r="L282" i="39"/>
  <c r="K282" i="39"/>
  <c r="J282" i="39"/>
  <c r="I282" i="39"/>
  <c r="G282" i="39"/>
  <c r="E282" i="39"/>
  <c r="D282" i="39"/>
  <c r="B282" i="39"/>
  <c r="W281" i="39"/>
  <c r="V281" i="39"/>
  <c r="S281" i="39"/>
  <c r="R281" i="39"/>
  <c r="Q281" i="39"/>
  <c r="P281" i="39"/>
  <c r="O281" i="39"/>
  <c r="N281" i="39"/>
  <c r="M281" i="39"/>
  <c r="L281" i="39"/>
  <c r="K281" i="39"/>
  <c r="J281" i="39"/>
  <c r="I281" i="39"/>
  <c r="G281" i="39"/>
  <c r="E281" i="39"/>
  <c r="D281" i="39"/>
  <c r="B281" i="39"/>
  <c r="W280" i="39"/>
  <c r="V280" i="39"/>
  <c r="S280" i="39"/>
  <c r="R280" i="39"/>
  <c r="Q280" i="39"/>
  <c r="P280" i="39"/>
  <c r="O280" i="39"/>
  <c r="N280" i="39"/>
  <c r="M280" i="39"/>
  <c r="L280" i="39"/>
  <c r="K280" i="39"/>
  <c r="J280" i="39"/>
  <c r="I280" i="39"/>
  <c r="G280" i="39"/>
  <c r="E280" i="39"/>
  <c r="D280" i="39"/>
  <c r="B280" i="39"/>
  <c r="W279" i="39"/>
  <c r="V279" i="39"/>
  <c r="S279" i="39"/>
  <c r="R279" i="39"/>
  <c r="Q279" i="39"/>
  <c r="P279" i="39"/>
  <c r="O279" i="39"/>
  <c r="N279" i="39"/>
  <c r="M279" i="39"/>
  <c r="L279" i="39"/>
  <c r="K279" i="39"/>
  <c r="J279" i="39"/>
  <c r="I279" i="39"/>
  <c r="G279" i="39"/>
  <c r="E279" i="39"/>
  <c r="D279" i="39"/>
  <c r="B279" i="39"/>
  <c r="W278" i="39"/>
  <c r="V278" i="39"/>
  <c r="S278" i="39"/>
  <c r="R278" i="39"/>
  <c r="Q278" i="39"/>
  <c r="P278" i="39"/>
  <c r="O278" i="39"/>
  <c r="N278" i="39"/>
  <c r="M278" i="39"/>
  <c r="L278" i="39"/>
  <c r="K278" i="39"/>
  <c r="J278" i="39"/>
  <c r="I278" i="39"/>
  <c r="G278" i="39"/>
  <c r="E278" i="39"/>
  <c r="D278" i="39"/>
  <c r="B278" i="39"/>
  <c r="W277" i="39"/>
  <c r="V277" i="39"/>
  <c r="S277" i="39"/>
  <c r="R277" i="39"/>
  <c r="Q277" i="39"/>
  <c r="P277" i="39"/>
  <c r="O277" i="39"/>
  <c r="N277" i="39"/>
  <c r="M277" i="39"/>
  <c r="L277" i="39"/>
  <c r="K277" i="39"/>
  <c r="J277" i="39"/>
  <c r="I277" i="39"/>
  <c r="G277" i="39"/>
  <c r="E277" i="39"/>
  <c r="D277" i="39"/>
  <c r="B277" i="39"/>
  <c r="W276" i="39"/>
  <c r="V276" i="39"/>
  <c r="S276" i="39"/>
  <c r="R276" i="39"/>
  <c r="Q276" i="39"/>
  <c r="P276" i="39"/>
  <c r="O276" i="39"/>
  <c r="N276" i="39"/>
  <c r="M276" i="39"/>
  <c r="L276" i="39"/>
  <c r="K276" i="39"/>
  <c r="J276" i="39"/>
  <c r="I276" i="39"/>
  <c r="G276" i="39"/>
  <c r="E276" i="39"/>
  <c r="D276" i="39"/>
  <c r="B276" i="39"/>
  <c r="W275" i="39"/>
  <c r="V275" i="39"/>
  <c r="S275" i="39"/>
  <c r="R275" i="39"/>
  <c r="Q275" i="39"/>
  <c r="P275" i="39"/>
  <c r="O275" i="39"/>
  <c r="N275" i="39"/>
  <c r="M275" i="39"/>
  <c r="L275" i="39"/>
  <c r="K275" i="39"/>
  <c r="J275" i="39"/>
  <c r="I275" i="39"/>
  <c r="G275" i="39"/>
  <c r="E275" i="39"/>
  <c r="D275" i="39"/>
  <c r="B275" i="39"/>
  <c r="W274" i="39"/>
  <c r="V274" i="39"/>
  <c r="S274" i="39"/>
  <c r="R274" i="39"/>
  <c r="Q274" i="39"/>
  <c r="P274" i="39"/>
  <c r="O274" i="39"/>
  <c r="N274" i="39"/>
  <c r="M274" i="39"/>
  <c r="L274" i="39"/>
  <c r="K274" i="39"/>
  <c r="J274" i="39"/>
  <c r="I274" i="39"/>
  <c r="G274" i="39"/>
  <c r="E274" i="39"/>
  <c r="D274" i="39"/>
  <c r="B274" i="39"/>
  <c r="W273" i="39"/>
  <c r="V273" i="39"/>
  <c r="S273" i="39"/>
  <c r="R273" i="39"/>
  <c r="Q273" i="39"/>
  <c r="P273" i="39"/>
  <c r="O273" i="39"/>
  <c r="N273" i="39"/>
  <c r="M273" i="39"/>
  <c r="L273" i="39"/>
  <c r="K273" i="39"/>
  <c r="J273" i="39"/>
  <c r="I273" i="39"/>
  <c r="G273" i="39"/>
  <c r="E273" i="39"/>
  <c r="D273" i="39"/>
  <c r="B273" i="39"/>
  <c r="W272" i="39"/>
  <c r="V272" i="39"/>
  <c r="S272" i="39"/>
  <c r="R272" i="39"/>
  <c r="Q272" i="39"/>
  <c r="P272" i="39"/>
  <c r="O272" i="39"/>
  <c r="N272" i="39"/>
  <c r="M272" i="39"/>
  <c r="L272" i="39"/>
  <c r="K272" i="39"/>
  <c r="J272" i="39"/>
  <c r="I272" i="39"/>
  <c r="G272" i="39"/>
  <c r="E272" i="39"/>
  <c r="D272" i="39"/>
  <c r="B272" i="39"/>
  <c r="W271" i="39"/>
  <c r="V271" i="39"/>
  <c r="S271" i="39"/>
  <c r="R271" i="39"/>
  <c r="Q271" i="39"/>
  <c r="P271" i="39"/>
  <c r="O271" i="39"/>
  <c r="N271" i="39"/>
  <c r="M271" i="39"/>
  <c r="L271" i="39"/>
  <c r="K271" i="39"/>
  <c r="J271" i="39"/>
  <c r="I271" i="39"/>
  <c r="G271" i="39"/>
  <c r="E271" i="39"/>
  <c r="D271" i="39"/>
  <c r="B271" i="39"/>
  <c r="W270" i="39"/>
  <c r="V270" i="39"/>
  <c r="S270" i="39"/>
  <c r="R270" i="39"/>
  <c r="Q270" i="39"/>
  <c r="P270" i="39"/>
  <c r="O270" i="39"/>
  <c r="N270" i="39"/>
  <c r="M270" i="39"/>
  <c r="L270" i="39"/>
  <c r="K270" i="39"/>
  <c r="J270" i="39"/>
  <c r="I270" i="39"/>
  <c r="G270" i="39"/>
  <c r="E270" i="39"/>
  <c r="D270" i="39"/>
  <c r="B270" i="39"/>
  <c r="W269" i="39"/>
  <c r="V269" i="39"/>
  <c r="S269" i="39"/>
  <c r="R269" i="39"/>
  <c r="Q269" i="39"/>
  <c r="P269" i="39"/>
  <c r="O269" i="39"/>
  <c r="N269" i="39"/>
  <c r="M269" i="39"/>
  <c r="L269" i="39"/>
  <c r="K269" i="39"/>
  <c r="J269" i="39"/>
  <c r="I269" i="39"/>
  <c r="G269" i="39"/>
  <c r="E269" i="39"/>
  <c r="D269" i="39"/>
  <c r="B269" i="39"/>
  <c r="W268" i="39"/>
  <c r="V268" i="39"/>
  <c r="S268" i="39"/>
  <c r="R268" i="39"/>
  <c r="Q268" i="39"/>
  <c r="P268" i="39"/>
  <c r="O268" i="39"/>
  <c r="N268" i="39"/>
  <c r="M268" i="39"/>
  <c r="L268" i="39"/>
  <c r="K268" i="39"/>
  <c r="J268" i="39"/>
  <c r="I268" i="39"/>
  <c r="G268" i="39"/>
  <c r="E268" i="39"/>
  <c r="D268" i="39"/>
  <c r="B268" i="39"/>
  <c r="W267" i="39"/>
  <c r="V267" i="39"/>
  <c r="S267" i="39"/>
  <c r="R267" i="39"/>
  <c r="Q267" i="39"/>
  <c r="P267" i="39"/>
  <c r="O267" i="39"/>
  <c r="N267" i="39"/>
  <c r="M267" i="39"/>
  <c r="L267" i="39"/>
  <c r="K267" i="39"/>
  <c r="J267" i="39"/>
  <c r="I267" i="39"/>
  <c r="G267" i="39"/>
  <c r="E267" i="39"/>
  <c r="D267" i="39"/>
  <c r="B267" i="39"/>
  <c r="W266" i="39"/>
  <c r="V266" i="39"/>
  <c r="S266" i="39"/>
  <c r="R266" i="39"/>
  <c r="Q266" i="39"/>
  <c r="P266" i="39"/>
  <c r="O266" i="39"/>
  <c r="N266" i="39"/>
  <c r="M266" i="39"/>
  <c r="L266" i="39"/>
  <c r="K266" i="39"/>
  <c r="J266" i="39"/>
  <c r="I266" i="39"/>
  <c r="G266" i="39"/>
  <c r="E266" i="39"/>
  <c r="D266" i="39"/>
  <c r="B266" i="39"/>
  <c r="W265" i="39"/>
  <c r="V265" i="39"/>
  <c r="S265" i="39"/>
  <c r="R265" i="39"/>
  <c r="Q265" i="39"/>
  <c r="P265" i="39"/>
  <c r="O265" i="39"/>
  <c r="N265" i="39"/>
  <c r="M265" i="39"/>
  <c r="L265" i="39"/>
  <c r="K265" i="39"/>
  <c r="J265" i="39"/>
  <c r="I265" i="39"/>
  <c r="G265" i="39"/>
  <c r="E265" i="39"/>
  <c r="D265" i="39"/>
  <c r="B265" i="39"/>
  <c r="F262" i="39"/>
  <c r="E262" i="39"/>
  <c r="W261" i="39"/>
  <c r="V261" i="39"/>
  <c r="S261" i="39"/>
  <c r="R261" i="39"/>
  <c r="Q261" i="39"/>
  <c r="P261" i="39"/>
  <c r="O261" i="39"/>
  <c r="N261" i="39"/>
  <c r="M261" i="39"/>
  <c r="L261" i="39"/>
  <c r="K261" i="39"/>
  <c r="J261" i="39"/>
  <c r="I261" i="39"/>
  <c r="G261" i="39"/>
  <c r="E261" i="39"/>
  <c r="D261" i="39"/>
  <c r="B261" i="39"/>
  <c r="W257" i="39"/>
  <c r="V257" i="39"/>
  <c r="S257" i="39"/>
  <c r="R257" i="39"/>
  <c r="Q257" i="39"/>
  <c r="P257" i="39"/>
  <c r="O257" i="39"/>
  <c r="N257" i="39"/>
  <c r="M257" i="39"/>
  <c r="L257" i="39"/>
  <c r="K257" i="39"/>
  <c r="J257" i="39"/>
  <c r="I257" i="39"/>
  <c r="G257" i="39"/>
  <c r="E257" i="39"/>
  <c r="D257" i="39"/>
  <c r="B257" i="39"/>
  <c r="W255" i="39"/>
  <c r="V255" i="39"/>
  <c r="S255" i="39"/>
  <c r="R255" i="39"/>
  <c r="Q255" i="39"/>
  <c r="P255" i="39"/>
  <c r="O255" i="39"/>
  <c r="N255" i="39"/>
  <c r="M255" i="39"/>
  <c r="L255" i="39"/>
  <c r="K255" i="39"/>
  <c r="J255" i="39"/>
  <c r="I255" i="39"/>
  <c r="G255" i="39"/>
  <c r="E255" i="39"/>
  <c r="D255" i="39"/>
  <c r="B255" i="39"/>
  <c r="W254" i="39"/>
  <c r="V254" i="39"/>
  <c r="S254" i="39"/>
  <c r="R254" i="39"/>
  <c r="Q254" i="39"/>
  <c r="P254" i="39"/>
  <c r="O254" i="39"/>
  <c r="N254" i="39"/>
  <c r="M254" i="39"/>
  <c r="L254" i="39"/>
  <c r="K254" i="39"/>
  <c r="J254" i="39"/>
  <c r="I254" i="39"/>
  <c r="G254" i="39"/>
  <c r="E254" i="39"/>
  <c r="D254" i="39"/>
  <c r="B254" i="39"/>
  <c r="W253" i="39"/>
  <c r="V253" i="39"/>
  <c r="S253" i="39"/>
  <c r="R253" i="39"/>
  <c r="Q253" i="39"/>
  <c r="P253" i="39"/>
  <c r="O253" i="39"/>
  <c r="N253" i="39"/>
  <c r="M253" i="39"/>
  <c r="L253" i="39"/>
  <c r="K253" i="39"/>
  <c r="J253" i="39"/>
  <c r="I253" i="39"/>
  <c r="G253" i="39"/>
  <c r="E253" i="39"/>
  <c r="D253" i="39"/>
  <c r="B253" i="39"/>
  <c r="W252" i="39"/>
  <c r="V252" i="39"/>
  <c r="S252" i="39"/>
  <c r="R252" i="39"/>
  <c r="Q252" i="39"/>
  <c r="P252" i="39"/>
  <c r="O252" i="39"/>
  <c r="N252" i="39"/>
  <c r="M252" i="39"/>
  <c r="L252" i="39"/>
  <c r="K252" i="39"/>
  <c r="J252" i="39"/>
  <c r="I252" i="39"/>
  <c r="G252" i="39"/>
  <c r="E252" i="39"/>
  <c r="D252" i="39"/>
  <c r="B252" i="39"/>
  <c r="W251" i="39"/>
  <c r="V251" i="39"/>
  <c r="S251" i="39"/>
  <c r="R251" i="39"/>
  <c r="Q251" i="39"/>
  <c r="P251" i="39"/>
  <c r="O251" i="39"/>
  <c r="N251" i="39"/>
  <c r="M251" i="39"/>
  <c r="L251" i="39"/>
  <c r="K251" i="39"/>
  <c r="J251" i="39"/>
  <c r="I251" i="39"/>
  <c r="G251" i="39"/>
  <c r="E251" i="39"/>
  <c r="D251" i="39"/>
  <c r="B251" i="39"/>
  <c r="W250" i="39"/>
  <c r="V250" i="39"/>
  <c r="S250" i="39"/>
  <c r="R250" i="39"/>
  <c r="Q250" i="39"/>
  <c r="P250" i="39"/>
  <c r="O250" i="39"/>
  <c r="N250" i="39"/>
  <c r="M250" i="39"/>
  <c r="L250" i="39"/>
  <c r="K250" i="39"/>
  <c r="J250" i="39"/>
  <c r="I250" i="39"/>
  <c r="G250" i="39"/>
  <c r="E250" i="39"/>
  <c r="D250" i="39"/>
  <c r="B250" i="39"/>
  <c r="W249" i="39"/>
  <c r="V249" i="39"/>
  <c r="S249" i="39"/>
  <c r="R249" i="39"/>
  <c r="Q249" i="39"/>
  <c r="P249" i="39"/>
  <c r="O249" i="39"/>
  <c r="N249" i="39"/>
  <c r="M249" i="39"/>
  <c r="L249" i="39"/>
  <c r="K249" i="39"/>
  <c r="J249" i="39"/>
  <c r="I249" i="39"/>
  <c r="G249" i="39"/>
  <c r="E249" i="39"/>
  <c r="D249" i="39"/>
  <c r="B249" i="39"/>
  <c r="W248" i="39"/>
  <c r="V248" i="39"/>
  <c r="S248" i="39"/>
  <c r="R248" i="39"/>
  <c r="Q248" i="39"/>
  <c r="P248" i="39"/>
  <c r="O248" i="39"/>
  <c r="N248" i="39"/>
  <c r="M248" i="39"/>
  <c r="L248" i="39"/>
  <c r="K248" i="39"/>
  <c r="J248" i="39"/>
  <c r="I248" i="39"/>
  <c r="G248" i="39"/>
  <c r="E248" i="39"/>
  <c r="D248" i="39"/>
  <c r="B248" i="39"/>
  <c r="W247" i="39"/>
  <c r="V247" i="39"/>
  <c r="S247" i="39"/>
  <c r="R247" i="39"/>
  <c r="Q247" i="39"/>
  <c r="P247" i="39"/>
  <c r="O247" i="39"/>
  <c r="N247" i="39"/>
  <c r="M247" i="39"/>
  <c r="L247" i="39"/>
  <c r="K247" i="39"/>
  <c r="J247" i="39"/>
  <c r="I247" i="39"/>
  <c r="G247" i="39"/>
  <c r="E247" i="39"/>
  <c r="D247" i="39"/>
  <c r="B247" i="39"/>
  <c r="W246" i="39"/>
  <c r="V246" i="39"/>
  <c r="S246" i="39"/>
  <c r="R246" i="39"/>
  <c r="Q246" i="39"/>
  <c r="P246" i="39"/>
  <c r="O246" i="39"/>
  <c r="N246" i="39"/>
  <c r="M246" i="39"/>
  <c r="L246" i="39"/>
  <c r="K246" i="39"/>
  <c r="J246" i="39"/>
  <c r="I246" i="39"/>
  <c r="G246" i="39"/>
  <c r="E246" i="39"/>
  <c r="D246" i="39"/>
  <c r="B246" i="39"/>
  <c r="W245" i="39"/>
  <c r="V245" i="39"/>
  <c r="S245" i="39"/>
  <c r="R245" i="39"/>
  <c r="Q245" i="39"/>
  <c r="P245" i="39"/>
  <c r="O245" i="39"/>
  <c r="N245" i="39"/>
  <c r="M245" i="39"/>
  <c r="L245" i="39"/>
  <c r="K245" i="39"/>
  <c r="J245" i="39"/>
  <c r="I245" i="39"/>
  <c r="G245" i="39"/>
  <c r="E245" i="39"/>
  <c r="D245" i="39"/>
  <c r="B245" i="39"/>
  <c r="W244" i="39"/>
  <c r="V244" i="39"/>
  <c r="S244" i="39"/>
  <c r="R244" i="39"/>
  <c r="Q244" i="39"/>
  <c r="P244" i="39"/>
  <c r="O244" i="39"/>
  <c r="N244" i="39"/>
  <c r="M244" i="39"/>
  <c r="L244" i="39"/>
  <c r="K244" i="39"/>
  <c r="J244" i="39"/>
  <c r="I244" i="39"/>
  <c r="G244" i="39"/>
  <c r="E244" i="39"/>
  <c r="D244" i="39"/>
  <c r="B244" i="39"/>
  <c r="W243" i="39"/>
  <c r="V243" i="39"/>
  <c r="S243" i="39"/>
  <c r="R243" i="39"/>
  <c r="Q243" i="39"/>
  <c r="P243" i="39"/>
  <c r="O243" i="39"/>
  <c r="N243" i="39"/>
  <c r="M243" i="39"/>
  <c r="L243" i="39"/>
  <c r="K243" i="39"/>
  <c r="J243" i="39"/>
  <c r="I243" i="39"/>
  <c r="G243" i="39"/>
  <c r="E243" i="39"/>
  <c r="D243" i="39"/>
  <c r="B243" i="39"/>
  <c r="W242" i="39"/>
  <c r="V242" i="39"/>
  <c r="S242" i="39"/>
  <c r="R242" i="39"/>
  <c r="Q242" i="39"/>
  <c r="P242" i="39"/>
  <c r="O242" i="39"/>
  <c r="N242" i="39"/>
  <c r="M242" i="39"/>
  <c r="L242" i="39"/>
  <c r="K242" i="39"/>
  <c r="J242" i="39"/>
  <c r="I242" i="39"/>
  <c r="G242" i="39"/>
  <c r="E242" i="39"/>
  <c r="D242" i="39"/>
  <c r="B242" i="39"/>
  <c r="W241" i="39"/>
  <c r="V241" i="39"/>
  <c r="S241" i="39"/>
  <c r="R241" i="39"/>
  <c r="Q241" i="39"/>
  <c r="P241" i="39"/>
  <c r="O241" i="39"/>
  <c r="N241" i="39"/>
  <c r="M241" i="39"/>
  <c r="L241" i="39"/>
  <c r="K241" i="39"/>
  <c r="J241" i="39"/>
  <c r="I241" i="39"/>
  <c r="G241" i="39"/>
  <c r="E241" i="39"/>
  <c r="D241" i="39"/>
  <c r="B241" i="39"/>
  <c r="W240" i="39"/>
  <c r="V240" i="39"/>
  <c r="S240" i="39"/>
  <c r="R240" i="39"/>
  <c r="Q240" i="39"/>
  <c r="P240" i="39"/>
  <c r="O240" i="39"/>
  <c r="N240" i="39"/>
  <c r="M240" i="39"/>
  <c r="L240" i="39"/>
  <c r="K240" i="39"/>
  <c r="J240" i="39"/>
  <c r="I240" i="39"/>
  <c r="G240" i="39"/>
  <c r="E240" i="39"/>
  <c r="D240" i="39"/>
  <c r="B240" i="39"/>
  <c r="W239" i="39"/>
  <c r="V239" i="39"/>
  <c r="S239" i="39"/>
  <c r="R239" i="39"/>
  <c r="Q239" i="39"/>
  <c r="P239" i="39"/>
  <c r="O239" i="39"/>
  <c r="N239" i="39"/>
  <c r="M239" i="39"/>
  <c r="L239" i="39"/>
  <c r="K239" i="39"/>
  <c r="J239" i="39"/>
  <c r="I239" i="39"/>
  <c r="G239" i="39"/>
  <c r="E239" i="39"/>
  <c r="D239" i="39"/>
  <c r="B239" i="39"/>
  <c r="W238" i="39"/>
  <c r="V238" i="39"/>
  <c r="S238" i="39"/>
  <c r="R238" i="39"/>
  <c r="Q238" i="39"/>
  <c r="P238" i="39"/>
  <c r="O238" i="39"/>
  <c r="N238" i="39"/>
  <c r="M238" i="39"/>
  <c r="L238" i="39"/>
  <c r="K238" i="39"/>
  <c r="J238" i="39"/>
  <c r="I238" i="39"/>
  <c r="G238" i="39"/>
  <c r="E238" i="39"/>
  <c r="D238" i="39"/>
  <c r="B238" i="39"/>
  <c r="W237" i="39"/>
  <c r="V237" i="39"/>
  <c r="S237" i="39"/>
  <c r="R237" i="39"/>
  <c r="Q237" i="39"/>
  <c r="P237" i="39"/>
  <c r="O237" i="39"/>
  <c r="N237" i="39"/>
  <c r="M237" i="39"/>
  <c r="L237" i="39"/>
  <c r="K237" i="39"/>
  <c r="J237" i="39"/>
  <c r="I237" i="39"/>
  <c r="G237" i="39"/>
  <c r="E237" i="39"/>
  <c r="D237" i="39"/>
  <c r="B237" i="39"/>
  <c r="F234" i="39"/>
  <c r="E234" i="39"/>
  <c r="W233" i="39"/>
  <c r="V233" i="39"/>
  <c r="S233" i="39"/>
  <c r="R233" i="39"/>
  <c r="Q233" i="39"/>
  <c r="P233" i="39"/>
  <c r="O233" i="39"/>
  <c r="N233" i="39"/>
  <c r="M233" i="39"/>
  <c r="L233" i="39"/>
  <c r="K233" i="39"/>
  <c r="J233" i="39"/>
  <c r="I233" i="39"/>
  <c r="G233" i="39"/>
  <c r="E233" i="39"/>
  <c r="D233" i="39"/>
  <c r="B233" i="39"/>
  <c r="W229" i="39"/>
  <c r="V229" i="39"/>
  <c r="S229" i="39"/>
  <c r="R229" i="39"/>
  <c r="Q229" i="39"/>
  <c r="P229" i="39"/>
  <c r="O229" i="39"/>
  <c r="N229" i="39"/>
  <c r="M229" i="39"/>
  <c r="L229" i="39"/>
  <c r="K229" i="39"/>
  <c r="J229" i="39"/>
  <c r="I229" i="39"/>
  <c r="G229" i="39"/>
  <c r="E229" i="39"/>
  <c r="D229" i="39"/>
  <c r="B229" i="39"/>
  <c r="W227" i="39"/>
  <c r="V227" i="39"/>
  <c r="S227" i="39"/>
  <c r="R227" i="39"/>
  <c r="Q227" i="39"/>
  <c r="P227" i="39"/>
  <c r="O227" i="39"/>
  <c r="N227" i="39"/>
  <c r="M227" i="39"/>
  <c r="L227" i="39"/>
  <c r="K227" i="39"/>
  <c r="J227" i="39"/>
  <c r="I227" i="39"/>
  <c r="G227" i="39"/>
  <c r="E227" i="39"/>
  <c r="D227" i="39"/>
  <c r="B227" i="39"/>
  <c r="W226" i="39"/>
  <c r="V226" i="39"/>
  <c r="S226" i="39"/>
  <c r="R226" i="39"/>
  <c r="Q226" i="39"/>
  <c r="P226" i="39"/>
  <c r="O226" i="39"/>
  <c r="N226" i="39"/>
  <c r="M226" i="39"/>
  <c r="L226" i="39"/>
  <c r="K226" i="39"/>
  <c r="J226" i="39"/>
  <c r="I226" i="39"/>
  <c r="G226" i="39"/>
  <c r="E226" i="39"/>
  <c r="D226" i="39"/>
  <c r="B226" i="39"/>
  <c r="W225" i="39"/>
  <c r="V225" i="39"/>
  <c r="S225" i="39"/>
  <c r="R225" i="39"/>
  <c r="Q225" i="39"/>
  <c r="P225" i="39"/>
  <c r="O225" i="39"/>
  <c r="N225" i="39"/>
  <c r="M225" i="39"/>
  <c r="L225" i="39"/>
  <c r="K225" i="39"/>
  <c r="J225" i="39"/>
  <c r="I225" i="39"/>
  <c r="G225" i="39"/>
  <c r="E225" i="39"/>
  <c r="D225" i="39"/>
  <c r="B225" i="39"/>
  <c r="W224" i="39"/>
  <c r="V224" i="39"/>
  <c r="S224" i="39"/>
  <c r="R224" i="39"/>
  <c r="Q224" i="39"/>
  <c r="P224" i="39"/>
  <c r="O224" i="39"/>
  <c r="N224" i="39"/>
  <c r="M224" i="39"/>
  <c r="L224" i="39"/>
  <c r="K224" i="39"/>
  <c r="J224" i="39"/>
  <c r="I224" i="39"/>
  <c r="G224" i="39"/>
  <c r="E224" i="39"/>
  <c r="D224" i="39"/>
  <c r="B224" i="39"/>
  <c r="W223" i="39"/>
  <c r="V223" i="39"/>
  <c r="S223" i="39"/>
  <c r="R223" i="39"/>
  <c r="Q223" i="39"/>
  <c r="P223" i="39"/>
  <c r="O223" i="39"/>
  <c r="N223" i="39"/>
  <c r="M223" i="39"/>
  <c r="L223" i="39"/>
  <c r="K223" i="39"/>
  <c r="J223" i="39"/>
  <c r="I223" i="39"/>
  <c r="G223" i="39"/>
  <c r="E223" i="39"/>
  <c r="D223" i="39"/>
  <c r="B223" i="39"/>
  <c r="W222" i="39"/>
  <c r="V222" i="39"/>
  <c r="S222" i="39"/>
  <c r="R222" i="39"/>
  <c r="Q222" i="39"/>
  <c r="P222" i="39"/>
  <c r="O222" i="39"/>
  <c r="N222" i="39"/>
  <c r="M222" i="39"/>
  <c r="L222" i="39"/>
  <c r="K222" i="39"/>
  <c r="J222" i="39"/>
  <c r="I222" i="39"/>
  <c r="G222" i="39"/>
  <c r="E222" i="39"/>
  <c r="D222" i="39"/>
  <c r="B222" i="39"/>
  <c r="W221" i="39"/>
  <c r="V221" i="39"/>
  <c r="S221" i="39"/>
  <c r="R221" i="39"/>
  <c r="Q221" i="39"/>
  <c r="P221" i="39"/>
  <c r="O221" i="39"/>
  <c r="N221" i="39"/>
  <c r="M221" i="39"/>
  <c r="L221" i="39"/>
  <c r="K221" i="39"/>
  <c r="J221" i="39"/>
  <c r="I221" i="39"/>
  <c r="G221" i="39"/>
  <c r="E221" i="39"/>
  <c r="D221" i="39"/>
  <c r="B221" i="39"/>
  <c r="W220" i="39"/>
  <c r="V220" i="39"/>
  <c r="S220" i="39"/>
  <c r="R220" i="39"/>
  <c r="Q220" i="39"/>
  <c r="P220" i="39"/>
  <c r="O220" i="39"/>
  <c r="N220" i="39"/>
  <c r="M220" i="39"/>
  <c r="L220" i="39"/>
  <c r="K220" i="39"/>
  <c r="J220" i="39"/>
  <c r="I220" i="39"/>
  <c r="G220" i="39"/>
  <c r="E220" i="39"/>
  <c r="D220" i="39"/>
  <c r="B220" i="39"/>
  <c r="W219" i="39"/>
  <c r="V219" i="39"/>
  <c r="S219" i="39"/>
  <c r="R219" i="39"/>
  <c r="Q219" i="39"/>
  <c r="P219" i="39"/>
  <c r="O219" i="39"/>
  <c r="N219" i="39"/>
  <c r="M219" i="39"/>
  <c r="L219" i="39"/>
  <c r="K219" i="39"/>
  <c r="J219" i="39"/>
  <c r="I219" i="39"/>
  <c r="G219" i="39"/>
  <c r="E219" i="39"/>
  <c r="D219" i="39"/>
  <c r="B219" i="39"/>
  <c r="W218" i="39"/>
  <c r="V218" i="39"/>
  <c r="S218" i="39"/>
  <c r="R218" i="39"/>
  <c r="Q218" i="39"/>
  <c r="P218" i="39"/>
  <c r="O218" i="39"/>
  <c r="N218" i="39"/>
  <c r="M218" i="39"/>
  <c r="L218" i="39"/>
  <c r="K218" i="39"/>
  <c r="J218" i="39"/>
  <c r="I218" i="39"/>
  <c r="G218" i="39"/>
  <c r="E218" i="39"/>
  <c r="D218" i="39"/>
  <c r="B218" i="39"/>
  <c r="W217" i="39"/>
  <c r="V217" i="39"/>
  <c r="S217" i="39"/>
  <c r="R217" i="39"/>
  <c r="Q217" i="39"/>
  <c r="P217" i="39"/>
  <c r="O217" i="39"/>
  <c r="N217" i="39"/>
  <c r="M217" i="39"/>
  <c r="L217" i="39"/>
  <c r="K217" i="39"/>
  <c r="J217" i="39"/>
  <c r="I217" i="39"/>
  <c r="G217" i="39"/>
  <c r="E217" i="39"/>
  <c r="D217" i="39"/>
  <c r="B217" i="39"/>
  <c r="W216" i="39"/>
  <c r="V216" i="39"/>
  <c r="S216" i="39"/>
  <c r="R216" i="39"/>
  <c r="Q216" i="39"/>
  <c r="P216" i="39"/>
  <c r="O216" i="39"/>
  <c r="N216" i="39"/>
  <c r="M216" i="39"/>
  <c r="L216" i="39"/>
  <c r="K216" i="39"/>
  <c r="J216" i="39"/>
  <c r="I216" i="39"/>
  <c r="G216" i="39"/>
  <c r="E216" i="39"/>
  <c r="D216" i="39"/>
  <c r="B216" i="39"/>
  <c r="W215" i="39"/>
  <c r="V215" i="39"/>
  <c r="S215" i="39"/>
  <c r="R215" i="39"/>
  <c r="Q215" i="39"/>
  <c r="P215" i="39"/>
  <c r="O215" i="39"/>
  <c r="N215" i="39"/>
  <c r="M215" i="39"/>
  <c r="L215" i="39"/>
  <c r="K215" i="39"/>
  <c r="J215" i="39"/>
  <c r="I215" i="39"/>
  <c r="G215" i="39"/>
  <c r="E215" i="39"/>
  <c r="D215" i="39"/>
  <c r="B215" i="39"/>
  <c r="W214" i="39"/>
  <c r="V214" i="39"/>
  <c r="S214" i="39"/>
  <c r="R214" i="39"/>
  <c r="Q214" i="39"/>
  <c r="P214" i="39"/>
  <c r="O214" i="39"/>
  <c r="N214" i="39"/>
  <c r="M214" i="39"/>
  <c r="L214" i="39"/>
  <c r="K214" i="39"/>
  <c r="J214" i="39"/>
  <c r="I214" i="39"/>
  <c r="G214" i="39"/>
  <c r="E214" i="39"/>
  <c r="D214" i="39"/>
  <c r="B214" i="39"/>
  <c r="W213" i="39"/>
  <c r="V213" i="39"/>
  <c r="S213" i="39"/>
  <c r="R213" i="39"/>
  <c r="Q213" i="39"/>
  <c r="P213" i="39"/>
  <c r="O213" i="39"/>
  <c r="N213" i="39"/>
  <c r="M213" i="39"/>
  <c r="L213" i="39"/>
  <c r="K213" i="39"/>
  <c r="J213" i="39"/>
  <c r="I213" i="39"/>
  <c r="G213" i="39"/>
  <c r="E213" i="39"/>
  <c r="D213" i="39"/>
  <c r="B213" i="39"/>
  <c r="W212" i="39"/>
  <c r="V212" i="39"/>
  <c r="S212" i="39"/>
  <c r="R212" i="39"/>
  <c r="Q212" i="39"/>
  <c r="P212" i="39"/>
  <c r="O212" i="39"/>
  <c r="N212" i="39"/>
  <c r="M212" i="39"/>
  <c r="L212" i="39"/>
  <c r="K212" i="39"/>
  <c r="J212" i="39"/>
  <c r="I212" i="39"/>
  <c r="G212" i="39"/>
  <c r="E212" i="39"/>
  <c r="D212" i="39"/>
  <c r="B212" i="39"/>
  <c r="W211" i="39"/>
  <c r="V211" i="39"/>
  <c r="S211" i="39"/>
  <c r="R211" i="39"/>
  <c r="Q211" i="39"/>
  <c r="P211" i="39"/>
  <c r="O211" i="39"/>
  <c r="N211" i="39"/>
  <c r="M211" i="39"/>
  <c r="L211" i="39"/>
  <c r="K211" i="39"/>
  <c r="J211" i="39"/>
  <c r="I211" i="39"/>
  <c r="G211" i="39"/>
  <c r="E211" i="39"/>
  <c r="D211" i="39"/>
  <c r="B211" i="39"/>
  <c r="W210" i="39"/>
  <c r="V210" i="39"/>
  <c r="S210" i="39"/>
  <c r="R210" i="39"/>
  <c r="Q210" i="39"/>
  <c r="P210" i="39"/>
  <c r="O210" i="39"/>
  <c r="N210" i="39"/>
  <c r="M210" i="39"/>
  <c r="L210" i="39"/>
  <c r="K210" i="39"/>
  <c r="J210" i="39"/>
  <c r="I210" i="39"/>
  <c r="G210" i="39"/>
  <c r="E210" i="39"/>
  <c r="D210" i="39"/>
  <c r="B210" i="39"/>
  <c r="W209" i="39"/>
  <c r="V209" i="39"/>
  <c r="S209" i="39"/>
  <c r="R209" i="39"/>
  <c r="Q209" i="39"/>
  <c r="P209" i="39"/>
  <c r="O209" i="39"/>
  <c r="N209" i="39"/>
  <c r="M209" i="39"/>
  <c r="L209" i="39"/>
  <c r="K209" i="39"/>
  <c r="J209" i="39"/>
  <c r="I209" i="39"/>
  <c r="G209" i="39"/>
  <c r="E209" i="39"/>
  <c r="D209" i="39"/>
  <c r="B209" i="39"/>
  <c r="W206" i="39"/>
  <c r="V206" i="39"/>
  <c r="F206" i="39"/>
  <c r="E206" i="39"/>
  <c r="W205" i="39"/>
  <c r="V205" i="39"/>
  <c r="S205" i="39"/>
  <c r="R205" i="39"/>
  <c r="Q205" i="39"/>
  <c r="P205" i="39"/>
  <c r="O205" i="39"/>
  <c r="N205" i="39"/>
  <c r="M205" i="39"/>
  <c r="L205" i="39"/>
  <c r="K205" i="39"/>
  <c r="J205" i="39"/>
  <c r="I205" i="39"/>
  <c r="G205" i="39"/>
  <c r="E205" i="39"/>
  <c r="D205" i="39"/>
  <c r="B205" i="39"/>
  <c r="W201" i="39"/>
  <c r="V201" i="39"/>
  <c r="S201" i="39"/>
  <c r="R201" i="39"/>
  <c r="Q201" i="39"/>
  <c r="P201" i="39"/>
  <c r="O201" i="39"/>
  <c r="N201" i="39"/>
  <c r="M201" i="39"/>
  <c r="L201" i="39"/>
  <c r="K201" i="39"/>
  <c r="J201" i="39"/>
  <c r="I201" i="39"/>
  <c r="G201" i="39"/>
  <c r="E201" i="39"/>
  <c r="D201" i="39"/>
  <c r="B201" i="39"/>
  <c r="W199" i="39"/>
  <c r="V199" i="39"/>
  <c r="S199" i="39"/>
  <c r="R199" i="39"/>
  <c r="Q199" i="39"/>
  <c r="P199" i="39"/>
  <c r="O199" i="39"/>
  <c r="N199" i="39"/>
  <c r="M199" i="39"/>
  <c r="L199" i="39"/>
  <c r="K199" i="39"/>
  <c r="J199" i="39"/>
  <c r="I199" i="39"/>
  <c r="G199" i="39"/>
  <c r="E199" i="39"/>
  <c r="D199" i="39"/>
  <c r="B199" i="39"/>
  <c r="W198" i="39"/>
  <c r="V198" i="39"/>
  <c r="S198" i="39"/>
  <c r="R198" i="39"/>
  <c r="Q198" i="39"/>
  <c r="P198" i="39"/>
  <c r="O198" i="39"/>
  <c r="N198" i="39"/>
  <c r="M198" i="39"/>
  <c r="L198" i="39"/>
  <c r="K198" i="39"/>
  <c r="J198" i="39"/>
  <c r="I198" i="39"/>
  <c r="G198" i="39"/>
  <c r="E198" i="39"/>
  <c r="D198" i="39"/>
  <c r="B198" i="39"/>
  <c r="W197" i="39"/>
  <c r="V197" i="39"/>
  <c r="S197" i="39"/>
  <c r="R197" i="39"/>
  <c r="Q197" i="39"/>
  <c r="P197" i="39"/>
  <c r="O197" i="39"/>
  <c r="N197" i="39"/>
  <c r="M197" i="39"/>
  <c r="L197" i="39"/>
  <c r="K197" i="39"/>
  <c r="J197" i="39"/>
  <c r="I197" i="39"/>
  <c r="G197" i="39"/>
  <c r="E197" i="39"/>
  <c r="D197" i="39"/>
  <c r="B197" i="39"/>
  <c r="W196" i="39"/>
  <c r="V196" i="39"/>
  <c r="S196" i="39"/>
  <c r="R196" i="39"/>
  <c r="Q196" i="39"/>
  <c r="P196" i="39"/>
  <c r="O196" i="39"/>
  <c r="N196" i="39"/>
  <c r="M196" i="39"/>
  <c r="L196" i="39"/>
  <c r="K196" i="39"/>
  <c r="J196" i="39"/>
  <c r="I196" i="39"/>
  <c r="G196" i="39"/>
  <c r="E196" i="39"/>
  <c r="D196" i="39"/>
  <c r="B196" i="39"/>
  <c r="W195" i="39"/>
  <c r="V195" i="39"/>
  <c r="S195" i="39"/>
  <c r="R195" i="39"/>
  <c r="Q195" i="39"/>
  <c r="P195" i="39"/>
  <c r="O195" i="39"/>
  <c r="N195" i="39"/>
  <c r="M195" i="39"/>
  <c r="L195" i="39"/>
  <c r="K195" i="39"/>
  <c r="J195" i="39"/>
  <c r="I195" i="39"/>
  <c r="G195" i="39"/>
  <c r="E195" i="39"/>
  <c r="D195" i="39"/>
  <c r="B195" i="39"/>
  <c r="W194" i="39"/>
  <c r="V194" i="39"/>
  <c r="S194" i="39"/>
  <c r="R194" i="39"/>
  <c r="Q194" i="39"/>
  <c r="P194" i="39"/>
  <c r="O194" i="39"/>
  <c r="N194" i="39"/>
  <c r="M194" i="39"/>
  <c r="L194" i="39"/>
  <c r="K194" i="39"/>
  <c r="J194" i="39"/>
  <c r="I194" i="39"/>
  <c r="G194" i="39"/>
  <c r="E194" i="39"/>
  <c r="D194" i="39"/>
  <c r="B194" i="39"/>
  <c r="W193" i="39"/>
  <c r="V193" i="39"/>
  <c r="S193" i="39"/>
  <c r="R193" i="39"/>
  <c r="Q193" i="39"/>
  <c r="P193" i="39"/>
  <c r="O193" i="39"/>
  <c r="N193" i="39"/>
  <c r="M193" i="39"/>
  <c r="L193" i="39"/>
  <c r="K193" i="39"/>
  <c r="J193" i="39"/>
  <c r="I193" i="39"/>
  <c r="G193" i="39"/>
  <c r="E193" i="39"/>
  <c r="D193" i="39"/>
  <c r="B193" i="39"/>
  <c r="W192" i="39"/>
  <c r="V192" i="39"/>
  <c r="S192" i="39"/>
  <c r="R192" i="39"/>
  <c r="Q192" i="39"/>
  <c r="P192" i="39"/>
  <c r="O192" i="39"/>
  <c r="N192" i="39"/>
  <c r="M192" i="39"/>
  <c r="L192" i="39"/>
  <c r="K192" i="39"/>
  <c r="J192" i="39"/>
  <c r="I192" i="39"/>
  <c r="G192" i="39"/>
  <c r="E192" i="39"/>
  <c r="D192" i="39"/>
  <c r="B192" i="39"/>
  <c r="W191" i="39"/>
  <c r="V191" i="39"/>
  <c r="S191" i="39"/>
  <c r="R191" i="39"/>
  <c r="Q191" i="39"/>
  <c r="P191" i="39"/>
  <c r="O191" i="39"/>
  <c r="N191" i="39"/>
  <c r="M191" i="39"/>
  <c r="L191" i="39"/>
  <c r="K191" i="39"/>
  <c r="J191" i="39"/>
  <c r="I191" i="39"/>
  <c r="G191" i="39"/>
  <c r="E191" i="39"/>
  <c r="D191" i="39"/>
  <c r="B191" i="39"/>
  <c r="W190" i="39"/>
  <c r="V190" i="39"/>
  <c r="S190" i="39"/>
  <c r="R190" i="39"/>
  <c r="Q190" i="39"/>
  <c r="P190" i="39"/>
  <c r="O190" i="39"/>
  <c r="N190" i="39"/>
  <c r="M190" i="39"/>
  <c r="L190" i="39"/>
  <c r="K190" i="39"/>
  <c r="J190" i="39"/>
  <c r="I190" i="39"/>
  <c r="G190" i="39"/>
  <c r="E190" i="39"/>
  <c r="D190" i="39"/>
  <c r="B190" i="39"/>
  <c r="W189" i="39"/>
  <c r="V189" i="39"/>
  <c r="S189" i="39"/>
  <c r="R189" i="39"/>
  <c r="Q189" i="39"/>
  <c r="P189" i="39"/>
  <c r="O189" i="39"/>
  <c r="N189" i="39"/>
  <c r="M189" i="39"/>
  <c r="L189" i="39"/>
  <c r="K189" i="39"/>
  <c r="J189" i="39"/>
  <c r="I189" i="39"/>
  <c r="G189" i="39"/>
  <c r="E189" i="39"/>
  <c r="D189" i="39"/>
  <c r="B189" i="39"/>
  <c r="W188" i="39"/>
  <c r="V188" i="39"/>
  <c r="S188" i="39"/>
  <c r="R188" i="39"/>
  <c r="Q188" i="39"/>
  <c r="P188" i="39"/>
  <c r="O188" i="39"/>
  <c r="N188" i="39"/>
  <c r="M188" i="39"/>
  <c r="L188" i="39"/>
  <c r="K188" i="39"/>
  <c r="J188" i="39"/>
  <c r="I188" i="39"/>
  <c r="G188" i="39"/>
  <c r="E188" i="39"/>
  <c r="D188" i="39"/>
  <c r="B188" i="39"/>
  <c r="W187" i="39"/>
  <c r="V187" i="39"/>
  <c r="S187" i="39"/>
  <c r="R187" i="39"/>
  <c r="Q187" i="39"/>
  <c r="P187" i="39"/>
  <c r="O187" i="39"/>
  <c r="N187" i="39"/>
  <c r="M187" i="39"/>
  <c r="L187" i="39"/>
  <c r="K187" i="39"/>
  <c r="J187" i="39"/>
  <c r="I187" i="39"/>
  <c r="G187" i="39"/>
  <c r="E187" i="39"/>
  <c r="D187" i="39"/>
  <c r="B187" i="39"/>
  <c r="W186" i="39"/>
  <c r="V186" i="39"/>
  <c r="S186" i="39"/>
  <c r="R186" i="39"/>
  <c r="Q186" i="39"/>
  <c r="P186" i="39"/>
  <c r="O186" i="39"/>
  <c r="N186" i="39"/>
  <c r="M186" i="39"/>
  <c r="L186" i="39"/>
  <c r="K186" i="39"/>
  <c r="J186" i="39"/>
  <c r="I186" i="39"/>
  <c r="G186" i="39"/>
  <c r="E186" i="39"/>
  <c r="D186" i="39"/>
  <c r="B186" i="39"/>
  <c r="W185" i="39"/>
  <c r="V185" i="39"/>
  <c r="S185" i="39"/>
  <c r="R185" i="39"/>
  <c r="Q185" i="39"/>
  <c r="P185" i="39"/>
  <c r="O185" i="39"/>
  <c r="N185" i="39"/>
  <c r="M185" i="39"/>
  <c r="L185" i="39"/>
  <c r="K185" i="39"/>
  <c r="J185" i="39"/>
  <c r="I185" i="39"/>
  <c r="G185" i="39"/>
  <c r="E185" i="39"/>
  <c r="D185" i="39"/>
  <c r="B185" i="39"/>
  <c r="W184" i="39"/>
  <c r="V184" i="39"/>
  <c r="S184" i="39"/>
  <c r="R184" i="39"/>
  <c r="Q184" i="39"/>
  <c r="P184" i="39"/>
  <c r="O184" i="39"/>
  <c r="N184" i="39"/>
  <c r="M184" i="39"/>
  <c r="L184" i="39"/>
  <c r="K184" i="39"/>
  <c r="J184" i="39"/>
  <c r="I184" i="39"/>
  <c r="G184" i="39"/>
  <c r="E184" i="39"/>
  <c r="D184" i="39"/>
  <c r="B184" i="39"/>
  <c r="W183" i="39"/>
  <c r="V183" i="39"/>
  <c r="S183" i="39"/>
  <c r="R183" i="39"/>
  <c r="Q183" i="39"/>
  <c r="P183" i="39"/>
  <c r="O183" i="39"/>
  <c r="N183" i="39"/>
  <c r="M183" i="39"/>
  <c r="L183" i="39"/>
  <c r="K183" i="39"/>
  <c r="J183" i="39"/>
  <c r="I183" i="39"/>
  <c r="G183" i="39"/>
  <c r="E183" i="39"/>
  <c r="D183" i="39"/>
  <c r="B183" i="39"/>
  <c r="W182" i="39"/>
  <c r="V182" i="39"/>
  <c r="S182" i="39"/>
  <c r="R182" i="39"/>
  <c r="Q182" i="39"/>
  <c r="P182" i="39"/>
  <c r="O182" i="39"/>
  <c r="N182" i="39"/>
  <c r="M182" i="39"/>
  <c r="L182" i="39"/>
  <c r="K182" i="39"/>
  <c r="J182" i="39"/>
  <c r="I182" i="39"/>
  <c r="G182" i="39"/>
  <c r="E182" i="39"/>
  <c r="D182" i="39"/>
  <c r="B182" i="39"/>
  <c r="W181" i="39"/>
  <c r="V181" i="39"/>
  <c r="S181" i="39"/>
  <c r="R181" i="39"/>
  <c r="Q181" i="39"/>
  <c r="P181" i="39"/>
  <c r="O181" i="39"/>
  <c r="N181" i="39"/>
  <c r="M181" i="39"/>
  <c r="L181" i="39"/>
  <c r="K181" i="39"/>
  <c r="J181" i="39"/>
  <c r="I181" i="39"/>
  <c r="G181" i="39"/>
  <c r="E181" i="39"/>
  <c r="D181" i="39"/>
  <c r="B181" i="39"/>
  <c r="F178" i="39"/>
  <c r="E178" i="39"/>
  <c r="W177" i="39"/>
  <c r="V177" i="39"/>
  <c r="S177" i="39"/>
  <c r="R177" i="39"/>
  <c r="Q177" i="39"/>
  <c r="P177" i="39"/>
  <c r="O177" i="39"/>
  <c r="N177" i="39"/>
  <c r="M177" i="39"/>
  <c r="L177" i="39"/>
  <c r="K177" i="39"/>
  <c r="J177" i="39"/>
  <c r="I177" i="39"/>
  <c r="G177" i="39"/>
  <c r="E177" i="39"/>
  <c r="D177" i="39"/>
  <c r="B177" i="39"/>
  <c r="W173" i="39"/>
  <c r="V173" i="39"/>
  <c r="S173" i="39"/>
  <c r="R173" i="39"/>
  <c r="Q173" i="39"/>
  <c r="P173" i="39"/>
  <c r="O173" i="39"/>
  <c r="N173" i="39"/>
  <c r="M173" i="39"/>
  <c r="L173" i="39"/>
  <c r="K173" i="39"/>
  <c r="J173" i="39"/>
  <c r="I173" i="39"/>
  <c r="G173" i="39"/>
  <c r="E173" i="39"/>
  <c r="D173" i="39"/>
  <c r="B173" i="39"/>
  <c r="W171" i="39"/>
  <c r="V171" i="39"/>
  <c r="S171" i="39"/>
  <c r="R171" i="39"/>
  <c r="Q171" i="39"/>
  <c r="P171" i="39"/>
  <c r="O171" i="39"/>
  <c r="N171" i="39"/>
  <c r="M171" i="39"/>
  <c r="L171" i="39"/>
  <c r="K171" i="39"/>
  <c r="J171" i="39"/>
  <c r="I171" i="39"/>
  <c r="G171" i="39"/>
  <c r="E171" i="39"/>
  <c r="D171" i="39"/>
  <c r="B171" i="39"/>
  <c r="W170" i="39"/>
  <c r="V170" i="39"/>
  <c r="S170" i="39"/>
  <c r="R170" i="39"/>
  <c r="Q170" i="39"/>
  <c r="P170" i="39"/>
  <c r="O170" i="39"/>
  <c r="N170" i="39"/>
  <c r="M170" i="39"/>
  <c r="L170" i="39"/>
  <c r="K170" i="39"/>
  <c r="J170" i="39"/>
  <c r="I170" i="39"/>
  <c r="G170" i="39"/>
  <c r="E170" i="39"/>
  <c r="D170" i="39"/>
  <c r="B170" i="39"/>
  <c r="W169" i="39"/>
  <c r="V169" i="39"/>
  <c r="S169" i="39"/>
  <c r="R169" i="39"/>
  <c r="Q169" i="39"/>
  <c r="P169" i="39"/>
  <c r="O169" i="39"/>
  <c r="N169" i="39"/>
  <c r="M169" i="39"/>
  <c r="L169" i="39"/>
  <c r="K169" i="39"/>
  <c r="J169" i="39"/>
  <c r="I169" i="39"/>
  <c r="G169" i="39"/>
  <c r="E169" i="39"/>
  <c r="D169" i="39"/>
  <c r="B169" i="39"/>
  <c r="W168" i="39"/>
  <c r="V168" i="39"/>
  <c r="S168" i="39"/>
  <c r="R168" i="39"/>
  <c r="Q168" i="39"/>
  <c r="P168" i="39"/>
  <c r="O168" i="39"/>
  <c r="N168" i="39"/>
  <c r="M168" i="39"/>
  <c r="L168" i="39"/>
  <c r="K168" i="39"/>
  <c r="J168" i="39"/>
  <c r="I168" i="39"/>
  <c r="G168" i="39"/>
  <c r="E168" i="39"/>
  <c r="D168" i="39"/>
  <c r="B168" i="39"/>
  <c r="W167" i="39"/>
  <c r="V167" i="39"/>
  <c r="S167" i="39"/>
  <c r="R167" i="39"/>
  <c r="Q167" i="39"/>
  <c r="P167" i="39"/>
  <c r="O167" i="39"/>
  <c r="N167" i="39"/>
  <c r="M167" i="39"/>
  <c r="L167" i="39"/>
  <c r="K167" i="39"/>
  <c r="J167" i="39"/>
  <c r="I167" i="39"/>
  <c r="G167" i="39"/>
  <c r="E167" i="39"/>
  <c r="D167" i="39"/>
  <c r="B167" i="39"/>
  <c r="W166" i="39"/>
  <c r="V166" i="39"/>
  <c r="S166" i="39"/>
  <c r="R166" i="39"/>
  <c r="Q166" i="39"/>
  <c r="P166" i="39"/>
  <c r="O166" i="39"/>
  <c r="N166" i="39"/>
  <c r="M166" i="39"/>
  <c r="L166" i="39"/>
  <c r="K166" i="39"/>
  <c r="J166" i="39"/>
  <c r="I166" i="39"/>
  <c r="G166" i="39"/>
  <c r="E166" i="39"/>
  <c r="D166" i="39"/>
  <c r="B166" i="39"/>
  <c r="W165" i="39"/>
  <c r="V165" i="39"/>
  <c r="S165" i="39"/>
  <c r="R165" i="39"/>
  <c r="Q165" i="39"/>
  <c r="P165" i="39"/>
  <c r="O165" i="39"/>
  <c r="N165" i="39"/>
  <c r="M165" i="39"/>
  <c r="L165" i="39"/>
  <c r="K165" i="39"/>
  <c r="J165" i="39"/>
  <c r="I165" i="39"/>
  <c r="G165" i="39"/>
  <c r="E165" i="39"/>
  <c r="D165" i="39"/>
  <c r="B165" i="39"/>
  <c r="W164" i="39"/>
  <c r="V164" i="39"/>
  <c r="S164" i="39"/>
  <c r="R164" i="39"/>
  <c r="Q164" i="39"/>
  <c r="P164" i="39"/>
  <c r="O164" i="39"/>
  <c r="N164" i="39"/>
  <c r="M164" i="39"/>
  <c r="L164" i="39"/>
  <c r="K164" i="39"/>
  <c r="J164" i="39"/>
  <c r="I164" i="39"/>
  <c r="G164" i="39"/>
  <c r="E164" i="39"/>
  <c r="D164" i="39"/>
  <c r="B164" i="39"/>
  <c r="W163" i="39"/>
  <c r="V163" i="39"/>
  <c r="S163" i="39"/>
  <c r="R163" i="39"/>
  <c r="Q163" i="39"/>
  <c r="P163" i="39"/>
  <c r="O163" i="39"/>
  <c r="N163" i="39"/>
  <c r="M163" i="39"/>
  <c r="L163" i="39"/>
  <c r="K163" i="39"/>
  <c r="J163" i="39"/>
  <c r="I163" i="39"/>
  <c r="G163" i="39"/>
  <c r="E163" i="39"/>
  <c r="D163" i="39"/>
  <c r="B163" i="39"/>
  <c r="W162" i="39"/>
  <c r="V162" i="39"/>
  <c r="S162" i="39"/>
  <c r="R162" i="39"/>
  <c r="Q162" i="39"/>
  <c r="P162" i="39"/>
  <c r="O162" i="39"/>
  <c r="N162" i="39"/>
  <c r="M162" i="39"/>
  <c r="L162" i="39"/>
  <c r="K162" i="39"/>
  <c r="J162" i="39"/>
  <c r="I162" i="39"/>
  <c r="G162" i="39"/>
  <c r="E162" i="39"/>
  <c r="D162" i="39"/>
  <c r="B162" i="39"/>
  <c r="W161" i="39"/>
  <c r="V161" i="39"/>
  <c r="S161" i="39"/>
  <c r="R161" i="39"/>
  <c r="Q161" i="39"/>
  <c r="P161" i="39"/>
  <c r="O161" i="39"/>
  <c r="N161" i="39"/>
  <c r="M161" i="39"/>
  <c r="L161" i="39"/>
  <c r="K161" i="39"/>
  <c r="J161" i="39"/>
  <c r="I161" i="39"/>
  <c r="G161" i="39"/>
  <c r="E161" i="39"/>
  <c r="D161" i="39"/>
  <c r="B161" i="39"/>
  <c r="W160" i="39"/>
  <c r="V160" i="39"/>
  <c r="S160" i="39"/>
  <c r="R160" i="39"/>
  <c r="Q160" i="39"/>
  <c r="P160" i="39"/>
  <c r="O160" i="39"/>
  <c r="N160" i="39"/>
  <c r="M160" i="39"/>
  <c r="L160" i="39"/>
  <c r="K160" i="39"/>
  <c r="J160" i="39"/>
  <c r="I160" i="39"/>
  <c r="G160" i="39"/>
  <c r="E160" i="39"/>
  <c r="D160" i="39"/>
  <c r="B160" i="39"/>
  <c r="W159" i="39"/>
  <c r="V159" i="39"/>
  <c r="S159" i="39"/>
  <c r="R159" i="39"/>
  <c r="Q159" i="39"/>
  <c r="P159" i="39"/>
  <c r="O159" i="39"/>
  <c r="N159" i="39"/>
  <c r="M159" i="39"/>
  <c r="L159" i="39"/>
  <c r="K159" i="39"/>
  <c r="J159" i="39"/>
  <c r="I159" i="39"/>
  <c r="G159" i="39"/>
  <c r="E159" i="39"/>
  <c r="D159" i="39"/>
  <c r="B159" i="39"/>
  <c r="W158" i="39"/>
  <c r="V158" i="39"/>
  <c r="S158" i="39"/>
  <c r="R158" i="39"/>
  <c r="Q158" i="39"/>
  <c r="P158" i="39"/>
  <c r="O158" i="39"/>
  <c r="N158" i="39"/>
  <c r="M158" i="39"/>
  <c r="L158" i="39"/>
  <c r="K158" i="39"/>
  <c r="J158" i="39"/>
  <c r="I158" i="39"/>
  <c r="G158" i="39"/>
  <c r="E158" i="39"/>
  <c r="D158" i="39"/>
  <c r="B158" i="39"/>
  <c r="W157" i="39"/>
  <c r="V157" i="39"/>
  <c r="S157" i="39"/>
  <c r="R157" i="39"/>
  <c r="Q157" i="39"/>
  <c r="P157" i="39"/>
  <c r="O157" i="39"/>
  <c r="N157" i="39"/>
  <c r="M157" i="39"/>
  <c r="L157" i="39"/>
  <c r="K157" i="39"/>
  <c r="J157" i="39"/>
  <c r="I157" i="39"/>
  <c r="G157" i="39"/>
  <c r="E157" i="39"/>
  <c r="D157" i="39"/>
  <c r="B157" i="39"/>
  <c r="W156" i="39"/>
  <c r="V156" i="39"/>
  <c r="S156" i="39"/>
  <c r="R156" i="39"/>
  <c r="Q156" i="39"/>
  <c r="P156" i="39"/>
  <c r="O156" i="39"/>
  <c r="N156" i="39"/>
  <c r="M156" i="39"/>
  <c r="L156" i="39"/>
  <c r="K156" i="39"/>
  <c r="J156" i="39"/>
  <c r="I156" i="39"/>
  <c r="G156" i="39"/>
  <c r="E156" i="39"/>
  <c r="D156" i="39"/>
  <c r="B156" i="39"/>
  <c r="W155" i="39"/>
  <c r="V155" i="39"/>
  <c r="S155" i="39"/>
  <c r="R155" i="39"/>
  <c r="Q155" i="39"/>
  <c r="P155" i="39"/>
  <c r="O155" i="39"/>
  <c r="N155" i="39"/>
  <c r="M155" i="39"/>
  <c r="L155" i="39"/>
  <c r="K155" i="39"/>
  <c r="J155" i="39"/>
  <c r="I155" i="39"/>
  <c r="G155" i="39"/>
  <c r="E155" i="39"/>
  <c r="D155" i="39"/>
  <c r="B155" i="39"/>
  <c r="W154" i="39"/>
  <c r="V154" i="39"/>
  <c r="S154" i="39"/>
  <c r="R154" i="39"/>
  <c r="Q154" i="39"/>
  <c r="P154" i="39"/>
  <c r="O154" i="39"/>
  <c r="N154" i="39"/>
  <c r="M154" i="39"/>
  <c r="L154" i="39"/>
  <c r="K154" i="39"/>
  <c r="J154" i="39"/>
  <c r="I154" i="39"/>
  <c r="G154" i="39"/>
  <c r="E154" i="39"/>
  <c r="D154" i="39"/>
  <c r="B154" i="39"/>
  <c r="W153" i="39"/>
  <c r="V153" i="39"/>
  <c r="S153" i="39"/>
  <c r="R153" i="39"/>
  <c r="Q153" i="39"/>
  <c r="P153" i="39"/>
  <c r="O153" i="39"/>
  <c r="N153" i="39"/>
  <c r="M153" i="39"/>
  <c r="L153" i="39"/>
  <c r="K153" i="39"/>
  <c r="J153" i="39"/>
  <c r="I153" i="39"/>
  <c r="G153" i="39"/>
  <c r="E153" i="39"/>
  <c r="D153" i="39"/>
  <c r="B153" i="39"/>
  <c r="F150" i="39"/>
  <c r="E150" i="39"/>
  <c r="W149" i="39"/>
  <c r="V149" i="39"/>
  <c r="S149" i="39"/>
  <c r="R149" i="39"/>
  <c r="Q149" i="39"/>
  <c r="P149" i="39"/>
  <c r="O149" i="39"/>
  <c r="N149" i="39"/>
  <c r="M149" i="39"/>
  <c r="L149" i="39"/>
  <c r="K149" i="39"/>
  <c r="J149" i="39"/>
  <c r="I149" i="39"/>
  <c r="G149" i="39"/>
  <c r="E149" i="39"/>
  <c r="D149" i="39"/>
  <c r="B149" i="39"/>
  <c r="W145" i="39"/>
  <c r="V145" i="39"/>
  <c r="S145" i="39"/>
  <c r="R145" i="39"/>
  <c r="Q145" i="39"/>
  <c r="P145" i="39"/>
  <c r="O145" i="39"/>
  <c r="N145" i="39"/>
  <c r="M145" i="39"/>
  <c r="L145" i="39"/>
  <c r="K145" i="39"/>
  <c r="J145" i="39"/>
  <c r="I145" i="39"/>
  <c r="G145" i="39"/>
  <c r="E145" i="39"/>
  <c r="D145" i="39"/>
  <c r="B145" i="39"/>
  <c r="W143" i="39"/>
  <c r="V143" i="39"/>
  <c r="S143" i="39"/>
  <c r="R143" i="39"/>
  <c r="Q143" i="39"/>
  <c r="P143" i="39"/>
  <c r="O143" i="39"/>
  <c r="N143" i="39"/>
  <c r="M143" i="39"/>
  <c r="L143" i="39"/>
  <c r="K143" i="39"/>
  <c r="J143" i="39"/>
  <c r="I143" i="39"/>
  <c r="G143" i="39"/>
  <c r="E143" i="39"/>
  <c r="D143" i="39"/>
  <c r="B143" i="39"/>
  <c r="W142" i="39"/>
  <c r="V142" i="39"/>
  <c r="S142" i="39"/>
  <c r="R142" i="39"/>
  <c r="Q142" i="39"/>
  <c r="P142" i="39"/>
  <c r="O142" i="39"/>
  <c r="N142" i="39"/>
  <c r="M142" i="39"/>
  <c r="L142" i="39"/>
  <c r="K142" i="39"/>
  <c r="J142" i="39"/>
  <c r="I142" i="39"/>
  <c r="G142" i="39"/>
  <c r="E142" i="39"/>
  <c r="D142" i="39"/>
  <c r="B142" i="39"/>
  <c r="W141" i="39"/>
  <c r="V141" i="39"/>
  <c r="S141" i="39"/>
  <c r="R141" i="39"/>
  <c r="Q141" i="39"/>
  <c r="P141" i="39"/>
  <c r="O141" i="39"/>
  <c r="N141" i="39"/>
  <c r="M141" i="39"/>
  <c r="L141" i="39"/>
  <c r="K141" i="39"/>
  <c r="J141" i="39"/>
  <c r="I141" i="39"/>
  <c r="G141" i="39"/>
  <c r="E141" i="39"/>
  <c r="D141" i="39"/>
  <c r="B141" i="39"/>
  <c r="W140" i="39"/>
  <c r="V140" i="39"/>
  <c r="S140" i="39"/>
  <c r="R140" i="39"/>
  <c r="Q140" i="39"/>
  <c r="P140" i="39"/>
  <c r="O140" i="39"/>
  <c r="N140" i="39"/>
  <c r="M140" i="39"/>
  <c r="L140" i="39"/>
  <c r="K140" i="39"/>
  <c r="J140" i="39"/>
  <c r="I140" i="39"/>
  <c r="G140" i="39"/>
  <c r="E140" i="39"/>
  <c r="D140" i="39"/>
  <c r="B140" i="39"/>
  <c r="W139" i="39"/>
  <c r="V139" i="39"/>
  <c r="S139" i="39"/>
  <c r="R139" i="39"/>
  <c r="Q139" i="39"/>
  <c r="P139" i="39"/>
  <c r="O139" i="39"/>
  <c r="N139" i="39"/>
  <c r="M139" i="39"/>
  <c r="L139" i="39"/>
  <c r="K139" i="39"/>
  <c r="J139" i="39"/>
  <c r="I139" i="39"/>
  <c r="G139" i="39"/>
  <c r="E139" i="39"/>
  <c r="D139" i="39"/>
  <c r="B139" i="39"/>
  <c r="W138" i="39"/>
  <c r="V138" i="39"/>
  <c r="S138" i="39"/>
  <c r="R138" i="39"/>
  <c r="Q138" i="39"/>
  <c r="P138" i="39"/>
  <c r="O138" i="39"/>
  <c r="N138" i="39"/>
  <c r="M138" i="39"/>
  <c r="L138" i="39"/>
  <c r="K138" i="39"/>
  <c r="J138" i="39"/>
  <c r="I138" i="39"/>
  <c r="G138" i="39"/>
  <c r="E138" i="39"/>
  <c r="D138" i="39"/>
  <c r="B138" i="39"/>
  <c r="W137" i="39"/>
  <c r="V137" i="39"/>
  <c r="S137" i="39"/>
  <c r="R137" i="39"/>
  <c r="Q137" i="39"/>
  <c r="P137" i="39"/>
  <c r="O137" i="39"/>
  <c r="N137" i="39"/>
  <c r="M137" i="39"/>
  <c r="L137" i="39"/>
  <c r="K137" i="39"/>
  <c r="J137" i="39"/>
  <c r="I137" i="39"/>
  <c r="G137" i="39"/>
  <c r="E137" i="39"/>
  <c r="D137" i="39"/>
  <c r="B137" i="39"/>
  <c r="W136" i="39"/>
  <c r="V136" i="39"/>
  <c r="S136" i="39"/>
  <c r="R136" i="39"/>
  <c r="Q136" i="39"/>
  <c r="P136" i="39"/>
  <c r="O136" i="39"/>
  <c r="N136" i="39"/>
  <c r="M136" i="39"/>
  <c r="L136" i="39"/>
  <c r="K136" i="39"/>
  <c r="J136" i="39"/>
  <c r="I136" i="39"/>
  <c r="G136" i="39"/>
  <c r="E136" i="39"/>
  <c r="D136" i="39"/>
  <c r="B136" i="39"/>
  <c r="W135" i="39"/>
  <c r="V135" i="39"/>
  <c r="S135" i="39"/>
  <c r="R135" i="39"/>
  <c r="Q135" i="39"/>
  <c r="P135" i="39"/>
  <c r="O135" i="39"/>
  <c r="N135" i="39"/>
  <c r="M135" i="39"/>
  <c r="L135" i="39"/>
  <c r="K135" i="39"/>
  <c r="J135" i="39"/>
  <c r="I135" i="39"/>
  <c r="G135" i="39"/>
  <c r="E135" i="39"/>
  <c r="D135" i="39"/>
  <c r="B135" i="39"/>
  <c r="W134" i="39"/>
  <c r="V134" i="39"/>
  <c r="S134" i="39"/>
  <c r="R134" i="39"/>
  <c r="Q134" i="39"/>
  <c r="P134" i="39"/>
  <c r="O134" i="39"/>
  <c r="N134" i="39"/>
  <c r="M134" i="39"/>
  <c r="L134" i="39"/>
  <c r="K134" i="39"/>
  <c r="J134" i="39"/>
  <c r="I134" i="39"/>
  <c r="G134" i="39"/>
  <c r="E134" i="39"/>
  <c r="D134" i="39"/>
  <c r="B134" i="39"/>
  <c r="W133" i="39"/>
  <c r="V133" i="39"/>
  <c r="S133" i="39"/>
  <c r="R133" i="39"/>
  <c r="Q133" i="39"/>
  <c r="P133" i="39"/>
  <c r="O133" i="39"/>
  <c r="N133" i="39"/>
  <c r="M133" i="39"/>
  <c r="L133" i="39"/>
  <c r="K133" i="39"/>
  <c r="J133" i="39"/>
  <c r="I133" i="39"/>
  <c r="G133" i="39"/>
  <c r="E133" i="39"/>
  <c r="D133" i="39"/>
  <c r="B133" i="39"/>
  <c r="W132" i="39"/>
  <c r="V132" i="39"/>
  <c r="S132" i="39"/>
  <c r="R132" i="39"/>
  <c r="Q132" i="39"/>
  <c r="P132" i="39"/>
  <c r="O132" i="39"/>
  <c r="N132" i="39"/>
  <c r="M132" i="39"/>
  <c r="L132" i="39"/>
  <c r="K132" i="39"/>
  <c r="J132" i="39"/>
  <c r="I132" i="39"/>
  <c r="G132" i="39"/>
  <c r="E132" i="39"/>
  <c r="D132" i="39"/>
  <c r="B132" i="39"/>
  <c r="W131" i="39"/>
  <c r="V131" i="39"/>
  <c r="S131" i="39"/>
  <c r="R131" i="39"/>
  <c r="Q131" i="39"/>
  <c r="P131" i="39"/>
  <c r="O131" i="39"/>
  <c r="N131" i="39"/>
  <c r="M131" i="39"/>
  <c r="L131" i="39"/>
  <c r="K131" i="39"/>
  <c r="J131" i="39"/>
  <c r="I131" i="39"/>
  <c r="G131" i="39"/>
  <c r="E131" i="39"/>
  <c r="D131" i="39"/>
  <c r="B131" i="39"/>
  <c r="W130" i="39"/>
  <c r="V130" i="39"/>
  <c r="S130" i="39"/>
  <c r="R130" i="39"/>
  <c r="Q130" i="39"/>
  <c r="P130" i="39"/>
  <c r="O130" i="39"/>
  <c r="N130" i="39"/>
  <c r="M130" i="39"/>
  <c r="L130" i="39"/>
  <c r="K130" i="39"/>
  <c r="J130" i="39"/>
  <c r="I130" i="39"/>
  <c r="G130" i="39"/>
  <c r="E130" i="39"/>
  <c r="D130" i="39"/>
  <c r="B130" i="39"/>
  <c r="W129" i="39"/>
  <c r="V129" i="39"/>
  <c r="S129" i="39"/>
  <c r="R129" i="39"/>
  <c r="Q129" i="39"/>
  <c r="P129" i="39"/>
  <c r="O129" i="39"/>
  <c r="N129" i="39"/>
  <c r="M129" i="39"/>
  <c r="L129" i="39"/>
  <c r="K129" i="39"/>
  <c r="J129" i="39"/>
  <c r="I129" i="39"/>
  <c r="G129" i="39"/>
  <c r="E129" i="39"/>
  <c r="D129" i="39"/>
  <c r="B129" i="39"/>
  <c r="W128" i="39"/>
  <c r="V128" i="39"/>
  <c r="S128" i="39"/>
  <c r="R128" i="39"/>
  <c r="Q128" i="39"/>
  <c r="P128" i="39"/>
  <c r="O128" i="39"/>
  <c r="N128" i="39"/>
  <c r="M128" i="39"/>
  <c r="L128" i="39"/>
  <c r="K128" i="39"/>
  <c r="J128" i="39"/>
  <c r="I128" i="39"/>
  <c r="G128" i="39"/>
  <c r="E128" i="39"/>
  <c r="D128" i="39"/>
  <c r="B128" i="39"/>
  <c r="W127" i="39"/>
  <c r="V127" i="39"/>
  <c r="S127" i="39"/>
  <c r="R127" i="39"/>
  <c r="Q127" i="39"/>
  <c r="P127" i="39"/>
  <c r="O127" i="39"/>
  <c r="N127" i="39"/>
  <c r="M127" i="39"/>
  <c r="L127" i="39"/>
  <c r="K127" i="39"/>
  <c r="J127" i="39"/>
  <c r="I127" i="39"/>
  <c r="G127" i="39"/>
  <c r="E127" i="39"/>
  <c r="D127" i="39"/>
  <c r="B127" i="39"/>
  <c r="W126" i="39"/>
  <c r="V126" i="39"/>
  <c r="S126" i="39"/>
  <c r="R126" i="39"/>
  <c r="Q126" i="39"/>
  <c r="P126" i="39"/>
  <c r="O126" i="39"/>
  <c r="N126" i="39"/>
  <c r="M126" i="39"/>
  <c r="L126" i="39"/>
  <c r="K126" i="39"/>
  <c r="J126" i="39"/>
  <c r="I126" i="39"/>
  <c r="G126" i="39"/>
  <c r="E126" i="39"/>
  <c r="D126" i="39"/>
  <c r="B126" i="39"/>
  <c r="W125" i="39"/>
  <c r="V125" i="39"/>
  <c r="S125" i="39"/>
  <c r="R125" i="39"/>
  <c r="Q125" i="39"/>
  <c r="P125" i="39"/>
  <c r="O125" i="39"/>
  <c r="N125" i="39"/>
  <c r="M125" i="39"/>
  <c r="L125" i="39"/>
  <c r="K125" i="39"/>
  <c r="J125" i="39"/>
  <c r="I125" i="39"/>
  <c r="G125" i="39"/>
  <c r="E125" i="39"/>
  <c r="D125" i="39"/>
  <c r="B125" i="39"/>
  <c r="F122" i="39"/>
  <c r="E122" i="39"/>
  <c r="W121" i="39"/>
  <c r="V121" i="39"/>
  <c r="S121" i="39"/>
  <c r="R121" i="39"/>
  <c r="Q121" i="39"/>
  <c r="P121" i="39"/>
  <c r="O121" i="39"/>
  <c r="N121" i="39"/>
  <c r="M121" i="39"/>
  <c r="L121" i="39"/>
  <c r="K121" i="39"/>
  <c r="J121" i="39"/>
  <c r="I121" i="39"/>
  <c r="G121" i="39"/>
  <c r="E121" i="39"/>
  <c r="D121" i="39"/>
  <c r="B121" i="39"/>
  <c r="W117" i="39"/>
  <c r="V117" i="39"/>
  <c r="S117" i="39"/>
  <c r="R117" i="39"/>
  <c r="Q117" i="39"/>
  <c r="P117" i="39"/>
  <c r="O117" i="39"/>
  <c r="N117" i="39"/>
  <c r="M117" i="39"/>
  <c r="L117" i="39"/>
  <c r="K117" i="39"/>
  <c r="J117" i="39"/>
  <c r="I117" i="39"/>
  <c r="G117" i="39"/>
  <c r="E117" i="39"/>
  <c r="D117" i="39"/>
  <c r="B117" i="39"/>
  <c r="W115" i="39"/>
  <c r="V115" i="39"/>
  <c r="S115" i="39"/>
  <c r="R115" i="39"/>
  <c r="Q115" i="39"/>
  <c r="P115" i="39"/>
  <c r="O115" i="39"/>
  <c r="N115" i="39"/>
  <c r="M115" i="39"/>
  <c r="L115" i="39"/>
  <c r="K115" i="39"/>
  <c r="J115" i="39"/>
  <c r="I115" i="39"/>
  <c r="G115" i="39"/>
  <c r="E115" i="39"/>
  <c r="D115" i="39"/>
  <c r="B115" i="39"/>
  <c r="W114" i="39"/>
  <c r="V114" i="39"/>
  <c r="S114" i="39"/>
  <c r="R114" i="39"/>
  <c r="Q114" i="39"/>
  <c r="P114" i="39"/>
  <c r="O114" i="39"/>
  <c r="N114" i="39"/>
  <c r="M114" i="39"/>
  <c r="L114" i="39"/>
  <c r="K114" i="39"/>
  <c r="J114" i="39"/>
  <c r="I114" i="39"/>
  <c r="G114" i="39"/>
  <c r="E114" i="39"/>
  <c r="D114" i="39"/>
  <c r="B114" i="39"/>
  <c r="W113" i="39"/>
  <c r="V113" i="39"/>
  <c r="S113" i="39"/>
  <c r="R113" i="39"/>
  <c r="Q113" i="39"/>
  <c r="P113" i="39"/>
  <c r="O113" i="39"/>
  <c r="N113" i="39"/>
  <c r="M113" i="39"/>
  <c r="L113" i="39"/>
  <c r="K113" i="39"/>
  <c r="J113" i="39"/>
  <c r="I113" i="39"/>
  <c r="G113" i="39"/>
  <c r="E113" i="39"/>
  <c r="D113" i="39"/>
  <c r="B113" i="39"/>
  <c r="W112" i="39"/>
  <c r="V112" i="39"/>
  <c r="S112" i="39"/>
  <c r="R112" i="39"/>
  <c r="Q112" i="39"/>
  <c r="P112" i="39"/>
  <c r="O112" i="39"/>
  <c r="N112" i="39"/>
  <c r="M112" i="39"/>
  <c r="L112" i="39"/>
  <c r="K112" i="39"/>
  <c r="J112" i="39"/>
  <c r="I112" i="39"/>
  <c r="G112" i="39"/>
  <c r="E112" i="39"/>
  <c r="D112" i="39"/>
  <c r="B112" i="39"/>
  <c r="W111" i="39"/>
  <c r="V111" i="39"/>
  <c r="S111" i="39"/>
  <c r="R111" i="39"/>
  <c r="Q111" i="39"/>
  <c r="P111" i="39"/>
  <c r="O111" i="39"/>
  <c r="N111" i="39"/>
  <c r="M111" i="39"/>
  <c r="L111" i="39"/>
  <c r="K111" i="39"/>
  <c r="J111" i="39"/>
  <c r="I111" i="39"/>
  <c r="G111" i="39"/>
  <c r="E111" i="39"/>
  <c r="D111" i="39"/>
  <c r="B111" i="39"/>
  <c r="W110" i="39"/>
  <c r="V110" i="39"/>
  <c r="S110" i="39"/>
  <c r="R110" i="39"/>
  <c r="Q110" i="39"/>
  <c r="P110" i="39"/>
  <c r="O110" i="39"/>
  <c r="N110" i="39"/>
  <c r="M110" i="39"/>
  <c r="L110" i="39"/>
  <c r="K110" i="39"/>
  <c r="J110" i="39"/>
  <c r="I110" i="39"/>
  <c r="G110" i="39"/>
  <c r="E110" i="39"/>
  <c r="D110" i="39"/>
  <c r="B110" i="39"/>
  <c r="W109" i="39"/>
  <c r="V109" i="39"/>
  <c r="S109" i="39"/>
  <c r="R109" i="39"/>
  <c r="Q109" i="39"/>
  <c r="P109" i="39"/>
  <c r="O109" i="39"/>
  <c r="N109" i="39"/>
  <c r="M109" i="39"/>
  <c r="L109" i="39"/>
  <c r="K109" i="39"/>
  <c r="J109" i="39"/>
  <c r="I109" i="39"/>
  <c r="G109" i="39"/>
  <c r="E109" i="39"/>
  <c r="D109" i="39"/>
  <c r="B109" i="39"/>
  <c r="W108" i="39"/>
  <c r="V108" i="39"/>
  <c r="S108" i="39"/>
  <c r="R108" i="39"/>
  <c r="Q108" i="39"/>
  <c r="P108" i="39"/>
  <c r="O108" i="39"/>
  <c r="N108" i="39"/>
  <c r="M108" i="39"/>
  <c r="L108" i="39"/>
  <c r="K108" i="39"/>
  <c r="J108" i="39"/>
  <c r="I108" i="39"/>
  <c r="G108" i="39"/>
  <c r="E108" i="39"/>
  <c r="D108" i="39"/>
  <c r="B108" i="39"/>
  <c r="W107" i="39"/>
  <c r="V107" i="39"/>
  <c r="S107" i="39"/>
  <c r="R107" i="39"/>
  <c r="Q107" i="39"/>
  <c r="P107" i="39"/>
  <c r="O107" i="39"/>
  <c r="N107" i="39"/>
  <c r="M107" i="39"/>
  <c r="L107" i="39"/>
  <c r="K107" i="39"/>
  <c r="J107" i="39"/>
  <c r="I107" i="39"/>
  <c r="G107" i="39"/>
  <c r="E107" i="39"/>
  <c r="D107" i="39"/>
  <c r="B107" i="39"/>
  <c r="W106" i="39"/>
  <c r="V106" i="39"/>
  <c r="S106" i="39"/>
  <c r="R106" i="39"/>
  <c r="Q106" i="39"/>
  <c r="P106" i="39"/>
  <c r="O106" i="39"/>
  <c r="N106" i="39"/>
  <c r="M106" i="39"/>
  <c r="L106" i="39"/>
  <c r="K106" i="39"/>
  <c r="J106" i="39"/>
  <c r="I106" i="39"/>
  <c r="G106" i="39"/>
  <c r="E106" i="39"/>
  <c r="D106" i="39"/>
  <c r="B106" i="39"/>
  <c r="W105" i="39"/>
  <c r="V105" i="39"/>
  <c r="S105" i="39"/>
  <c r="R105" i="39"/>
  <c r="Q105" i="39"/>
  <c r="P105" i="39"/>
  <c r="O105" i="39"/>
  <c r="N105" i="39"/>
  <c r="M105" i="39"/>
  <c r="L105" i="39"/>
  <c r="K105" i="39"/>
  <c r="J105" i="39"/>
  <c r="I105" i="39"/>
  <c r="G105" i="39"/>
  <c r="E105" i="39"/>
  <c r="D105" i="39"/>
  <c r="B105" i="39"/>
  <c r="W104" i="39"/>
  <c r="V104" i="39"/>
  <c r="S104" i="39"/>
  <c r="R104" i="39"/>
  <c r="Q104" i="39"/>
  <c r="P104" i="39"/>
  <c r="O104" i="39"/>
  <c r="N104" i="39"/>
  <c r="M104" i="39"/>
  <c r="L104" i="39"/>
  <c r="K104" i="39"/>
  <c r="J104" i="39"/>
  <c r="I104" i="39"/>
  <c r="G104" i="39"/>
  <c r="E104" i="39"/>
  <c r="D104" i="39"/>
  <c r="B104" i="39"/>
  <c r="W103" i="39"/>
  <c r="V103" i="39"/>
  <c r="S103" i="39"/>
  <c r="R103" i="39"/>
  <c r="Q103" i="39"/>
  <c r="P103" i="39"/>
  <c r="O103" i="39"/>
  <c r="N103" i="39"/>
  <c r="M103" i="39"/>
  <c r="L103" i="39"/>
  <c r="K103" i="39"/>
  <c r="J103" i="39"/>
  <c r="I103" i="39"/>
  <c r="G103" i="39"/>
  <c r="E103" i="39"/>
  <c r="D103" i="39"/>
  <c r="B103" i="39"/>
  <c r="W102" i="39"/>
  <c r="V102" i="39"/>
  <c r="S102" i="39"/>
  <c r="R102" i="39"/>
  <c r="Q102" i="39"/>
  <c r="P102" i="39"/>
  <c r="O102" i="39"/>
  <c r="N102" i="39"/>
  <c r="M102" i="39"/>
  <c r="L102" i="39"/>
  <c r="K102" i="39"/>
  <c r="J102" i="39"/>
  <c r="I102" i="39"/>
  <c r="G102" i="39"/>
  <c r="E102" i="39"/>
  <c r="D102" i="39"/>
  <c r="B102" i="39"/>
  <c r="W101" i="39"/>
  <c r="V101" i="39"/>
  <c r="S101" i="39"/>
  <c r="R101" i="39"/>
  <c r="Q101" i="39"/>
  <c r="P101" i="39"/>
  <c r="O101" i="39"/>
  <c r="N101" i="39"/>
  <c r="M101" i="39"/>
  <c r="L101" i="39"/>
  <c r="K101" i="39"/>
  <c r="J101" i="39"/>
  <c r="I101" i="39"/>
  <c r="G101" i="39"/>
  <c r="E101" i="39"/>
  <c r="D101" i="39"/>
  <c r="B101" i="39"/>
  <c r="W100" i="39"/>
  <c r="V100" i="39"/>
  <c r="S100" i="39"/>
  <c r="R100" i="39"/>
  <c r="Q100" i="39"/>
  <c r="P100" i="39"/>
  <c r="O100" i="39"/>
  <c r="N100" i="39"/>
  <c r="M100" i="39"/>
  <c r="L100" i="39"/>
  <c r="K100" i="39"/>
  <c r="J100" i="39"/>
  <c r="I100" i="39"/>
  <c r="G100" i="39"/>
  <c r="E100" i="39"/>
  <c r="D100" i="39"/>
  <c r="B100" i="39"/>
  <c r="W99" i="39"/>
  <c r="V99" i="39"/>
  <c r="S99" i="39"/>
  <c r="R99" i="39"/>
  <c r="Q99" i="39"/>
  <c r="P99" i="39"/>
  <c r="O99" i="39"/>
  <c r="N99" i="39"/>
  <c r="M99" i="39"/>
  <c r="L99" i="39"/>
  <c r="K99" i="39"/>
  <c r="J99" i="39"/>
  <c r="I99" i="39"/>
  <c r="G99" i="39"/>
  <c r="E99" i="39"/>
  <c r="D99" i="39"/>
  <c r="B99" i="39"/>
  <c r="W98" i="39"/>
  <c r="V98" i="39"/>
  <c r="S98" i="39"/>
  <c r="R98" i="39"/>
  <c r="Q98" i="39"/>
  <c r="P98" i="39"/>
  <c r="O98" i="39"/>
  <c r="N98" i="39"/>
  <c r="M98" i="39"/>
  <c r="L98" i="39"/>
  <c r="K98" i="39"/>
  <c r="J98" i="39"/>
  <c r="I98" i="39"/>
  <c r="G98" i="39"/>
  <c r="E98" i="39"/>
  <c r="D98" i="39"/>
  <c r="B98" i="39"/>
  <c r="W97" i="39"/>
  <c r="V97" i="39"/>
  <c r="S97" i="39"/>
  <c r="R97" i="39"/>
  <c r="Q97" i="39"/>
  <c r="P97" i="39"/>
  <c r="O97" i="39"/>
  <c r="N97" i="39"/>
  <c r="M97" i="39"/>
  <c r="L97" i="39"/>
  <c r="K97" i="39"/>
  <c r="J97" i="39"/>
  <c r="I97" i="39"/>
  <c r="G97" i="39"/>
  <c r="E97" i="39"/>
  <c r="D97" i="39"/>
  <c r="B97" i="39"/>
  <c r="F94" i="39"/>
  <c r="E94" i="39"/>
  <c r="W93" i="39"/>
  <c r="V93" i="39"/>
  <c r="S93" i="39"/>
  <c r="R93" i="39"/>
  <c r="Q93" i="39"/>
  <c r="P93" i="39"/>
  <c r="O93" i="39"/>
  <c r="N93" i="39"/>
  <c r="M93" i="39"/>
  <c r="L93" i="39"/>
  <c r="K93" i="39"/>
  <c r="J93" i="39"/>
  <c r="I93" i="39"/>
  <c r="G93" i="39"/>
  <c r="E93" i="39"/>
  <c r="D93" i="39"/>
  <c r="B93" i="39"/>
  <c r="W89" i="39"/>
  <c r="V89" i="39"/>
  <c r="S89" i="39"/>
  <c r="R89" i="39"/>
  <c r="Q89" i="39"/>
  <c r="P89" i="39"/>
  <c r="O89" i="39"/>
  <c r="N89" i="39"/>
  <c r="M89" i="39"/>
  <c r="L89" i="39"/>
  <c r="K89" i="39"/>
  <c r="J89" i="39"/>
  <c r="I89" i="39"/>
  <c r="G89" i="39"/>
  <c r="E89" i="39"/>
  <c r="D89" i="39"/>
  <c r="B89" i="39"/>
  <c r="W87" i="39"/>
  <c r="V87" i="39"/>
  <c r="S87" i="39"/>
  <c r="R87" i="39"/>
  <c r="Q87" i="39"/>
  <c r="P87" i="39"/>
  <c r="O87" i="39"/>
  <c r="N87" i="39"/>
  <c r="M87" i="39"/>
  <c r="L87" i="39"/>
  <c r="K87" i="39"/>
  <c r="J87" i="39"/>
  <c r="I87" i="39"/>
  <c r="G87" i="39"/>
  <c r="E87" i="39"/>
  <c r="D87" i="39"/>
  <c r="B87" i="39"/>
  <c r="W86" i="39"/>
  <c r="V86" i="39"/>
  <c r="S86" i="39"/>
  <c r="R86" i="39"/>
  <c r="Q86" i="39"/>
  <c r="P86" i="39"/>
  <c r="O86" i="39"/>
  <c r="N86" i="39"/>
  <c r="M86" i="39"/>
  <c r="L86" i="39"/>
  <c r="K86" i="39"/>
  <c r="J86" i="39"/>
  <c r="I86" i="39"/>
  <c r="G86" i="39"/>
  <c r="E86" i="39"/>
  <c r="D86" i="39"/>
  <c r="B86" i="39"/>
  <c r="W85" i="39"/>
  <c r="V85" i="39"/>
  <c r="S85" i="39"/>
  <c r="R85" i="39"/>
  <c r="Q85" i="39"/>
  <c r="P85" i="39"/>
  <c r="O85" i="39"/>
  <c r="N85" i="39"/>
  <c r="M85" i="39"/>
  <c r="L85" i="39"/>
  <c r="K85" i="39"/>
  <c r="J85" i="39"/>
  <c r="I85" i="39"/>
  <c r="G85" i="39"/>
  <c r="E85" i="39"/>
  <c r="D85" i="39"/>
  <c r="B85" i="39"/>
  <c r="W84" i="39"/>
  <c r="V84" i="39"/>
  <c r="S84" i="39"/>
  <c r="R84" i="39"/>
  <c r="Q84" i="39"/>
  <c r="P84" i="39"/>
  <c r="O84" i="39"/>
  <c r="N84" i="39"/>
  <c r="M84" i="39"/>
  <c r="L84" i="39"/>
  <c r="K84" i="39"/>
  <c r="J84" i="39"/>
  <c r="I84" i="39"/>
  <c r="G84" i="39"/>
  <c r="E84" i="39"/>
  <c r="D84" i="39"/>
  <c r="B84" i="39"/>
  <c r="W83" i="39"/>
  <c r="V83" i="39"/>
  <c r="S83" i="39"/>
  <c r="R83" i="39"/>
  <c r="Q83" i="39"/>
  <c r="P83" i="39"/>
  <c r="O83" i="39"/>
  <c r="N83" i="39"/>
  <c r="M83" i="39"/>
  <c r="L83" i="39"/>
  <c r="K83" i="39"/>
  <c r="J83" i="39"/>
  <c r="I83" i="39"/>
  <c r="G83" i="39"/>
  <c r="E83" i="39"/>
  <c r="D83" i="39"/>
  <c r="B83" i="39"/>
  <c r="W82" i="39"/>
  <c r="V82" i="39"/>
  <c r="S82" i="39"/>
  <c r="R82" i="39"/>
  <c r="Q82" i="39"/>
  <c r="P82" i="39"/>
  <c r="O82" i="39"/>
  <c r="N82" i="39"/>
  <c r="M82" i="39"/>
  <c r="L82" i="39"/>
  <c r="K82" i="39"/>
  <c r="J82" i="39"/>
  <c r="I82" i="39"/>
  <c r="G82" i="39"/>
  <c r="E82" i="39"/>
  <c r="D82" i="39"/>
  <c r="B82" i="39"/>
  <c r="W81" i="39"/>
  <c r="V81" i="39"/>
  <c r="S81" i="39"/>
  <c r="R81" i="39"/>
  <c r="Q81" i="39"/>
  <c r="P81" i="39"/>
  <c r="O81" i="39"/>
  <c r="N81" i="39"/>
  <c r="M81" i="39"/>
  <c r="L81" i="39"/>
  <c r="K81" i="39"/>
  <c r="J81" i="39"/>
  <c r="I81" i="39"/>
  <c r="G81" i="39"/>
  <c r="E81" i="39"/>
  <c r="D81" i="39"/>
  <c r="B81" i="39"/>
  <c r="W80" i="39"/>
  <c r="V80" i="39"/>
  <c r="S80" i="39"/>
  <c r="R80" i="39"/>
  <c r="Q80" i="39"/>
  <c r="P80" i="39"/>
  <c r="O80" i="39"/>
  <c r="N80" i="39"/>
  <c r="M80" i="39"/>
  <c r="L80" i="39"/>
  <c r="K80" i="39"/>
  <c r="J80" i="39"/>
  <c r="I80" i="39"/>
  <c r="G80" i="39"/>
  <c r="E80" i="39"/>
  <c r="D80" i="39"/>
  <c r="B80" i="39"/>
  <c r="W79" i="39"/>
  <c r="V79" i="39"/>
  <c r="S79" i="39"/>
  <c r="R79" i="39"/>
  <c r="Q79" i="39"/>
  <c r="P79" i="39"/>
  <c r="O79" i="39"/>
  <c r="N79" i="39"/>
  <c r="M79" i="39"/>
  <c r="L79" i="39"/>
  <c r="K79" i="39"/>
  <c r="J79" i="39"/>
  <c r="I79" i="39"/>
  <c r="G79" i="39"/>
  <c r="E79" i="39"/>
  <c r="D79" i="39"/>
  <c r="B79" i="39"/>
  <c r="W78" i="39"/>
  <c r="V78" i="39"/>
  <c r="S78" i="39"/>
  <c r="R78" i="39"/>
  <c r="Q78" i="39"/>
  <c r="P78" i="39"/>
  <c r="O78" i="39"/>
  <c r="N78" i="39"/>
  <c r="M78" i="39"/>
  <c r="L78" i="39"/>
  <c r="K78" i="39"/>
  <c r="J78" i="39"/>
  <c r="I78" i="39"/>
  <c r="G78" i="39"/>
  <c r="E78" i="39"/>
  <c r="D78" i="39"/>
  <c r="B78" i="39"/>
  <c r="W77" i="39"/>
  <c r="V77" i="39"/>
  <c r="S77" i="39"/>
  <c r="R77" i="39"/>
  <c r="Q77" i="39"/>
  <c r="P77" i="39"/>
  <c r="O77" i="39"/>
  <c r="N77" i="39"/>
  <c r="M77" i="39"/>
  <c r="L77" i="39"/>
  <c r="K77" i="39"/>
  <c r="J77" i="39"/>
  <c r="I77" i="39"/>
  <c r="G77" i="39"/>
  <c r="E77" i="39"/>
  <c r="D77" i="39"/>
  <c r="B77" i="39"/>
  <c r="W76" i="39"/>
  <c r="V76" i="39"/>
  <c r="S76" i="39"/>
  <c r="R76" i="39"/>
  <c r="Q76" i="39"/>
  <c r="P76" i="39"/>
  <c r="O76" i="39"/>
  <c r="N76" i="39"/>
  <c r="M76" i="39"/>
  <c r="L76" i="39"/>
  <c r="K76" i="39"/>
  <c r="J76" i="39"/>
  <c r="I76" i="39"/>
  <c r="G76" i="39"/>
  <c r="E76" i="39"/>
  <c r="D76" i="39"/>
  <c r="B76" i="39"/>
  <c r="W75" i="39"/>
  <c r="V75" i="39"/>
  <c r="S75" i="39"/>
  <c r="R75" i="39"/>
  <c r="Q75" i="39"/>
  <c r="P75" i="39"/>
  <c r="O75" i="39"/>
  <c r="N75" i="39"/>
  <c r="M75" i="39"/>
  <c r="L75" i="39"/>
  <c r="K75" i="39"/>
  <c r="J75" i="39"/>
  <c r="I75" i="39"/>
  <c r="G75" i="39"/>
  <c r="E75" i="39"/>
  <c r="D75" i="39"/>
  <c r="B75" i="39"/>
  <c r="W74" i="39"/>
  <c r="V74" i="39"/>
  <c r="S74" i="39"/>
  <c r="R74" i="39"/>
  <c r="Q74" i="39"/>
  <c r="P74" i="39"/>
  <c r="O74" i="39"/>
  <c r="N74" i="39"/>
  <c r="M74" i="39"/>
  <c r="L74" i="39"/>
  <c r="K74" i="39"/>
  <c r="J74" i="39"/>
  <c r="I74" i="39"/>
  <c r="G74" i="39"/>
  <c r="E74" i="39"/>
  <c r="D74" i="39"/>
  <c r="B74" i="39"/>
  <c r="W73" i="39"/>
  <c r="V73" i="39"/>
  <c r="S73" i="39"/>
  <c r="R73" i="39"/>
  <c r="Q73" i="39"/>
  <c r="P73" i="39"/>
  <c r="O73" i="39"/>
  <c r="N73" i="39"/>
  <c r="M73" i="39"/>
  <c r="L73" i="39"/>
  <c r="K73" i="39"/>
  <c r="J73" i="39"/>
  <c r="I73" i="39"/>
  <c r="G73" i="39"/>
  <c r="E73" i="39"/>
  <c r="D73" i="39"/>
  <c r="B73" i="39"/>
  <c r="W72" i="39"/>
  <c r="V72" i="39"/>
  <c r="S72" i="39"/>
  <c r="R72" i="39"/>
  <c r="Q72" i="39"/>
  <c r="P72" i="39"/>
  <c r="O72" i="39"/>
  <c r="N72" i="39"/>
  <c r="M72" i="39"/>
  <c r="L72" i="39"/>
  <c r="K72" i="39"/>
  <c r="J72" i="39"/>
  <c r="I72" i="39"/>
  <c r="G72" i="39"/>
  <c r="E72" i="39"/>
  <c r="D72" i="39"/>
  <c r="B72" i="39"/>
  <c r="W71" i="39"/>
  <c r="V71" i="39"/>
  <c r="S71" i="39"/>
  <c r="R71" i="39"/>
  <c r="Q71" i="39"/>
  <c r="P71" i="39"/>
  <c r="O71" i="39"/>
  <c r="N71" i="39"/>
  <c r="M71" i="39"/>
  <c r="L71" i="39"/>
  <c r="K71" i="39"/>
  <c r="J71" i="39"/>
  <c r="I71" i="39"/>
  <c r="G71" i="39"/>
  <c r="E71" i="39"/>
  <c r="D71" i="39"/>
  <c r="B71" i="39"/>
  <c r="W70" i="39"/>
  <c r="V70" i="39"/>
  <c r="S70" i="39"/>
  <c r="R70" i="39"/>
  <c r="Q70" i="39"/>
  <c r="P70" i="39"/>
  <c r="O70" i="39"/>
  <c r="N70" i="39"/>
  <c r="M70" i="39"/>
  <c r="L70" i="39"/>
  <c r="K70" i="39"/>
  <c r="J70" i="39"/>
  <c r="I70" i="39"/>
  <c r="G70" i="39"/>
  <c r="E70" i="39"/>
  <c r="D70" i="39"/>
  <c r="B70" i="39"/>
  <c r="W69" i="39"/>
  <c r="V69" i="39"/>
  <c r="S69" i="39"/>
  <c r="R69" i="39"/>
  <c r="Q69" i="39"/>
  <c r="P69" i="39"/>
  <c r="O69" i="39"/>
  <c r="N69" i="39"/>
  <c r="M69" i="39"/>
  <c r="L69" i="39"/>
  <c r="K69" i="39"/>
  <c r="J69" i="39"/>
  <c r="I69" i="39"/>
  <c r="G69" i="39"/>
  <c r="E69" i="39"/>
  <c r="D69" i="39"/>
  <c r="B69" i="39"/>
  <c r="F66" i="39"/>
  <c r="E66" i="39"/>
  <c r="W65" i="39"/>
  <c r="V65" i="39"/>
  <c r="S65" i="39"/>
  <c r="R65" i="39"/>
  <c r="Q65" i="39"/>
  <c r="P65" i="39"/>
  <c r="O65" i="39"/>
  <c r="N65" i="39"/>
  <c r="M65" i="39"/>
  <c r="L65" i="39"/>
  <c r="K65" i="39"/>
  <c r="J65" i="39"/>
  <c r="I65" i="39"/>
  <c r="G65" i="39"/>
  <c r="E65" i="39"/>
  <c r="D65" i="39"/>
  <c r="B65" i="39"/>
  <c r="W59" i="39"/>
  <c r="V59" i="39"/>
  <c r="S59" i="39"/>
  <c r="R59" i="39"/>
  <c r="Q59" i="39"/>
  <c r="P59" i="39"/>
  <c r="O59" i="39"/>
  <c r="N59" i="39"/>
  <c r="M59" i="39"/>
  <c r="L59" i="39"/>
  <c r="K59" i="39"/>
  <c r="J59" i="39"/>
  <c r="I59" i="39"/>
  <c r="G59" i="39"/>
  <c r="E59" i="39"/>
  <c r="D59" i="39"/>
  <c r="B59" i="39"/>
  <c r="W58" i="39"/>
  <c r="V58" i="39"/>
  <c r="S58" i="39"/>
  <c r="R58" i="39"/>
  <c r="Q58" i="39"/>
  <c r="P58" i="39"/>
  <c r="O58" i="39"/>
  <c r="N58" i="39"/>
  <c r="M58" i="39"/>
  <c r="L58" i="39"/>
  <c r="K58" i="39"/>
  <c r="J58" i="39"/>
  <c r="I58" i="39"/>
  <c r="G58" i="39"/>
  <c r="E58" i="39"/>
  <c r="D58" i="39"/>
  <c r="B58" i="39"/>
  <c r="W57" i="39"/>
  <c r="V57" i="39"/>
  <c r="S57" i="39"/>
  <c r="R57" i="39"/>
  <c r="Q57" i="39"/>
  <c r="P57" i="39"/>
  <c r="O57" i="39"/>
  <c r="N57" i="39"/>
  <c r="M57" i="39"/>
  <c r="L57" i="39"/>
  <c r="K57" i="39"/>
  <c r="J57" i="39"/>
  <c r="I57" i="39"/>
  <c r="G57" i="39"/>
  <c r="E57" i="39"/>
  <c r="D57" i="39"/>
  <c r="B57" i="39"/>
  <c r="W56" i="39"/>
  <c r="V56" i="39"/>
  <c r="S56" i="39"/>
  <c r="R56" i="39"/>
  <c r="Q56" i="39"/>
  <c r="P56" i="39"/>
  <c r="O56" i="39"/>
  <c r="N56" i="39"/>
  <c r="M56" i="39"/>
  <c r="L56" i="39"/>
  <c r="K56" i="39"/>
  <c r="J56" i="39"/>
  <c r="I56" i="39"/>
  <c r="G56" i="39"/>
  <c r="E56" i="39"/>
  <c r="D56" i="39"/>
  <c r="B56" i="39"/>
  <c r="W55" i="39"/>
  <c r="V55" i="39"/>
  <c r="S55" i="39"/>
  <c r="R55" i="39"/>
  <c r="Q55" i="39"/>
  <c r="P55" i="39"/>
  <c r="O55" i="39"/>
  <c r="N55" i="39"/>
  <c r="M55" i="39"/>
  <c r="L55" i="39"/>
  <c r="K55" i="39"/>
  <c r="J55" i="39"/>
  <c r="I55" i="39"/>
  <c r="G55" i="39"/>
  <c r="E55" i="39"/>
  <c r="D55" i="39"/>
  <c r="B55" i="39"/>
  <c r="W54" i="39"/>
  <c r="V54" i="39"/>
  <c r="S54" i="39"/>
  <c r="R54" i="39"/>
  <c r="Q54" i="39"/>
  <c r="P54" i="39"/>
  <c r="O54" i="39"/>
  <c r="N54" i="39"/>
  <c r="M54" i="39"/>
  <c r="L54" i="39"/>
  <c r="K54" i="39"/>
  <c r="J54" i="39"/>
  <c r="I54" i="39"/>
  <c r="G54" i="39"/>
  <c r="E54" i="39"/>
  <c r="D54" i="39"/>
  <c r="B54" i="39"/>
  <c r="W53" i="39"/>
  <c r="V53" i="39"/>
  <c r="S53" i="39"/>
  <c r="R53" i="39"/>
  <c r="Q53" i="39"/>
  <c r="P53" i="39"/>
  <c r="O53" i="39"/>
  <c r="N53" i="39"/>
  <c r="M53" i="39"/>
  <c r="L53" i="39"/>
  <c r="K53" i="39"/>
  <c r="J53" i="39"/>
  <c r="I53" i="39"/>
  <c r="G53" i="39"/>
  <c r="E53" i="39"/>
  <c r="D53" i="39"/>
  <c r="B53" i="39"/>
  <c r="W52" i="39"/>
  <c r="V52" i="39"/>
  <c r="S52" i="39"/>
  <c r="R52" i="39"/>
  <c r="Q52" i="39"/>
  <c r="P52" i="39"/>
  <c r="O52" i="39"/>
  <c r="N52" i="39"/>
  <c r="M52" i="39"/>
  <c r="L52" i="39"/>
  <c r="K52" i="39"/>
  <c r="J52" i="39"/>
  <c r="I52" i="39"/>
  <c r="G52" i="39"/>
  <c r="E52" i="39"/>
  <c r="D52" i="39"/>
  <c r="B52" i="39"/>
  <c r="W51" i="39"/>
  <c r="V51" i="39"/>
  <c r="S51" i="39"/>
  <c r="R51" i="39"/>
  <c r="Q51" i="39"/>
  <c r="P51" i="39"/>
  <c r="O51" i="39"/>
  <c r="N51" i="39"/>
  <c r="M51" i="39"/>
  <c r="L51" i="39"/>
  <c r="K51" i="39"/>
  <c r="J51" i="39"/>
  <c r="I51" i="39"/>
  <c r="G51" i="39"/>
  <c r="E51" i="39"/>
  <c r="D51" i="39"/>
  <c r="B51" i="39"/>
  <c r="W50" i="39"/>
  <c r="V50" i="39"/>
  <c r="S50" i="39"/>
  <c r="R50" i="39"/>
  <c r="Q50" i="39"/>
  <c r="P50" i="39"/>
  <c r="O50" i="39"/>
  <c r="N50" i="39"/>
  <c r="M50" i="39"/>
  <c r="L50" i="39"/>
  <c r="K50" i="39"/>
  <c r="J50" i="39"/>
  <c r="I50" i="39"/>
  <c r="G50" i="39"/>
  <c r="E50" i="39"/>
  <c r="D50" i="39"/>
  <c r="B50" i="39"/>
  <c r="W49" i="39"/>
  <c r="V49" i="39"/>
  <c r="S49" i="39"/>
  <c r="R49" i="39"/>
  <c r="Q49" i="39"/>
  <c r="P49" i="39"/>
  <c r="O49" i="39"/>
  <c r="N49" i="39"/>
  <c r="M49" i="39"/>
  <c r="L49" i="39"/>
  <c r="K49" i="39"/>
  <c r="J49" i="39"/>
  <c r="I49" i="39"/>
  <c r="G49" i="39"/>
  <c r="E49" i="39"/>
  <c r="D49" i="39"/>
  <c r="B49" i="39"/>
  <c r="W48" i="39"/>
  <c r="V48" i="39"/>
  <c r="S48" i="39"/>
  <c r="R48" i="39"/>
  <c r="Q48" i="39"/>
  <c r="P48" i="39"/>
  <c r="O48" i="39"/>
  <c r="N48" i="39"/>
  <c r="M48" i="39"/>
  <c r="L48" i="39"/>
  <c r="K48" i="39"/>
  <c r="J48" i="39"/>
  <c r="I48" i="39"/>
  <c r="G48" i="39"/>
  <c r="E48" i="39"/>
  <c r="D48" i="39"/>
  <c r="B48" i="39"/>
  <c r="W47" i="39"/>
  <c r="V47" i="39"/>
  <c r="S47" i="39"/>
  <c r="R47" i="39"/>
  <c r="Q47" i="39"/>
  <c r="P47" i="39"/>
  <c r="O47" i="39"/>
  <c r="N47" i="39"/>
  <c r="M47" i="39"/>
  <c r="L47" i="39"/>
  <c r="K47" i="39"/>
  <c r="J47" i="39"/>
  <c r="I47" i="39"/>
  <c r="G47" i="39"/>
  <c r="E47" i="39"/>
  <c r="D47" i="39"/>
  <c r="B47" i="39"/>
  <c r="W46" i="39"/>
  <c r="V46" i="39"/>
  <c r="S46" i="39"/>
  <c r="R46" i="39"/>
  <c r="Q46" i="39"/>
  <c r="P46" i="39"/>
  <c r="O46" i="39"/>
  <c r="N46" i="39"/>
  <c r="M46" i="39"/>
  <c r="L46" i="39"/>
  <c r="K46" i="39"/>
  <c r="J46" i="39"/>
  <c r="I46" i="39"/>
  <c r="G46" i="39"/>
  <c r="E46" i="39"/>
  <c r="D46" i="39"/>
  <c r="B46" i="39"/>
  <c r="W45" i="39"/>
  <c r="V45" i="39"/>
  <c r="S45" i="39"/>
  <c r="R45" i="39"/>
  <c r="Q45" i="39"/>
  <c r="P45" i="39"/>
  <c r="O45" i="39"/>
  <c r="N45" i="39"/>
  <c r="M45" i="39"/>
  <c r="L45" i="39"/>
  <c r="K45" i="39"/>
  <c r="J45" i="39"/>
  <c r="I45" i="39"/>
  <c r="G45" i="39"/>
  <c r="E45" i="39"/>
  <c r="D45" i="39"/>
  <c r="B45" i="39"/>
  <c r="W44" i="39"/>
  <c r="V44" i="39"/>
  <c r="S44" i="39"/>
  <c r="R44" i="39"/>
  <c r="Q44" i="39"/>
  <c r="P44" i="39"/>
  <c r="O44" i="39"/>
  <c r="N44" i="39"/>
  <c r="M44" i="39"/>
  <c r="L44" i="39"/>
  <c r="K44" i="39"/>
  <c r="J44" i="39"/>
  <c r="I44" i="39"/>
  <c r="G44" i="39"/>
  <c r="E44" i="39"/>
  <c r="D44" i="39"/>
  <c r="B44" i="39"/>
  <c r="W43" i="39"/>
  <c r="V43" i="39"/>
  <c r="S43" i="39"/>
  <c r="R43" i="39"/>
  <c r="Q43" i="39"/>
  <c r="P43" i="39"/>
  <c r="O43" i="39"/>
  <c r="N43" i="39"/>
  <c r="M43" i="39"/>
  <c r="L43" i="39"/>
  <c r="K43" i="39"/>
  <c r="J43" i="39"/>
  <c r="I43" i="39"/>
  <c r="G43" i="39"/>
  <c r="E43" i="39"/>
  <c r="D43" i="39"/>
  <c r="B43" i="39"/>
  <c r="W42" i="39"/>
  <c r="V42" i="39"/>
  <c r="S42" i="39"/>
  <c r="R42" i="39"/>
  <c r="Q42" i="39"/>
  <c r="P42" i="39"/>
  <c r="O42" i="39"/>
  <c r="N42" i="39"/>
  <c r="M42" i="39"/>
  <c r="L42" i="39"/>
  <c r="K42" i="39"/>
  <c r="J42" i="39"/>
  <c r="I42" i="39"/>
  <c r="G42" i="39"/>
  <c r="E42" i="39"/>
  <c r="D42" i="39"/>
  <c r="B42" i="39"/>
  <c r="W41" i="39"/>
  <c r="V41" i="39"/>
  <c r="S41" i="39"/>
  <c r="R41" i="39"/>
  <c r="Q41" i="39"/>
  <c r="P41" i="39"/>
  <c r="O41" i="39"/>
  <c r="N41" i="39"/>
  <c r="M41" i="39"/>
  <c r="L41" i="39"/>
  <c r="K41" i="39"/>
  <c r="J41" i="39"/>
  <c r="I41" i="39"/>
  <c r="G41" i="39"/>
  <c r="E41" i="39"/>
  <c r="D41" i="39"/>
  <c r="B41" i="39"/>
  <c r="F38" i="39"/>
  <c r="E38" i="39"/>
  <c r="W37" i="39"/>
  <c r="V37" i="39"/>
  <c r="S37" i="39"/>
  <c r="R37" i="39"/>
  <c r="Q37" i="39"/>
  <c r="P37" i="39"/>
  <c r="O37" i="39"/>
  <c r="N37" i="39"/>
  <c r="M37" i="39"/>
  <c r="L37" i="39"/>
  <c r="K37" i="39"/>
  <c r="J37" i="39"/>
  <c r="I37" i="39"/>
  <c r="G37" i="39"/>
  <c r="E37" i="39"/>
  <c r="D37" i="39"/>
  <c r="W33" i="39"/>
  <c r="V33" i="39"/>
  <c r="S33" i="39"/>
  <c r="R33" i="39"/>
  <c r="Q33" i="39"/>
  <c r="P33" i="39"/>
  <c r="O33" i="39"/>
  <c r="N33" i="39"/>
  <c r="M33" i="39"/>
  <c r="L33" i="39"/>
  <c r="K33" i="39"/>
  <c r="J33" i="39"/>
  <c r="I33" i="39"/>
  <c r="G33" i="39"/>
  <c r="E33" i="39"/>
  <c r="D33" i="39"/>
  <c r="W31" i="39"/>
  <c r="V31" i="39"/>
  <c r="S31" i="39"/>
  <c r="R31" i="39"/>
  <c r="Q31" i="39"/>
  <c r="P31" i="39"/>
  <c r="O31" i="39"/>
  <c r="N31" i="39"/>
  <c r="M31" i="39"/>
  <c r="L31" i="39"/>
  <c r="K31" i="39"/>
  <c r="J31" i="39"/>
  <c r="I31" i="39"/>
  <c r="G31" i="39"/>
  <c r="E31" i="39"/>
  <c r="D31" i="39"/>
  <c r="W30" i="39"/>
  <c r="V30" i="39"/>
  <c r="S30" i="39"/>
  <c r="R30" i="39"/>
  <c r="Q30" i="39"/>
  <c r="P30" i="39"/>
  <c r="O30" i="39"/>
  <c r="N30" i="39"/>
  <c r="M30" i="39"/>
  <c r="L30" i="39"/>
  <c r="K30" i="39"/>
  <c r="J30" i="39"/>
  <c r="I30" i="39"/>
  <c r="G30" i="39"/>
  <c r="E30" i="39"/>
  <c r="D30" i="39"/>
  <c r="W29" i="39"/>
  <c r="V29" i="39"/>
  <c r="S29" i="39"/>
  <c r="R29" i="39"/>
  <c r="Q29" i="39"/>
  <c r="P29" i="39"/>
  <c r="O29" i="39"/>
  <c r="N29" i="39"/>
  <c r="M29" i="39"/>
  <c r="L29" i="39"/>
  <c r="K29" i="39"/>
  <c r="J29" i="39"/>
  <c r="I29" i="39"/>
  <c r="G29" i="39"/>
  <c r="E29" i="39"/>
  <c r="D29" i="39"/>
  <c r="W28" i="39"/>
  <c r="V28" i="39"/>
  <c r="S28" i="39"/>
  <c r="R28" i="39"/>
  <c r="Q28" i="39"/>
  <c r="P28" i="39"/>
  <c r="O28" i="39"/>
  <c r="N28" i="39"/>
  <c r="M28" i="39"/>
  <c r="L28" i="39"/>
  <c r="K28" i="39"/>
  <c r="J28" i="39"/>
  <c r="I28" i="39"/>
  <c r="G28" i="39"/>
  <c r="E28" i="39"/>
  <c r="D28" i="39"/>
  <c r="W27" i="39"/>
  <c r="V27" i="39"/>
  <c r="S27" i="39"/>
  <c r="R27" i="39"/>
  <c r="Q27" i="39"/>
  <c r="P27" i="39"/>
  <c r="O27" i="39"/>
  <c r="N27" i="39"/>
  <c r="M27" i="39"/>
  <c r="L27" i="39"/>
  <c r="K27" i="39"/>
  <c r="J27" i="39"/>
  <c r="I27" i="39"/>
  <c r="G27" i="39"/>
  <c r="E27" i="39"/>
  <c r="D27" i="39"/>
  <c r="W26" i="39"/>
  <c r="V26" i="39"/>
  <c r="S26" i="39"/>
  <c r="R26" i="39"/>
  <c r="Q26" i="39"/>
  <c r="P26" i="39"/>
  <c r="O26" i="39"/>
  <c r="N26" i="39"/>
  <c r="M26" i="39"/>
  <c r="L26" i="39"/>
  <c r="K26" i="39"/>
  <c r="J26" i="39"/>
  <c r="I26" i="39"/>
  <c r="G26" i="39"/>
  <c r="E26" i="39"/>
  <c r="D26" i="39"/>
  <c r="W25" i="39"/>
  <c r="V25" i="39"/>
  <c r="S25" i="39"/>
  <c r="R25" i="39"/>
  <c r="Q25" i="39"/>
  <c r="P25" i="39"/>
  <c r="O25" i="39"/>
  <c r="N25" i="39"/>
  <c r="M25" i="39"/>
  <c r="L25" i="39"/>
  <c r="K25" i="39"/>
  <c r="J25" i="39"/>
  <c r="I25" i="39"/>
  <c r="G25" i="39"/>
  <c r="E25" i="39"/>
  <c r="D25" i="39"/>
  <c r="W24" i="39"/>
  <c r="V24" i="39"/>
  <c r="S24" i="39"/>
  <c r="R24" i="39"/>
  <c r="Q24" i="39"/>
  <c r="P24" i="39"/>
  <c r="O24" i="39"/>
  <c r="N24" i="39"/>
  <c r="M24" i="39"/>
  <c r="L24" i="39"/>
  <c r="K24" i="39"/>
  <c r="J24" i="39"/>
  <c r="I24" i="39"/>
  <c r="G24" i="39"/>
  <c r="E24" i="39"/>
  <c r="D24" i="39"/>
  <c r="W23" i="39"/>
  <c r="V23" i="39"/>
  <c r="S23" i="39"/>
  <c r="R23" i="39"/>
  <c r="Q23" i="39"/>
  <c r="P23" i="39"/>
  <c r="O23" i="39"/>
  <c r="N23" i="39"/>
  <c r="M23" i="39"/>
  <c r="L23" i="39"/>
  <c r="K23" i="39"/>
  <c r="J23" i="39"/>
  <c r="I23" i="39"/>
  <c r="G23" i="39"/>
  <c r="E23" i="39"/>
  <c r="D23" i="39"/>
  <c r="W22" i="39"/>
  <c r="V22" i="39"/>
  <c r="S22" i="39"/>
  <c r="R22" i="39"/>
  <c r="Q22" i="39"/>
  <c r="P22" i="39"/>
  <c r="O22" i="39"/>
  <c r="N22" i="39"/>
  <c r="M22" i="39"/>
  <c r="L22" i="39"/>
  <c r="K22" i="39"/>
  <c r="J22" i="39"/>
  <c r="I22" i="39"/>
  <c r="G22" i="39"/>
  <c r="E22" i="39"/>
  <c r="D22" i="39"/>
  <c r="W21" i="39"/>
  <c r="V21" i="39"/>
  <c r="S21" i="39"/>
  <c r="R21" i="39"/>
  <c r="Q21" i="39"/>
  <c r="P21" i="39"/>
  <c r="O21" i="39"/>
  <c r="N21" i="39"/>
  <c r="M21" i="39"/>
  <c r="L21" i="39"/>
  <c r="K21" i="39"/>
  <c r="J21" i="39"/>
  <c r="I21" i="39"/>
  <c r="G21" i="39"/>
  <c r="E21" i="39"/>
  <c r="D21" i="39"/>
  <c r="W20" i="39"/>
  <c r="V20" i="39"/>
  <c r="S20" i="39"/>
  <c r="R20" i="39"/>
  <c r="Q20" i="39"/>
  <c r="P20" i="39"/>
  <c r="O20" i="39"/>
  <c r="N20" i="39"/>
  <c r="M20" i="39"/>
  <c r="L20" i="39"/>
  <c r="K20" i="39"/>
  <c r="J20" i="39"/>
  <c r="I20" i="39"/>
  <c r="G20" i="39"/>
  <c r="E20" i="39"/>
  <c r="D20" i="39"/>
  <c r="W19" i="39"/>
  <c r="V19" i="39"/>
  <c r="S19" i="39"/>
  <c r="R19" i="39"/>
  <c r="Q19" i="39"/>
  <c r="P19" i="39"/>
  <c r="O19" i="39"/>
  <c r="N19" i="39"/>
  <c r="M19" i="39"/>
  <c r="L19" i="39"/>
  <c r="K19" i="39"/>
  <c r="J19" i="39"/>
  <c r="I19" i="39"/>
  <c r="G19" i="39"/>
  <c r="E19" i="39"/>
  <c r="D19" i="39"/>
  <c r="W18" i="39"/>
  <c r="V18" i="39"/>
  <c r="S18" i="39"/>
  <c r="R18" i="39"/>
  <c r="Q18" i="39"/>
  <c r="P18" i="39"/>
  <c r="O18" i="39"/>
  <c r="N18" i="39"/>
  <c r="M18" i="39"/>
  <c r="L18" i="39"/>
  <c r="K18" i="39"/>
  <c r="J18" i="39"/>
  <c r="I18" i="39"/>
  <c r="G18" i="39"/>
  <c r="E18" i="39"/>
  <c r="D18" i="39"/>
  <c r="W17" i="39"/>
  <c r="V17" i="39"/>
  <c r="S17" i="39"/>
  <c r="R17" i="39"/>
  <c r="Q17" i="39"/>
  <c r="P17" i="39"/>
  <c r="O17" i="39"/>
  <c r="N17" i="39"/>
  <c r="M17" i="39"/>
  <c r="L17" i="39"/>
  <c r="K17" i="39"/>
  <c r="J17" i="39"/>
  <c r="I17" i="39"/>
  <c r="G17" i="39"/>
  <c r="E17" i="39"/>
  <c r="D17" i="39"/>
  <c r="W16" i="39"/>
  <c r="V16" i="39"/>
  <c r="S16" i="39"/>
  <c r="R16" i="39"/>
  <c r="Q16" i="39"/>
  <c r="P16" i="39"/>
  <c r="O16" i="39"/>
  <c r="N16" i="39"/>
  <c r="M16" i="39"/>
  <c r="L16" i="39"/>
  <c r="K16" i="39"/>
  <c r="J16" i="39"/>
  <c r="I16" i="39"/>
  <c r="G16" i="39"/>
  <c r="E16" i="39"/>
  <c r="D16" i="39"/>
  <c r="W15" i="39"/>
  <c r="V15" i="39"/>
  <c r="S15" i="39"/>
  <c r="R15" i="39"/>
  <c r="Q15" i="39"/>
  <c r="P15" i="39"/>
  <c r="O15" i="39"/>
  <c r="N15" i="39"/>
  <c r="M15" i="39"/>
  <c r="L15" i="39"/>
  <c r="K15" i="39"/>
  <c r="J15" i="39"/>
  <c r="I15" i="39"/>
  <c r="G15" i="39"/>
  <c r="E15" i="39"/>
  <c r="D15" i="39"/>
  <c r="W14" i="39"/>
  <c r="V14" i="39"/>
  <c r="S14" i="39"/>
  <c r="R14" i="39"/>
  <c r="Q14" i="39"/>
  <c r="P14" i="39"/>
  <c r="O14" i="39"/>
  <c r="N14" i="39"/>
  <c r="M14" i="39"/>
  <c r="L14" i="39"/>
  <c r="K14" i="39"/>
  <c r="J14" i="39"/>
  <c r="I14" i="39"/>
  <c r="G14" i="39"/>
  <c r="E14" i="39"/>
  <c r="D14" i="39"/>
  <c r="W13" i="39"/>
  <c r="V13" i="39"/>
  <c r="S13" i="39"/>
  <c r="R13" i="39"/>
  <c r="Q13" i="39"/>
  <c r="P13" i="39"/>
  <c r="O13" i="39"/>
  <c r="N13" i="39"/>
  <c r="M13" i="39"/>
  <c r="L13" i="39"/>
  <c r="K13" i="39"/>
  <c r="J13" i="39"/>
  <c r="I13" i="39"/>
  <c r="G13" i="39"/>
  <c r="E13" i="39"/>
  <c r="D13" i="39"/>
  <c r="B37" i="39"/>
  <c r="B33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C3" i="39"/>
  <c r="AC3" i="39" s="1"/>
  <c r="N2" i="40" l="1"/>
  <c r="V2" i="40"/>
  <c r="L2" i="40"/>
  <c r="V1" i="40"/>
  <c r="L1" i="40"/>
  <c r="W2" i="40"/>
  <c r="O2" i="40"/>
  <c r="P2" i="40"/>
  <c r="Q2" i="40"/>
  <c r="J2" i="40"/>
  <c r="R2" i="40"/>
  <c r="K2" i="40"/>
  <c r="S2" i="40"/>
  <c r="M2" i="40"/>
  <c r="Q1" i="40"/>
  <c r="M1" i="40"/>
  <c r="W1" i="40"/>
  <c r="J1" i="40"/>
  <c r="R1" i="40"/>
  <c r="K1" i="40"/>
  <c r="S1" i="40"/>
  <c r="N1" i="40"/>
  <c r="O1" i="40"/>
  <c r="P1" i="40"/>
  <c r="F712" i="39"/>
  <c r="L3" i="40" l="1"/>
  <c r="O3" i="40"/>
  <c r="N3" i="40"/>
  <c r="Q3" i="40"/>
  <c r="P3" i="40"/>
  <c r="V3" i="40"/>
  <c r="R3" i="40"/>
  <c r="J3" i="40"/>
  <c r="M3" i="40"/>
  <c r="S3" i="40"/>
  <c r="W3" i="40"/>
  <c r="K3" i="40"/>
  <c r="W122" i="22"/>
  <c r="W122" i="39" s="1"/>
  <c r="V122" i="22"/>
  <c r="V122" i="39" s="1"/>
  <c r="U502" i="22" l="1"/>
  <c r="T502" i="22"/>
  <c r="H502" i="22"/>
  <c r="H502" i="39" s="1"/>
  <c r="F502" i="22"/>
  <c r="F502" i="39" s="1"/>
  <c r="Y502" i="22" l="1"/>
  <c r="U502" i="39"/>
  <c r="X502" i="22"/>
  <c r="T502" i="39"/>
  <c r="T313" i="22"/>
  <c r="T313" i="39" s="1"/>
  <c r="U313" i="22"/>
  <c r="U313" i="39" s="1"/>
  <c r="T293" i="22"/>
  <c r="T293" i="39" s="1"/>
  <c r="U293" i="22"/>
  <c r="U293" i="39" s="1"/>
  <c r="T294" i="22"/>
  <c r="T294" i="39" s="1"/>
  <c r="U294" i="22"/>
  <c r="U294" i="39" s="1"/>
  <c r="T295" i="22"/>
  <c r="T295" i="39" s="1"/>
  <c r="U295" i="22"/>
  <c r="U295" i="39" s="1"/>
  <c r="T296" i="22"/>
  <c r="T296" i="39" s="1"/>
  <c r="U296" i="22"/>
  <c r="U296" i="39" s="1"/>
  <c r="T297" i="22"/>
  <c r="T297" i="39" s="1"/>
  <c r="U297" i="22"/>
  <c r="U297" i="39" s="1"/>
  <c r="T298" i="22"/>
  <c r="T298" i="39" s="1"/>
  <c r="U298" i="22"/>
  <c r="U298" i="39" s="1"/>
  <c r="T299" i="22"/>
  <c r="T299" i="39" s="1"/>
  <c r="U299" i="22"/>
  <c r="U299" i="39" s="1"/>
  <c r="T300" i="22"/>
  <c r="T300" i="39" s="1"/>
  <c r="U300" i="22"/>
  <c r="U300" i="39" s="1"/>
  <c r="T301" i="22"/>
  <c r="T301" i="39" s="1"/>
  <c r="U301" i="22"/>
  <c r="U301" i="39" s="1"/>
  <c r="T302" i="22"/>
  <c r="T302" i="39" s="1"/>
  <c r="U302" i="22"/>
  <c r="U302" i="39" s="1"/>
  <c r="T303" i="22"/>
  <c r="T303" i="39" s="1"/>
  <c r="U303" i="22"/>
  <c r="U303" i="39" s="1"/>
  <c r="T304" i="22"/>
  <c r="T304" i="39" s="1"/>
  <c r="U304" i="22"/>
  <c r="U304" i="39" s="1"/>
  <c r="T305" i="22"/>
  <c r="T305" i="39" s="1"/>
  <c r="U305" i="22"/>
  <c r="U305" i="39" s="1"/>
  <c r="T306" i="22"/>
  <c r="T306" i="39" s="1"/>
  <c r="U306" i="22"/>
  <c r="U306" i="39" s="1"/>
  <c r="T307" i="22"/>
  <c r="T307" i="39" s="1"/>
  <c r="U307" i="22"/>
  <c r="U307" i="39" s="1"/>
  <c r="T308" i="22"/>
  <c r="T308" i="39" s="1"/>
  <c r="U308" i="22"/>
  <c r="U308" i="39" s="1"/>
  <c r="T309" i="22"/>
  <c r="T309" i="39" s="1"/>
  <c r="U309" i="22"/>
  <c r="U309" i="39" s="1"/>
  <c r="T310" i="22"/>
  <c r="T310" i="39" s="1"/>
  <c r="U310" i="22"/>
  <c r="U310" i="39" s="1"/>
  <c r="T311" i="22"/>
  <c r="T311" i="39" s="1"/>
  <c r="U311" i="22"/>
  <c r="U311" i="39" s="1"/>
  <c r="T317" i="39"/>
  <c r="U317" i="39"/>
  <c r="AI502" i="22" l="1"/>
  <c r="AL502" i="22" s="1"/>
  <c r="Y502" i="39"/>
  <c r="AC502" i="22"/>
  <c r="AG502" i="22" s="1"/>
  <c r="X502" i="39"/>
  <c r="T377" i="22"/>
  <c r="T377" i="39" s="1"/>
  <c r="U377" i="22"/>
  <c r="U377" i="39" s="1"/>
  <c r="T378" i="22"/>
  <c r="T378" i="39" s="1"/>
  <c r="U378" i="22"/>
  <c r="U378" i="39" s="1"/>
  <c r="T379" i="22"/>
  <c r="T379" i="39" s="1"/>
  <c r="U379" i="22"/>
  <c r="U379" i="39" s="1"/>
  <c r="T380" i="22"/>
  <c r="T380" i="39" s="1"/>
  <c r="U380" i="22"/>
  <c r="U380" i="39" s="1"/>
  <c r="T381" i="22"/>
  <c r="T381" i="39" s="1"/>
  <c r="U381" i="22"/>
  <c r="U381" i="39" s="1"/>
  <c r="T382" i="22"/>
  <c r="T382" i="39" s="1"/>
  <c r="U382" i="22"/>
  <c r="U382" i="39" s="1"/>
  <c r="T383" i="22"/>
  <c r="T383" i="39" s="1"/>
  <c r="U383" i="22"/>
  <c r="U383" i="39" s="1"/>
  <c r="T384" i="22"/>
  <c r="T384" i="39" s="1"/>
  <c r="U384" i="22"/>
  <c r="U384" i="39" s="1"/>
  <c r="T385" i="22"/>
  <c r="T385" i="39" s="1"/>
  <c r="U385" i="22"/>
  <c r="U385" i="39" s="1"/>
  <c r="T386" i="22"/>
  <c r="T386" i="39" s="1"/>
  <c r="U386" i="22"/>
  <c r="U386" i="39" s="1"/>
  <c r="T387" i="22"/>
  <c r="T387" i="39" s="1"/>
  <c r="U387" i="22"/>
  <c r="U387" i="39" s="1"/>
  <c r="T388" i="22"/>
  <c r="T388" i="39" s="1"/>
  <c r="U388" i="22"/>
  <c r="U388" i="39" s="1"/>
  <c r="T389" i="22"/>
  <c r="T389" i="39" s="1"/>
  <c r="U389" i="22"/>
  <c r="U389" i="39" s="1"/>
  <c r="T390" i="22"/>
  <c r="T390" i="39" s="1"/>
  <c r="U390" i="22"/>
  <c r="U390" i="39" s="1"/>
  <c r="T392" i="22"/>
  <c r="T392" i="39" s="1"/>
  <c r="U392" i="22"/>
  <c r="U392" i="39" s="1"/>
  <c r="T393" i="22"/>
  <c r="T393" i="39" s="1"/>
  <c r="U393" i="22"/>
  <c r="U393" i="39" s="1"/>
  <c r="T394" i="22"/>
  <c r="T394" i="39" s="1"/>
  <c r="U394" i="22"/>
  <c r="U394" i="39" s="1"/>
  <c r="T395" i="22"/>
  <c r="T395" i="39" s="1"/>
  <c r="U395" i="22"/>
  <c r="U395" i="39" s="1"/>
  <c r="T397" i="22"/>
  <c r="T397" i="39" s="1"/>
  <c r="U397" i="22"/>
  <c r="U397" i="39" s="1"/>
  <c r="T401" i="22"/>
  <c r="T401" i="39" s="1"/>
  <c r="U401" i="22"/>
  <c r="U401" i="39" s="1"/>
  <c r="U391" i="22"/>
  <c r="U391" i="39" s="1"/>
  <c r="T391" i="22"/>
  <c r="T391" i="39" s="1"/>
  <c r="U866" i="22" l="1"/>
  <c r="T866" i="22"/>
  <c r="H866" i="22"/>
  <c r="H866" i="39" s="1"/>
  <c r="F866" i="22"/>
  <c r="F866" i="39" s="1"/>
  <c r="U838" i="22"/>
  <c r="T838" i="22"/>
  <c r="H838" i="22"/>
  <c r="H838" i="39" s="1"/>
  <c r="F838" i="22"/>
  <c r="F838" i="39" s="1"/>
  <c r="U810" i="22"/>
  <c r="T810" i="22"/>
  <c r="H810" i="22"/>
  <c r="H810" i="39" s="1"/>
  <c r="F810" i="22"/>
  <c r="F810" i="39" s="1"/>
  <c r="U782" i="22"/>
  <c r="T782" i="22"/>
  <c r="H782" i="22"/>
  <c r="H782" i="39" s="1"/>
  <c r="F782" i="22"/>
  <c r="F782" i="39" s="1"/>
  <c r="U754" i="22"/>
  <c r="T754" i="22"/>
  <c r="H754" i="22"/>
  <c r="H754" i="39" s="1"/>
  <c r="F754" i="22"/>
  <c r="F754" i="39" s="1"/>
  <c r="U726" i="22"/>
  <c r="U726" i="39" s="1"/>
  <c r="T726" i="22"/>
  <c r="T726" i="39" s="1"/>
  <c r="H726" i="22"/>
  <c r="H726" i="39" s="1"/>
  <c r="F726" i="22"/>
  <c r="F726" i="39" s="1"/>
  <c r="U698" i="22"/>
  <c r="T698" i="22"/>
  <c r="H698" i="22"/>
  <c r="H698" i="39" s="1"/>
  <c r="F698" i="22"/>
  <c r="F698" i="39" s="1"/>
  <c r="U670" i="22"/>
  <c r="T670" i="22"/>
  <c r="H670" i="22"/>
  <c r="H670" i="39" s="1"/>
  <c r="F670" i="22"/>
  <c r="F670" i="39" s="1"/>
  <c r="U642" i="22"/>
  <c r="T642" i="22"/>
  <c r="H642" i="22"/>
  <c r="H642" i="39" s="1"/>
  <c r="F642" i="22"/>
  <c r="F642" i="39" s="1"/>
  <c r="U614" i="22"/>
  <c r="T614" i="22"/>
  <c r="H614" i="22"/>
  <c r="H614" i="39" s="1"/>
  <c r="F614" i="22"/>
  <c r="F614" i="39" s="1"/>
  <c r="U586" i="22"/>
  <c r="T586" i="22"/>
  <c r="H586" i="22"/>
  <c r="H586" i="39" s="1"/>
  <c r="F586" i="22"/>
  <c r="F586" i="39" s="1"/>
  <c r="U558" i="22"/>
  <c r="T558" i="22"/>
  <c r="H558" i="22"/>
  <c r="H558" i="39" s="1"/>
  <c r="F558" i="22"/>
  <c r="F558" i="39" s="1"/>
  <c r="U530" i="22"/>
  <c r="T530" i="22"/>
  <c r="H530" i="22"/>
  <c r="H530" i="39" s="1"/>
  <c r="F530" i="22"/>
  <c r="F530" i="39" s="1"/>
  <c r="U474" i="22"/>
  <c r="Y474" i="22" s="1"/>
  <c r="T474" i="22"/>
  <c r="X474" i="22" s="1"/>
  <c r="H474" i="22"/>
  <c r="H474" i="39" s="1"/>
  <c r="F474" i="22"/>
  <c r="F474" i="39" s="1"/>
  <c r="H446" i="22"/>
  <c r="H446" i="39" s="1"/>
  <c r="F446" i="22"/>
  <c r="F446" i="39" s="1"/>
  <c r="U418" i="22"/>
  <c r="T418" i="22"/>
  <c r="H418" i="22"/>
  <c r="H418" i="39" s="1"/>
  <c r="F418" i="22"/>
  <c r="F418" i="39" s="1"/>
  <c r="Y390" i="22"/>
  <c r="X390" i="22"/>
  <c r="H390" i="22"/>
  <c r="H390" i="39" s="1"/>
  <c r="F390" i="22"/>
  <c r="F390" i="39" s="1"/>
  <c r="U362" i="22"/>
  <c r="T362" i="22"/>
  <c r="H362" i="22"/>
  <c r="H362" i="39" s="1"/>
  <c r="F362" i="22"/>
  <c r="F362" i="39" s="1"/>
  <c r="U334" i="22"/>
  <c r="T334" i="22"/>
  <c r="H334" i="22"/>
  <c r="H334" i="39" s="1"/>
  <c r="F334" i="22"/>
  <c r="F334" i="39" s="1"/>
  <c r="Y306" i="22"/>
  <c r="X306" i="22"/>
  <c r="H306" i="22"/>
  <c r="H306" i="39" s="1"/>
  <c r="F306" i="22"/>
  <c r="F306" i="39" s="1"/>
  <c r="U278" i="22"/>
  <c r="T278" i="22"/>
  <c r="H278" i="22"/>
  <c r="H278" i="39" s="1"/>
  <c r="F278" i="22"/>
  <c r="F278" i="39" s="1"/>
  <c r="U250" i="22"/>
  <c r="T250" i="22"/>
  <c r="H250" i="22"/>
  <c r="H250" i="39" s="1"/>
  <c r="F250" i="22"/>
  <c r="F250" i="39" s="1"/>
  <c r="U194" i="22"/>
  <c r="T194" i="22"/>
  <c r="H194" i="22"/>
  <c r="H194" i="39" s="1"/>
  <c r="F194" i="22"/>
  <c r="F194" i="39" s="1"/>
  <c r="H166" i="22"/>
  <c r="H166" i="39" s="1"/>
  <c r="F166" i="22"/>
  <c r="F166" i="39" s="1"/>
  <c r="H138" i="22"/>
  <c r="H138" i="39" s="1"/>
  <c r="F138" i="22"/>
  <c r="F138" i="39" s="1"/>
  <c r="U110" i="22"/>
  <c r="T110" i="22"/>
  <c r="H110" i="22"/>
  <c r="H110" i="39" s="1"/>
  <c r="F110" i="22"/>
  <c r="F110" i="39" s="1"/>
  <c r="U82" i="22"/>
  <c r="T82" i="22"/>
  <c r="H82" i="22"/>
  <c r="H82" i="39" s="1"/>
  <c r="F82" i="22"/>
  <c r="F82" i="39" s="1"/>
  <c r="U54" i="22"/>
  <c r="T54" i="22"/>
  <c r="H54" i="22"/>
  <c r="H54" i="39" s="1"/>
  <c r="F54" i="22"/>
  <c r="F54" i="39" s="1"/>
  <c r="U26" i="22"/>
  <c r="T26" i="22"/>
  <c r="H26" i="22"/>
  <c r="H26" i="39" s="1"/>
  <c r="F26" i="22"/>
  <c r="F26" i="39" s="1"/>
  <c r="U222" i="22"/>
  <c r="T222" i="22"/>
  <c r="H222" i="22"/>
  <c r="H222" i="39" s="1"/>
  <c r="F222" i="22"/>
  <c r="F222" i="39" s="1"/>
  <c r="X838" i="22" l="1"/>
  <c r="T838" i="39"/>
  <c r="X866" i="22"/>
  <c r="T866" i="39"/>
  <c r="Y838" i="22"/>
  <c r="U838" i="39"/>
  <c r="Y866" i="22"/>
  <c r="U866" i="39"/>
  <c r="X754" i="22"/>
  <c r="T754" i="39"/>
  <c r="Y754" i="22"/>
  <c r="U754" i="39"/>
  <c r="X726" i="22"/>
  <c r="X726" i="39" s="1"/>
  <c r="Y726" i="22"/>
  <c r="Y726" i="39" s="1"/>
  <c r="X558" i="22"/>
  <c r="T558" i="39"/>
  <c r="Y558" i="22"/>
  <c r="U558" i="39"/>
  <c r="X530" i="22"/>
  <c r="T530" i="39"/>
  <c r="Y530" i="22"/>
  <c r="U530" i="39"/>
  <c r="X418" i="22"/>
  <c r="T418" i="39"/>
  <c r="Y418" i="22"/>
  <c r="U418" i="39"/>
  <c r="AC390" i="22"/>
  <c r="AG390" i="22" s="1"/>
  <c r="X390" i="39"/>
  <c r="AI390" i="22"/>
  <c r="AL390" i="22" s="1"/>
  <c r="Y390" i="39"/>
  <c r="X362" i="22"/>
  <c r="T362" i="39"/>
  <c r="Y362" i="22"/>
  <c r="U362" i="39"/>
  <c r="X334" i="22"/>
  <c r="T334" i="39"/>
  <c r="Y334" i="22"/>
  <c r="U334" i="39"/>
  <c r="AC306" i="22"/>
  <c r="AG306" i="22" s="1"/>
  <c r="X306" i="39"/>
  <c r="AI306" i="22"/>
  <c r="AL306" i="22" s="1"/>
  <c r="Y306" i="39"/>
  <c r="X278" i="22"/>
  <c r="T278" i="39"/>
  <c r="Y278" i="22"/>
  <c r="U278" i="39"/>
  <c r="X250" i="22"/>
  <c r="T250" i="39"/>
  <c r="Y250" i="22"/>
  <c r="U250" i="39"/>
  <c r="X222" i="22"/>
  <c r="T222" i="39"/>
  <c r="Y222" i="22"/>
  <c r="U222" i="39"/>
  <c r="X194" i="22"/>
  <c r="T194" i="39"/>
  <c r="Y194" i="22"/>
  <c r="U194" i="39"/>
  <c r="X166" i="22"/>
  <c r="T166" i="39"/>
  <c r="Y166" i="22"/>
  <c r="U166" i="39"/>
  <c r="X138" i="22"/>
  <c r="T138" i="39"/>
  <c r="Y138" i="22"/>
  <c r="U138" i="39"/>
  <c r="X110" i="22"/>
  <c r="T110" i="39"/>
  <c r="Y110" i="22"/>
  <c r="U110" i="39"/>
  <c r="X82" i="22"/>
  <c r="T82" i="39"/>
  <c r="Y82" i="22"/>
  <c r="U82" i="39"/>
  <c r="X54" i="22"/>
  <c r="T54" i="39"/>
  <c r="Y54" i="22"/>
  <c r="U54" i="39"/>
  <c r="X26" i="22"/>
  <c r="T26" i="39"/>
  <c r="Y26" i="22"/>
  <c r="U26" i="39"/>
  <c r="X810" i="22"/>
  <c r="T810" i="39"/>
  <c r="Y810" i="22"/>
  <c r="U810" i="39"/>
  <c r="X782" i="22"/>
  <c r="T782" i="39"/>
  <c r="Y782" i="22"/>
  <c r="U782" i="39"/>
  <c r="X698" i="22"/>
  <c r="T698" i="39"/>
  <c r="Y698" i="22"/>
  <c r="U698" i="39"/>
  <c r="X670" i="22"/>
  <c r="T670" i="39"/>
  <c r="Y670" i="22"/>
  <c r="U670" i="39"/>
  <c r="X642" i="22"/>
  <c r="T642" i="39"/>
  <c r="Y642" i="22"/>
  <c r="U642" i="39"/>
  <c r="X614" i="22"/>
  <c r="T614" i="39"/>
  <c r="Y614" i="22"/>
  <c r="U614" i="39"/>
  <c r="X586" i="22"/>
  <c r="T586" i="39"/>
  <c r="Y586" i="22"/>
  <c r="U586" i="39"/>
  <c r="T474" i="39"/>
  <c r="U474" i="39"/>
  <c r="X446" i="22"/>
  <c r="T446" i="39"/>
  <c r="Y446" i="22"/>
  <c r="U446" i="39"/>
  <c r="J486" i="22"/>
  <c r="J486" i="39" s="1"/>
  <c r="AI866" i="22" l="1"/>
  <c r="AL866" i="22" s="1"/>
  <c r="Y866" i="39"/>
  <c r="AC866" i="22"/>
  <c r="AG866" i="22" s="1"/>
  <c r="X866" i="39"/>
  <c r="AI838" i="22"/>
  <c r="AL838" i="22" s="1"/>
  <c r="Y838" i="39"/>
  <c r="AC838" i="22"/>
  <c r="AG838" i="22" s="1"/>
  <c r="X838" i="39"/>
  <c r="AI754" i="22"/>
  <c r="AL754" i="22" s="1"/>
  <c r="Y754" i="39"/>
  <c r="AC754" i="22"/>
  <c r="AG754" i="22" s="1"/>
  <c r="X754" i="39"/>
  <c r="AI726" i="22"/>
  <c r="AL726" i="22" s="1"/>
  <c r="AC726" i="22"/>
  <c r="AG726" i="22" s="1"/>
  <c r="AI558" i="22"/>
  <c r="AL558" i="22" s="1"/>
  <c r="Y558" i="39"/>
  <c r="AC558" i="22"/>
  <c r="AG558" i="22" s="1"/>
  <c r="X558" i="39"/>
  <c r="AC530" i="22"/>
  <c r="AG530" i="22" s="1"/>
  <c r="X530" i="39"/>
  <c r="AI530" i="22"/>
  <c r="AL530" i="22" s="1"/>
  <c r="Y530" i="39"/>
  <c r="AI418" i="22"/>
  <c r="AL418" i="22" s="1"/>
  <c r="Y418" i="39"/>
  <c r="AC418" i="22"/>
  <c r="AG418" i="22" s="1"/>
  <c r="X418" i="39"/>
  <c r="AI362" i="22"/>
  <c r="AL362" i="22" s="1"/>
  <c r="Y362" i="39"/>
  <c r="AC362" i="22"/>
  <c r="AG362" i="22" s="1"/>
  <c r="X362" i="39"/>
  <c r="AC334" i="22"/>
  <c r="AG334" i="22" s="1"/>
  <c r="X334" i="39"/>
  <c r="AI334" i="22"/>
  <c r="AL334" i="22" s="1"/>
  <c r="Y334" i="39"/>
  <c r="AI278" i="22"/>
  <c r="AL278" i="22" s="1"/>
  <c r="Y278" i="39"/>
  <c r="AC278" i="22"/>
  <c r="AG278" i="22" s="1"/>
  <c r="X278" i="39"/>
  <c r="AI250" i="22"/>
  <c r="AL250" i="22" s="1"/>
  <c r="Y250" i="39"/>
  <c r="AC250" i="22"/>
  <c r="AG250" i="22" s="1"/>
  <c r="X250" i="39"/>
  <c r="AI222" i="22"/>
  <c r="AL222" i="22" s="1"/>
  <c r="Y222" i="39"/>
  <c r="AC222" i="22"/>
  <c r="AG222" i="22" s="1"/>
  <c r="X222" i="39"/>
  <c r="AI194" i="22"/>
  <c r="AL194" i="22" s="1"/>
  <c r="Y194" i="39"/>
  <c r="AC194" i="22"/>
  <c r="AG194" i="22" s="1"/>
  <c r="X194" i="39"/>
  <c r="AI166" i="22"/>
  <c r="AL166" i="22" s="1"/>
  <c r="Y166" i="39"/>
  <c r="AC166" i="22"/>
  <c r="AG166" i="22" s="1"/>
  <c r="X166" i="39"/>
  <c r="AI138" i="22"/>
  <c r="AL138" i="22" s="1"/>
  <c r="Y138" i="39"/>
  <c r="AC138" i="22"/>
  <c r="AG138" i="22" s="1"/>
  <c r="X138" i="39"/>
  <c r="AI110" i="22"/>
  <c r="AL110" i="22" s="1"/>
  <c r="Y110" i="39"/>
  <c r="AC110" i="22"/>
  <c r="AG110" i="22" s="1"/>
  <c r="X110" i="39"/>
  <c r="AI82" i="22"/>
  <c r="AL82" i="22" s="1"/>
  <c r="Y82" i="39"/>
  <c r="AC82" i="22"/>
  <c r="AG82" i="22" s="1"/>
  <c r="X82" i="39"/>
  <c r="AI54" i="22"/>
  <c r="AL54" i="22" s="1"/>
  <c r="Y54" i="39"/>
  <c r="AC54" i="22"/>
  <c r="AG54" i="22" s="1"/>
  <c r="X54" i="39"/>
  <c r="AI26" i="22"/>
  <c r="AL26" i="22" s="1"/>
  <c r="Y26" i="39"/>
  <c r="AC26" i="22"/>
  <c r="AG26" i="22" s="1"/>
  <c r="X26" i="39"/>
  <c r="AI810" i="22"/>
  <c r="AL810" i="22" s="1"/>
  <c r="Y810" i="39"/>
  <c r="AC810" i="22"/>
  <c r="AG810" i="22" s="1"/>
  <c r="X810" i="39"/>
  <c r="AI782" i="22"/>
  <c r="AL782" i="22" s="1"/>
  <c r="Y782" i="39"/>
  <c r="AC782" i="22"/>
  <c r="AG782" i="22" s="1"/>
  <c r="X782" i="39"/>
  <c r="AI698" i="22"/>
  <c r="AL698" i="22" s="1"/>
  <c r="Y698" i="39"/>
  <c r="AC698" i="22"/>
  <c r="AG698" i="22" s="1"/>
  <c r="X698" i="39"/>
  <c r="AC670" i="22"/>
  <c r="AG670" i="22" s="1"/>
  <c r="X670" i="39"/>
  <c r="AI670" i="22"/>
  <c r="AL670" i="22" s="1"/>
  <c r="Y670" i="39"/>
  <c r="AI642" i="22"/>
  <c r="AL642" i="22" s="1"/>
  <c r="Y642" i="39"/>
  <c r="AC642" i="22"/>
  <c r="AG642" i="22" s="1"/>
  <c r="X642" i="39"/>
  <c r="AI614" i="22"/>
  <c r="AL614" i="22" s="1"/>
  <c r="Y614" i="39"/>
  <c r="AC614" i="22"/>
  <c r="AG614" i="22" s="1"/>
  <c r="X614" i="39"/>
  <c r="AI586" i="22"/>
  <c r="AL586" i="22" s="1"/>
  <c r="Y586" i="39"/>
  <c r="AC586" i="22"/>
  <c r="AG586" i="22" s="1"/>
  <c r="X586" i="39"/>
  <c r="AI474" i="22"/>
  <c r="AL474" i="22" s="1"/>
  <c r="Y474" i="39"/>
  <c r="AC474" i="22"/>
  <c r="AG474" i="22" s="1"/>
  <c r="X474" i="39"/>
  <c r="AI446" i="22"/>
  <c r="AL446" i="22" s="1"/>
  <c r="Y446" i="39"/>
  <c r="AC446" i="22"/>
  <c r="AG446" i="22" s="1"/>
  <c r="X446" i="39"/>
  <c r="T266" i="22"/>
  <c r="T266" i="39" s="1"/>
  <c r="T267" i="22"/>
  <c r="T267" i="39" s="1"/>
  <c r="J598" i="22" l="1"/>
  <c r="J598" i="39" s="1"/>
  <c r="U119" i="33" l="1"/>
  <c r="U120" i="40" s="1"/>
  <c r="T119" i="33"/>
  <c r="U118" i="33"/>
  <c r="U119" i="40" s="1"/>
  <c r="T118" i="33"/>
  <c r="U117" i="33"/>
  <c r="U118" i="40" s="1"/>
  <c r="T117" i="33"/>
  <c r="I118" i="40"/>
  <c r="I119" i="40"/>
  <c r="I120" i="40"/>
  <c r="F120" i="40"/>
  <c r="F119" i="40"/>
  <c r="F118" i="40"/>
  <c r="T119" i="40" l="1"/>
  <c r="G118" i="33"/>
  <c r="T120" i="40"/>
  <c r="G119" i="33"/>
  <c r="T118" i="40"/>
  <c r="G117" i="33"/>
  <c r="X119" i="33"/>
  <c r="X120" i="40" s="1"/>
  <c r="X118" i="33"/>
  <c r="X119" i="40" s="1"/>
  <c r="Y118" i="33"/>
  <c r="Y119" i="40" s="1"/>
  <c r="X117" i="33"/>
  <c r="X118" i="40" s="1"/>
  <c r="Y117" i="33"/>
  <c r="Y118" i="40" s="1"/>
  <c r="Y119" i="33"/>
  <c r="Y120" i="40" s="1"/>
  <c r="K318" i="22"/>
  <c r="J318" i="22"/>
  <c r="J318" i="39" s="1"/>
  <c r="G118" i="40" l="1"/>
  <c r="H117" i="33"/>
  <c r="H118" i="40" s="1"/>
  <c r="G119" i="40"/>
  <c r="H118" i="33"/>
  <c r="H119" i="40" s="1"/>
  <c r="G120" i="40"/>
  <c r="H119" i="33"/>
  <c r="H120" i="40" s="1"/>
  <c r="K318" i="39"/>
  <c r="AI119" i="33"/>
  <c r="AL119" i="33" s="1"/>
  <c r="AC117" i="33"/>
  <c r="AG117" i="33" s="1"/>
  <c r="AC118" i="33"/>
  <c r="AG118" i="33" s="1"/>
  <c r="AI117" i="33"/>
  <c r="AL117" i="33" s="1"/>
  <c r="AI118" i="33"/>
  <c r="AL118" i="33" s="1"/>
  <c r="AC119" i="33"/>
  <c r="AG119" i="33" s="1"/>
  <c r="U57" i="33"/>
  <c r="T57" i="33"/>
  <c r="G57" i="33" s="1"/>
  <c r="U47" i="33"/>
  <c r="T47" i="33"/>
  <c r="G47" i="33" s="1"/>
  <c r="H57" i="33" l="1"/>
  <c r="H47" i="33"/>
  <c r="Y57" i="33"/>
  <c r="X47" i="33"/>
  <c r="X57" i="33"/>
  <c r="Y47" i="33"/>
  <c r="U58" i="33"/>
  <c r="T58" i="33"/>
  <c r="G58" i="33" s="1"/>
  <c r="U54" i="33"/>
  <c r="T54" i="33"/>
  <c r="G54" i="33" s="1"/>
  <c r="U53" i="33"/>
  <c r="T53" i="33"/>
  <c r="G53" i="33" s="1"/>
  <c r="U52" i="33"/>
  <c r="T52" i="33"/>
  <c r="G52" i="33" s="1"/>
  <c r="U49" i="33"/>
  <c r="T49" i="33"/>
  <c r="G49" i="33" s="1"/>
  <c r="U48" i="33"/>
  <c r="T48" i="33"/>
  <c r="G48" i="33" s="1"/>
  <c r="U44" i="33"/>
  <c r="T44" i="33"/>
  <c r="G44" i="33" s="1"/>
  <c r="U43" i="33"/>
  <c r="T43" i="33"/>
  <c r="G43" i="33" s="1"/>
  <c r="U42" i="33"/>
  <c r="T42" i="33"/>
  <c r="G42" i="33" s="1"/>
  <c r="U41" i="33"/>
  <c r="T41" i="33"/>
  <c r="G41" i="33" s="1"/>
  <c r="U37" i="33"/>
  <c r="T37" i="33"/>
  <c r="U36" i="33"/>
  <c r="T36" i="33"/>
  <c r="U35" i="33"/>
  <c r="T35" i="33"/>
  <c r="U13" i="33"/>
  <c r="T13" i="33"/>
  <c r="U16" i="33"/>
  <c r="T16" i="33"/>
  <c r="T15" i="33"/>
  <c r="G15" i="33" s="1"/>
  <c r="U15" i="33"/>
  <c r="H54" i="33" l="1"/>
  <c r="H52" i="33"/>
  <c r="H44" i="33"/>
  <c r="G16" i="33"/>
  <c r="G36" i="33"/>
  <c r="H49" i="33"/>
  <c r="H53" i="33"/>
  <c r="H43" i="33"/>
  <c r="H48" i="33"/>
  <c r="G35" i="33"/>
  <c r="H41" i="33"/>
  <c r="H13" i="33"/>
  <c r="G37" i="33"/>
  <c r="H42" i="33"/>
  <c r="H58" i="33"/>
  <c r="X36" i="33"/>
  <c r="Y48" i="33"/>
  <c r="Y54" i="33"/>
  <c r="X58" i="33"/>
  <c r="Y36" i="33"/>
  <c r="X44" i="33"/>
  <c r="X53" i="33"/>
  <c r="AC57" i="33"/>
  <c r="AG57" i="33" s="1"/>
  <c r="X35" i="33"/>
  <c r="X37" i="33"/>
  <c r="Y42" i="33"/>
  <c r="Y44" i="33"/>
  <c r="Y49" i="33"/>
  <c r="Y53" i="33"/>
  <c r="Y41" i="33"/>
  <c r="Y52" i="33"/>
  <c r="X49" i="33"/>
  <c r="Y35" i="33"/>
  <c r="Y37" i="33"/>
  <c r="X41" i="33"/>
  <c r="X43" i="33"/>
  <c r="X48" i="33"/>
  <c r="X52" i="33"/>
  <c r="X54" i="33"/>
  <c r="AI47" i="33"/>
  <c r="AL47" i="33" s="1"/>
  <c r="AC47" i="33"/>
  <c r="AG47" i="33" s="1"/>
  <c r="Y43" i="33"/>
  <c r="X42" i="33"/>
  <c r="Y58" i="33"/>
  <c r="AI57" i="33"/>
  <c r="AL57" i="33" s="1"/>
  <c r="K2" i="33"/>
  <c r="AK2" i="40" s="1"/>
  <c r="H37" i="33" l="1"/>
  <c r="H36" i="33"/>
  <c r="H35" i="33"/>
  <c r="H16" i="33"/>
  <c r="AC42" i="33"/>
  <c r="AG42" i="33" s="1"/>
  <c r="AC52" i="33"/>
  <c r="AG52" i="33" s="1"/>
  <c r="AI37" i="33"/>
  <c r="AL37" i="33" s="1"/>
  <c r="AI41" i="33"/>
  <c r="AL41" i="33" s="1"/>
  <c r="AI49" i="33"/>
  <c r="AL49" i="33" s="1"/>
  <c r="AI42" i="33"/>
  <c r="AL42" i="33" s="1"/>
  <c r="AC35" i="33"/>
  <c r="AG35" i="33" s="1"/>
  <c r="AC44" i="33"/>
  <c r="AG44" i="33" s="1"/>
  <c r="AC58" i="33"/>
  <c r="AG58" i="33" s="1"/>
  <c r="AI48" i="33"/>
  <c r="AL48" i="33" s="1"/>
  <c r="AC43" i="33"/>
  <c r="AG43" i="33" s="1"/>
  <c r="AI58" i="33"/>
  <c r="AL58" i="33" s="1"/>
  <c r="AI43" i="33"/>
  <c r="AL43" i="33" s="1"/>
  <c r="AC54" i="33"/>
  <c r="AG54" i="33" s="1"/>
  <c r="AC48" i="33"/>
  <c r="AG48" i="33" s="1"/>
  <c r="AC41" i="33"/>
  <c r="AG41" i="33" s="1"/>
  <c r="AI35" i="33"/>
  <c r="AL35" i="33" s="1"/>
  <c r="AC49" i="33"/>
  <c r="AG49" i="33" s="1"/>
  <c r="AI52" i="33"/>
  <c r="AL52" i="33" s="1"/>
  <c r="AI53" i="33"/>
  <c r="AL53" i="33" s="1"/>
  <c r="AI44" i="33"/>
  <c r="AL44" i="33" s="1"/>
  <c r="AC37" i="33"/>
  <c r="AG37" i="33" s="1"/>
  <c r="AC53" i="33"/>
  <c r="AG53" i="33" s="1"/>
  <c r="AI36" i="33"/>
  <c r="AL36" i="33" s="1"/>
  <c r="AI54" i="33"/>
  <c r="AL54" i="33" s="1"/>
  <c r="AC36" i="33"/>
  <c r="AG36" i="33" s="1"/>
  <c r="AK38" i="22"/>
  <c r="AJ38" i="22"/>
  <c r="AF38" i="22"/>
  <c r="AE38" i="22"/>
  <c r="AD38" i="22"/>
  <c r="W38" i="22"/>
  <c r="W38" i="39" s="1"/>
  <c r="V38" i="22"/>
  <c r="V38" i="39" s="1"/>
  <c r="S38" i="22"/>
  <c r="R38" i="22"/>
  <c r="R38" i="39" s="1"/>
  <c r="Q38" i="22"/>
  <c r="Q38" i="39" s="1"/>
  <c r="P38" i="22"/>
  <c r="P38" i="39" s="1"/>
  <c r="O38" i="22"/>
  <c r="N38" i="22"/>
  <c r="N38" i="39" s="1"/>
  <c r="M38" i="22"/>
  <c r="M38" i="39" s="1"/>
  <c r="L38" i="22"/>
  <c r="L38" i="39" s="1"/>
  <c r="K38" i="22"/>
  <c r="J38" i="22"/>
  <c r="J38" i="39" s="1"/>
  <c r="S38" i="39" l="1"/>
  <c r="O38" i="39"/>
  <c r="K38" i="39"/>
  <c r="K178" i="22"/>
  <c r="K178" i="39" l="1"/>
  <c r="W738" i="22" l="1"/>
  <c r="W738" i="39" s="1"/>
  <c r="V738" i="22"/>
  <c r="V738" i="39" s="1"/>
  <c r="U597" i="22" l="1"/>
  <c r="U597" i="39" s="1"/>
  <c r="U578" i="22"/>
  <c r="U578" i="39" s="1"/>
  <c r="U448" i="22" l="1"/>
  <c r="U448" i="39" s="1"/>
  <c r="U447" i="39"/>
  <c r="U445" i="39"/>
  <c r="U444" i="39"/>
  <c r="U443" i="39"/>
  <c r="U442" i="39"/>
  <c r="U441" i="39"/>
  <c r="U440" i="39"/>
  <c r="U439" i="39"/>
  <c r="U438" i="39"/>
  <c r="U437" i="39"/>
  <c r="U436" i="39"/>
  <c r="U435" i="39"/>
  <c r="U434" i="39"/>
  <c r="U433" i="39"/>
  <c r="T55" i="33" l="1"/>
  <c r="G55" i="33" s="1"/>
  <c r="U55" i="33"/>
  <c r="T56" i="33"/>
  <c r="G56" i="33" s="1"/>
  <c r="U56" i="33"/>
  <c r="T59" i="33"/>
  <c r="G59" i="33" s="1"/>
  <c r="U59" i="33"/>
  <c r="T60" i="33"/>
  <c r="G60" i="33" s="1"/>
  <c r="U60" i="33"/>
  <c r="T61" i="33"/>
  <c r="G61" i="33" s="1"/>
  <c r="U61" i="33"/>
  <c r="T62" i="33"/>
  <c r="G62" i="33" s="1"/>
  <c r="U62" i="33"/>
  <c r="T63" i="33"/>
  <c r="G63" i="33" s="1"/>
  <c r="U63" i="33"/>
  <c r="U51" i="33"/>
  <c r="T51" i="33"/>
  <c r="G51" i="33" s="1"/>
  <c r="H59" i="33" l="1"/>
  <c r="H60" i="33"/>
  <c r="H61" i="33"/>
  <c r="H62" i="33"/>
  <c r="H51" i="33"/>
  <c r="H63" i="33"/>
  <c r="H55" i="33"/>
  <c r="H56" i="33"/>
  <c r="X61" i="33"/>
  <c r="X55" i="33"/>
  <c r="Y59" i="33"/>
  <c r="X63" i="33"/>
  <c r="Y62" i="33"/>
  <c r="X59" i="33"/>
  <c r="Y56" i="33"/>
  <c r="Y51" i="33"/>
  <c r="Y60" i="33"/>
  <c r="Y63" i="33"/>
  <c r="X60" i="33"/>
  <c r="X51" i="33"/>
  <c r="X62" i="33"/>
  <c r="Y61" i="33"/>
  <c r="X56" i="33"/>
  <c r="Y55" i="33"/>
  <c r="T26" i="33"/>
  <c r="U26" i="33"/>
  <c r="G26" i="33" l="1"/>
  <c r="AI61" i="33"/>
  <c r="AL61" i="33" s="1"/>
  <c r="AI63" i="33"/>
  <c r="AL63" i="33" s="1"/>
  <c r="AC63" i="33"/>
  <c r="AG63" i="33" s="1"/>
  <c r="AI55" i="33"/>
  <c r="AL55" i="33" s="1"/>
  <c r="AC51" i="33"/>
  <c r="AG51" i="33" s="1"/>
  <c r="AI51" i="33"/>
  <c r="AL51" i="33" s="1"/>
  <c r="AC59" i="33"/>
  <c r="AG59" i="33" s="1"/>
  <c r="AC55" i="33"/>
  <c r="AG55" i="33" s="1"/>
  <c r="AC56" i="33"/>
  <c r="AG56" i="33" s="1"/>
  <c r="AC62" i="33"/>
  <c r="AG62" i="33" s="1"/>
  <c r="AC60" i="33"/>
  <c r="AG60" i="33" s="1"/>
  <c r="AI60" i="33"/>
  <c r="AL60" i="33" s="1"/>
  <c r="AI56" i="33"/>
  <c r="AL56" i="33" s="1"/>
  <c r="AI62" i="33"/>
  <c r="AL62" i="33" s="1"/>
  <c r="AI59" i="33"/>
  <c r="AL59" i="33" s="1"/>
  <c r="AC61" i="33"/>
  <c r="AG61" i="33" s="1"/>
  <c r="H26" i="33" l="1"/>
  <c r="J69" i="38"/>
  <c r="J99" i="38" l="1"/>
  <c r="J98" i="38"/>
  <c r="J97" i="38"/>
  <c r="J96" i="38"/>
  <c r="J95" i="38"/>
  <c r="J94" i="38"/>
  <c r="J93" i="38"/>
  <c r="J92" i="38"/>
  <c r="J91" i="38"/>
  <c r="J90" i="38"/>
  <c r="J89" i="38"/>
  <c r="J88" i="38"/>
  <c r="J87" i="38"/>
  <c r="J86" i="38"/>
  <c r="J85" i="38"/>
  <c r="J84" i="38"/>
  <c r="J83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68" i="38"/>
  <c r="J67" i="38"/>
  <c r="J66" i="38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11" i="38"/>
  <c r="J10" i="38"/>
  <c r="I100" i="38" l="1"/>
  <c r="H100" i="38"/>
  <c r="G100" i="38"/>
  <c r="F100" i="38"/>
  <c r="E100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00" i="38" l="1"/>
  <c r="F494" i="22" l="1"/>
  <c r="F494" i="39" s="1"/>
  <c r="H494" i="22"/>
  <c r="H494" i="39" s="1"/>
  <c r="T494" i="22"/>
  <c r="U494" i="22"/>
  <c r="F495" i="22"/>
  <c r="F495" i="39" s="1"/>
  <c r="H495" i="22"/>
  <c r="H495" i="39" s="1"/>
  <c r="T495" i="22"/>
  <c r="U495" i="22"/>
  <c r="F496" i="22"/>
  <c r="F496" i="39" s="1"/>
  <c r="H496" i="22"/>
  <c r="H496" i="39" s="1"/>
  <c r="T496" i="22"/>
  <c r="U496" i="22"/>
  <c r="F122" i="40"/>
  <c r="F121" i="40"/>
  <c r="F117" i="40"/>
  <c r="F116" i="40"/>
  <c r="X496" i="22" l="1"/>
  <c r="T496" i="39"/>
  <c r="X495" i="22"/>
  <c r="T495" i="39"/>
  <c r="X494" i="22"/>
  <c r="T494" i="39"/>
  <c r="Y496" i="22"/>
  <c r="U496" i="39"/>
  <c r="Y495" i="22"/>
  <c r="U495" i="39"/>
  <c r="Y494" i="22"/>
  <c r="U494" i="39"/>
  <c r="I215" i="40"/>
  <c r="I214" i="40"/>
  <c r="I213" i="40"/>
  <c r="I212" i="40"/>
  <c r="I211" i="40"/>
  <c r="I210" i="40"/>
  <c r="I209" i="40"/>
  <c r="I208" i="40"/>
  <c r="I207" i="40"/>
  <c r="I206" i="40"/>
  <c r="I205" i="40"/>
  <c r="I204" i="40"/>
  <c r="I203" i="40"/>
  <c r="I202" i="40"/>
  <c r="I201" i="40"/>
  <c r="I200" i="40"/>
  <c r="I199" i="40"/>
  <c r="I198" i="40"/>
  <c r="I197" i="40"/>
  <c r="I196" i="40"/>
  <c r="I195" i="40"/>
  <c r="I194" i="40"/>
  <c r="I193" i="40"/>
  <c r="I192" i="40"/>
  <c r="I191" i="40"/>
  <c r="I190" i="40"/>
  <c r="I189" i="40"/>
  <c r="I188" i="40"/>
  <c r="I187" i="40"/>
  <c r="I186" i="40"/>
  <c r="I185" i="40"/>
  <c r="I184" i="40"/>
  <c r="I183" i="40"/>
  <c r="I182" i="40"/>
  <c r="I180" i="40"/>
  <c r="I179" i="40"/>
  <c r="I178" i="40"/>
  <c r="I177" i="40"/>
  <c r="I176" i="40"/>
  <c r="I175" i="40"/>
  <c r="I174" i="40"/>
  <c r="I173" i="40"/>
  <c r="I172" i="40"/>
  <c r="I171" i="40"/>
  <c r="I170" i="40"/>
  <c r="I169" i="40"/>
  <c r="I168" i="40"/>
  <c r="I167" i="40"/>
  <c r="I166" i="40"/>
  <c r="I165" i="40"/>
  <c r="I164" i="40"/>
  <c r="I163" i="40"/>
  <c r="I162" i="40"/>
  <c r="I160" i="40"/>
  <c r="I159" i="40"/>
  <c r="I158" i="40"/>
  <c r="I157" i="40"/>
  <c r="I156" i="40"/>
  <c r="I155" i="40"/>
  <c r="I154" i="40"/>
  <c r="I153" i="40"/>
  <c r="I152" i="40"/>
  <c r="I151" i="40"/>
  <c r="I150" i="40"/>
  <c r="I149" i="40"/>
  <c r="I148" i="40"/>
  <c r="I147" i="40"/>
  <c r="I146" i="40"/>
  <c r="I145" i="40"/>
  <c r="I144" i="40"/>
  <c r="I143" i="40"/>
  <c r="I142" i="40"/>
  <c r="I141" i="40"/>
  <c r="I140" i="40"/>
  <c r="I139" i="40"/>
  <c r="I138" i="40"/>
  <c r="I137" i="40"/>
  <c r="I136" i="40"/>
  <c r="I134" i="40"/>
  <c r="I133" i="40"/>
  <c r="I132" i="40"/>
  <c r="I131" i="40"/>
  <c r="I130" i="40"/>
  <c r="I129" i="40"/>
  <c r="I128" i="40"/>
  <c r="I127" i="40"/>
  <c r="I126" i="40"/>
  <c r="I125" i="40"/>
  <c r="I124" i="40"/>
  <c r="I122" i="40"/>
  <c r="I121" i="40"/>
  <c r="I117" i="40"/>
  <c r="I116" i="40"/>
  <c r="I13" i="40"/>
  <c r="AI495" i="22" l="1"/>
  <c r="AL495" i="22" s="1"/>
  <c r="Y495" i="39"/>
  <c r="AC494" i="22"/>
  <c r="AG494" i="22" s="1"/>
  <c r="X494" i="39"/>
  <c r="AC496" i="22"/>
  <c r="AG496" i="22" s="1"/>
  <c r="X496" i="39"/>
  <c r="AI494" i="22"/>
  <c r="AL494" i="22" s="1"/>
  <c r="Y494" i="39"/>
  <c r="AI496" i="22"/>
  <c r="AL496" i="22" s="1"/>
  <c r="Y496" i="39"/>
  <c r="AC495" i="22"/>
  <c r="AG495" i="22" s="1"/>
  <c r="X495" i="39"/>
  <c r="H10" i="22"/>
  <c r="E7" i="38" l="1"/>
  <c r="H10" i="39"/>
  <c r="K66" i="22"/>
  <c r="J66" i="22"/>
  <c r="J66" i="39" s="1"/>
  <c r="K66" i="39" l="1"/>
  <c r="H727" i="22"/>
  <c r="H727" i="39" s="1"/>
  <c r="U877" i="22" l="1"/>
  <c r="T877" i="22"/>
  <c r="U873" i="22"/>
  <c r="T873" i="22"/>
  <c r="U871" i="22"/>
  <c r="T871" i="22"/>
  <c r="U870" i="22"/>
  <c r="T870" i="22"/>
  <c r="U869" i="22"/>
  <c r="T869" i="22"/>
  <c r="U868" i="22"/>
  <c r="T868" i="22"/>
  <c r="U867" i="22"/>
  <c r="T867" i="22"/>
  <c r="U865" i="22"/>
  <c r="T865" i="22"/>
  <c r="U864" i="22"/>
  <c r="T864" i="22"/>
  <c r="U863" i="22"/>
  <c r="T863" i="22"/>
  <c r="U862" i="22"/>
  <c r="T862" i="22"/>
  <c r="U861" i="22"/>
  <c r="T861" i="22"/>
  <c r="U860" i="22"/>
  <c r="T860" i="22"/>
  <c r="U859" i="22"/>
  <c r="T859" i="22"/>
  <c r="U858" i="22"/>
  <c r="T858" i="22"/>
  <c r="U857" i="22"/>
  <c r="T857" i="22"/>
  <c r="U856" i="22"/>
  <c r="T856" i="22"/>
  <c r="U855" i="22"/>
  <c r="T855" i="22"/>
  <c r="U854" i="22"/>
  <c r="T854" i="22"/>
  <c r="U849" i="22"/>
  <c r="T849" i="22"/>
  <c r="U845" i="22"/>
  <c r="T845" i="22"/>
  <c r="U843" i="22"/>
  <c r="T843" i="22"/>
  <c r="U842" i="22"/>
  <c r="T842" i="22"/>
  <c r="U841" i="22"/>
  <c r="T841" i="22"/>
  <c r="U840" i="22"/>
  <c r="T840" i="22"/>
  <c r="U839" i="22"/>
  <c r="T839" i="22"/>
  <c r="U837" i="22"/>
  <c r="T837" i="22"/>
  <c r="U836" i="22"/>
  <c r="T836" i="22"/>
  <c r="U835" i="22"/>
  <c r="T835" i="22"/>
  <c r="U834" i="22"/>
  <c r="T834" i="22"/>
  <c r="U833" i="22"/>
  <c r="T833" i="22"/>
  <c r="U832" i="22"/>
  <c r="T832" i="22"/>
  <c r="U831" i="22"/>
  <c r="T831" i="22"/>
  <c r="U830" i="22"/>
  <c r="T830" i="22"/>
  <c r="U829" i="22"/>
  <c r="T829" i="22"/>
  <c r="U828" i="22"/>
  <c r="T828" i="22"/>
  <c r="U827" i="22"/>
  <c r="T827" i="22"/>
  <c r="U826" i="22"/>
  <c r="T826" i="22"/>
  <c r="U821" i="22"/>
  <c r="T821" i="22"/>
  <c r="U817" i="22"/>
  <c r="T817" i="22"/>
  <c r="U815" i="22"/>
  <c r="T815" i="22"/>
  <c r="U814" i="22"/>
  <c r="T814" i="22"/>
  <c r="U813" i="22"/>
  <c r="T813" i="22"/>
  <c r="U812" i="22"/>
  <c r="T812" i="22"/>
  <c r="U811" i="22"/>
  <c r="T811" i="22"/>
  <c r="U809" i="22"/>
  <c r="T809" i="22"/>
  <c r="U808" i="22"/>
  <c r="T808" i="22"/>
  <c r="U807" i="22"/>
  <c r="T807" i="22"/>
  <c r="U806" i="22"/>
  <c r="T806" i="22"/>
  <c r="U805" i="22"/>
  <c r="T805" i="22"/>
  <c r="U804" i="22"/>
  <c r="T804" i="22"/>
  <c r="U803" i="22"/>
  <c r="T803" i="22"/>
  <c r="U802" i="22"/>
  <c r="T802" i="22"/>
  <c r="U801" i="22"/>
  <c r="T801" i="22"/>
  <c r="U800" i="22"/>
  <c r="T800" i="22"/>
  <c r="U799" i="22"/>
  <c r="T799" i="22"/>
  <c r="U798" i="22"/>
  <c r="T798" i="22"/>
  <c r="U793" i="22"/>
  <c r="T793" i="22"/>
  <c r="U789" i="22"/>
  <c r="T789" i="22"/>
  <c r="U787" i="22"/>
  <c r="T787" i="22"/>
  <c r="U786" i="22"/>
  <c r="T786" i="22"/>
  <c r="U785" i="22"/>
  <c r="T785" i="22"/>
  <c r="U784" i="22"/>
  <c r="T784" i="22"/>
  <c r="U783" i="22"/>
  <c r="T783" i="22"/>
  <c r="U781" i="22"/>
  <c r="T781" i="22"/>
  <c r="U780" i="22"/>
  <c r="T780" i="22"/>
  <c r="U779" i="22"/>
  <c r="T779" i="22"/>
  <c r="U778" i="22"/>
  <c r="T778" i="22"/>
  <c r="U777" i="22"/>
  <c r="T777" i="22"/>
  <c r="U776" i="22"/>
  <c r="T776" i="22"/>
  <c r="U775" i="22"/>
  <c r="T775" i="22"/>
  <c r="U774" i="22"/>
  <c r="T774" i="22"/>
  <c r="U773" i="22"/>
  <c r="T773" i="22"/>
  <c r="U772" i="22"/>
  <c r="T772" i="22"/>
  <c r="U771" i="22"/>
  <c r="T771" i="22"/>
  <c r="U770" i="22"/>
  <c r="T770" i="22"/>
  <c r="U765" i="22"/>
  <c r="T765" i="22"/>
  <c r="U761" i="22"/>
  <c r="T761" i="22"/>
  <c r="U759" i="22"/>
  <c r="T759" i="22"/>
  <c r="U758" i="22"/>
  <c r="T758" i="22"/>
  <c r="U757" i="22"/>
  <c r="T757" i="22"/>
  <c r="U756" i="22"/>
  <c r="T756" i="22"/>
  <c r="U755" i="22"/>
  <c r="T755" i="22"/>
  <c r="U753" i="22"/>
  <c r="T753" i="22"/>
  <c r="U752" i="22"/>
  <c r="T752" i="22"/>
  <c r="U751" i="22"/>
  <c r="T751" i="22"/>
  <c r="U750" i="22"/>
  <c r="T750" i="22"/>
  <c r="U749" i="22"/>
  <c r="T749" i="22"/>
  <c r="U748" i="22"/>
  <c r="T748" i="22"/>
  <c r="U747" i="22"/>
  <c r="T747" i="22"/>
  <c r="U746" i="22"/>
  <c r="T746" i="22"/>
  <c r="U745" i="22"/>
  <c r="T745" i="22"/>
  <c r="U744" i="22"/>
  <c r="T744" i="22"/>
  <c r="U743" i="22"/>
  <c r="T743" i="22"/>
  <c r="U742" i="22"/>
  <c r="T742" i="22"/>
  <c r="U737" i="22"/>
  <c r="T737" i="22"/>
  <c r="U733" i="22"/>
  <c r="U733" i="39" s="1"/>
  <c r="T733" i="22"/>
  <c r="T733" i="39" s="1"/>
  <c r="U731" i="22"/>
  <c r="U731" i="39" s="1"/>
  <c r="T731" i="22"/>
  <c r="T731" i="39" s="1"/>
  <c r="U730" i="22"/>
  <c r="U730" i="39" s="1"/>
  <c r="T730" i="22"/>
  <c r="T730" i="39" s="1"/>
  <c r="U729" i="22"/>
  <c r="U729" i="39" s="1"/>
  <c r="T729" i="22"/>
  <c r="T729" i="39" s="1"/>
  <c r="U728" i="22"/>
  <c r="U728" i="39" s="1"/>
  <c r="T728" i="22"/>
  <c r="T728" i="39" s="1"/>
  <c r="U727" i="22"/>
  <c r="U727" i="39" s="1"/>
  <c r="T727" i="22"/>
  <c r="T727" i="39" s="1"/>
  <c r="U725" i="22"/>
  <c r="T725" i="22"/>
  <c r="U724" i="22"/>
  <c r="T724" i="22"/>
  <c r="U723" i="22"/>
  <c r="T723" i="22"/>
  <c r="U722" i="22"/>
  <c r="T722" i="22"/>
  <c r="U721" i="22"/>
  <c r="T721" i="22"/>
  <c r="U720" i="22"/>
  <c r="T720" i="22"/>
  <c r="U719" i="22"/>
  <c r="T719" i="22"/>
  <c r="U718" i="22"/>
  <c r="T718" i="22"/>
  <c r="U717" i="22"/>
  <c r="T717" i="22"/>
  <c r="U716" i="22"/>
  <c r="T716" i="22"/>
  <c r="U715" i="22"/>
  <c r="T715" i="22"/>
  <c r="U714" i="22"/>
  <c r="T714" i="22"/>
  <c r="U709" i="22"/>
  <c r="T709" i="22"/>
  <c r="U705" i="22"/>
  <c r="T705" i="22"/>
  <c r="U703" i="22"/>
  <c r="T703" i="22"/>
  <c r="U702" i="22"/>
  <c r="T702" i="22"/>
  <c r="U701" i="22"/>
  <c r="T701" i="22"/>
  <c r="U700" i="22"/>
  <c r="T700" i="22"/>
  <c r="U699" i="22"/>
  <c r="T699" i="22"/>
  <c r="U697" i="22"/>
  <c r="T697" i="22"/>
  <c r="U696" i="22"/>
  <c r="T696" i="22"/>
  <c r="U695" i="22"/>
  <c r="T695" i="22"/>
  <c r="U694" i="22"/>
  <c r="T694" i="22"/>
  <c r="U693" i="22"/>
  <c r="T693" i="22"/>
  <c r="U692" i="22"/>
  <c r="T692" i="22"/>
  <c r="U691" i="22"/>
  <c r="T691" i="22"/>
  <c r="U690" i="22"/>
  <c r="T690" i="22"/>
  <c r="U689" i="22"/>
  <c r="T689" i="22"/>
  <c r="U688" i="22"/>
  <c r="T688" i="22"/>
  <c r="U687" i="22"/>
  <c r="T687" i="22"/>
  <c r="U686" i="22"/>
  <c r="T686" i="22"/>
  <c r="U681" i="22"/>
  <c r="T681" i="22"/>
  <c r="U675" i="22"/>
  <c r="T675" i="22"/>
  <c r="U674" i="22"/>
  <c r="T674" i="22"/>
  <c r="U673" i="22"/>
  <c r="T673" i="22"/>
  <c r="U672" i="22"/>
  <c r="T672" i="22"/>
  <c r="U671" i="22"/>
  <c r="T671" i="22"/>
  <c r="U669" i="22"/>
  <c r="T669" i="22"/>
  <c r="U668" i="22"/>
  <c r="T668" i="22"/>
  <c r="U667" i="22"/>
  <c r="T667" i="22"/>
  <c r="U666" i="22"/>
  <c r="T666" i="22"/>
  <c r="U665" i="22"/>
  <c r="T665" i="22"/>
  <c r="U664" i="22"/>
  <c r="T664" i="22"/>
  <c r="U663" i="22"/>
  <c r="T663" i="22"/>
  <c r="U662" i="22"/>
  <c r="T662" i="22"/>
  <c r="U661" i="22"/>
  <c r="T661" i="22"/>
  <c r="U660" i="22"/>
  <c r="T660" i="22"/>
  <c r="U659" i="22"/>
  <c r="T659" i="22"/>
  <c r="U658" i="22"/>
  <c r="T658" i="22"/>
  <c r="U653" i="22"/>
  <c r="T653" i="22"/>
  <c r="U649" i="22"/>
  <c r="T649" i="22"/>
  <c r="U647" i="22"/>
  <c r="T647" i="22"/>
  <c r="U646" i="22"/>
  <c r="T646" i="22"/>
  <c r="U645" i="22"/>
  <c r="T645" i="22"/>
  <c r="U644" i="22"/>
  <c r="T644" i="22"/>
  <c r="U643" i="22"/>
  <c r="T643" i="22"/>
  <c r="U641" i="22"/>
  <c r="T641" i="22"/>
  <c r="U640" i="22"/>
  <c r="T640" i="22"/>
  <c r="U639" i="22"/>
  <c r="T639" i="22"/>
  <c r="U638" i="22"/>
  <c r="T638" i="22"/>
  <c r="U637" i="22"/>
  <c r="T637" i="22"/>
  <c r="U636" i="22"/>
  <c r="T636" i="22"/>
  <c r="U635" i="22"/>
  <c r="T635" i="22"/>
  <c r="U634" i="22"/>
  <c r="T634" i="22"/>
  <c r="U633" i="22"/>
  <c r="T633" i="22"/>
  <c r="U632" i="22"/>
  <c r="T632" i="22"/>
  <c r="U631" i="22"/>
  <c r="T631" i="22"/>
  <c r="U630" i="22"/>
  <c r="T630" i="22"/>
  <c r="U625" i="22"/>
  <c r="T625" i="22"/>
  <c r="U621" i="22"/>
  <c r="T621" i="22"/>
  <c r="U619" i="22"/>
  <c r="T619" i="22"/>
  <c r="U618" i="22"/>
  <c r="T618" i="22"/>
  <c r="U617" i="22"/>
  <c r="T617" i="22"/>
  <c r="U616" i="22"/>
  <c r="T616" i="22"/>
  <c r="U615" i="22"/>
  <c r="T615" i="22"/>
  <c r="U613" i="22"/>
  <c r="T613" i="22"/>
  <c r="U612" i="22"/>
  <c r="T612" i="22"/>
  <c r="U611" i="22"/>
  <c r="T611" i="22"/>
  <c r="U610" i="22"/>
  <c r="T610" i="22"/>
  <c r="U609" i="22"/>
  <c r="T609" i="22"/>
  <c r="U608" i="22"/>
  <c r="T608" i="22"/>
  <c r="U607" i="22"/>
  <c r="T607" i="22"/>
  <c r="U606" i="22"/>
  <c r="T606" i="22"/>
  <c r="U605" i="22"/>
  <c r="T605" i="22"/>
  <c r="U604" i="22"/>
  <c r="T604" i="22"/>
  <c r="U603" i="22"/>
  <c r="T603" i="22"/>
  <c r="U602" i="22"/>
  <c r="T602" i="22"/>
  <c r="Y597" i="22"/>
  <c r="T597" i="22"/>
  <c r="U593" i="22"/>
  <c r="T593" i="22"/>
  <c r="U591" i="22"/>
  <c r="T591" i="22"/>
  <c r="U590" i="22"/>
  <c r="T590" i="22"/>
  <c r="U589" i="22"/>
  <c r="T589" i="22"/>
  <c r="U588" i="22"/>
  <c r="T588" i="22"/>
  <c r="U587" i="22"/>
  <c r="T587" i="22"/>
  <c r="U585" i="22"/>
  <c r="T585" i="22"/>
  <c r="U584" i="22"/>
  <c r="T584" i="22"/>
  <c r="U582" i="22"/>
  <c r="T582" i="22"/>
  <c r="U581" i="22"/>
  <c r="T581" i="22"/>
  <c r="U580" i="22"/>
  <c r="T580" i="22"/>
  <c r="U579" i="22"/>
  <c r="T579" i="22"/>
  <c r="Y578" i="22"/>
  <c r="T578" i="22"/>
  <c r="U577" i="22"/>
  <c r="T577" i="22"/>
  <c r="U576" i="22"/>
  <c r="T576" i="22"/>
  <c r="U575" i="22"/>
  <c r="T575" i="22"/>
  <c r="U574" i="22"/>
  <c r="T574" i="22"/>
  <c r="U569" i="22"/>
  <c r="T569" i="22"/>
  <c r="U565" i="22"/>
  <c r="T565" i="22"/>
  <c r="U563" i="22"/>
  <c r="T563" i="22"/>
  <c r="U562" i="22"/>
  <c r="T562" i="22"/>
  <c r="U561" i="22"/>
  <c r="T561" i="22"/>
  <c r="U560" i="22"/>
  <c r="T560" i="22"/>
  <c r="U559" i="22"/>
  <c r="T559" i="22"/>
  <c r="U557" i="22"/>
  <c r="T557" i="22"/>
  <c r="U556" i="22"/>
  <c r="T556" i="22"/>
  <c r="U550" i="22"/>
  <c r="T550" i="22"/>
  <c r="U549" i="22"/>
  <c r="T549" i="22"/>
  <c r="U548" i="22"/>
  <c r="T548" i="22"/>
  <c r="U547" i="22"/>
  <c r="T547" i="22"/>
  <c r="U546" i="22"/>
  <c r="T546" i="22"/>
  <c r="U541" i="22"/>
  <c r="T541" i="22"/>
  <c r="U537" i="22"/>
  <c r="T537" i="22"/>
  <c r="U535" i="22"/>
  <c r="T535" i="22"/>
  <c r="U534" i="22"/>
  <c r="T534" i="22"/>
  <c r="U533" i="22"/>
  <c r="T533" i="22"/>
  <c r="U532" i="22"/>
  <c r="T532" i="22"/>
  <c r="U531" i="22"/>
  <c r="T531" i="22"/>
  <c r="U529" i="22"/>
  <c r="T529" i="22"/>
  <c r="U528" i="22"/>
  <c r="T528" i="22"/>
  <c r="U527" i="22"/>
  <c r="T527" i="22"/>
  <c r="U526" i="22"/>
  <c r="T526" i="22"/>
  <c r="U525" i="22"/>
  <c r="T525" i="22"/>
  <c r="U524" i="22"/>
  <c r="T524" i="22"/>
  <c r="U523" i="22"/>
  <c r="T523" i="22"/>
  <c r="U522" i="22"/>
  <c r="T522" i="22"/>
  <c r="U521" i="22"/>
  <c r="T521" i="22"/>
  <c r="U520" i="22"/>
  <c r="T520" i="22"/>
  <c r="U519" i="22"/>
  <c r="T519" i="22"/>
  <c r="U518" i="22"/>
  <c r="T518" i="22"/>
  <c r="U513" i="22"/>
  <c r="T513" i="22"/>
  <c r="U509" i="22"/>
  <c r="T509" i="22"/>
  <c r="U507" i="22"/>
  <c r="T507" i="22"/>
  <c r="U506" i="22"/>
  <c r="T506" i="22"/>
  <c r="U505" i="22"/>
  <c r="T505" i="22"/>
  <c r="U504" i="22"/>
  <c r="T504" i="22"/>
  <c r="U503" i="22"/>
  <c r="T503" i="22"/>
  <c r="U501" i="22"/>
  <c r="T501" i="22"/>
  <c r="U500" i="22"/>
  <c r="T500" i="22"/>
  <c r="U499" i="22"/>
  <c r="T499" i="22"/>
  <c r="U498" i="22"/>
  <c r="T498" i="22"/>
  <c r="U497" i="22"/>
  <c r="T497" i="22"/>
  <c r="U493" i="22"/>
  <c r="T493" i="22"/>
  <c r="U492" i="22"/>
  <c r="T492" i="22"/>
  <c r="U491" i="22"/>
  <c r="T491" i="22"/>
  <c r="U490" i="22"/>
  <c r="T490" i="22"/>
  <c r="U485" i="22"/>
  <c r="Y485" i="22" s="1"/>
  <c r="T485" i="22"/>
  <c r="X485" i="22" s="1"/>
  <c r="U481" i="22"/>
  <c r="Y481" i="22" s="1"/>
  <c r="T481" i="22"/>
  <c r="X481" i="22" s="1"/>
  <c r="U479" i="22"/>
  <c r="Y479" i="22" s="1"/>
  <c r="T479" i="22"/>
  <c r="X479" i="22" s="1"/>
  <c r="U478" i="22"/>
  <c r="Y478" i="22" s="1"/>
  <c r="T478" i="22"/>
  <c r="X478" i="22" s="1"/>
  <c r="U477" i="22"/>
  <c r="Y477" i="22" s="1"/>
  <c r="T477" i="22"/>
  <c r="X477" i="22" s="1"/>
  <c r="U476" i="22"/>
  <c r="Y476" i="22" s="1"/>
  <c r="T476" i="22"/>
  <c r="X476" i="22" s="1"/>
  <c r="U475" i="22"/>
  <c r="Y475" i="22" s="1"/>
  <c r="T475" i="22"/>
  <c r="X475" i="22" s="1"/>
  <c r="U473" i="22"/>
  <c r="Y473" i="22" s="1"/>
  <c r="T473" i="22"/>
  <c r="X473" i="22" s="1"/>
  <c r="U472" i="22"/>
  <c r="Y472" i="22" s="1"/>
  <c r="T472" i="22"/>
  <c r="X472" i="22" s="1"/>
  <c r="U471" i="22"/>
  <c r="Y471" i="22" s="1"/>
  <c r="T471" i="22"/>
  <c r="X471" i="22" s="1"/>
  <c r="U470" i="22"/>
  <c r="Y470" i="22" s="1"/>
  <c r="T470" i="22"/>
  <c r="X470" i="22" s="1"/>
  <c r="U469" i="22"/>
  <c r="Y469" i="22" s="1"/>
  <c r="T469" i="22"/>
  <c r="X469" i="22" s="1"/>
  <c r="U468" i="22"/>
  <c r="Y468" i="22" s="1"/>
  <c r="T468" i="22"/>
  <c r="X468" i="22" s="1"/>
  <c r="U467" i="22"/>
  <c r="Y467" i="22" s="1"/>
  <c r="T467" i="22"/>
  <c r="X467" i="22" s="1"/>
  <c r="U466" i="22"/>
  <c r="Y466" i="22" s="1"/>
  <c r="T466" i="22"/>
  <c r="X466" i="22" s="1"/>
  <c r="U465" i="22"/>
  <c r="Y465" i="22" s="1"/>
  <c r="T465" i="22"/>
  <c r="X465" i="22" s="1"/>
  <c r="U464" i="22"/>
  <c r="Y464" i="22" s="1"/>
  <c r="T464" i="22"/>
  <c r="X464" i="22" s="1"/>
  <c r="U463" i="22"/>
  <c r="Y463" i="22" s="1"/>
  <c r="T463" i="22"/>
  <c r="X463" i="22" s="1"/>
  <c r="U462" i="22"/>
  <c r="Y462" i="22" s="1"/>
  <c r="T462" i="22"/>
  <c r="X462" i="22" s="1"/>
  <c r="U457" i="22"/>
  <c r="T457" i="22"/>
  <c r="U453" i="22"/>
  <c r="T453" i="22"/>
  <c r="U451" i="22"/>
  <c r="T451" i="22"/>
  <c r="U450" i="22"/>
  <c r="T450" i="22"/>
  <c r="U449" i="22"/>
  <c r="T449" i="22"/>
  <c r="Y448" i="22"/>
  <c r="T448" i="22"/>
  <c r="Y447" i="22"/>
  <c r="Y445" i="22"/>
  <c r="Y444" i="22"/>
  <c r="Y443" i="22"/>
  <c r="Y442" i="22"/>
  <c r="Y441" i="22"/>
  <c r="Y440" i="22"/>
  <c r="Y439" i="22"/>
  <c r="Y438" i="22"/>
  <c r="Y437" i="22"/>
  <c r="Y436" i="22"/>
  <c r="Y435" i="22"/>
  <c r="Y434" i="22"/>
  <c r="U429" i="22"/>
  <c r="T429" i="22"/>
  <c r="U425" i="22"/>
  <c r="T425" i="22"/>
  <c r="U423" i="22"/>
  <c r="T423" i="22"/>
  <c r="U422" i="22"/>
  <c r="T422" i="22"/>
  <c r="U421" i="22"/>
  <c r="T421" i="22"/>
  <c r="U420" i="22"/>
  <c r="T420" i="22"/>
  <c r="U419" i="22"/>
  <c r="T419" i="22"/>
  <c r="U417" i="22"/>
  <c r="T417" i="22"/>
  <c r="U416" i="22"/>
  <c r="T416" i="22"/>
  <c r="U415" i="22"/>
  <c r="T415" i="22"/>
  <c r="U414" i="22"/>
  <c r="T414" i="22"/>
  <c r="U413" i="22"/>
  <c r="T413" i="22"/>
  <c r="U412" i="22"/>
  <c r="T412" i="22"/>
  <c r="U411" i="22"/>
  <c r="T411" i="22"/>
  <c r="U410" i="22"/>
  <c r="T410" i="22"/>
  <c r="U409" i="22"/>
  <c r="T409" i="22"/>
  <c r="U408" i="22"/>
  <c r="T408" i="22"/>
  <c r="U407" i="22"/>
  <c r="T407" i="22"/>
  <c r="U406" i="22"/>
  <c r="T406" i="22"/>
  <c r="Y401" i="22"/>
  <c r="X401" i="22"/>
  <c r="Y397" i="22"/>
  <c r="X397" i="22"/>
  <c r="Y395" i="22"/>
  <c r="X395" i="22"/>
  <c r="Y394" i="22"/>
  <c r="X394" i="22"/>
  <c r="Y393" i="22"/>
  <c r="X393" i="22"/>
  <c r="Y392" i="22"/>
  <c r="X392" i="22"/>
  <c r="Y391" i="22"/>
  <c r="X391" i="22"/>
  <c r="Y389" i="22"/>
  <c r="X389" i="22"/>
  <c r="Y388" i="22"/>
  <c r="X388" i="22"/>
  <c r="Y387" i="22"/>
  <c r="X387" i="22"/>
  <c r="Y386" i="22"/>
  <c r="X386" i="22"/>
  <c r="Y385" i="22"/>
  <c r="X385" i="22"/>
  <c r="Y384" i="22"/>
  <c r="X384" i="22"/>
  <c r="Y383" i="22"/>
  <c r="X383" i="22"/>
  <c r="Y382" i="22"/>
  <c r="X382" i="22"/>
  <c r="Y381" i="22"/>
  <c r="X381" i="22"/>
  <c r="Y380" i="22"/>
  <c r="X380" i="22"/>
  <c r="Y379" i="22"/>
  <c r="X379" i="22"/>
  <c r="Y378" i="22"/>
  <c r="X378" i="22"/>
  <c r="U373" i="22"/>
  <c r="T373" i="22"/>
  <c r="U369" i="22"/>
  <c r="T369" i="22"/>
  <c r="U367" i="22"/>
  <c r="T367" i="22"/>
  <c r="U366" i="22"/>
  <c r="T366" i="22"/>
  <c r="U365" i="22"/>
  <c r="T365" i="22"/>
  <c r="U364" i="22"/>
  <c r="T364" i="22"/>
  <c r="U363" i="22"/>
  <c r="T363" i="22"/>
  <c r="U361" i="22"/>
  <c r="T361" i="22"/>
  <c r="U360" i="22"/>
  <c r="T360" i="22"/>
  <c r="U359" i="22"/>
  <c r="T359" i="22"/>
  <c r="U358" i="22"/>
  <c r="T358" i="22"/>
  <c r="U357" i="22"/>
  <c r="T357" i="22"/>
  <c r="U356" i="22"/>
  <c r="T356" i="22"/>
  <c r="U355" i="22"/>
  <c r="T355" i="22"/>
  <c r="U354" i="22"/>
  <c r="T354" i="22"/>
  <c r="U353" i="22"/>
  <c r="T353" i="22"/>
  <c r="U352" i="22"/>
  <c r="T352" i="22"/>
  <c r="U351" i="22"/>
  <c r="T351" i="22"/>
  <c r="U350" i="22"/>
  <c r="T350" i="22"/>
  <c r="U345" i="22"/>
  <c r="T345" i="22"/>
  <c r="U341" i="22"/>
  <c r="T341" i="22"/>
  <c r="U339" i="22"/>
  <c r="T339" i="22"/>
  <c r="U338" i="22"/>
  <c r="T338" i="22"/>
  <c r="U337" i="22"/>
  <c r="T337" i="22"/>
  <c r="U336" i="22"/>
  <c r="T336" i="22"/>
  <c r="U335" i="22"/>
  <c r="T335" i="22"/>
  <c r="U333" i="22"/>
  <c r="T333" i="22"/>
  <c r="U332" i="22"/>
  <c r="T332" i="22"/>
  <c r="U331" i="22"/>
  <c r="T331" i="22"/>
  <c r="U330" i="22"/>
  <c r="T330" i="22"/>
  <c r="U329" i="22"/>
  <c r="T329" i="22"/>
  <c r="U328" i="22"/>
  <c r="T328" i="22"/>
  <c r="U327" i="22"/>
  <c r="T327" i="22"/>
  <c r="U326" i="22"/>
  <c r="T326" i="22"/>
  <c r="U325" i="22"/>
  <c r="T325" i="22"/>
  <c r="U324" i="22"/>
  <c r="T324" i="22"/>
  <c r="U323" i="22"/>
  <c r="T323" i="22"/>
  <c r="U322" i="22"/>
  <c r="T322" i="22"/>
  <c r="Y313" i="22"/>
  <c r="X313" i="22"/>
  <c r="Y311" i="22"/>
  <c r="X311" i="22"/>
  <c r="Y310" i="22"/>
  <c r="X310" i="22"/>
  <c r="Y309" i="22"/>
  <c r="X309" i="22"/>
  <c r="Y308" i="22"/>
  <c r="X308" i="22"/>
  <c r="Y307" i="22"/>
  <c r="X307" i="22"/>
  <c r="Y305" i="22"/>
  <c r="X305" i="22"/>
  <c r="Y304" i="22"/>
  <c r="X304" i="22"/>
  <c r="Y303" i="22"/>
  <c r="X303" i="22"/>
  <c r="Y302" i="22"/>
  <c r="X302" i="22"/>
  <c r="Y301" i="22"/>
  <c r="X301" i="22"/>
  <c r="Y300" i="22"/>
  <c r="X300" i="22"/>
  <c r="Y299" i="22"/>
  <c r="X299" i="22"/>
  <c r="Y298" i="22"/>
  <c r="X298" i="22"/>
  <c r="Y297" i="22"/>
  <c r="X297" i="22"/>
  <c r="Y296" i="22"/>
  <c r="X296" i="22"/>
  <c r="Y295" i="22"/>
  <c r="X295" i="22"/>
  <c r="Y294" i="22"/>
  <c r="X294" i="22"/>
  <c r="U289" i="22"/>
  <c r="T289" i="22"/>
  <c r="U285" i="22"/>
  <c r="T285" i="22"/>
  <c r="U283" i="22"/>
  <c r="T283" i="22"/>
  <c r="U282" i="22"/>
  <c r="T282" i="22"/>
  <c r="U281" i="22"/>
  <c r="T281" i="22"/>
  <c r="U280" i="22"/>
  <c r="T280" i="22"/>
  <c r="U279" i="22"/>
  <c r="T279" i="22"/>
  <c r="U277" i="22"/>
  <c r="T277" i="22"/>
  <c r="U276" i="22"/>
  <c r="T276" i="22"/>
  <c r="U275" i="22"/>
  <c r="T275" i="22"/>
  <c r="U274" i="22"/>
  <c r="T274" i="22"/>
  <c r="U273" i="22"/>
  <c r="T273" i="22"/>
  <c r="U272" i="22"/>
  <c r="T272" i="22"/>
  <c r="U271" i="22"/>
  <c r="T271" i="22"/>
  <c r="U270" i="22"/>
  <c r="T270" i="22"/>
  <c r="U269" i="22"/>
  <c r="T269" i="22"/>
  <c r="U268" i="22"/>
  <c r="T268" i="22"/>
  <c r="U267" i="22"/>
  <c r="X267" i="22"/>
  <c r="U266" i="22"/>
  <c r="X266" i="22"/>
  <c r="U261" i="22"/>
  <c r="T261" i="22"/>
  <c r="U257" i="22"/>
  <c r="T257" i="22"/>
  <c r="U255" i="22"/>
  <c r="T255" i="22"/>
  <c r="U254" i="22"/>
  <c r="T254" i="22"/>
  <c r="U253" i="22"/>
  <c r="T253" i="22"/>
  <c r="U252" i="22"/>
  <c r="T252" i="22"/>
  <c r="U251" i="22"/>
  <c r="T251" i="22"/>
  <c r="U249" i="22"/>
  <c r="T249" i="22"/>
  <c r="U248" i="22"/>
  <c r="T248" i="22"/>
  <c r="U247" i="22"/>
  <c r="T247" i="22"/>
  <c r="U246" i="22"/>
  <c r="T246" i="22"/>
  <c r="U245" i="22"/>
  <c r="T245" i="22"/>
  <c r="U244" i="22"/>
  <c r="T244" i="22"/>
  <c r="U243" i="22"/>
  <c r="T243" i="22"/>
  <c r="U242" i="22"/>
  <c r="T242" i="22"/>
  <c r="U241" i="22"/>
  <c r="T241" i="22"/>
  <c r="U240" i="22"/>
  <c r="T240" i="22"/>
  <c r="U239" i="22"/>
  <c r="T239" i="22"/>
  <c r="U238" i="22"/>
  <c r="T238" i="22"/>
  <c r="AL229" i="22"/>
  <c r="AL223" i="22"/>
  <c r="U233" i="22"/>
  <c r="T233" i="22"/>
  <c r="U229" i="22"/>
  <c r="T229" i="22"/>
  <c r="U227" i="22"/>
  <c r="T227" i="22"/>
  <c r="U226" i="22"/>
  <c r="T226" i="22"/>
  <c r="U225" i="22"/>
  <c r="T225" i="22"/>
  <c r="U224" i="22"/>
  <c r="T224" i="22"/>
  <c r="U223" i="22"/>
  <c r="T223" i="22"/>
  <c r="U221" i="22"/>
  <c r="T221" i="22"/>
  <c r="U220" i="22"/>
  <c r="T220" i="22"/>
  <c r="U219" i="22"/>
  <c r="T219" i="22"/>
  <c r="U218" i="22"/>
  <c r="T218" i="22"/>
  <c r="U217" i="22"/>
  <c r="T217" i="22"/>
  <c r="U216" i="22"/>
  <c r="T216" i="22"/>
  <c r="U215" i="22"/>
  <c r="T215" i="22"/>
  <c r="U214" i="22"/>
  <c r="T214" i="22"/>
  <c r="U213" i="22"/>
  <c r="T213" i="22"/>
  <c r="U212" i="22"/>
  <c r="T212" i="22"/>
  <c r="U211" i="22"/>
  <c r="T211" i="22"/>
  <c r="X832" i="22" l="1"/>
  <c r="T832" i="39"/>
  <c r="X839" i="22"/>
  <c r="T839" i="39"/>
  <c r="X841" i="22"/>
  <c r="T841" i="39"/>
  <c r="X855" i="22"/>
  <c r="T855" i="39"/>
  <c r="X857" i="22"/>
  <c r="T857" i="39"/>
  <c r="X859" i="22"/>
  <c r="T859" i="39"/>
  <c r="X861" i="22"/>
  <c r="T861" i="39"/>
  <c r="X863" i="22"/>
  <c r="T863" i="39"/>
  <c r="X865" i="22"/>
  <c r="T865" i="39"/>
  <c r="X868" i="22"/>
  <c r="T868" i="39"/>
  <c r="Y826" i="22"/>
  <c r="U826" i="39"/>
  <c r="Y828" i="22"/>
  <c r="U828" i="39"/>
  <c r="Y830" i="22"/>
  <c r="U830" i="39"/>
  <c r="Y832" i="22"/>
  <c r="U832" i="39"/>
  <c r="Y834" i="22"/>
  <c r="U834" i="39"/>
  <c r="Y836" i="22"/>
  <c r="U836" i="39"/>
  <c r="Y839" i="22"/>
  <c r="U839" i="39"/>
  <c r="Y841" i="22"/>
  <c r="U841" i="39"/>
  <c r="Y843" i="22"/>
  <c r="U843" i="39"/>
  <c r="Y849" i="22"/>
  <c r="U849" i="39"/>
  <c r="Y855" i="22"/>
  <c r="U855" i="39"/>
  <c r="Y857" i="22"/>
  <c r="U857" i="39"/>
  <c r="Y859" i="22"/>
  <c r="U859" i="39"/>
  <c r="Y861" i="22"/>
  <c r="U861" i="39"/>
  <c r="Y863" i="22"/>
  <c r="U863" i="39"/>
  <c r="Y865" i="22"/>
  <c r="U865" i="39"/>
  <c r="Y868" i="22"/>
  <c r="U868" i="39"/>
  <c r="Y870" i="22"/>
  <c r="U870" i="39"/>
  <c r="Y873" i="22"/>
  <c r="U873" i="39"/>
  <c r="X828" i="22"/>
  <c r="T828" i="39"/>
  <c r="X834" i="22"/>
  <c r="T834" i="39"/>
  <c r="X843" i="22"/>
  <c r="T843" i="39"/>
  <c r="X870" i="22"/>
  <c r="T870" i="39"/>
  <c r="X541" i="22"/>
  <c r="AC541" i="22" s="1"/>
  <c r="AG541" i="22" s="1"/>
  <c r="T541" i="39"/>
  <c r="X827" i="22"/>
  <c r="T827" i="39"/>
  <c r="X829" i="22"/>
  <c r="T829" i="39"/>
  <c r="X831" i="22"/>
  <c r="T831" i="39"/>
  <c r="X833" i="22"/>
  <c r="T833" i="39"/>
  <c r="X835" i="22"/>
  <c r="T835" i="39"/>
  <c r="X837" i="22"/>
  <c r="T837" i="39"/>
  <c r="X840" i="22"/>
  <c r="T840" i="39"/>
  <c r="X842" i="22"/>
  <c r="T842" i="39"/>
  <c r="X845" i="22"/>
  <c r="T845" i="39"/>
  <c r="X854" i="22"/>
  <c r="T854" i="39"/>
  <c r="X856" i="22"/>
  <c r="T856" i="39"/>
  <c r="X858" i="22"/>
  <c r="T858" i="39"/>
  <c r="X860" i="22"/>
  <c r="T860" i="39"/>
  <c r="X862" i="22"/>
  <c r="T862" i="39"/>
  <c r="X864" i="22"/>
  <c r="T864" i="39"/>
  <c r="X867" i="22"/>
  <c r="T867" i="39"/>
  <c r="X869" i="22"/>
  <c r="T869" i="39"/>
  <c r="X871" i="22"/>
  <c r="T871" i="39"/>
  <c r="X877" i="22"/>
  <c r="T877" i="39"/>
  <c r="X826" i="22"/>
  <c r="T826" i="39"/>
  <c r="X830" i="22"/>
  <c r="T830" i="39"/>
  <c r="X836" i="22"/>
  <c r="T836" i="39"/>
  <c r="X849" i="22"/>
  <c r="T849" i="39"/>
  <c r="X873" i="22"/>
  <c r="T873" i="39"/>
  <c r="Y541" i="22"/>
  <c r="AI541" i="22" s="1"/>
  <c r="AL541" i="22" s="1"/>
  <c r="U541" i="39"/>
  <c r="Y827" i="22"/>
  <c r="U827" i="39"/>
  <c r="Y829" i="22"/>
  <c r="U829" i="39"/>
  <c r="Y831" i="22"/>
  <c r="U831" i="39"/>
  <c r="Y833" i="22"/>
  <c r="U833" i="39"/>
  <c r="Y835" i="22"/>
  <c r="U835" i="39"/>
  <c r="Y837" i="22"/>
  <c r="U837" i="39"/>
  <c r="Y840" i="22"/>
  <c r="U840" i="39"/>
  <c r="Y842" i="22"/>
  <c r="U842" i="39"/>
  <c r="Y845" i="22"/>
  <c r="U845" i="39"/>
  <c r="Y854" i="22"/>
  <c r="U854" i="39"/>
  <c r="Y856" i="22"/>
  <c r="U856" i="39"/>
  <c r="Y858" i="22"/>
  <c r="U858" i="39"/>
  <c r="Y860" i="22"/>
  <c r="U860" i="39"/>
  <c r="Y862" i="22"/>
  <c r="U862" i="39"/>
  <c r="Y864" i="22"/>
  <c r="U864" i="39"/>
  <c r="Y867" i="22"/>
  <c r="U867" i="39"/>
  <c r="Y869" i="22"/>
  <c r="U869" i="39"/>
  <c r="Y871" i="22"/>
  <c r="U871" i="39"/>
  <c r="Y877" i="22"/>
  <c r="U877" i="39"/>
  <c r="X743" i="22"/>
  <c r="T743" i="39"/>
  <c r="X745" i="22"/>
  <c r="T745" i="39"/>
  <c r="X747" i="22"/>
  <c r="T747" i="39"/>
  <c r="X749" i="22"/>
  <c r="T749" i="39"/>
  <c r="X751" i="22"/>
  <c r="T751" i="39"/>
  <c r="X753" i="22"/>
  <c r="T753" i="39"/>
  <c r="X756" i="22"/>
  <c r="T756" i="39"/>
  <c r="X758" i="22"/>
  <c r="T758" i="39"/>
  <c r="X761" i="22"/>
  <c r="T761" i="39"/>
  <c r="Y743" i="22"/>
  <c r="U743" i="39"/>
  <c r="Y745" i="22"/>
  <c r="U745" i="39"/>
  <c r="Y747" i="22"/>
  <c r="U747" i="39"/>
  <c r="Y749" i="22"/>
  <c r="U749" i="39"/>
  <c r="Y751" i="22"/>
  <c r="U751" i="39"/>
  <c r="Y753" i="22"/>
  <c r="U753" i="39"/>
  <c r="Y756" i="22"/>
  <c r="U756" i="39"/>
  <c r="Y758" i="22"/>
  <c r="U758" i="39"/>
  <c r="Y761" i="22"/>
  <c r="U761" i="39"/>
  <c r="X742" i="22"/>
  <c r="T742" i="39"/>
  <c r="X744" i="22"/>
  <c r="T744" i="39"/>
  <c r="X746" i="22"/>
  <c r="T746" i="39"/>
  <c r="X748" i="22"/>
  <c r="T748" i="39"/>
  <c r="X750" i="22"/>
  <c r="T750" i="39"/>
  <c r="X752" i="22"/>
  <c r="T752" i="39"/>
  <c r="X755" i="22"/>
  <c r="T755" i="39"/>
  <c r="X757" i="22"/>
  <c r="T757" i="39"/>
  <c r="X759" i="22"/>
  <c r="T759" i="39"/>
  <c r="X765" i="22"/>
  <c r="T765" i="39"/>
  <c r="Y742" i="22"/>
  <c r="U742" i="39"/>
  <c r="Y744" i="22"/>
  <c r="U744" i="39"/>
  <c r="Y746" i="22"/>
  <c r="U746" i="39"/>
  <c r="Y748" i="22"/>
  <c r="U748" i="39"/>
  <c r="Y750" i="22"/>
  <c r="U750" i="39"/>
  <c r="Y752" i="22"/>
  <c r="U752" i="39"/>
  <c r="Y755" i="22"/>
  <c r="U755" i="39"/>
  <c r="Y757" i="22"/>
  <c r="U757" i="39"/>
  <c r="Y759" i="22"/>
  <c r="U759" i="39"/>
  <c r="Y765" i="22"/>
  <c r="U765" i="39"/>
  <c r="X716" i="22"/>
  <c r="T716" i="39"/>
  <c r="X722" i="22"/>
  <c r="T722" i="39"/>
  <c r="X729" i="22"/>
  <c r="X729" i="39" s="1"/>
  <c r="Y714" i="22"/>
  <c r="U714" i="39"/>
  <c r="Y716" i="22"/>
  <c r="U716" i="39"/>
  <c r="Y718" i="22"/>
  <c r="U718" i="39"/>
  <c r="Y720" i="22"/>
  <c r="U720" i="39"/>
  <c r="Y722" i="22"/>
  <c r="U722" i="39"/>
  <c r="Y724" i="22"/>
  <c r="U724" i="39"/>
  <c r="Y727" i="22"/>
  <c r="Y727" i="39" s="1"/>
  <c r="Y729" i="22"/>
  <c r="Y729" i="39" s="1"/>
  <c r="Y731" i="22"/>
  <c r="Y731" i="39" s="1"/>
  <c r="Y737" i="22"/>
  <c r="U737" i="39"/>
  <c r="X718" i="22"/>
  <c r="T718" i="39"/>
  <c r="X724" i="22"/>
  <c r="T724" i="39"/>
  <c r="X737" i="22"/>
  <c r="T737" i="39"/>
  <c r="X715" i="22"/>
  <c r="T715" i="39"/>
  <c r="X717" i="22"/>
  <c r="T717" i="39"/>
  <c r="X719" i="22"/>
  <c r="T719" i="39"/>
  <c r="X721" i="22"/>
  <c r="T721" i="39"/>
  <c r="X723" i="22"/>
  <c r="T723" i="39"/>
  <c r="X725" i="22"/>
  <c r="T725" i="39"/>
  <c r="X728" i="22"/>
  <c r="X728" i="39" s="1"/>
  <c r="X730" i="22"/>
  <c r="X730" i="39" s="1"/>
  <c r="X733" i="22"/>
  <c r="X733" i="39" s="1"/>
  <c r="X714" i="22"/>
  <c r="T714" i="39"/>
  <c r="X720" i="22"/>
  <c r="T720" i="39"/>
  <c r="X727" i="22"/>
  <c r="X727" i="39" s="1"/>
  <c r="X731" i="22"/>
  <c r="X731" i="39" s="1"/>
  <c r="Y715" i="22"/>
  <c r="U715" i="39"/>
  <c r="Y717" i="22"/>
  <c r="U717" i="39"/>
  <c r="Y719" i="22"/>
  <c r="U719" i="39"/>
  <c r="Y721" i="22"/>
  <c r="U721" i="39"/>
  <c r="Y723" i="22"/>
  <c r="U723" i="39"/>
  <c r="Y725" i="22"/>
  <c r="U725" i="39"/>
  <c r="Y728" i="22"/>
  <c r="Y728" i="39" s="1"/>
  <c r="Y730" i="22"/>
  <c r="Y730" i="39" s="1"/>
  <c r="Y733" i="22"/>
  <c r="Y733" i="39" s="1"/>
  <c r="X546" i="22"/>
  <c r="T546" i="39"/>
  <c r="X548" i="22"/>
  <c r="T548" i="39"/>
  <c r="X550" i="22"/>
  <c r="T550" i="39"/>
  <c r="X552" i="22"/>
  <c r="T552" i="39"/>
  <c r="X554" i="22"/>
  <c r="T554" i="39"/>
  <c r="X556" i="22"/>
  <c r="T556" i="39"/>
  <c r="X559" i="22"/>
  <c r="T559" i="39"/>
  <c r="X561" i="22"/>
  <c r="T561" i="39"/>
  <c r="X563" i="22"/>
  <c r="T563" i="39"/>
  <c r="X569" i="22"/>
  <c r="T569" i="39"/>
  <c r="Y546" i="22"/>
  <c r="U546" i="39"/>
  <c r="Y548" i="22"/>
  <c r="U548" i="39"/>
  <c r="Y550" i="22"/>
  <c r="U550" i="39"/>
  <c r="Y552" i="22"/>
  <c r="U552" i="39"/>
  <c r="Y554" i="22"/>
  <c r="U554" i="39"/>
  <c r="Y556" i="22"/>
  <c r="U556" i="39"/>
  <c r="Y559" i="22"/>
  <c r="U559" i="39"/>
  <c r="Y561" i="22"/>
  <c r="U561" i="39"/>
  <c r="Y563" i="22"/>
  <c r="U563" i="39"/>
  <c r="Y569" i="22"/>
  <c r="U569" i="39"/>
  <c r="X547" i="22"/>
  <c r="T547" i="39"/>
  <c r="X549" i="22"/>
  <c r="T549" i="39"/>
  <c r="X551" i="22"/>
  <c r="T551" i="39"/>
  <c r="X553" i="22"/>
  <c r="T553" i="39"/>
  <c r="X555" i="22"/>
  <c r="T555" i="39"/>
  <c r="X557" i="22"/>
  <c r="T557" i="39"/>
  <c r="X560" i="22"/>
  <c r="T560" i="39"/>
  <c r="X562" i="22"/>
  <c r="T562" i="39"/>
  <c r="X565" i="22"/>
  <c r="T565" i="39"/>
  <c r="Y547" i="22"/>
  <c r="U547" i="39"/>
  <c r="Y549" i="22"/>
  <c r="U549" i="39"/>
  <c r="Y551" i="22"/>
  <c r="U551" i="39"/>
  <c r="Y553" i="22"/>
  <c r="U553" i="39"/>
  <c r="Y555" i="22"/>
  <c r="U555" i="39"/>
  <c r="Y557" i="22"/>
  <c r="U557" i="39"/>
  <c r="Y560" i="22"/>
  <c r="U560" i="39"/>
  <c r="Y562" i="22"/>
  <c r="U562" i="39"/>
  <c r="Y565" i="22"/>
  <c r="U565" i="39"/>
  <c r="X519" i="22"/>
  <c r="T519" i="39"/>
  <c r="X521" i="22"/>
  <c r="T521" i="39"/>
  <c r="X523" i="22"/>
  <c r="T523" i="39"/>
  <c r="X525" i="22"/>
  <c r="T525" i="39"/>
  <c r="X527" i="22"/>
  <c r="T527" i="39"/>
  <c r="X529" i="22"/>
  <c r="T529" i="39"/>
  <c r="X532" i="22"/>
  <c r="T532" i="39"/>
  <c r="X534" i="22"/>
  <c r="T534" i="39"/>
  <c r="X537" i="22"/>
  <c r="T537" i="39"/>
  <c r="Y519" i="22"/>
  <c r="U519" i="39"/>
  <c r="Y521" i="22"/>
  <c r="U521" i="39"/>
  <c r="Y523" i="22"/>
  <c r="U523" i="39"/>
  <c r="Y525" i="22"/>
  <c r="U525" i="39"/>
  <c r="Y527" i="22"/>
  <c r="U527" i="39"/>
  <c r="Y529" i="22"/>
  <c r="U529" i="39"/>
  <c r="Y532" i="22"/>
  <c r="U532" i="39"/>
  <c r="Y534" i="22"/>
  <c r="U534" i="39"/>
  <c r="Y537" i="22"/>
  <c r="U537" i="39"/>
  <c r="X518" i="22"/>
  <c r="T518" i="39"/>
  <c r="X520" i="22"/>
  <c r="T520" i="39"/>
  <c r="X522" i="22"/>
  <c r="T522" i="39"/>
  <c r="X524" i="22"/>
  <c r="T524" i="39"/>
  <c r="X526" i="22"/>
  <c r="T526" i="39"/>
  <c r="X528" i="22"/>
  <c r="T528" i="39"/>
  <c r="X531" i="22"/>
  <c r="T531" i="39"/>
  <c r="X533" i="22"/>
  <c r="T533" i="39"/>
  <c r="X535" i="22"/>
  <c r="T535" i="39"/>
  <c r="Y518" i="22"/>
  <c r="U518" i="39"/>
  <c r="Y520" i="22"/>
  <c r="U520" i="39"/>
  <c r="Y522" i="22"/>
  <c r="U522" i="39"/>
  <c r="Y524" i="22"/>
  <c r="U524" i="39"/>
  <c r="Y526" i="22"/>
  <c r="U526" i="39"/>
  <c r="Y528" i="22"/>
  <c r="U528" i="39"/>
  <c r="Y531" i="22"/>
  <c r="U531" i="39"/>
  <c r="Y533" i="22"/>
  <c r="U533" i="39"/>
  <c r="Y535" i="22"/>
  <c r="U535" i="39"/>
  <c r="X406" i="22"/>
  <c r="T406" i="39"/>
  <c r="X410" i="22"/>
  <c r="T410" i="39"/>
  <c r="X414" i="22"/>
  <c r="T414" i="39"/>
  <c r="X419" i="22"/>
  <c r="T419" i="39"/>
  <c r="X423" i="22"/>
  <c r="T423" i="39"/>
  <c r="Y406" i="22"/>
  <c r="U406" i="39"/>
  <c r="Y410" i="22"/>
  <c r="U410" i="39"/>
  <c r="Y414" i="22"/>
  <c r="U414" i="39"/>
  <c r="Y419" i="22"/>
  <c r="U419" i="39"/>
  <c r="Y423" i="22"/>
  <c r="U423" i="39"/>
  <c r="X407" i="22"/>
  <c r="T407" i="39"/>
  <c r="X409" i="22"/>
  <c r="T409" i="39"/>
  <c r="X411" i="22"/>
  <c r="T411" i="39"/>
  <c r="X413" i="22"/>
  <c r="T413" i="39"/>
  <c r="X415" i="22"/>
  <c r="T415" i="39"/>
  <c r="X417" i="22"/>
  <c r="T417" i="39"/>
  <c r="X420" i="22"/>
  <c r="T420" i="39"/>
  <c r="X422" i="22"/>
  <c r="T422" i="39"/>
  <c r="X425" i="22"/>
  <c r="T425" i="39"/>
  <c r="X408" i="22"/>
  <c r="T408" i="39"/>
  <c r="X412" i="22"/>
  <c r="T412" i="39"/>
  <c r="X416" i="22"/>
  <c r="T416" i="39"/>
  <c r="X421" i="22"/>
  <c r="T421" i="39"/>
  <c r="X429" i="22"/>
  <c r="T429" i="39"/>
  <c r="Y408" i="22"/>
  <c r="U408" i="39"/>
  <c r="Y412" i="22"/>
  <c r="U412" i="39"/>
  <c r="Y416" i="22"/>
  <c r="U416" i="39"/>
  <c r="Y421" i="22"/>
  <c r="U421" i="39"/>
  <c r="Y429" i="22"/>
  <c r="U429" i="39"/>
  <c r="Y407" i="22"/>
  <c r="U407" i="39"/>
  <c r="Y409" i="22"/>
  <c r="U409" i="39"/>
  <c r="Y411" i="22"/>
  <c r="U411" i="39"/>
  <c r="Y413" i="22"/>
  <c r="U413" i="39"/>
  <c r="Y415" i="22"/>
  <c r="U415" i="39"/>
  <c r="Y417" i="22"/>
  <c r="U417" i="39"/>
  <c r="Y420" i="22"/>
  <c r="U420" i="39"/>
  <c r="Y422" i="22"/>
  <c r="U422" i="39"/>
  <c r="Y425" i="22"/>
  <c r="U425" i="39"/>
  <c r="AC379" i="22"/>
  <c r="AG379" i="22" s="1"/>
  <c r="X379" i="39"/>
  <c r="AC381" i="22"/>
  <c r="AG381" i="22" s="1"/>
  <c r="X381" i="39"/>
  <c r="AC383" i="22"/>
  <c r="AG383" i="22" s="1"/>
  <c r="X383" i="39"/>
  <c r="AC385" i="22"/>
  <c r="AG385" i="22" s="1"/>
  <c r="X385" i="39"/>
  <c r="AC387" i="22"/>
  <c r="AG387" i="22" s="1"/>
  <c r="X387" i="39"/>
  <c r="AC389" i="22"/>
  <c r="AG389" i="22" s="1"/>
  <c r="X389" i="39"/>
  <c r="AC392" i="22"/>
  <c r="AG392" i="22" s="1"/>
  <c r="X392" i="39"/>
  <c r="AC394" i="22"/>
  <c r="AG394" i="22" s="1"/>
  <c r="X394" i="39"/>
  <c r="AC397" i="22"/>
  <c r="AG397" i="22" s="1"/>
  <c r="X397" i="39"/>
  <c r="AI379" i="22"/>
  <c r="AL379" i="22" s="1"/>
  <c r="Y379" i="39"/>
  <c r="AI381" i="22"/>
  <c r="AL381" i="22" s="1"/>
  <c r="Y381" i="39"/>
  <c r="AI383" i="22"/>
  <c r="AL383" i="22" s="1"/>
  <c r="Y383" i="39"/>
  <c r="AI385" i="22"/>
  <c r="AL385" i="22" s="1"/>
  <c r="Y385" i="39"/>
  <c r="AI387" i="22"/>
  <c r="AL387" i="22" s="1"/>
  <c r="Y387" i="39"/>
  <c r="AI389" i="22"/>
  <c r="AL389" i="22" s="1"/>
  <c r="Y389" i="39"/>
  <c r="AI392" i="22"/>
  <c r="AL392" i="22" s="1"/>
  <c r="Y392" i="39"/>
  <c r="AI394" i="22"/>
  <c r="AL394" i="22" s="1"/>
  <c r="Y394" i="39"/>
  <c r="AI397" i="22"/>
  <c r="AL397" i="22" s="1"/>
  <c r="Y397" i="39"/>
  <c r="AC378" i="22"/>
  <c r="AG378" i="22" s="1"/>
  <c r="X378" i="39"/>
  <c r="AC380" i="22"/>
  <c r="AG380" i="22" s="1"/>
  <c r="X380" i="39"/>
  <c r="AC382" i="22"/>
  <c r="AG382" i="22" s="1"/>
  <c r="X382" i="39"/>
  <c r="AC384" i="22"/>
  <c r="AG384" i="22" s="1"/>
  <c r="X384" i="39"/>
  <c r="AC386" i="22"/>
  <c r="AG386" i="22" s="1"/>
  <c r="X386" i="39"/>
  <c r="AC388" i="22"/>
  <c r="AG388" i="22" s="1"/>
  <c r="X388" i="39"/>
  <c r="AC391" i="22"/>
  <c r="AG391" i="22" s="1"/>
  <c r="X391" i="39"/>
  <c r="AC393" i="22"/>
  <c r="AG393" i="22" s="1"/>
  <c r="X393" i="39"/>
  <c r="AC395" i="22"/>
  <c r="AG395" i="22" s="1"/>
  <c r="X395" i="39"/>
  <c r="AC401" i="22"/>
  <c r="AG401" i="22" s="1"/>
  <c r="X401" i="39"/>
  <c r="AI378" i="22"/>
  <c r="AL378" i="22" s="1"/>
  <c r="Y378" i="39"/>
  <c r="AI380" i="22"/>
  <c r="AL380" i="22" s="1"/>
  <c r="Y380" i="39"/>
  <c r="AI382" i="22"/>
  <c r="AL382" i="22" s="1"/>
  <c r="Y382" i="39"/>
  <c r="AI384" i="22"/>
  <c r="AL384" i="22" s="1"/>
  <c r="Y384" i="39"/>
  <c r="AI386" i="22"/>
  <c r="AL386" i="22" s="1"/>
  <c r="Y386" i="39"/>
  <c r="AI388" i="22"/>
  <c r="AL388" i="22" s="1"/>
  <c r="Y388" i="39"/>
  <c r="AI391" i="22"/>
  <c r="AL391" i="22" s="1"/>
  <c r="Y391" i="39"/>
  <c r="AI393" i="22"/>
  <c r="AL393" i="22" s="1"/>
  <c r="Y393" i="39"/>
  <c r="AI395" i="22"/>
  <c r="AL395" i="22" s="1"/>
  <c r="Y395" i="39"/>
  <c r="AI401" i="22"/>
  <c r="AL401" i="22" s="1"/>
  <c r="Y401" i="39"/>
  <c r="X352" i="22"/>
  <c r="T352" i="39"/>
  <c r="X358" i="22"/>
  <c r="T358" i="39"/>
  <c r="X367" i="22"/>
  <c r="T367" i="39"/>
  <c r="Y350" i="22"/>
  <c r="U350" i="39"/>
  <c r="Y352" i="22"/>
  <c r="U352" i="39"/>
  <c r="Y354" i="22"/>
  <c r="U354" i="39"/>
  <c r="Y356" i="22"/>
  <c r="U356" i="39"/>
  <c r="Y358" i="22"/>
  <c r="U358" i="39"/>
  <c r="Y360" i="22"/>
  <c r="U360" i="39"/>
  <c r="Y363" i="22"/>
  <c r="U363" i="39"/>
  <c r="Y365" i="22"/>
  <c r="U365" i="39"/>
  <c r="Y367" i="22"/>
  <c r="U367" i="39"/>
  <c r="Y373" i="22"/>
  <c r="U373" i="39"/>
  <c r="X350" i="22"/>
  <c r="T350" i="39"/>
  <c r="X356" i="22"/>
  <c r="T356" i="39"/>
  <c r="X360" i="22"/>
  <c r="T360" i="39"/>
  <c r="X365" i="22"/>
  <c r="T365" i="39"/>
  <c r="X351" i="22"/>
  <c r="T351" i="39"/>
  <c r="X353" i="22"/>
  <c r="T353" i="39"/>
  <c r="X355" i="22"/>
  <c r="T355" i="39"/>
  <c r="X357" i="22"/>
  <c r="T357" i="39"/>
  <c r="X359" i="22"/>
  <c r="T359" i="39"/>
  <c r="X361" i="22"/>
  <c r="T361" i="39"/>
  <c r="X364" i="22"/>
  <c r="T364" i="39"/>
  <c r="X366" i="22"/>
  <c r="T366" i="39"/>
  <c r="X369" i="22"/>
  <c r="T369" i="39"/>
  <c r="X354" i="22"/>
  <c r="T354" i="39"/>
  <c r="X363" i="22"/>
  <c r="T363" i="39"/>
  <c r="X373" i="22"/>
  <c r="T373" i="39"/>
  <c r="Y351" i="22"/>
  <c r="U351" i="39"/>
  <c r="Y353" i="22"/>
  <c r="U353" i="39"/>
  <c r="Y355" i="22"/>
  <c r="U355" i="39"/>
  <c r="Y357" i="22"/>
  <c r="U357" i="39"/>
  <c r="Y359" i="22"/>
  <c r="U359" i="39"/>
  <c r="Y361" i="22"/>
  <c r="U361" i="39"/>
  <c r="Y364" i="22"/>
  <c r="U364" i="39"/>
  <c r="Y366" i="22"/>
  <c r="U366" i="39"/>
  <c r="Y369" i="22"/>
  <c r="U369" i="39"/>
  <c r="X323" i="22"/>
  <c r="T323" i="39"/>
  <c r="X325" i="22"/>
  <c r="T325" i="39"/>
  <c r="X327" i="22"/>
  <c r="T327" i="39"/>
  <c r="X329" i="22"/>
  <c r="T329" i="39"/>
  <c r="X331" i="22"/>
  <c r="T331" i="39"/>
  <c r="X333" i="22"/>
  <c r="T333" i="39"/>
  <c r="X336" i="22"/>
  <c r="T336" i="39"/>
  <c r="X338" i="22"/>
  <c r="T338" i="39"/>
  <c r="X341" i="22"/>
  <c r="T341" i="39"/>
  <c r="Y323" i="22"/>
  <c r="U323" i="39"/>
  <c r="Y325" i="22"/>
  <c r="U325" i="39"/>
  <c r="Y327" i="22"/>
  <c r="U327" i="39"/>
  <c r="Y329" i="22"/>
  <c r="U329" i="39"/>
  <c r="Y331" i="22"/>
  <c r="U331" i="39"/>
  <c r="Y333" i="22"/>
  <c r="U333" i="39"/>
  <c r="Y336" i="22"/>
  <c r="U336" i="39"/>
  <c r="Y338" i="22"/>
  <c r="U338" i="39"/>
  <c r="Y341" i="22"/>
  <c r="U341" i="39"/>
  <c r="X322" i="22"/>
  <c r="T322" i="39"/>
  <c r="X324" i="22"/>
  <c r="T324" i="39"/>
  <c r="X326" i="22"/>
  <c r="T326" i="39"/>
  <c r="X328" i="22"/>
  <c r="T328" i="39"/>
  <c r="X330" i="22"/>
  <c r="T330" i="39"/>
  <c r="X332" i="22"/>
  <c r="T332" i="39"/>
  <c r="X335" i="22"/>
  <c r="T335" i="39"/>
  <c r="X337" i="22"/>
  <c r="T337" i="39"/>
  <c r="X339" i="22"/>
  <c r="T339" i="39"/>
  <c r="X345" i="22"/>
  <c r="T345" i="39"/>
  <c r="Y322" i="22"/>
  <c r="U322" i="39"/>
  <c r="Y324" i="22"/>
  <c r="U324" i="39"/>
  <c r="Y326" i="22"/>
  <c r="U326" i="39"/>
  <c r="Y328" i="22"/>
  <c r="U328" i="39"/>
  <c r="Y330" i="22"/>
  <c r="U330" i="39"/>
  <c r="Y332" i="22"/>
  <c r="U332" i="39"/>
  <c r="Y335" i="22"/>
  <c r="U335" i="39"/>
  <c r="Y337" i="22"/>
  <c r="U337" i="39"/>
  <c r="Y339" i="22"/>
  <c r="U339" i="39"/>
  <c r="Y345" i="22"/>
  <c r="U345" i="39"/>
  <c r="AC294" i="22"/>
  <c r="AG294" i="22" s="1"/>
  <c r="X294" i="39"/>
  <c r="AC296" i="22"/>
  <c r="AG296" i="22" s="1"/>
  <c r="X296" i="39"/>
  <c r="AC298" i="22"/>
  <c r="AG298" i="22" s="1"/>
  <c r="X298" i="39"/>
  <c r="AC300" i="22"/>
  <c r="AG300" i="22" s="1"/>
  <c r="X300" i="39"/>
  <c r="AC302" i="22"/>
  <c r="AG302" i="22" s="1"/>
  <c r="X302" i="39"/>
  <c r="AC304" i="22"/>
  <c r="AG304" i="22" s="1"/>
  <c r="X304" i="39"/>
  <c r="AC307" i="22"/>
  <c r="AG307" i="22" s="1"/>
  <c r="X307" i="39"/>
  <c r="AC309" i="22"/>
  <c r="AG309" i="22" s="1"/>
  <c r="X309" i="39"/>
  <c r="AC311" i="22"/>
  <c r="AG311" i="22" s="1"/>
  <c r="X311" i="39"/>
  <c r="X317" i="39"/>
  <c r="AI294" i="22"/>
  <c r="AL294" i="22" s="1"/>
  <c r="Y294" i="39"/>
  <c r="AI296" i="22"/>
  <c r="AL296" i="22" s="1"/>
  <c r="Y296" i="39"/>
  <c r="AI298" i="22"/>
  <c r="AL298" i="22" s="1"/>
  <c r="Y298" i="39"/>
  <c r="AI300" i="22"/>
  <c r="AL300" i="22" s="1"/>
  <c r="Y300" i="39"/>
  <c r="AI302" i="22"/>
  <c r="AL302" i="22" s="1"/>
  <c r="Y302" i="39"/>
  <c r="AI304" i="22"/>
  <c r="AL304" i="22" s="1"/>
  <c r="Y304" i="39"/>
  <c r="AI307" i="22"/>
  <c r="AL307" i="22" s="1"/>
  <c r="Y307" i="39"/>
  <c r="AI309" i="22"/>
  <c r="AL309" i="22" s="1"/>
  <c r="Y309" i="39"/>
  <c r="AI311" i="22"/>
  <c r="AL311" i="22" s="1"/>
  <c r="Y311" i="39"/>
  <c r="Y317" i="39"/>
  <c r="AC295" i="22"/>
  <c r="AG295" i="22" s="1"/>
  <c r="X295" i="39"/>
  <c r="AC297" i="22"/>
  <c r="AG297" i="22" s="1"/>
  <c r="X297" i="39"/>
  <c r="AC299" i="22"/>
  <c r="AG299" i="22" s="1"/>
  <c r="X299" i="39"/>
  <c r="AC301" i="22"/>
  <c r="AG301" i="22" s="1"/>
  <c r="X301" i="39"/>
  <c r="AC303" i="22"/>
  <c r="AG303" i="22" s="1"/>
  <c r="X303" i="39"/>
  <c r="AC305" i="22"/>
  <c r="AG305" i="22" s="1"/>
  <c r="X305" i="39"/>
  <c r="AC308" i="22"/>
  <c r="AG308" i="22" s="1"/>
  <c r="X308" i="39"/>
  <c r="AC310" i="22"/>
  <c r="AG310" i="22" s="1"/>
  <c r="X310" i="39"/>
  <c r="AC313" i="22"/>
  <c r="AG313" i="22" s="1"/>
  <c r="X313" i="39"/>
  <c r="AI295" i="22"/>
  <c r="AL295" i="22" s="1"/>
  <c r="Y295" i="39"/>
  <c r="AI297" i="22"/>
  <c r="AL297" i="22" s="1"/>
  <c r="Y297" i="39"/>
  <c r="AI299" i="22"/>
  <c r="AL299" i="22" s="1"/>
  <c r="Y299" i="39"/>
  <c r="AI301" i="22"/>
  <c r="AL301" i="22" s="1"/>
  <c r="Y301" i="39"/>
  <c r="AI303" i="22"/>
  <c r="AL303" i="22" s="1"/>
  <c r="Y303" i="39"/>
  <c r="AI305" i="22"/>
  <c r="AL305" i="22" s="1"/>
  <c r="Y305" i="39"/>
  <c r="AI308" i="22"/>
  <c r="AL308" i="22" s="1"/>
  <c r="Y308" i="39"/>
  <c r="AI310" i="22"/>
  <c r="AL310" i="22" s="1"/>
  <c r="Y310" i="39"/>
  <c r="AI313" i="22"/>
  <c r="AL313" i="22" s="1"/>
  <c r="Y313" i="39"/>
  <c r="X271" i="22"/>
  <c r="T271" i="39"/>
  <c r="X277" i="22"/>
  <c r="T277" i="39"/>
  <c r="X282" i="22"/>
  <c r="T282" i="39"/>
  <c r="Y267" i="22"/>
  <c r="U267" i="39"/>
  <c r="Y269" i="22"/>
  <c r="U269" i="39"/>
  <c r="Y271" i="22"/>
  <c r="U271" i="39"/>
  <c r="Y273" i="22"/>
  <c r="U273" i="39"/>
  <c r="Y275" i="22"/>
  <c r="U275" i="39"/>
  <c r="Y277" i="22"/>
  <c r="U277" i="39"/>
  <c r="Y280" i="22"/>
  <c r="U280" i="39"/>
  <c r="Y282" i="22"/>
  <c r="U282" i="39"/>
  <c r="Y285" i="22"/>
  <c r="U285" i="39"/>
  <c r="X269" i="22"/>
  <c r="T269" i="39"/>
  <c r="X273" i="22"/>
  <c r="T273" i="39"/>
  <c r="X280" i="22"/>
  <c r="T280" i="39"/>
  <c r="AC266" i="22"/>
  <c r="AG266" i="22" s="1"/>
  <c r="X266" i="39"/>
  <c r="X268" i="22"/>
  <c r="T268" i="39"/>
  <c r="X270" i="22"/>
  <c r="T270" i="39"/>
  <c r="X272" i="22"/>
  <c r="T272" i="39"/>
  <c r="X274" i="22"/>
  <c r="T274" i="39"/>
  <c r="X276" i="22"/>
  <c r="T276" i="39"/>
  <c r="X279" i="22"/>
  <c r="T279" i="39"/>
  <c r="X281" i="22"/>
  <c r="T281" i="39"/>
  <c r="X283" i="22"/>
  <c r="T283" i="39"/>
  <c r="X289" i="22"/>
  <c r="T289" i="39"/>
  <c r="AC267" i="22"/>
  <c r="AG267" i="22" s="1"/>
  <c r="X267" i="39"/>
  <c r="X275" i="22"/>
  <c r="T275" i="39"/>
  <c r="X285" i="22"/>
  <c r="T285" i="39"/>
  <c r="Y266" i="22"/>
  <c r="U266" i="39"/>
  <c r="Y268" i="22"/>
  <c r="U268" i="39"/>
  <c r="Y270" i="22"/>
  <c r="U270" i="39"/>
  <c r="Y272" i="22"/>
  <c r="U272" i="39"/>
  <c r="Y274" i="22"/>
  <c r="U274" i="39"/>
  <c r="Y276" i="22"/>
  <c r="U276" i="39"/>
  <c r="Y279" i="22"/>
  <c r="U279" i="39"/>
  <c r="Y281" i="22"/>
  <c r="U281" i="39"/>
  <c r="Y283" i="22"/>
  <c r="U283" i="39"/>
  <c r="Y289" i="22"/>
  <c r="U289" i="39"/>
  <c r="X242" i="22"/>
  <c r="T242" i="39"/>
  <c r="X248" i="22"/>
  <c r="T248" i="39"/>
  <c r="X255" i="22"/>
  <c r="T255" i="39"/>
  <c r="Y238" i="22"/>
  <c r="U238" i="39"/>
  <c r="Y240" i="22"/>
  <c r="U240" i="39"/>
  <c r="Y242" i="22"/>
  <c r="U242" i="39"/>
  <c r="Y244" i="22"/>
  <c r="U244" i="39"/>
  <c r="Y246" i="22"/>
  <c r="U246" i="39"/>
  <c r="Y248" i="22"/>
  <c r="U248" i="39"/>
  <c r="Y251" i="22"/>
  <c r="U251" i="39"/>
  <c r="Y253" i="22"/>
  <c r="U253" i="39"/>
  <c r="Y255" i="22"/>
  <c r="U255" i="39"/>
  <c r="Y261" i="22"/>
  <c r="U261" i="39"/>
  <c r="X238" i="22"/>
  <c r="T238" i="39"/>
  <c r="X244" i="22"/>
  <c r="T244" i="39"/>
  <c r="X251" i="22"/>
  <c r="T251" i="39"/>
  <c r="X261" i="22"/>
  <c r="T261" i="39"/>
  <c r="X239" i="22"/>
  <c r="T239" i="39"/>
  <c r="X241" i="22"/>
  <c r="T241" i="39"/>
  <c r="X243" i="22"/>
  <c r="T243" i="39"/>
  <c r="X245" i="22"/>
  <c r="T245" i="39"/>
  <c r="X247" i="22"/>
  <c r="T247" i="39"/>
  <c r="X249" i="22"/>
  <c r="T249" i="39"/>
  <c r="X252" i="22"/>
  <c r="T252" i="39"/>
  <c r="X254" i="22"/>
  <c r="T254" i="39"/>
  <c r="X257" i="22"/>
  <c r="T257" i="39"/>
  <c r="X240" i="22"/>
  <c r="T240" i="39"/>
  <c r="X246" i="22"/>
  <c r="T246" i="39"/>
  <c r="X253" i="22"/>
  <c r="T253" i="39"/>
  <c r="Y239" i="22"/>
  <c r="U239" i="39"/>
  <c r="Y241" i="22"/>
  <c r="U241" i="39"/>
  <c r="Y243" i="22"/>
  <c r="U243" i="39"/>
  <c r="Y245" i="22"/>
  <c r="U245" i="39"/>
  <c r="Y247" i="22"/>
  <c r="U247" i="39"/>
  <c r="Y249" i="22"/>
  <c r="U249" i="39"/>
  <c r="Y252" i="22"/>
  <c r="U252" i="39"/>
  <c r="Y254" i="22"/>
  <c r="U254" i="39"/>
  <c r="Y257" i="22"/>
  <c r="U257" i="39"/>
  <c r="T210" i="39"/>
  <c r="X212" i="22"/>
  <c r="T212" i="39"/>
  <c r="X214" i="22"/>
  <c r="T214" i="39"/>
  <c r="X216" i="22"/>
  <c r="T216" i="39"/>
  <c r="X218" i="22"/>
  <c r="T218" i="39"/>
  <c r="X220" i="22"/>
  <c r="T220" i="39"/>
  <c r="X223" i="22"/>
  <c r="T223" i="39"/>
  <c r="X225" i="22"/>
  <c r="T225" i="39"/>
  <c r="X227" i="22"/>
  <c r="T227" i="39"/>
  <c r="X233" i="22"/>
  <c r="T233" i="39"/>
  <c r="Y212" i="22"/>
  <c r="Y212" i="39" s="1"/>
  <c r="U212" i="39"/>
  <c r="Y214" i="22"/>
  <c r="Y214" i="39" s="1"/>
  <c r="U214" i="39"/>
  <c r="Y216" i="22"/>
  <c r="Y216" i="39" s="1"/>
  <c r="U216" i="39"/>
  <c r="Y218" i="22"/>
  <c r="Y218" i="39" s="1"/>
  <c r="U218" i="39"/>
  <c r="Y220" i="22"/>
  <c r="Y220" i="39" s="1"/>
  <c r="U220" i="39"/>
  <c r="Y223" i="22"/>
  <c r="Y223" i="39" s="1"/>
  <c r="U223" i="39"/>
  <c r="Y225" i="22"/>
  <c r="Y225" i="39" s="1"/>
  <c r="U225" i="39"/>
  <c r="Y227" i="22"/>
  <c r="Y227" i="39" s="1"/>
  <c r="U227" i="39"/>
  <c r="Y233" i="22"/>
  <c r="Y233" i="39" s="1"/>
  <c r="U233" i="39"/>
  <c r="Y210" i="39"/>
  <c r="U210" i="39"/>
  <c r="X211" i="22"/>
  <c r="T211" i="39"/>
  <c r="X213" i="22"/>
  <c r="T213" i="39"/>
  <c r="X215" i="22"/>
  <c r="T215" i="39"/>
  <c r="X217" i="22"/>
  <c r="T217" i="39"/>
  <c r="X219" i="22"/>
  <c r="T219" i="39"/>
  <c r="X221" i="22"/>
  <c r="T221" i="39"/>
  <c r="X224" i="22"/>
  <c r="T224" i="39"/>
  <c r="X226" i="22"/>
  <c r="T226" i="39"/>
  <c r="X229" i="22"/>
  <c r="T229" i="39"/>
  <c r="Y211" i="22"/>
  <c r="Y211" i="39" s="1"/>
  <c r="U211" i="39"/>
  <c r="Y213" i="22"/>
  <c r="Y213" i="39" s="1"/>
  <c r="U213" i="39"/>
  <c r="Y215" i="22"/>
  <c r="Y215" i="39" s="1"/>
  <c r="U215" i="39"/>
  <c r="Y217" i="22"/>
  <c r="Y217" i="39" s="1"/>
  <c r="U217" i="39"/>
  <c r="Y219" i="22"/>
  <c r="Y219" i="39" s="1"/>
  <c r="U219" i="39"/>
  <c r="Y221" i="22"/>
  <c r="Y221" i="39" s="1"/>
  <c r="U221" i="39"/>
  <c r="Y224" i="22"/>
  <c r="Y224" i="39" s="1"/>
  <c r="U224" i="39"/>
  <c r="Y226" i="22"/>
  <c r="Y226" i="39" s="1"/>
  <c r="U226" i="39"/>
  <c r="Y229" i="22"/>
  <c r="Y229" i="39" s="1"/>
  <c r="U229" i="39"/>
  <c r="X799" i="22"/>
  <c r="T799" i="39"/>
  <c r="X803" i="22"/>
  <c r="T803" i="39"/>
  <c r="X807" i="22"/>
  <c r="T807" i="39"/>
  <c r="X812" i="22"/>
  <c r="T812" i="39"/>
  <c r="X814" i="22"/>
  <c r="T814" i="39"/>
  <c r="Y801" i="22"/>
  <c r="U801" i="39"/>
  <c r="Y805" i="22"/>
  <c r="U805" i="39"/>
  <c r="Y812" i="22"/>
  <c r="U812" i="39"/>
  <c r="Y814" i="22"/>
  <c r="U814" i="39"/>
  <c r="X798" i="22"/>
  <c r="T798" i="39"/>
  <c r="X800" i="22"/>
  <c r="T800" i="39"/>
  <c r="X802" i="22"/>
  <c r="T802" i="39"/>
  <c r="X804" i="22"/>
  <c r="T804" i="39"/>
  <c r="X806" i="22"/>
  <c r="T806" i="39"/>
  <c r="X808" i="22"/>
  <c r="T808" i="39"/>
  <c r="X811" i="22"/>
  <c r="T811" i="39"/>
  <c r="X813" i="22"/>
  <c r="T813" i="39"/>
  <c r="X815" i="22"/>
  <c r="T815" i="39"/>
  <c r="X821" i="22"/>
  <c r="T821" i="39"/>
  <c r="X801" i="22"/>
  <c r="T801" i="39"/>
  <c r="X805" i="22"/>
  <c r="T805" i="39"/>
  <c r="X809" i="22"/>
  <c r="T809" i="39"/>
  <c r="X817" i="22"/>
  <c r="T817" i="39"/>
  <c r="Y799" i="22"/>
  <c r="U799" i="39"/>
  <c r="Y803" i="22"/>
  <c r="U803" i="39"/>
  <c r="Y807" i="22"/>
  <c r="U807" i="39"/>
  <c r="Y809" i="22"/>
  <c r="U809" i="39"/>
  <c r="Y817" i="22"/>
  <c r="U817" i="39"/>
  <c r="Y798" i="22"/>
  <c r="U798" i="39"/>
  <c r="Y800" i="22"/>
  <c r="U800" i="39"/>
  <c r="Y802" i="22"/>
  <c r="U802" i="39"/>
  <c r="Y804" i="22"/>
  <c r="U804" i="39"/>
  <c r="Y806" i="22"/>
  <c r="U806" i="39"/>
  <c r="Y808" i="22"/>
  <c r="U808" i="39"/>
  <c r="Y811" i="22"/>
  <c r="U811" i="39"/>
  <c r="Y813" i="22"/>
  <c r="U813" i="39"/>
  <c r="Y815" i="22"/>
  <c r="U815" i="39"/>
  <c r="Y821" i="22"/>
  <c r="U821" i="39"/>
  <c r="X770" i="22"/>
  <c r="T770" i="39"/>
  <c r="X772" i="22"/>
  <c r="T772" i="39"/>
  <c r="X774" i="22"/>
  <c r="T774" i="39"/>
  <c r="X776" i="22"/>
  <c r="T776" i="39"/>
  <c r="X778" i="22"/>
  <c r="T778" i="39"/>
  <c r="X780" i="22"/>
  <c r="T780" i="39"/>
  <c r="X783" i="22"/>
  <c r="T783" i="39"/>
  <c r="X785" i="22"/>
  <c r="T785" i="39"/>
  <c r="X787" i="22"/>
  <c r="T787" i="39"/>
  <c r="X793" i="22"/>
  <c r="T793" i="39"/>
  <c r="Y770" i="22"/>
  <c r="U770" i="39"/>
  <c r="Y772" i="22"/>
  <c r="U772" i="39"/>
  <c r="Y774" i="22"/>
  <c r="U774" i="39"/>
  <c r="Y776" i="22"/>
  <c r="U776" i="39"/>
  <c r="Y778" i="22"/>
  <c r="U778" i="39"/>
  <c r="Y780" i="22"/>
  <c r="U780" i="39"/>
  <c r="Y783" i="22"/>
  <c r="U783" i="39"/>
  <c r="Y785" i="22"/>
  <c r="U785" i="39"/>
  <c r="Y787" i="22"/>
  <c r="U787" i="39"/>
  <c r="Y793" i="22"/>
  <c r="U793" i="39"/>
  <c r="X771" i="22"/>
  <c r="T771" i="39"/>
  <c r="X773" i="22"/>
  <c r="T773" i="39"/>
  <c r="X775" i="22"/>
  <c r="T775" i="39"/>
  <c r="X777" i="22"/>
  <c r="T777" i="39"/>
  <c r="X779" i="22"/>
  <c r="T779" i="39"/>
  <c r="X781" i="22"/>
  <c r="T781" i="39"/>
  <c r="X784" i="22"/>
  <c r="T784" i="39"/>
  <c r="X786" i="22"/>
  <c r="T786" i="39"/>
  <c r="X789" i="22"/>
  <c r="T789" i="39"/>
  <c r="Y771" i="22"/>
  <c r="U771" i="39"/>
  <c r="Y773" i="22"/>
  <c r="U773" i="39"/>
  <c r="Y775" i="22"/>
  <c r="U775" i="39"/>
  <c r="Y777" i="22"/>
  <c r="U777" i="39"/>
  <c r="Y779" i="22"/>
  <c r="U779" i="39"/>
  <c r="Y781" i="22"/>
  <c r="U781" i="39"/>
  <c r="Y784" i="22"/>
  <c r="U784" i="39"/>
  <c r="Y786" i="22"/>
  <c r="U786" i="39"/>
  <c r="Y789" i="22"/>
  <c r="U789" i="39"/>
  <c r="X689" i="22"/>
  <c r="T689" i="39"/>
  <c r="X693" i="22"/>
  <c r="T693" i="39"/>
  <c r="X697" i="22"/>
  <c r="T697" i="39"/>
  <c r="X702" i="22"/>
  <c r="T702" i="39"/>
  <c r="Y689" i="22"/>
  <c r="U689" i="39"/>
  <c r="Y693" i="22"/>
  <c r="U693" i="39"/>
  <c r="Y697" i="22"/>
  <c r="U697" i="39"/>
  <c r="Y705" i="22"/>
  <c r="U705" i="39"/>
  <c r="X686" i="22"/>
  <c r="T686" i="39"/>
  <c r="X688" i="22"/>
  <c r="T688" i="39"/>
  <c r="X690" i="22"/>
  <c r="T690" i="39"/>
  <c r="X692" i="22"/>
  <c r="T692" i="39"/>
  <c r="X694" i="22"/>
  <c r="T694" i="39"/>
  <c r="X696" i="22"/>
  <c r="T696" i="39"/>
  <c r="X699" i="22"/>
  <c r="T699" i="39"/>
  <c r="X701" i="22"/>
  <c r="T701" i="39"/>
  <c r="X703" i="22"/>
  <c r="T703" i="39"/>
  <c r="X709" i="22"/>
  <c r="T709" i="39"/>
  <c r="X687" i="22"/>
  <c r="T687" i="39"/>
  <c r="X691" i="22"/>
  <c r="T691" i="39"/>
  <c r="X695" i="22"/>
  <c r="T695" i="39"/>
  <c r="X700" i="22"/>
  <c r="T700" i="39"/>
  <c r="X705" i="22"/>
  <c r="T705" i="39"/>
  <c r="Y687" i="22"/>
  <c r="U687" i="39"/>
  <c r="Y691" i="22"/>
  <c r="U691" i="39"/>
  <c r="Y695" i="22"/>
  <c r="U695" i="39"/>
  <c r="Y700" i="22"/>
  <c r="U700" i="39"/>
  <c r="Y702" i="22"/>
  <c r="U702" i="39"/>
  <c r="Y686" i="22"/>
  <c r="U686" i="39"/>
  <c r="Y688" i="22"/>
  <c r="U688" i="39"/>
  <c r="Y690" i="22"/>
  <c r="U690" i="39"/>
  <c r="Y692" i="22"/>
  <c r="U692" i="39"/>
  <c r="Y694" i="22"/>
  <c r="U694" i="39"/>
  <c r="Y696" i="22"/>
  <c r="U696" i="39"/>
  <c r="Y699" i="22"/>
  <c r="U699" i="39"/>
  <c r="Y701" i="22"/>
  <c r="U701" i="39"/>
  <c r="Y703" i="22"/>
  <c r="U703" i="39"/>
  <c r="Y709" i="22"/>
  <c r="U709" i="39"/>
  <c r="X658" i="22"/>
  <c r="T658" i="39"/>
  <c r="X660" i="22"/>
  <c r="T660" i="39"/>
  <c r="X662" i="22"/>
  <c r="T662" i="39"/>
  <c r="X664" i="22"/>
  <c r="T664" i="39"/>
  <c r="X666" i="22"/>
  <c r="T666" i="39"/>
  <c r="X668" i="22"/>
  <c r="T668" i="39"/>
  <c r="X671" i="22"/>
  <c r="T671" i="39"/>
  <c r="X673" i="22"/>
  <c r="T673" i="39"/>
  <c r="X675" i="22"/>
  <c r="T675" i="39"/>
  <c r="X681" i="22"/>
  <c r="T681" i="39"/>
  <c r="Y658" i="22"/>
  <c r="U658" i="39"/>
  <c r="Y660" i="22"/>
  <c r="U660" i="39"/>
  <c r="Y662" i="22"/>
  <c r="U662" i="39"/>
  <c r="Y664" i="22"/>
  <c r="U664" i="39"/>
  <c r="Y666" i="22"/>
  <c r="U666" i="39"/>
  <c r="Y668" i="22"/>
  <c r="U668" i="39"/>
  <c r="Y671" i="22"/>
  <c r="U671" i="39"/>
  <c r="Y673" i="22"/>
  <c r="U673" i="39"/>
  <c r="Y675" i="22"/>
  <c r="U675" i="39"/>
  <c r="Y681" i="22"/>
  <c r="U681" i="39"/>
  <c r="X659" i="22"/>
  <c r="T659" i="39"/>
  <c r="X661" i="22"/>
  <c r="T661" i="39"/>
  <c r="X663" i="22"/>
  <c r="T663" i="39"/>
  <c r="X665" i="22"/>
  <c r="T665" i="39"/>
  <c r="X667" i="22"/>
  <c r="T667" i="39"/>
  <c r="X669" i="22"/>
  <c r="T669" i="39"/>
  <c r="X672" i="22"/>
  <c r="T672" i="39"/>
  <c r="X674" i="22"/>
  <c r="T674" i="39"/>
  <c r="T677" i="39"/>
  <c r="Y659" i="22"/>
  <c r="U659" i="39"/>
  <c r="Y661" i="22"/>
  <c r="U661" i="39"/>
  <c r="Y663" i="22"/>
  <c r="U663" i="39"/>
  <c r="Y665" i="22"/>
  <c r="U665" i="39"/>
  <c r="Y667" i="22"/>
  <c r="U667" i="39"/>
  <c r="Y669" i="22"/>
  <c r="U669" i="39"/>
  <c r="Y672" i="22"/>
  <c r="U672" i="39"/>
  <c r="Y674" i="22"/>
  <c r="U674" i="39"/>
  <c r="U677" i="39"/>
  <c r="X633" i="22"/>
  <c r="T633" i="39"/>
  <c r="X637" i="22"/>
  <c r="T637" i="39"/>
  <c r="X641" i="22"/>
  <c r="T641" i="39"/>
  <c r="X646" i="22"/>
  <c r="T646" i="39"/>
  <c r="Y631" i="22"/>
  <c r="U631" i="39"/>
  <c r="Y635" i="22"/>
  <c r="U635" i="39"/>
  <c r="Y641" i="22"/>
  <c r="U641" i="39"/>
  <c r="Y649" i="22"/>
  <c r="U649" i="39"/>
  <c r="X630" i="22"/>
  <c r="T630" i="39"/>
  <c r="X632" i="22"/>
  <c r="T632" i="39"/>
  <c r="X634" i="22"/>
  <c r="T634" i="39"/>
  <c r="X636" i="22"/>
  <c r="T636" i="39"/>
  <c r="X638" i="22"/>
  <c r="T638" i="39"/>
  <c r="X640" i="22"/>
  <c r="T640" i="39"/>
  <c r="X643" i="22"/>
  <c r="T643" i="39"/>
  <c r="X645" i="22"/>
  <c r="T645" i="39"/>
  <c r="X647" i="22"/>
  <c r="T647" i="39"/>
  <c r="X653" i="22"/>
  <c r="T653" i="39"/>
  <c r="X631" i="22"/>
  <c r="T631" i="39"/>
  <c r="X635" i="22"/>
  <c r="T635" i="39"/>
  <c r="X639" i="22"/>
  <c r="T639" i="39"/>
  <c r="X644" i="22"/>
  <c r="T644" i="39"/>
  <c r="X649" i="22"/>
  <c r="T649" i="39"/>
  <c r="Y633" i="22"/>
  <c r="U633" i="39"/>
  <c r="Y637" i="22"/>
  <c r="U637" i="39"/>
  <c r="Y639" i="22"/>
  <c r="U639" i="39"/>
  <c r="Y644" i="22"/>
  <c r="U644" i="39"/>
  <c r="Y646" i="22"/>
  <c r="U646" i="39"/>
  <c r="Y630" i="22"/>
  <c r="U630" i="39"/>
  <c r="Y632" i="22"/>
  <c r="U632" i="39"/>
  <c r="Y634" i="22"/>
  <c r="U634" i="39"/>
  <c r="Y636" i="22"/>
  <c r="U636" i="39"/>
  <c r="Y638" i="22"/>
  <c r="U638" i="39"/>
  <c r="Y640" i="22"/>
  <c r="U640" i="39"/>
  <c r="Y643" i="22"/>
  <c r="U643" i="39"/>
  <c r="Y645" i="22"/>
  <c r="U645" i="39"/>
  <c r="Y647" i="22"/>
  <c r="U647" i="39"/>
  <c r="Y653" i="22"/>
  <c r="U653" i="39"/>
  <c r="X604" i="22"/>
  <c r="T604" i="39"/>
  <c r="X608" i="22"/>
  <c r="T608" i="39"/>
  <c r="X612" i="22"/>
  <c r="T612" i="39"/>
  <c r="X615" i="22"/>
  <c r="T615" i="39"/>
  <c r="X619" i="22"/>
  <c r="T619" i="39"/>
  <c r="Y604" i="22"/>
  <c r="U604" i="39"/>
  <c r="Y610" i="22"/>
  <c r="U610" i="39"/>
  <c r="Y615" i="22"/>
  <c r="U615" i="39"/>
  <c r="Y619" i="22"/>
  <c r="U619" i="39"/>
  <c r="X603" i="22"/>
  <c r="T603" i="39"/>
  <c r="X605" i="22"/>
  <c r="T605" i="39"/>
  <c r="X607" i="22"/>
  <c r="T607" i="39"/>
  <c r="X609" i="22"/>
  <c r="T609" i="39"/>
  <c r="X611" i="22"/>
  <c r="T611" i="39"/>
  <c r="X613" i="22"/>
  <c r="T613" i="39"/>
  <c r="X616" i="22"/>
  <c r="T616" i="39"/>
  <c r="X618" i="22"/>
  <c r="T618" i="39"/>
  <c r="X621" i="22"/>
  <c r="T621" i="39"/>
  <c r="X602" i="22"/>
  <c r="T602" i="39"/>
  <c r="X606" i="22"/>
  <c r="T606" i="39"/>
  <c r="X610" i="22"/>
  <c r="T610" i="39"/>
  <c r="X617" i="22"/>
  <c r="T617" i="39"/>
  <c r="X625" i="22"/>
  <c r="T625" i="39"/>
  <c r="Y602" i="22"/>
  <c r="U602" i="39"/>
  <c r="Y606" i="22"/>
  <c r="U606" i="39"/>
  <c r="Y608" i="22"/>
  <c r="U608" i="39"/>
  <c r="Y612" i="22"/>
  <c r="U612" i="39"/>
  <c r="Y617" i="22"/>
  <c r="U617" i="39"/>
  <c r="Y625" i="22"/>
  <c r="U625" i="39"/>
  <c r="Y603" i="22"/>
  <c r="U603" i="39"/>
  <c r="Y605" i="22"/>
  <c r="U605" i="39"/>
  <c r="Y607" i="22"/>
  <c r="U607" i="39"/>
  <c r="Y609" i="22"/>
  <c r="U609" i="39"/>
  <c r="Y611" i="22"/>
  <c r="U611" i="39"/>
  <c r="Y613" i="22"/>
  <c r="U613" i="39"/>
  <c r="Y616" i="22"/>
  <c r="U616" i="39"/>
  <c r="Y618" i="22"/>
  <c r="U618" i="39"/>
  <c r="Y621" i="22"/>
  <c r="U621" i="39"/>
  <c r="X575" i="22"/>
  <c r="T575" i="39"/>
  <c r="X577" i="22"/>
  <c r="T577" i="39"/>
  <c r="X579" i="22"/>
  <c r="T579" i="39"/>
  <c r="X581" i="22"/>
  <c r="T581" i="39"/>
  <c r="T583" i="39"/>
  <c r="X585" i="22"/>
  <c r="T585" i="39"/>
  <c r="X588" i="22"/>
  <c r="T588" i="39"/>
  <c r="X590" i="22"/>
  <c r="T590" i="39"/>
  <c r="X593" i="22"/>
  <c r="T593" i="39"/>
  <c r="Y575" i="22"/>
  <c r="U575" i="39"/>
  <c r="Y577" i="22"/>
  <c r="U577" i="39"/>
  <c r="Y579" i="22"/>
  <c r="U579" i="39"/>
  <c r="Y581" i="22"/>
  <c r="U581" i="39"/>
  <c r="U583" i="39"/>
  <c r="Y585" i="22"/>
  <c r="U585" i="39"/>
  <c r="Y588" i="22"/>
  <c r="U588" i="39"/>
  <c r="Y590" i="22"/>
  <c r="U590" i="39"/>
  <c r="Y593" i="22"/>
  <c r="U593" i="39"/>
  <c r="X574" i="22"/>
  <c r="T574" i="39"/>
  <c r="X576" i="22"/>
  <c r="T576" i="39"/>
  <c r="X578" i="22"/>
  <c r="T578" i="39"/>
  <c r="X580" i="22"/>
  <c r="T580" i="39"/>
  <c r="X582" i="22"/>
  <c r="T582" i="39"/>
  <c r="X584" i="22"/>
  <c r="T584" i="39"/>
  <c r="X587" i="22"/>
  <c r="T587" i="39"/>
  <c r="X589" i="22"/>
  <c r="T589" i="39"/>
  <c r="X591" i="22"/>
  <c r="T591" i="39"/>
  <c r="X597" i="22"/>
  <c r="T597" i="39"/>
  <c r="Y574" i="22"/>
  <c r="U574" i="39"/>
  <c r="Y576" i="22"/>
  <c r="U576" i="39"/>
  <c r="AI578" i="22"/>
  <c r="AL578" i="22" s="1"/>
  <c r="Y578" i="39"/>
  <c r="Y580" i="22"/>
  <c r="U580" i="39"/>
  <c r="Y582" i="22"/>
  <c r="U582" i="39"/>
  <c r="Y584" i="22"/>
  <c r="U584" i="39"/>
  <c r="Y587" i="22"/>
  <c r="U587" i="39"/>
  <c r="Y589" i="22"/>
  <c r="U589" i="39"/>
  <c r="Y591" i="22"/>
  <c r="U591" i="39"/>
  <c r="AI597" i="22"/>
  <c r="AL597" i="22" s="1"/>
  <c r="Y597" i="39"/>
  <c r="X490" i="22"/>
  <c r="T490" i="39"/>
  <c r="X492" i="22"/>
  <c r="T492" i="39"/>
  <c r="X497" i="22"/>
  <c r="T497" i="39"/>
  <c r="X499" i="22"/>
  <c r="T499" i="39"/>
  <c r="X501" i="22"/>
  <c r="T501" i="39"/>
  <c r="X504" i="22"/>
  <c r="T504" i="39"/>
  <c r="X506" i="22"/>
  <c r="T506" i="39"/>
  <c r="X509" i="22"/>
  <c r="T509" i="39"/>
  <c r="Y490" i="22"/>
  <c r="U490" i="39"/>
  <c r="Y492" i="22"/>
  <c r="U492" i="39"/>
  <c r="Y497" i="22"/>
  <c r="U497" i="39"/>
  <c r="Y499" i="22"/>
  <c r="U499" i="39"/>
  <c r="Y501" i="22"/>
  <c r="U501" i="39"/>
  <c r="Y504" i="22"/>
  <c r="U504" i="39"/>
  <c r="Y506" i="22"/>
  <c r="U506" i="39"/>
  <c r="Y509" i="22"/>
  <c r="U509" i="39"/>
  <c r="X491" i="22"/>
  <c r="T491" i="39"/>
  <c r="X493" i="22"/>
  <c r="T493" i="39"/>
  <c r="X498" i="22"/>
  <c r="T498" i="39"/>
  <c r="X500" i="22"/>
  <c r="T500" i="39"/>
  <c r="X503" i="22"/>
  <c r="T503" i="39"/>
  <c r="X505" i="22"/>
  <c r="T505" i="39"/>
  <c r="X507" i="22"/>
  <c r="T507" i="39"/>
  <c r="X513" i="22"/>
  <c r="T513" i="39"/>
  <c r="Y491" i="22"/>
  <c r="U491" i="39"/>
  <c r="Y493" i="22"/>
  <c r="U493" i="39"/>
  <c r="Y498" i="22"/>
  <c r="U498" i="39"/>
  <c r="Y500" i="22"/>
  <c r="U500" i="39"/>
  <c r="Y503" i="22"/>
  <c r="U503" i="39"/>
  <c r="Y505" i="22"/>
  <c r="U505" i="39"/>
  <c r="Y507" i="22"/>
  <c r="U507" i="39"/>
  <c r="Y513" i="22"/>
  <c r="U513" i="39"/>
  <c r="T466" i="39"/>
  <c r="T472" i="39"/>
  <c r="T477" i="39"/>
  <c r="U462" i="39"/>
  <c r="U464" i="39"/>
  <c r="U466" i="39"/>
  <c r="U468" i="39"/>
  <c r="U470" i="39"/>
  <c r="U472" i="39"/>
  <c r="U475" i="39"/>
  <c r="U477" i="39"/>
  <c r="U479" i="39"/>
  <c r="U485" i="39"/>
  <c r="T464" i="39"/>
  <c r="T468" i="39"/>
  <c r="T475" i="39"/>
  <c r="T485" i="39"/>
  <c r="T463" i="39"/>
  <c r="T465" i="39"/>
  <c r="T467" i="39"/>
  <c r="T469" i="39"/>
  <c r="T471" i="39"/>
  <c r="T473" i="39"/>
  <c r="T476" i="39"/>
  <c r="T478" i="39"/>
  <c r="T481" i="39"/>
  <c r="T462" i="39"/>
  <c r="T470" i="39"/>
  <c r="T479" i="39"/>
  <c r="U463" i="39"/>
  <c r="U465" i="39"/>
  <c r="U467" i="39"/>
  <c r="U469" i="39"/>
  <c r="U471" i="39"/>
  <c r="U473" i="39"/>
  <c r="U476" i="39"/>
  <c r="U478" i="39"/>
  <c r="U481" i="39"/>
  <c r="X435" i="22"/>
  <c r="T435" i="39"/>
  <c r="X439" i="22"/>
  <c r="T439" i="39"/>
  <c r="X443" i="22"/>
  <c r="T443" i="39"/>
  <c r="X445" i="22"/>
  <c r="T445" i="39"/>
  <c r="X450" i="22"/>
  <c r="T450" i="39"/>
  <c r="AI437" i="22"/>
  <c r="AL437" i="22" s="1"/>
  <c r="Y437" i="39"/>
  <c r="AI445" i="22"/>
  <c r="AL445" i="22" s="1"/>
  <c r="Y445" i="39"/>
  <c r="Y453" i="22"/>
  <c r="U453" i="39"/>
  <c r="X434" i="22"/>
  <c r="T434" i="39"/>
  <c r="X436" i="22"/>
  <c r="T436" i="39"/>
  <c r="X438" i="22"/>
  <c r="T438" i="39"/>
  <c r="X440" i="22"/>
  <c r="T440" i="39"/>
  <c r="X442" i="22"/>
  <c r="T442" i="39"/>
  <c r="X444" i="22"/>
  <c r="T444" i="39"/>
  <c r="X447" i="22"/>
  <c r="T447" i="39"/>
  <c r="X449" i="22"/>
  <c r="T449" i="39"/>
  <c r="X451" i="22"/>
  <c r="T451" i="39"/>
  <c r="X457" i="22"/>
  <c r="T457" i="39"/>
  <c r="X437" i="22"/>
  <c r="T437" i="39"/>
  <c r="X441" i="22"/>
  <c r="T441" i="39"/>
  <c r="X448" i="22"/>
  <c r="T448" i="39"/>
  <c r="X453" i="22"/>
  <c r="T453" i="39"/>
  <c r="AI435" i="22"/>
  <c r="AL435" i="22" s="1"/>
  <c r="Y435" i="39"/>
  <c r="AI439" i="22"/>
  <c r="AL439" i="22" s="1"/>
  <c r="Y439" i="39"/>
  <c r="AI441" i="22"/>
  <c r="AL441" i="22" s="1"/>
  <c r="Y441" i="39"/>
  <c r="AI443" i="22"/>
  <c r="AL443" i="22" s="1"/>
  <c r="Y443" i="39"/>
  <c r="AI448" i="22"/>
  <c r="AL448" i="22" s="1"/>
  <c r="Y448" i="39"/>
  <c r="Y450" i="22"/>
  <c r="U450" i="39"/>
  <c r="AI434" i="22"/>
  <c r="AL434" i="22" s="1"/>
  <c r="Y434" i="39"/>
  <c r="AI436" i="22"/>
  <c r="AL436" i="22" s="1"/>
  <c r="Y436" i="39"/>
  <c r="AI438" i="22"/>
  <c r="AL438" i="22" s="1"/>
  <c r="Y438" i="39"/>
  <c r="AI440" i="22"/>
  <c r="AL440" i="22" s="1"/>
  <c r="Y440" i="39"/>
  <c r="AI442" i="22"/>
  <c r="AL442" i="22" s="1"/>
  <c r="Y442" i="39"/>
  <c r="AI444" i="22"/>
  <c r="AL444" i="22" s="1"/>
  <c r="Y444" i="39"/>
  <c r="AI447" i="22"/>
  <c r="AL447" i="22" s="1"/>
  <c r="Y447" i="39"/>
  <c r="Y449" i="22"/>
  <c r="U449" i="39"/>
  <c r="Y451" i="22"/>
  <c r="U451" i="39"/>
  <c r="Y457" i="22"/>
  <c r="U457" i="39"/>
  <c r="F244" i="22"/>
  <c r="F244" i="39" s="1"/>
  <c r="H244" i="22"/>
  <c r="H244" i="39" s="1"/>
  <c r="F245" i="22"/>
  <c r="F245" i="39" s="1"/>
  <c r="H245" i="22"/>
  <c r="H245" i="39" s="1"/>
  <c r="F246" i="22"/>
  <c r="F246" i="39" s="1"/>
  <c r="H246" i="22"/>
  <c r="H246" i="39" s="1"/>
  <c r="F247" i="22"/>
  <c r="F247" i="39" s="1"/>
  <c r="H247" i="22"/>
  <c r="H247" i="39" s="1"/>
  <c r="F248" i="22"/>
  <c r="F248" i="39" s="1"/>
  <c r="H248" i="22"/>
  <c r="H248" i="39" s="1"/>
  <c r="F249" i="22"/>
  <c r="F249" i="39" s="1"/>
  <c r="H249" i="22"/>
  <c r="H249" i="39" s="1"/>
  <c r="F251" i="22"/>
  <c r="F251" i="39" s="1"/>
  <c r="H251" i="22"/>
  <c r="H251" i="39" s="1"/>
  <c r="U205" i="22"/>
  <c r="T205" i="22"/>
  <c r="U201" i="22"/>
  <c r="T201" i="22"/>
  <c r="U199" i="22"/>
  <c r="T199" i="22"/>
  <c r="U198" i="22"/>
  <c r="T198" i="22"/>
  <c r="U197" i="22"/>
  <c r="T197" i="22"/>
  <c r="U196" i="22"/>
  <c r="T196" i="22"/>
  <c r="U195" i="22"/>
  <c r="T195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77" i="22"/>
  <c r="T177" i="22"/>
  <c r="U149" i="22"/>
  <c r="T149" i="22"/>
  <c r="U130" i="22"/>
  <c r="T130" i="22"/>
  <c r="U129" i="22"/>
  <c r="T129" i="22"/>
  <c r="U128" i="22"/>
  <c r="T128" i="22"/>
  <c r="U127" i="22"/>
  <c r="T127" i="22"/>
  <c r="U126" i="22"/>
  <c r="T126" i="22"/>
  <c r="X541" i="39" l="1"/>
  <c r="Y541" i="39"/>
  <c r="AI877" i="22"/>
  <c r="AL877" i="22" s="1"/>
  <c r="Y877" i="39"/>
  <c r="AI869" i="22"/>
  <c r="AL869" i="22" s="1"/>
  <c r="Y869" i="39"/>
  <c r="AI864" i="22"/>
  <c r="AL864" i="22" s="1"/>
  <c r="Y864" i="39"/>
  <c r="AI860" i="22"/>
  <c r="AL860" i="22" s="1"/>
  <c r="Y860" i="39"/>
  <c r="AI856" i="22"/>
  <c r="AL856" i="22" s="1"/>
  <c r="Y856" i="39"/>
  <c r="AI845" i="22"/>
  <c r="AL845" i="22" s="1"/>
  <c r="Y845" i="39"/>
  <c r="AI840" i="22"/>
  <c r="AL840" i="22" s="1"/>
  <c r="Y840" i="39"/>
  <c r="AI835" i="22"/>
  <c r="AL835" i="22" s="1"/>
  <c r="Y835" i="39"/>
  <c r="AI831" i="22"/>
  <c r="AL831" i="22" s="1"/>
  <c r="Y831" i="39"/>
  <c r="AI827" i="22"/>
  <c r="AL827" i="22" s="1"/>
  <c r="Y827" i="39"/>
  <c r="AC873" i="22"/>
  <c r="AG873" i="22" s="1"/>
  <c r="X873" i="39"/>
  <c r="AC836" i="22"/>
  <c r="AG836" i="22" s="1"/>
  <c r="X836" i="39"/>
  <c r="AC826" i="22"/>
  <c r="AG826" i="22" s="1"/>
  <c r="X826" i="39"/>
  <c r="AC871" i="22"/>
  <c r="AG871" i="22" s="1"/>
  <c r="X871" i="39"/>
  <c r="AC867" i="22"/>
  <c r="AG867" i="22" s="1"/>
  <c r="X867" i="39"/>
  <c r="AC862" i="22"/>
  <c r="AG862" i="22" s="1"/>
  <c r="X862" i="39"/>
  <c r="AC858" i="22"/>
  <c r="AG858" i="22" s="1"/>
  <c r="X858" i="39"/>
  <c r="AC854" i="22"/>
  <c r="AG854" i="22" s="1"/>
  <c r="X854" i="39"/>
  <c r="AC842" i="22"/>
  <c r="AG842" i="22" s="1"/>
  <c r="X842" i="39"/>
  <c r="AC837" i="22"/>
  <c r="AG837" i="22" s="1"/>
  <c r="X837" i="39"/>
  <c r="AC833" i="22"/>
  <c r="AG833" i="22" s="1"/>
  <c r="X833" i="39"/>
  <c r="AC829" i="22"/>
  <c r="AG829" i="22" s="1"/>
  <c r="X829" i="39"/>
  <c r="AC843" i="22"/>
  <c r="AG843" i="22" s="1"/>
  <c r="X843" i="39"/>
  <c r="AC828" i="22"/>
  <c r="AG828" i="22" s="1"/>
  <c r="X828" i="39"/>
  <c r="AI870" i="22"/>
  <c r="AL870" i="22" s="1"/>
  <c r="Y870" i="39"/>
  <c r="AI865" i="22"/>
  <c r="AL865" i="22" s="1"/>
  <c r="Y865" i="39"/>
  <c r="AI861" i="22"/>
  <c r="AL861" i="22" s="1"/>
  <c r="Y861" i="39"/>
  <c r="AI857" i="22"/>
  <c r="AL857" i="22" s="1"/>
  <c r="Y857" i="39"/>
  <c r="AI849" i="22"/>
  <c r="AL849" i="22" s="1"/>
  <c r="Y849" i="39"/>
  <c r="AI841" i="22"/>
  <c r="AL841" i="22" s="1"/>
  <c r="Y841" i="39"/>
  <c r="AI836" i="22"/>
  <c r="AL836" i="22" s="1"/>
  <c r="Y836" i="39"/>
  <c r="AI832" i="22"/>
  <c r="AL832" i="22" s="1"/>
  <c r="Y832" i="39"/>
  <c r="AI828" i="22"/>
  <c r="AL828" i="22" s="1"/>
  <c r="Y828" i="39"/>
  <c r="AC868" i="22"/>
  <c r="AG868" i="22" s="1"/>
  <c r="X868" i="39"/>
  <c r="AC863" i="22"/>
  <c r="AG863" i="22" s="1"/>
  <c r="X863" i="39"/>
  <c r="AC859" i="22"/>
  <c r="AG859" i="22" s="1"/>
  <c r="X859" i="39"/>
  <c r="AC855" i="22"/>
  <c r="AG855" i="22" s="1"/>
  <c r="X855" i="39"/>
  <c r="AC839" i="22"/>
  <c r="AG839" i="22" s="1"/>
  <c r="X839" i="39"/>
  <c r="AI871" i="22"/>
  <c r="AL871" i="22" s="1"/>
  <c r="Y871" i="39"/>
  <c r="AI867" i="22"/>
  <c r="AL867" i="22" s="1"/>
  <c r="Y867" i="39"/>
  <c r="AI862" i="22"/>
  <c r="AL862" i="22" s="1"/>
  <c r="Y862" i="39"/>
  <c r="AI858" i="22"/>
  <c r="AL858" i="22" s="1"/>
  <c r="Y858" i="39"/>
  <c r="AI854" i="22"/>
  <c r="AL854" i="22" s="1"/>
  <c r="Y854" i="39"/>
  <c r="AI842" i="22"/>
  <c r="AL842" i="22" s="1"/>
  <c r="Y842" i="39"/>
  <c r="AI837" i="22"/>
  <c r="AL837" i="22" s="1"/>
  <c r="Y837" i="39"/>
  <c r="AI833" i="22"/>
  <c r="AL833" i="22" s="1"/>
  <c r="Y833" i="39"/>
  <c r="AI829" i="22"/>
  <c r="AL829" i="22" s="1"/>
  <c r="Y829" i="39"/>
  <c r="AC849" i="22"/>
  <c r="AG849" i="22" s="1"/>
  <c r="X849" i="39"/>
  <c r="AC830" i="22"/>
  <c r="AG830" i="22" s="1"/>
  <c r="X830" i="39"/>
  <c r="AC877" i="22"/>
  <c r="AG877" i="22" s="1"/>
  <c r="X877" i="39"/>
  <c r="AC869" i="22"/>
  <c r="AG869" i="22" s="1"/>
  <c r="X869" i="39"/>
  <c r="AC864" i="22"/>
  <c r="AG864" i="22" s="1"/>
  <c r="X864" i="39"/>
  <c r="AC860" i="22"/>
  <c r="AG860" i="22" s="1"/>
  <c r="X860" i="39"/>
  <c r="AC856" i="22"/>
  <c r="AG856" i="22" s="1"/>
  <c r="X856" i="39"/>
  <c r="AC845" i="22"/>
  <c r="AG845" i="22" s="1"/>
  <c r="X845" i="39"/>
  <c r="AC840" i="22"/>
  <c r="AG840" i="22" s="1"/>
  <c r="X840" i="39"/>
  <c r="AC835" i="22"/>
  <c r="AG835" i="22" s="1"/>
  <c r="X835" i="39"/>
  <c r="AC831" i="22"/>
  <c r="AG831" i="22" s="1"/>
  <c r="X831" i="39"/>
  <c r="AC827" i="22"/>
  <c r="AG827" i="22" s="1"/>
  <c r="X827" i="39"/>
  <c r="AC870" i="22"/>
  <c r="AG870" i="22" s="1"/>
  <c r="X870" i="39"/>
  <c r="AC834" i="22"/>
  <c r="AG834" i="22" s="1"/>
  <c r="X834" i="39"/>
  <c r="AI873" i="22"/>
  <c r="AL873" i="22" s="1"/>
  <c r="Y873" i="39"/>
  <c r="AI868" i="22"/>
  <c r="AL868" i="22" s="1"/>
  <c r="Y868" i="39"/>
  <c r="AI863" i="22"/>
  <c r="AL863" i="22" s="1"/>
  <c r="Y863" i="39"/>
  <c r="AI859" i="22"/>
  <c r="AL859" i="22" s="1"/>
  <c r="Y859" i="39"/>
  <c r="AI855" i="22"/>
  <c r="AL855" i="22" s="1"/>
  <c r="Y855" i="39"/>
  <c r="AI843" i="22"/>
  <c r="AL843" i="22" s="1"/>
  <c r="Y843" i="39"/>
  <c r="AI839" i="22"/>
  <c r="AL839" i="22" s="1"/>
  <c r="Y839" i="39"/>
  <c r="AI834" i="22"/>
  <c r="AL834" i="22" s="1"/>
  <c r="Y834" i="39"/>
  <c r="AI830" i="22"/>
  <c r="AL830" i="22" s="1"/>
  <c r="Y830" i="39"/>
  <c r="AI826" i="22"/>
  <c r="AL826" i="22" s="1"/>
  <c r="Y826" i="39"/>
  <c r="AC865" i="22"/>
  <c r="AG865" i="22" s="1"/>
  <c r="X865" i="39"/>
  <c r="AC861" i="22"/>
  <c r="AG861" i="22" s="1"/>
  <c r="X861" i="39"/>
  <c r="AC857" i="22"/>
  <c r="AG857" i="22" s="1"/>
  <c r="X857" i="39"/>
  <c r="AC841" i="22"/>
  <c r="AG841" i="22" s="1"/>
  <c r="X841" i="39"/>
  <c r="AC832" i="22"/>
  <c r="AG832" i="22" s="1"/>
  <c r="X832" i="39"/>
  <c r="AI765" i="22"/>
  <c r="AL765" i="22" s="1"/>
  <c r="Y765" i="39"/>
  <c r="AI757" i="22"/>
  <c r="AL757" i="22" s="1"/>
  <c r="Y757" i="39"/>
  <c r="AI752" i="22"/>
  <c r="AL752" i="22" s="1"/>
  <c r="Y752" i="39"/>
  <c r="AI748" i="22"/>
  <c r="AL748" i="22" s="1"/>
  <c r="Y748" i="39"/>
  <c r="AI744" i="22"/>
  <c r="AL744" i="22" s="1"/>
  <c r="Y744" i="39"/>
  <c r="AC765" i="22"/>
  <c r="AG765" i="22" s="1"/>
  <c r="X765" i="39"/>
  <c r="AC757" i="22"/>
  <c r="AG757" i="22" s="1"/>
  <c r="X757" i="39"/>
  <c r="AC752" i="22"/>
  <c r="AG752" i="22" s="1"/>
  <c r="X752" i="39"/>
  <c r="AC748" i="22"/>
  <c r="AG748" i="22" s="1"/>
  <c r="X748" i="39"/>
  <c r="AC744" i="22"/>
  <c r="AG744" i="22" s="1"/>
  <c r="X744" i="39"/>
  <c r="AI761" i="22"/>
  <c r="AL761" i="22" s="1"/>
  <c r="Y761" i="39"/>
  <c r="AI756" i="22"/>
  <c r="AL756" i="22" s="1"/>
  <c r="Y756" i="39"/>
  <c r="AI751" i="22"/>
  <c r="AL751" i="22" s="1"/>
  <c r="Y751" i="39"/>
  <c r="AI747" i="22"/>
  <c r="AL747" i="22" s="1"/>
  <c r="Y747" i="39"/>
  <c r="AI743" i="22"/>
  <c r="AL743" i="22" s="1"/>
  <c r="Y743" i="39"/>
  <c r="AC758" i="22"/>
  <c r="AG758" i="22" s="1"/>
  <c r="X758" i="39"/>
  <c r="AC753" i="22"/>
  <c r="AG753" i="22" s="1"/>
  <c r="X753" i="39"/>
  <c r="AC749" i="22"/>
  <c r="AG749" i="22" s="1"/>
  <c r="X749" i="39"/>
  <c r="AC745" i="22"/>
  <c r="AG745" i="22" s="1"/>
  <c r="X745" i="39"/>
  <c r="AI759" i="22"/>
  <c r="AL759" i="22" s="1"/>
  <c r="Y759" i="39"/>
  <c r="AI755" i="22"/>
  <c r="AL755" i="22" s="1"/>
  <c r="Y755" i="39"/>
  <c r="AI750" i="22"/>
  <c r="AL750" i="22" s="1"/>
  <c r="Y750" i="39"/>
  <c r="AI746" i="22"/>
  <c r="AL746" i="22" s="1"/>
  <c r="Y746" i="39"/>
  <c r="AI742" i="22"/>
  <c r="AL742" i="22" s="1"/>
  <c r="Y742" i="39"/>
  <c r="AC759" i="22"/>
  <c r="AG759" i="22" s="1"/>
  <c r="X759" i="39"/>
  <c r="AC755" i="22"/>
  <c r="AG755" i="22" s="1"/>
  <c r="X755" i="39"/>
  <c r="AC750" i="22"/>
  <c r="AG750" i="22" s="1"/>
  <c r="X750" i="39"/>
  <c r="AC746" i="22"/>
  <c r="AG746" i="22" s="1"/>
  <c r="X746" i="39"/>
  <c r="AC742" i="22"/>
  <c r="AG742" i="22" s="1"/>
  <c r="X742" i="39"/>
  <c r="AI758" i="22"/>
  <c r="AL758" i="22" s="1"/>
  <c r="Y758" i="39"/>
  <c r="AI753" i="22"/>
  <c r="AL753" i="22" s="1"/>
  <c r="Y753" i="39"/>
  <c r="AI749" i="22"/>
  <c r="AL749" i="22" s="1"/>
  <c r="Y749" i="39"/>
  <c r="AI745" i="22"/>
  <c r="AL745" i="22" s="1"/>
  <c r="Y745" i="39"/>
  <c r="AC761" i="22"/>
  <c r="AG761" i="22" s="1"/>
  <c r="X761" i="39"/>
  <c r="AC756" i="22"/>
  <c r="AG756" i="22" s="1"/>
  <c r="X756" i="39"/>
  <c r="AC751" i="22"/>
  <c r="AG751" i="22" s="1"/>
  <c r="X751" i="39"/>
  <c r="AC747" i="22"/>
  <c r="AG747" i="22" s="1"/>
  <c r="X747" i="39"/>
  <c r="AC743" i="22"/>
  <c r="AG743" i="22" s="1"/>
  <c r="X743" i="39"/>
  <c r="AI733" i="22"/>
  <c r="AL733" i="22" s="1"/>
  <c r="AI728" i="22"/>
  <c r="AL728" i="22" s="1"/>
  <c r="AI723" i="22"/>
  <c r="AL723" i="22" s="1"/>
  <c r="Y723" i="39"/>
  <c r="AI719" i="22"/>
  <c r="AL719" i="22" s="1"/>
  <c r="Y719" i="39"/>
  <c r="AI715" i="22"/>
  <c r="AL715" i="22" s="1"/>
  <c r="Y715" i="39"/>
  <c r="AC727" i="22"/>
  <c r="AG727" i="22" s="1"/>
  <c r="AC714" i="22"/>
  <c r="AG714" i="22" s="1"/>
  <c r="X714" i="39"/>
  <c r="AC730" i="22"/>
  <c r="AG730" i="22" s="1"/>
  <c r="AC725" i="22"/>
  <c r="AG725" i="22" s="1"/>
  <c r="X725" i="39"/>
  <c r="AC721" i="22"/>
  <c r="AG721" i="22" s="1"/>
  <c r="X721" i="39"/>
  <c r="AC717" i="22"/>
  <c r="AG717" i="22" s="1"/>
  <c r="X717" i="39"/>
  <c r="AC737" i="22"/>
  <c r="AG737" i="22" s="1"/>
  <c r="X737" i="39"/>
  <c r="AC718" i="22"/>
  <c r="AG718" i="22" s="1"/>
  <c r="X718" i="39"/>
  <c r="AI731" i="22"/>
  <c r="AL731" i="22" s="1"/>
  <c r="AI727" i="22"/>
  <c r="AL727" i="22" s="1"/>
  <c r="AI722" i="22"/>
  <c r="AL722" i="22" s="1"/>
  <c r="Y722" i="39"/>
  <c r="AI718" i="22"/>
  <c r="AL718" i="22" s="1"/>
  <c r="Y718" i="39"/>
  <c r="AI714" i="22"/>
  <c r="AL714" i="22" s="1"/>
  <c r="Y714" i="39"/>
  <c r="AC722" i="22"/>
  <c r="AG722" i="22" s="1"/>
  <c r="X722" i="39"/>
  <c r="AI730" i="22"/>
  <c r="AL730" i="22" s="1"/>
  <c r="AI725" i="22"/>
  <c r="AL725" i="22" s="1"/>
  <c r="Y725" i="39"/>
  <c r="AI721" i="22"/>
  <c r="AL721" i="22" s="1"/>
  <c r="Y721" i="39"/>
  <c r="AI717" i="22"/>
  <c r="AL717" i="22" s="1"/>
  <c r="Y717" i="39"/>
  <c r="AC731" i="22"/>
  <c r="AG731" i="22" s="1"/>
  <c r="AC720" i="22"/>
  <c r="AG720" i="22" s="1"/>
  <c r="X720" i="39"/>
  <c r="AC733" i="22"/>
  <c r="AG733" i="22" s="1"/>
  <c r="AC728" i="22"/>
  <c r="AG728" i="22" s="1"/>
  <c r="AC723" i="22"/>
  <c r="AG723" i="22" s="1"/>
  <c r="X723" i="39"/>
  <c r="AC719" i="22"/>
  <c r="AG719" i="22" s="1"/>
  <c r="X719" i="39"/>
  <c r="AC715" i="22"/>
  <c r="AG715" i="22" s="1"/>
  <c r="X715" i="39"/>
  <c r="AC724" i="22"/>
  <c r="AG724" i="22" s="1"/>
  <c r="X724" i="39"/>
  <c r="AI737" i="22"/>
  <c r="AL737" i="22" s="1"/>
  <c r="Y737" i="39"/>
  <c r="AI729" i="22"/>
  <c r="AL729" i="22" s="1"/>
  <c r="AI724" i="22"/>
  <c r="AL724" i="22" s="1"/>
  <c r="Y724" i="39"/>
  <c r="AI720" i="22"/>
  <c r="AL720" i="22" s="1"/>
  <c r="Y720" i="39"/>
  <c r="AI716" i="22"/>
  <c r="AL716" i="22" s="1"/>
  <c r="Y716" i="39"/>
  <c r="AC729" i="22"/>
  <c r="AG729" i="22" s="1"/>
  <c r="AC716" i="22"/>
  <c r="AG716" i="22" s="1"/>
  <c r="X716" i="39"/>
  <c r="AI565" i="22"/>
  <c r="AL565" i="22" s="1"/>
  <c r="Y565" i="39"/>
  <c r="AI547" i="22"/>
  <c r="AL547" i="22" s="1"/>
  <c r="Y547" i="39"/>
  <c r="AI569" i="22"/>
  <c r="AL569" i="22" s="1"/>
  <c r="Y569" i="39"/>
  <c r="AI556" i="22"/>
  <c r="AL556" i="22" s="1"/>
  <c r="Y556" i="39"/>
  <c r="AC556" i="22"/>
  <c r="AG556" i="22" s="1"/>
  <c r="X556" i="39"/>
  <c r="AI555" i="22"/>
  <c r="AL555" i="22" s="1"/>
  <c r="Y555" i="39"/>
  <c r="AC557" i="22"/>
  <c r="AG557" i="22" s="1"/>
  <c r="X557" i="39"/>
  <c r="AI552" i="22"/>
  <c r="AL552" i="22" s="1"/>
  <c r="Y552" i="39"/>
  <c r="AC548" i="22"/>
  <c r="AG548" i="22" s="1"/>
  <c r="X548" i="39"/>
  <c r="AI560" i="22"/>
  <c r="AL560" i="22" s="1"/>
  <c r="Y560" i="39"/>
  <c r="AI551" i="22"/>
  <c r="AL551" i="22" s="1"/>
  <c r="Y551" i="39"/>
  <c r="AC562" i="22"/>
  <c r="AG562" i="22" s="1"/>
  <c r="X562" i="39"/>
  <c r="AC553" i="22"/>
  <c r="AG553" i="22" s="1"/>
  <c r="X553" i="39"/>
  <c r="AC549" i="22"/>
  <c r="AG549" i="22" s="1"/>
  <c r="X549" i="39"/>
  <c r="AI561" i="22"/>
  <c r="AL561" i="22" s="1"/>
  <c r="Y561" i="39"/>
  <c r="AI548" i="22"/>
  <c r="AL548" i="22" s="1"/>
  <c r="Y548" i="39"/>
  <c r="AC569" i="22"/>
  <c r="AG569" i="22" s="1"/>
  <c r="X569" i="39"/>
  <c r="AC561" i="22"/>
  <c r="AG561" i="22" s="1"/>
  <c r="X561" i="39"/>
  <c r="AC552" i="22"/>
  <c r="AG552" i="22" s="1"/>
  <c r="X552" i="39"/>
  <c r="AI562" i="22"/>
  <c r="AL562" i="22" s="1"/>
  <c r="Y562" i="39"/>
  <c r="AI557" i="22"/>
  <c r="AL557" i="22" s="1"/>
  <c r="Y557" i="39"/>
  <c r="AI553" i="22"/>
  <c r="AL553" i="22" s="1"/>
  <c r="Y553" i="39"/>
  <c r="AI549" i="22"/>
  <c r="AL549" i="22" s="1"/>
  <c r="Y549" i="39"/>
  <c r="AC565" i="22"/>
  <c r="AG565" i="22" s="1"/>
  <c r="X565" i="39"/>
  <c r="AC560" i="22"/>
  <c r="AG560" i="22" s="1"/>
  <c r="X560" i="39"/>
  <c r="AC555" i="22"/>
  <c r="AG555" i="22" s="1"/>
  <c r="X555" i="39"/>
  <c r="AC551" i="22"/>
  <c r="AG551" i="22" s="1"/>
  <c r="X551" i="39"/>
  <c r="AC547" i="22"/>
  <c r="AG547" i="22" s="1"/>
  <c r="X547" i="39"/>
  <c r="AI563" i="22"/>
  <c r="AL563" i="22" s="1"/>
  <c r="Y563" i="39"/>
  <c r="AI559" i="22"/>
  <c r="AL559" i="22" s="1"/>
  <c r="Y559" i="39"/>
  <c r="AI554" i="22"/>
  <c r="AL554" i="22" s="1"/>
  <c r="Y554" i="39"/>
  <c r="AI550" i="22"/>
  <c r="AL550" i="22" s="1"/>
  <c r="Y550" i="39"/>
  <c r="AI546" i="22"/>
  <c r="AL546" i="22" s="1"/>
  <c r="Y546" i="39"/>
  <c r="AC563" i="22"/>
  <c r="AG563" i="22" s="1"/>
  <c r="X563" i="39"/>
  <c r="AC559" i="22"/>
  <c r="AG559" i="22" s="1"/>
  <c r="X559" i="39"/>
  <c r="AC554" i="22"/>
  <c r="AG554" i="22" s="1"/>
  <c r="X554" i="39"/>
  <c r="AC550" i="22"/>
  <c r="AG550" i="22" s="1"/>
  <c r="X550" i="39"/>
  <c r="AC546" i="22"/>
  <c r="AG546" i="22" s="1"/>
  <c r="X546" i="39"/>
  <c r="AC525" i="22"/>
  <c r="AG525" i="22" s="1"/>
  <c r="X525" i="39"/>
  <c r="AI535" i="22"/>
  <c r="AL535" i="22" s="1"/>
  <c r="Y535" i="39"/>
  <c r="AI531" i="22"/>
  <c r="AL531" i="22" s="1"/>
  <c r="Y531" i="39"/>
  <c r="AI526" i="22"/>
  <c r="AL526" i="22" s="1"/>
  <c r="Y526" i="39"/>
  <c r="AI522" i="22"/>
  <c r="AL522" i="22" s="1"/>
  <c r="Y522" i="39"/>
  <c r="AI518" i="22"/>
  <c r="AL518" i="22" s="1"/>
  <c r="Y518" i="39"/>
  <c r="AC533" i="22"/>
  <c r="AG533" i="22" s="1"/>
  <c r="X533" i="39"/>
  <c r="AC528" i="22"/>
  <c r="AG528" i="22" s="1"/>
  <c r="X528" i="39"/>
  <c r="AC524" i="22"/>
  <c r="AG524" i="22" s="1"/>
  <c r="X524" i="39"/>
  <c r="AC520" i="22"/>
  <c r="AG520" i="22" s="1"/>
  <c r="X520" i="39"/>
  <c r="AI537" i="22"/>
  <c r="AL537" i="22" s="1"/>
  <c r="Y537" i="39"/>
  <c r="AI532" i="22"/>
  <c r="AL532" i="22" s="1"/>
  <c r="Y532" i="39"/>
  <c r="AI527" i="22"/>
  <c r="AL527" i="22" s="1"/>
  <c r="Y527" i="39"/>
  <c r="AI523" i="22"/>
  <c r="AL523" i="22" s="1"/>
  <c r="Y523" i="39"/>
  <c r="AI519" i="22"/>
  <c r="AL519" i="22" s="1"/>
  <c r="Y519" i="39"/>
  <c r="AC534" i="22"/>
  <c r="AG534" i="22" s="1"/>
  <c r="X534" i="39"/>
  <c r="AC521" i="22"/>
  <c r="AG521" i="22" s="1"/>
  <c r="X521" i="39"/>
  <c r="AC529" i="22"/>
  <c r="AG529" i="22" s="1"/>
  <c r="X529" i="39"/>
  <c r="AI533" i="22"/>
  <c r="AL533" i="22" s="1"/>
  <c r="Y533" i="39"/>
  <c r="AI528" i="22"/>
  <c r="AL528" i="22" s="1"/>
  <c r="Y528" i="39"/>
  <c r="AI524" i="22"/>
  <c r="AL524" i="22" s="1"/>
  <c r="Y524" i="39"/>
  <c r="AI520" i="22"/>
  <c r="AL520" i="22" s="1"/>
  <c r="Y520" i="39"/>
  <c r="AC535" i="22"/>
  <c r="AG535" i="22" s="1"/>
  <c r="X535" i="39"/>
  <c r="AC531" i="22"/>
  <c r="AG531" i="22" s="1"/>
  <c r="X531" i="39"/>
  <c r="AC526" i="22"/>
  <c r="AG526" i="22" s="1"/>
  <c r="X526" i="39"/>
  <c r="AC522" i="22"/>
  <c r="AG522" i="22" s="1"/>
  <c r="X522" i="39"/>
  <c r="AC518" i="22"/>
  <c r="AG518" i="22" s="1"/>
  <c r="X518" i="39"/>
  <c r="AI534" i="22"/>
  <c r="AL534" i="22" s="1"/>
  <c r="Y534" i="39"/>
  <c r="AI529" i="22"/>
  <c r="AL529" i="22" s="1"/>
  <c r="Y529" i="39"/>
  <c r="AI525" i="22"/>
  <c r="AL525" i="22" s="1"/>
  <c r="Y525" i="39"/>
  <c r="AI521" i="22"/>
  <c r="AL521" i="22" s="1"/>
  <c r="Y521" i="39"/>
  <c r="AC537" i="22"/>
  <c r="AG537" i="22" s="1"/>
  <c r="X537" i="39"/>
  <c r="AC532" i="22"/>
  <c r="AG532" i="22" s="1"/>
  <c r="X532" i="39"/>
  <c r="AC527" i="22"/>
  <c r="AG527" i="22" s="1"/>
  <c r="X527" i="39"/>
  <c r="AC523" i="22"/>
  <c r="AG523" i="22" s="1"/>
  <c r="X523" i="39"/>
  <c r="AC519" i="22"/>
  <c r="AG519" i="22" s="1"/>
  <c r="X519" i="39"/>
  <c r="AI411" i="22"/>
  <c r="AL411" i="22" s="1"/>
  <c r="Y411" i="39"/>
  <c r="AI425" i="22"/>
  <c r="AL425" i="22" s="1"/>
  <c r="Y425" i="39"/>
  <c r="AI420" i="22"/>
  <c r="AL420" i="22" s="1"/>
  <c r="Y420" i="39"/>
  <c r="AI415" i="22"/>
  <c r="AL415" i="22" s="1"/>
  <c r="Y415" i="39"/>
  <c r="AI407" i="22"/>
  <c r="AL407" i="22" s="1"/>
  <c r="Y407" i="39"/>
  <c r="AI421" i="22"/>
  <c r="AL421" i="22" s="1"/>
  <c r="Y421" i="39"/>
  <c r="AI412" i="22"/>
  <c r="AL412" i="22" s="1"/>
  <c r="Y412" i="39"/>
  <c r="AC429" i="22"/>
  <c r="AG429" i="22" s="1"/>
  <c r="X429" i="39"/>
  <c r="AC416" i="22"/>
  <c r="AG416" i="22" s="1"/>
  <c r="X416" i="39"/>
  <c r="AC408" i="22"/>
  <c r="AG408" i="22" s="1"/>
  <c r="X408" i="39"/>
  <c r="AC422" i="22"/>
  <c r="AG422" i="22" s="1"/>
  <c r="X422" i="39"/>
  <c r="AC417" i="22"/>
  <c r="AG417" i="22" s="1"/>
  <c r="X417" i="39"/>
  <c r="AC413" i="22"/>
  <c r="AG413" i="22" s="1"/>
  <c r="X413" i="39"/>
  <c r="AC409" i="22"/>
  <c r="AG409" i="22" s="1"/>
  <c r="X409" i="39"/>
  <c r="AI423" i="22"/>
  <c r="AL423" i="22" s="1"/>
  <c r="Y423" i="39"/>
  <c r="AI414" i="22"/>
  <c r="AL414" i="22" s="1"/>
  <c r="Y414" i="39"/>
  <c r="AI406" i="22"/>
  <c r="AL406" i="22" s="1"/>
  <c r="Y406" i="39"/>
  <c r="AC419" i="22"/>
  <c r="AG419" i="22" s="1"/>
  <c r="X419" i="39"/>
  <c r="AC410" i="22"/>
  <c r="AG410" i="22" s="1"/>
  <c r="X410" i="39"/>
  <c r="AI422" i="22"/>
  <c r="AL422" i="22" s="1"/>
  <c r="Y422" i="39"/>
  <c r="AI417" i="22"/>
  <c r="AL417" i="22" s="1"/>
  <c r="Y417" i="39"/>
  <c r="AI413" i="22"/>
  <c r="AL413" i="22" s="1"/>
  <c r="Y413" i="39"/>
  <c r="AI409" i="22"/>
  <c r="AL409" i="22" s="1"/>
  <c r="Y409" i="39"/>
  <c r="AI429" i="22"/>
  <c r="AL429" i="22" s="1"/>
  <c r="Y429" i="39"/>
  <c r="AI416" i="22"/>
  <c r="AL416" i="22" s="1"/>
  <c r="Y416" i="39"/>
  <c r="AI408" i="22"/>
  <c r="AL408" i="22" s="1"/>
  <c r="Y408" i="39"/>
  <c r="AC421" i="22"/>
  <c r="AG421" i="22" s="1"/>
  <c r="X421" i="39"/>
  <c r="AC412" i="22"/>
  <c r="AG412" i="22" s="1"/>
  <c r="X412" i="39"/>
  <c r="AC425" i="22"/>
  <c r="AG425" i="22" s="1"/>
  <c r="X425" i="39"/>
  <c r="AC420" i="22"/>
  <c r="AG420" i="22" s="1"/>
  <c r="X420" i="39"/>
  <c r="AC415" i="22"/>
  <c r="AG415" i="22" s="1"/>
  <c r="X415" i="39"/>
  <c r="AC411" i="22"/>
  <c r="AG411" i="22" s="1"/>
  <c r="X411" i="39"/>
  <c r="AC407" i="22"/>
  <c r="AG407" i="22" s="1"/>
  <c r="X407" i="39"/>
  <c r="AI419" i="22"/>
  <c r="AL419" i="22" s="1"/>
  <c r="Y419" i="39"/>
  <c r="AI410" i="22"/>
  <c r="AL410" i="22" s="1"/>
  <c r="Y410" i="39"/>
  <c r="AC423" i="22"/>
  <c r="AG423" i="22" s="1"/>
  <c r="X423" i="39"/>
  <c r="AC414" i="22"/>
  <c r="AG414" i="22" s="1"/>
  <c r="X414" i="39"/>
  <c r="AC406" i="22"/>
  <c r="AG406" i="22" s="1"/>
  <c r="X406" i="39"/>
  <c r="AI369" i="22"/>
  <c r="AL369" i="22" s="1"/>
  <c r="Y369" i="39"/>
  <c r="AI364" i="22"/>
  <c r="AL364" i="22" s="1"/>
  <c r="Y364" i="39"/>
  <c r="AI359" i="22"/>
  <c r="AL359" i="22" s="1"/>
  <c r="Y359" i="39"/>
  <c r="AI355" i="22"/>
  <c r="AL355" i="22" s="1"/>
  <c r="Y355" i="39"/>
  <c r="AI351" i="22"/>
  <c r="AL351" i="22" s="1"/>
  <c r="Y351" i="39"/>
  <c r="AC363" i="22"/>
  <c r="AG363" i="22" s="1"/>
  <c r="X363" i="39"/>
  <c r="AC369" i="22"/>
  <c r="AG369" i="22" s="1"/>
  <c r="X369" i="39"/>
  <c r="AC364" i="22"/>
  <c r="AG364" i="22" s="1"/>
  <c r="X364" i="39"/>
  <c r="AC359" i="22"/>
  <c r="AG359" i="22" s="1"/>
  <c r="X359" i="39"/>
  <c r="AC355" i="22"/>
  <c r="AG355" i="22" s="1"/>
  <c r="X355" i="39"/>
  <c r="AC351" i="22"/>
  <c r="AG351" i="22" s="1"/>
  <c r="X351" i="39"/>
  <c r="AC360" i="22"/>
  <c r="AG360" i="22" s="1"/>
  <c r="X360" i="39"/>
  <c r="AC350" i="22"/>
  <c r="AG350" i="22" s="1"/>
  <c r="X350" i="39"/>
  <c r="AI367" i="22"/>
  <c r="AL367" i="22" s="1"/>
  <c r="Y367" i="39"/>
  <c r="AI363" i="22"/>
  <c r="AL363" i="22" s="1"/>
  <c r="Y363" i="39"/>
  <c r="AI358" i="22"/>
  <c r="AL358" i="22" s="1"/>
  <c r="Y358" i="39"/>
  <c r="AI354" i="22"/>
  <c r="AL354" i="22" s="1"/>
  <c r="Y354" i="39"/>
  <c r="AI350" i="22"/>
  <c r="AL350" i="22" s="1"/>
  <c r="Y350" i="39"/>
  <c r="AC358" i="22"/>
  <c r="AG358" i="22" s="1"/>
  <c r="X358" i="39"/>
  <c r="AI366" i="22"/>
  <c r="AL366" i="22" s="1"/>
  <c r="Y366" i="39"/>
  <c r="AI361" i="22"/>
  <c r="AL361" i="22" s="1"/>
  <c r="Y361" i="39"/>
  <c r="AI357" i="22"/>
  <c r="AL357" i="22" s="1"/>
  <c r="Y357" i="39"/>
  <c r="AI353" i="22"/>
  <c r="AL353" i="22" s="1"/>
  <c r="Y353" i="39"/>
  <c r="AC373" i="22"/>
  <c r="AG373" i="22" s="1"/>
  <c r="X373" i="39"/>
  <c r="AC354" i="22"/>
  <c r="AG354" i="22" s="1"/>
  <c r="X354" i="39"/>
  <c r="AC366" i="22"/>
  <c r="AG366" i="22" s="1"/>
  <c r="X366" i="39"/>
  <c r="AC361" i="22"/>
  <c r="AG361" i="22" s="1"/>
  <c r="X361" i="39"/>
  <c r="AC357" i="22"/>
  <c r="AG357" i="22" s="1"/>
  <c r="X357" i="39"/>
  <c r="AC353" i="22"/>
  <c r="AG353" i="22" s="1"/>
  <c r="X353" i="39"/>
  <c r="AC365" i="22"/>
  <c r="AG365" i="22" s="1"/>
  <c r="X365" i="39"/>
  <c r="AC356" i="22"/>
  <c r="AG356" i="22" s="1"/>
  <c r="X356" i="39"/>
  <c r="AI373" i="22"/>
  <c r="AL373" i="22" s="1"/>
  <c r="Y373" i="39"/>
  <c r="AI365" i="22"/>
  <c r="AL365" i="22" s="1"/>
  <c r="Y365" i="39"/>
  <c r="AI360" i="22"/>
  <c r="AL360" i="22" s="1"/>
  <c r="Y360" i="39"/>
  <c r="AI356" i="22"/>
  <c r="AL356" i="22" s="1"/>
  <c r="Y356" i="39"/>
  <c r="AI352" i="22"/>
  <c r="AL352" i="22" s="1"/>
  <c r="Y352" i="39"/>
  <c r="AC367" i="22"/>
  <c r="AG367" i="22" s="1"/>
  <c r="X367" i="39"/>
  <c r="AC352" i="22"/>
  <c r="AG352" i="22" s="1"/>
  <c r="X352" i="39"/>
  <c r="AI345" i="22"/>
  <c r="AL345" i="22" s="1"/>
  <c r="Y345" i="39"/>
  <c r="AI337" i="22"/>
  <c r="AL337" i="22" s="1"/>
  <c r="Y337" i="39"/>
  <c r="AI332" i="22"/>
  <c r="AL332" i="22" s="1"/>
  <c r="Y332" i="39"/>
  <c r="AI328" i="22"/>
  <c r="AL328" i="22" s="1"/>
  <c r="Y328" i="39"/>
  <c r="AI324" i="22"/>
  <c r="AL324" i="22" s="1"/>
  <c r="Y324" i="39"/>
  <c r="AC345" i="22"/>
  <c r="AG345" i="22" s="1"/>
  <c r="X345" i="39"/>
  <c r="AC337" i="22"/>
  <c r="AG337" i="22" s="1"/>
  <c r="X337" i="39"/>
  <c r="AC332" i="22"/>
  <c r="AG332" i="22" s="1"/>
  <c r="X332" i="39"/>
  <c r="AC328" i="22"/>
  <c r="AG328" i="22" s="1"/>
  <c r="X328" i="39"/>
  <c r="AC324" i="22"/>
  <c r="AG324" i="22" s="1"/>
  <c r="X324" i="39"/>
  <c r="AI341" i="22"/>
  <c r="AL341" i="22" s="1"/>
  <c r="Y341" i="39"/>
  <c r="AI336" i="22"/>
  <c r="AL336" i="22" s="1"/>
  <c r="Y336" i="39"/>
  <c r="AI331" i="22"/>
  <c r="AL331" i="22" s="1"/>
  <c r="Y331" i="39"/>
  <c r="AI327" i="22"/>
  <c r="AL327" i="22" s="1"/>
  <c r="Y327" i="39"/>
  <c r="AI323" i="22"/>
  <c r="AL323" i="22" s="1"/>
  <c r="Y323" i="39"/>
  <c r="AC338" i="22"/>
  <c r="AG338" i="22" s="1"/>
  <c r="X338" i="39"/>
  <c r="AC333" i="22"/>
  <c r="AG333" i="22" s="1"/>
  <c r="X333" i="39"/>
  <c r="AC329" i="22"/>
  <c r="AG329" i="22" s="1"/>
  <c r="X329" i="39"/>
  <c r="AC325" i="22"/>
  <c r="AG325" i="22" s="1"/>
  <c r="X325" i="39"/>
  <c r="AI339" i="22"/>
  <c r="AL339" i="22" s="1"/>
  <c r="Y339" i="39"/>
  <c r="AI335" i="22"/>
  <c r="AL335" i="22" s="1"/>
  <c r="Y335" i="39"/>
  <c r="AI330" i="22"/>
  <c r="AL330" i="22" s="1"/>
  <c r="Y330" i="39"/>
  <c r="AI326" i="22"/>
  <c r="AL326" i="22" s="1"/>
  <c r="Y326" i="39"/>
  <c r="AI322" i="22"/>
  <c r="AL322" i="22" s="1"/>
  <c r="Y322" i="39"/>
  <c r="AC339" i="22"/>
  <c r="AG339" i="22" s="1"/>
  <c r="X339" i="39"/>
  <c r="AC335" i="22"/>
  <c r="AG335" i="22" s="1"/>
  <c r="X335" i="39"/>
  <c r="AC330" i="22"/>
  <c r="AG330" i="22" s="1"/>
  <c r="X330" i="39"/>
  <c r="AC326" i="22"/>
  <c r="AG326" i="22" s="1"/>
  <c r="X326" i="39"/>
  <c r="AC322" i="22"/>
  <c r="AG322" i="22" s="1"/>
  <c r="X322" i="39"/>
  <c r="AI338" i="22"/>
  <c r="AL338" i="22" s="1"/>
  <c r="Y338" i="39"/>
  <c r="AI333" i="22"/>
  <c r="AL333" i="22" s="1"/>
  <c r="Y333" i="39"/>
  <c r="AI329" i="22"/>
  <c r="AL329" i="22" s="1"/>
  <c r="Y329" i="39"/>
  <c r="AI325" i="22"/>
  <c r="AL325" i="22" s="1"/>
  <c r="Y325" i="39"/>
  <c r="AC341" i="22"/>
  <c r="AG341" i="22" s="1"/>
  <c r="X341" i="39"/>
  <c r="AC336" i="22"/>
  <c r="AG336" i="22" s="1"/>
  <c r="X336" i="39"/>
  <c r="AC331" i="22"/>
  <c r="AG331" i="22" s="1"/>
  <c r="X331" i="39"/>
  <c r="AC327" i="22"/>
  <c r="AG327" i="22" s="1"/>
  <c r="X327" i="39"/>
  <c r="AC323" i="22"/>
  <c r="AG323" i="22" s="1"/>
  <c r="X323" i="39"/>
  <c r="AI289" i="22"/>
  <c r="AL289" i="22" s="1"/>
  <c r="Y289" i="39"/>
  <c r="AI281" i="22"/>
  <c r="AL281" i="22" s="1"/>
  <c r="Y281" i="39"/>
  <c r="AI276" i="22"/>
  <c r="AL276" i="22" s="1"/>
  <c r="Y276" i="39"/>
  <c r="AI272" i="22"/>
  <c r="AL272" i="22" s="1"/>
  <c r="Y272" i="39"/>
  <c r="AI268" i="22"/>
  <c r="AL268" i="22" s="1"/>
  <c r="Y268" i="39"/>
  <c r="AC285" i="22"/>
  <c r="AG285" i="22" s="1"/>
  <c r="X285" i="39"/>
  <c r="AC283" i="22"/>
  <c r="AG283" i="22" s="1"/>
  <c r="X283" i="39"/>
  <c r="AC279" i="22"/>
  <c r="AG279" i="22" s="1"/>
  <c r="X279" i="39"/>
  <c r="AC274" i="22"/>
  <c r="AG274" i="22" s="1"/>
  <c r="X274" i="39"/>
  <c r="AC270" i="22"/>
  <c r="AG270" i="22" s="1"/>
  <c r="X270" i="39"/>
  <c r="AC273" i="22"/>
  <c r="AG273" i="22" s="1"/>
  <c r="X273" i="39"/>
  <c r="AI285" i="22"/>
  <c r="AL285" i="22" s="1"/>
  <c r="Y285" i="39"/>
  <c r="AI280" i="22"/>
  <c r="AL280" i="22" s="1"/>
  <c r="Y280" i="39"/>
  <c r="AI275" i="22"/>
  <c r="AL275" i="22" s="1"/>
  <c r="Y275" i="39"/>
  <c r="AI271" i="22"/>
  <c r="AL271" i="22" s="1"/>
  <c r="Y271" i="39"/>
  <c r="AI267" i="22"/>
  <c r="AL267" i="22" s="1"/>
  <c r="Y267" i="39"/>
  <c r="AC277" i="22"/>
  <c r="AG277" i="22" s="1"/>
  <c r="X277" i="39"/>
  <c r="AI283" i="22"/>
  <c r="AL283" i="22" s="1"/>
  <c r="Y283" i="39"/>
  <c r="AI279" i="22"/>
  <c r="AL279" i="22" s="1"/>
  <c r="Y279" i="39"/>
  <c r="AI274" i="22"/>
  <c r="AL274" i="22" s="1"/>
  <c r="Y274" i="39"/>
  <c r="AI270" i="22"/>
  <c r="AL270" i="22" s="1"/>
  <c r="Y270" i="39"/>
  <c r="AI266" i="22"/>
  <c r="AL266" i="22" s="1"/>
  <c r="Y266" i="39"/>
  <c r="AC275" i="22"/>
  <c r="AG275" i="22" s="1"/>
  <c r="X275" i="39"/>
  <c r="AC289" i="22"/>
  <c r="AG289" i="22" s="1"/>
  <c r="X289" i="39"/>
  <c r="AC281" i="22"/>
  <c r="AG281" i="22" s="1"/>
  <c r="X281" i="39"/>
  <c r="AC276" i="22"/>
  <c r="AG276" i="22" s="1"/>
  <c r="X276" i="39"/>
  <c r="AC272" i="22"/>
  <c r="AG272" i="22" s="1"/>
  <c r="X272" i="39"/>
  <c r="AC268" i="22"/>
  <c r="AG268" i="22" s="1"/>
  <c r="X268" i="39"/>
  <c r="AC280" i="22"/>
  <c r="AG280" i="22" s="1"/>
  <c r="X280" i="39"/>
  <c r="AC269" i="22"/>
  <c r="AG269" i="22" s="1"/>
  <c r="X269" i="39"/>
  <c r="AI282" i="22"/>
  <c r="AL282" i="22" s="1"/>
  <c r="Y282" i="39"/>
  <c r="AI277" i="22"/>
  <c r="AL277" i="22" s="1"/>
  <c r="Y277" i="39"/>
  <c r="AI273" i="22"/>
  <c r="AL273" i="22" s="1"/>
  <c r="Y273" i="39"/>
  <c r="AI269" i="22"/>
  <c r="AL269" i="22" s="1"/>
  <c r="Y269" i="39"/>
  <c r="AC282" i="22"/>
  <c r="AG282" i="22" s="1"/>
  <c r="X282" i="39"/>
  <c r="AC271" i="22"/>
  <c r="AG271" i="22" s="1"/>
  <c r="X271" i="39"/>
  <c r="AI257" i="22"/>
  <c r="AL257" i="22" s="1"/>
  <c r="Y257" i="39"/>
  <c r="AI252" i="22"/>
  <c r="AL252" i="22" s="1"/>
  <c r="Y252" i="39"/>
  <c r="AI247" i="22"/>
  <c r="AL247" i="22" s="1"/>
  <c r="Y247" i="39"/>
  <c r="AI243" i="22"/>
  <c r="AL243" i="22" s="1"/>
  <c r="Y243" i="39"/>
  <c r="AI239" i="22"/>
  <c r="AL239" i="22" s="1"/>
  <c r="Y239" i="39"/>
  <c r="AC246" i="22"/>
  <c r="AG246" i="22" s="1"/>
  <c r="X246" i="39"/>
  <c r="AC257" i="22"/>
  <c r="AG257" i="22" s="1"/>
  <c r="X257" i="39"/>
  <c r="AC252" i="22"/>
  <c r="AG252" i="22" s="1"/>
  <c r="X252" i="39"/>
  <c r="AC247" i="22"/>
  <c r="AG247" i="22" s="1"/>
  <c r="X247" i="39"/>
  <c r="AC243" i="22"/>
  <c r="AG243" i="22" s="1"/>
  <c r="X243" i="39"/>
  <c r="AC239" i="22"/>
  <c r="AG239" i="22" s="1"/>
  <c r="X239" i="39"/>
  <c r="AC251" i="22"/>
  <c r="AG251" i="22" s="1"/>
  <c r="X251" i="39"/>
  <c r="AC238" i="22"/>
  <c r="AG238" i="22" s="1"/>
  <c r="X238" i="39"/>
  <c r="AI255" i="22"/>
  <c r="AL255" i="22" s="1"/>
  <c r="Y255" i="39"/>
  <c r="AI251" i="22"/>
  <c r="AL251" i="22" s="1"/>
  <c r="Y251" i="39"/>
  <c r="AI246" i="22"/>
  <c r="AL246" i="22" s="1"/>
  <c r="Y246" i="39"/>
  <c r="AI242" i="22"/>
  <c r="AL242" i="22" s="1"/>
  <c r="Y242" i="39"/>
  <c r="AI238" i="22"/>
  <c r="AL238" i="22" s="1"/>
  <c r="Y238" i="39"/>
  <c r="AC248" i="22"/>
  <c r="AG248" i="22" s="1"/>
  <c r="X248" i="39"/>
  <c r="AI254" i="22"/>
  <c r="AL254" i="22" s="1"/>
  <c r="Y254" i="39"/>
  <c r="AI249" i="22"/>
  <c r="AL249" i="22" s="1"/>
  <c r="Y249" i="39"/>
  <c r="AI245" i="22"/>
  <c r="AL245" i="22" s="1"/>
  <c r="Y245" i="39"/>
  <c r="AI241" i="22"/>
  <c r="AL241" i="22" s="1"/>
  <c r="Y241" i="39"/>
  <c r="AC253" i="22"/>
  <c r="AG253" i="22" s="1"/>
  <c r="X253" i="39"/>
  <c r="AC240" i="22"/>
  <c r="AG240" i="22" s="1"/>
  <c r="X240" i="39"/>
  <c r="AC254" i="22"/>
  <c r="AG254" i="22" s="1"/>
  <c r="X254" i="39"/>
  <c r="AC249" i="22"/>
  <c r="AG249" i="22" s="1"/>
  <c r="X249" i="39"/>
  <c r="AC245" i="22"/>
  <c r="AG245" i="22" s="1"/>
  <c r="X245" i="39"/>
  <c r="AC241" i="22"/>
  <c r="AG241" i="22" s="1"/>
  <c r="X241" i="39"/>
  <c r="AC261" i="22"/>
  <c r="AG261" i="22" s="1"/>
  <c r="X261" i="39"/>
  <c r="AC244" i="22"/>
  <c r="AG244" i="22" s="1"/>
  <c r="X244" i="39"/>
  <c r="AI261" i="22"/>
  <c r="AL261" i="22" s="1"/>
  <c r="Y261" i="39"/>
  <c r="AI253" i="22"/>
  <c r="AL253" i="22" s="1"/>
  <c r="Y253" i="39"/>
  <c r="AI248" i="22"/>
  <c r="AL248" i="22" s="1"/>
  <c r="Y248" i="39"/>
  <c r="AI244" i="22"/>
  <c r="AL244" i="22" s="1"/>
  <c r="Y244" i="39"/>
  <c r="AI240" i="22"/>
  <c r="AL240" i="22" s="1"/>
  <c r="Y240" i="39"/>
  <c r="AC255" i="22"/>
  <c r="AG255" i="22" s="1"/>
  <c r="X255" i="39"/>
  <c r="AC242" i="22"/>
  <c r="AG242" i="22" s="1"/>
  <c r="X242" i="39"/>
  <c r="AC226" i="22"/>
  <c r="AG226" i="22" s="1"/>
  <c r="X226" i="39"/>
  <c r="AC221" i="22"/>
  <c r="AG221" i="22" s="1"/>
  <c r="X221" i="39"/>
  <c r="AC217" i="22"/>
  <c r="AG217" i="22" s="1"/>
  <c r="X217" i="39"/>
  <c r="AC213" i="22"/>
  <c r="AG213" i="22" s="1"/>
  <c r="X213" i="39"/>
  <c r="AC233" i="22"/>
  <c r="AG233" i="22" s="1"/>
  <c r="X233" i="39"/>
  <c r="AC225" i="22"/>
  <c r="AG225" i="22" s="1"/>
  <c r="X225" i="39"/>
  <c r="AC220" i="22"/>
  <c r="AG220" i="22" s="1"/>
  <c r="X220" i="39"/>
  <c r="AC216" i="22"/>
  <c r="AG216" i="22" s="1"/>
  <c r="X216" i="39"/>
  <c r="AC212" i="22"/>
  <c r="AG212" i="22" s="1"/>
  <c r="X212" i="39"/>
  <c r="AC229" i="22"/>
  <c r="AG229" i="22" s="1"/>
  <c r="X229" i="39"/>
  <c r="AC224" i="22"/>
  <c r="AG224" i="22" s="1"/>
  <c r="X224" i="39"/>
  <c r="AC219" i="22"/>
  <c r="AG219" i="22" s="1"/>
  <c r="X219" i="39"/>
  <c r="AC215" i="22"/>
  <c r="AG215" i="22" s="1"/>
  <c r="X215" i="39"/>
  <c r="AC211" i="22"/>
  <c r="AG211" i="22" s="1"/>
  <c r="X211" i="39"/>
  <c r="AC227" i="22"/>
  <c r="AG227" i="22" s="1"/>
  <c r="X227" i="39"/>
  <c r="AC223" i="22"/>
  <c r="AG223" i="22" s="1"/>
  <c r="X223" i="39"/>
  <c r="AC218" i="22"/>
  <c r="AG218" i="22" s="1"/>
  <c r="X218" i="39"/>
  <c r="AC214" i="22"/>
  <c r="AG214" i="22" s="1"/>
  <c r="X214" i="39"/>
  <c r="X210" i="39"/>
  <c r="X190" i="22"/>
  <c r="T190" i="39"/>
  <c r="X192" i="22"/>
  <c r="T192" i="39"/>
  <c r="X197" i="22"/>
  <c r="T197" i="39"/>
  <c r="X199" i="22"/>
  <c r="T199" i="39"/>
  <c r="X205" i="22"/>
  <c r="T205" i="39"/>
  <c r="Y182" i="22"/>
  <c r="U182" i="39"/>
  <c r="Y184" i="22"/>
  <c r="U184" i="39"/>
  <c r="Y186" i="22"/>
  <c r="U186" i="39"/>
  <c r="Y188" i="22"/>
  <c r="U188" i="39"/>
  <c r="Y190" i="22"/>
  <c r="U190" i="39"/>
  <c r="Y192" i="22"/>
  <c r="U192" i="39"/>
  <c r="Y195" i="22"/>
  <c r="U195" i="39"/>
  <c r="Y197" i="22"/>
  <c r="U197" i="39"/>
  <c r="Y199" i="22"/>
  <c r="U199" i="39"/>
  <c r="Y205" i="22"/>
  <c r="U205" i="39"/>
  <c r="X184" i="22"/>
  <c r="T184" i="39"/>
  <c r="X188" i="22"/>
  <c r="T188" i="39"/>
  <c r="X195" i="22"/>
  <c r="T195" i="39"/>
  <c r="X183" i="22"/>
  <c r="T183" i="39"/>
  <c r="X185" i="22"/>
  <c r="T185" i="39"/>
  <c r="X187" i="22"/>
  <c r="T187" i="39"/>
  <c r="X189" i="22"/>
  <c r="T189" i="39"/>
  <c r="X191" i="22"/>
  <c r="T191" i="39"/>
  <c r="X193" i="22"/>
  <c r="T193" i="39"/>
  <c r="X196" i="22"/>
  <c r="T196" i="39"/>
  <c r="X198" i="22"/>
  <c r="T198" i="39"/>
  <c r="X201" i="22"/>
  <c r="T201" i="39"/>
  <c r="X182" i="22"/>
  <c r="T182" i="39"/>
  <c r="X186" i="22"/>
  <c r="T186" i="39"/>
  <c r="Y183" i="22"/>
  <c r="U183" i="39"/>
  <c r="Y185" i="22"/>
  <c r="U185" i="39"/>
  <c r="Y187" i="22"/>
  <c r="U187" i="39"/>
  <c r="Y189" i="22"/>
  <c r="U189" i="39"/>
  <c r="Y191" i="22"/>
  <c r="U191" i="39"/>
  <c r="Y193" i="22"/>
  <c r="U193" i="39"/>
  <c r="Y196" i="22"/>
  <c r="U196" i="39"/>
  <c r="Y198" i="22"/>
  <c r="U198" i="39"/>
  <c r="Y201" i="22"/>
  <c r="U201" i="39"/>
  <c r="X159" i="22"/>
  <c r="T159" i="39"/>
  <c r="X165" i="22"/>
  <c r="T165" i="39"/>
  <c r="X173" i="22"/>
  <c r="T173" i="39"/>
  <c r="Y155" i="22"/>
  <c r="U155" i="39"/>
  <c r="Y157" i="22"/>
  <c r="U157" i="39"/>
  <c r="Y159" i="22"/>
  <c r="U159" i="39"/>
  <c r="Y161" i="22"/>
  <c r="U161" i="39"/>
  <c r="Y163" i="22"/>
  <c r="U163" i="39"/>
  <c r="Y165" i="22"/>
  <c r="U165" i="39"/>
  <c r="Y168" i="22"/>
  <c r="U168" i="39"/>
  <c r="Y170" i="22"/>
  <c r="U170" i="39"/>
  <c r="Y173" i="22"/>
  <c r="U173" i="39"/>
  <c r="X157" i="22"/>
  <c r="T157" i="39"/>
  <c r="X163" i="22"/>
  <c r="T163" i="39"/>
  <c r="X170" i="22"/>
  <c r="T170" i="39"/>
  <c r="X154" i="22"/>
  <c r="T154" i="39"/>
  <c r="X156" i="22"/>
  <c r="T156" i="39"/>
  <c r="X158" i="22"/>
  <c r="T158" i="39"/>
  <c r="X160" i="22"/>
  <c r="T160" i="39"/>
  <c r="X162" i="22"/>
  <c r="T162" i="39"/>
  <c r="X164" i="22"/>
  <c r="T164" i="39"/>
  <c r="X167" i="22"/>
  <c r="T167" i="39"/>
  <c r="X169" i="22"/>
  <c r="T169" i="39"/>
  <c r="X171" i="22"/>
  <c r="T171" i="39"/>
  <c r="X177" i="22"/>
  <c r="T177" i="39"/>
  <c r="X155" i="22"/>
  <c r="T155" i="39"/>
  <c r="X161" i="22"/>
  <c r="T161" i="39"/>
  <c r="X168" i="22"/>
  <c r="T168" i="39"/>
  <c r="Y154" i="22"/>
  <c r="U154" i="39"/>
  <c r="Y156" i="22"/>
  <c r="U156" i="39"/>
  <c r="Y158" i="22"/>
  <c r="U158" i="39"/>
  <c r="Y160" i="22"/>
  <c r="U160" i="39"/>
  <c r="Y162" i="22"/>
  <c r="U162" i="39"/>
  <c r="Y164" i="22"/>
  <c r="U164" i="39"/>
  <c r="Y167" i="22"/>
  <c r="U167" i="39"/>
  <c r="Y169" i="22"/>
  <c r="U169" i="39"/>
  <c r="Y171" i="22"/>
  <c r="U171" i="39"/>
  <c r="Y177" i="22"/>
  <c r="U177" i="39"/>
  <c r="Y128" i="22"/>
  <c r="U128" i="39"/>
  <c r="Y134" i="22"/>
  <c r="U134" i="39"/>
  <c r="Y129" i="22"/>
  <c r="U129" i="39"/>
  <c r="X126" i="22"/>
  <c r="T126" i="39"/>
  <c r="X128" i="22"/>
  <c r="T128" i="39"/>
  <c r="X130" i="22"/>
  <c r="T130" i="39"/>
  <c r="X132" i="22"/>
  <c r="T132" i="39"/>
  <c r="X134" i="22"/>
  <c r="T134" i="39"/>
  <c r="X136" i="22"/>
  <c r="T136" i="39"/>
  <c r="X139" i="22"/>
  <c r="T139" i="39"/>
  <c r="X141" i="22"/>
  <c r="T141" i="39"/>
  <c r="X143" i="22"/>
  <c r="T143" i="39"/>
  <c r="X149" i="22"/>
  <c r="T149" i="39"/>
  <c r="Y130" i="22"/>
  <c r="U130" i="39"/>
  <c r="Y139" i="22"/>
  <c r="U139" i="39"/>
  <c r="Y141" i="22"/>
  <c r="U141" i="39"/>
  <c r="Y143" i="22"/>
  <c r="U143" i="39"/>
  <c r="Y149" i="22"/>
  <c r="U149" i="39"/>
  <c r="Y126" i="22"/>
  <c r="U126" i="39"/>
  <c r="Y136" i="22"/>
  <c r="U136" i="39"/>
  <c r="X127" i="22"/>
  <c r="T127" i="39"/>
  <c r="X129" i="22"/>
  <c r="T129" i="39"/>
  <c r="X131" i="22"/>
  <c r="T131" i="39"/>
  <c r="X133" i="22"/>
  <c r="T133" i="39"/>
  <c r="X135" i="22"/>
  <c r="T135" i="39"/>
  <c r="X137" i="22"/>
  <c r="T137" i="39"/>
  <c r="X140" i="22"/>
  <c r="T140" i="39"/>
  <c r="X142" i="22"/>
  <c r="T142" i="39"/>
  <c r="X145" i="22"/>
  <c r="T145" i="39"/>
  <c r="Y132" i="22"/>
  <c r="U132" i="39"/>
  <c r="Y127" i="22"/>
  <c r="U127" i="39"/>
  <c r="Y131" i="22"/>
  <c r="U131" i="39"/>
  <c r="Y133" i="22"/>
  <c r="U133" i="39"/>
  <c r="Y135" i="22"/>
  <c r="U135" i="39"/>
  <c r="Y137" i="22"/>
  <c r="U137" i="39"/>
  <c r="Y140" i="22"/>
  <c r="U140" i="39"/>
  <c r="Y142" i="22"/>
  <c r="U142" i="39"/>
  <c r="Y145" i="22"/>
  <c r="U145" i="39"/>
  <c r="AI813" i="22"/>
  <c r="AL813" i="22" s="1"/>
  <c r="Y813" i="39"/>
  <c r="AI804" i="22"/>
  <c r="AL804" i="22" s="1"/>
  <c r="Y804" i="39"/>
  <c r="AI817" i="22"/>
  <c r="AL817" i="22" s="1"/>
  <c r="Y817" i="39"/>
  <c r="AI799" i="22"/>
  <c r="AL799" i="22" s="1"/>
  <c r="Y799" i="39"/>
  <c r="AC801" i="22"/>
  <c r="AG801" i="22" s="1"/>
  <c r="X801" i="39"/>
  <c r="AC811" i="22"/>
  <c r="AG811" i="22" s="1"/>
  <c r="X811" i="39"/>
  <c r="AC802" i="22"/>
  <c r="AG802" i="22" s="1"/>
  <c r="X802" i="39"/>
  <c r="AI801" i="22"/>
  <c r="AL801" i="22" s="1"/>
  <c r="Y801" i="39"/>
  <c r="AC803" i="22"/>
  <c r="AG803" i="22" s="1"/>
  <c r="X803" i="39"/>
  <c r="AI821" i="22"/>
  <c r="AL821" i="22" s="1"/>
  <c r="Y821" i="39"/>
  <c r="AI808" i="22"/>
  <c r="AL808" i="22" s="1"/>
  <c r="Y808" i="39"/>
  <c r="AI800" i="22"/>
  <c r="AL800" i="22" s="1"/>
  <c r="Y800" i="39"/>
  <c r="AI807" i="22"/>
  <c r="AL807" i="22" s="1"/>
  <c r="Y807" i="39"/>
  <c r="AC809" i="22"/>
  <c r="AG809" i="22" s="1"/>
  <c r="X809" i="39"/>
  <c r="AC815" i="22"/>
  <c r="AG815" i="22" s="1"/>
  <c r="X815" i="39"/>
  <c r="AC806" i="22"/>
  <c r="AG806" i="22" s="1"/>
  <c r="X806" i="39"/>
  <c r="AC798" i="22"/>
  <c r="AG798" i="22" s="1"/>
  <c r="X798" i="39"/>
  <c r="AI812" i="22"/>
  <c r="AL812" i="22" s="1"/>
  <c r="Y812" i="39"/>
  <c r="AC812" i="22"/>
  <c r="AG812" i="22" s="1"/>
  <c r="X812" i="39"/>
  <c r="AI815" i="22"/>
  <c r="AL815" i="22" s="1"/>
  <c r="Y815" i="39"/>
  <c r="AI811" i="22"/>
  <c r="AL811" i="22" s="1"/>
  <c r="Y811" i="39"/>
  <c r="AI806" i="22"/>
  <c r="AL806" i="22" s="1"/>
  <c r="Y806" i="39"/>
  <c r="AI802" i="22"/>
  <c r="AL802" i="22" s="1"/>
  <c r="Y802" i="39"/>
  <c r="AI798" i="22"/>
  <c r="AL798" i="22" s="1"/>
  <c r="Y798" i="39"/>
  <c r="AI809" i="22"/>
  <c r="AL809" i="22" s="1"/>
  <c r="Y809" i="39"/>
  <c r="AI803" i="22"/>
  <c r="AL803" i="22" s="1"/>
  <c r="Y803" i="39"/>
  <c r="AC817" i="22"/>
  <c r="AG817" i="22" s="1"/>
  <c r="X817" i="39"/>
  <c r="AC805" i="22"/>
  <c r="AG805" i="22" s="1"/>
  <c r="X805" i="39"/>
  <c r="AC821" i="22"/>
  <c r="AG821" i="22" s="1"/>
  <c r="X821" i="39"/>
  <c r="AC813" i="22"/>
  <c r="AG813" i="22" s="1"/>
  <c r="X813" i="39"/>
  <c r="AC808" i="22"/>
  <c r="AG808" i="22" s="1"/>
  <c r="X808" i="39"/>
  <c r="AC804" i="22"/>
  <c r="AG804" i="22" s="1"/>
  <c r="X804" i="39"/>
  <c r="AC800" i="22"/>
  <c r="AG800" i="22" s="1"/>
  <c r="X800" i="39"/>
  <c r="AI814" i="22"/>
  <c r="AL814" i="22" s="1"/>
  <c r="Y814" i="39"/>
  <c r="AI805" i="22"/>
  <c r="AL805" i="22" s="1"/>
  <c r="Y805" i="39"/>
  <c r="AC814" i="22"/>
  <c r="AG814" i="22" s="1"/>
  <c r="X814" i="39"/>
  <c r="AC807" i="22"/>
  <c r="AG807" i="22" s="1"/>
  <c r="X807" i="39"/>
  <c r="AC799" i="22"/>
  <c r="AG799" i="22" s="1"/>
  <c r="X799" i="39"/>
  <c r="AI789" i="22"/>
  <c r="AL789" i="22" s="1"/>
  <c r="Y789" i="39"/>
  <c r="AI784" i="22"/>
  <c r="AL784" i="22" s="1"/>
  <c r="Y784" i="39"/>
  <c r="AI779" i="22"/>
  <c r="AL779" i="22" s="1"/>
  <c r="Y779" i="39"/>
  <c r="AI775" i="22"/>
  <c r="AL775" i="22" s="1"/>
  <c r="Y775" i="39"/>
  <c r="AI771" i="22"/>
  <c r="AL771" i="22" s="1"/>
  <c r="Y771" i="39"/>
  <c r="AC786" i="22"/>
  <c r="AG786" i="22" s="1"/>
  <c r="X786" i="39"/>
  <c r="AC781" i="22"/>
  <c r="AG781" i="22" s="1"/>
  <c r="X781" i="39"/>
  <c r="AC777" i="22"/>
  <c r="AG777" i="22" s="1"/>
  <c r="X777" i="39"/>
  <c r="AC773" i="22"/>
  <c r="AG773" i="22" s="1"/>
  <c r="X773" i="39"/>
  <c r="AI793" i="22"/>
  <c r="AL793" i="22" s="1"/>
  <c r="Y793" i="39"/>
  <c r="AI785" i="22"/>
  <c r="AL785" i="22" s="1"/>
  <c r="Y785" i="39"/>
  <c r="AI780" i="22"/>
  <c r="AL780" i="22" s="1"/>
  <c r="Y780" i="39"/>
  <c r="AI776" i="22"/>
  <c r="AL776" i="22" s="1"/>
  <c r="Y776" i="39"/>
  <c r="AI772" i="22"/>
  <c r="AL772" i="22" s="1"/>
  <c r="Y772" i="39"/>
  <c r="AC793" i="22"/>
  <c r="AG793" i="22" s="1"/>
  <c r="X793" i="39"/>
  <c r="AC785" i="22"/>
  <c r="AG785" i="22" s="1"/>
  <c r="X785" i="39"/>
  <c r="AC780" i="22"/>
  <c r="AG780" i="22" s="1"/>
  <c r="X780" i="39"/>
  <c r="AC776" i="22"/>
  <c r="AG776" i="22" s="1"/>
  <c r="X776" i="39"/>
  <c r="AC772" i="22"/>
  <c r="AG772" i="22" s="1"/>
  <c r="X772" i="39"/>
  <c r="AI786" i="22"/>
  <c r="AL786" i="22" s="1"/>
  <c r="Y786" i="39"/>
  <c r="AI781" i="22"/>
  <c r="AL781" i="22" s="1"/>
  <c r="Y781" i="39"/>
  <c r="AI777" i="22"/>
  <c r="AL777" i="22" s="1"/>
  <c r="Y777" i="39"/>
  <c r="AI773" i="22"/>
  <c r="AL773" i="22" s="1"/>
  <c r="Y773" i="39"/>
  <c r="AC789" i="22"/>
  <c r="AG789" i="22" s="1"/>
  <c r="X789" i="39"/>
  <c r="AC784" i="22"/>
  <c r="AG784" i="22" s="1"/>
  <c r="X784" i="39"/>
  <c r="AC779" i="22"/>
  <c r="AG779" i="22" s="1"/>
  <c r="X779" i="39"/>
  <c r="AC775" i="22"/>
  <c r="AG775" i="22" s="1"/>
  <c r="X775" i="39"/>
  <c r="AC771" i="22"/>
  <c r="AG771" i="22" s="1"/>
  <c r="X771" i="39"/>
  <c r="AI787" i="22"/>
  <c r="AL787" i="22" s="1"/>
  <c r="Y787" i="39"/>
  <c r="AI783" i="22"/>
  <c r="AL783" i="22" s="1"/>
  <c r="Y783" i="39"/>
  <c r="AI778" i="22"/>
  <c r="AL778" i="22" s="1"/>
  <c r="Y778" i="39"/>
  <c r="AI774" i="22"/>
  <c r="AL774" i="22" s="1"/>
  <c r="Y774" i="39"/>
  <c r="AI770" i="22"/>
  <c r="AL770" i="22" s="1"/>
  <c r="Y770" i="39"/>
  <c r="AC787" i="22"/>
  <c r="AG787" i="22" s="1"/>
  <c r="X787" i="39"/>
  <c r="AC783" i="22"/>
  <c r="AG783" i="22" s="1"/>
  <c r="X783" i="39"/>
  <c r="AC778" i="22"/>
  <c r="AG778" i="22" s="1"/>
  <c r="X778" i="39"/>
  <c r="AC774" i="22"/>
  <c r="AG774" i="22" s="1"/>
  <c r="X774" i="39"/>
  <c r="AC770" i="22"/>
  <c r="AG770" i="22" s="1"/>
  <c r="X770" i="39"/>
  <c r="AI709" i="22"/>
  <c r="AL709" i="22" s="1"/>
  <c r="Y709" i="39"/>
  <c r="AI701" i="22"/>
  <c r="AL701" i="22" s="1"/>
  <c r="Y701" i="39"/>
  <c r="AI696" i="22"/>
  <c r="AL696" i="22" s="1"/>
  <c r="Y696" i="39"/>
  <c r="AI692" i="22"/>
  <c r="AL692" i="22" s="1"/>
  <c r="Y692" i="39"/>
  <c r="AI695" i="22"/>
  <c r="AL695" i="22" s="1"/>
  <c r="Y695" i="39"/>
  <c r="AI687" i="22"/>
  <c r="AL687" i="22" s="1"/>
  <c r="Y687" i="39"/>
  <c r="AC700" i="22"/>
  <c r="AG700" i="22" s="1"/>
  <c r="X700" i="39"/>
  <c r="AC691" i="22"/>
  <c r="AG691" i="22" s="1"/>
  <c r="X691" i="39"/>
  <c r="AC709" i="22"/>
  <c r="AG709" i="22" s="1"/>
  <c r="X709" i="39"/>
  <c r="AC701" i="22"/>
  <c r="AG701" i="22" s="1"/>
  <c r="X701" i="39"/>
  <c r="AC696" i="22"/>
  <c r="AG696" i="22" s="1"/>
  <c r="X696" i="39"/>
  <c r="AC692" i="22"/>
  <c r="AG692" i="22" s="1"/>
  <c r="X692" i="39"/>
  <c r="AC688" i="22"/>
  <c r="AG688" i="22" s="1"/>
  <c r="X688" i="39"/>
  <c r="AI705" i="22"/>
  <c r="AL705" i="22" s="1"/>
  <c r="Y705" i="39"/>
  <c r="AI693" i="22"/>
  <c r="AL693" i="22" s="1"/>
  <c r="Y693" i="39"/>
  <c r="AC702" i="22"/>
  <c r="AG702" i="22" s="1"/>
  <c r="X702" i="39"/>
  <c r="AC693" i="22"/>
  <c r="AG693" i="22" s="1"/>
  <c r="X693" i="39"/>
  <c r="AI702" i="22"/>
  <c r="AL702" i="22" s="1"/>
  <c r="Y702" i="39"/>
  <c r="AI688" i="22"/>
  <c r="AL688" i="22" s="1"/>
  <c r="Y688" i="39"/>
  <c r="AI703" i="22"/>
  <c r="AL703" i="22" s="1"/>
  <c r="Y703" i="39"/>
  <c r="AI699" i="22"/>
  <c r="AL699" i="22" s="1"/>
  <c r="Y699" i="39"/>
  <c r="AI694" i="22"/>
  <c r="AL694" i="22" s="1"/>
  <c r="Y694" i="39"/>
  <c r="AI690" i="22"/>
  <c r="AL690" i="22" s="1"/>
  <c r="Y690" i="39"/>
  <c r="AI686" i="22"/>
  <c r="AL686" i="22" s="1"/>
  <c r="Y686" i="39"/>
  <c r="AI700" i="22"/>
  <c r="AL700" i="22" s="1"/>
  <c r="Y700" i="39"/>
  <c r="AI691" i="22"/>
  <c r="AL691" i="22" s="1"/>
  <c r="Y691" i="39"/>
  <c r="AC705" i="22"/>
  <c r="AG705" i="22" s="1"/>
  <c r="X705" i="39"/>
  <c r="AC695" i="22"/>
  <c r="AG695" i="22" s="1"/>
  <c r="X695" i="39"/>
  <c r="AC687" i="22"/>
  <c r="AG687" i="22" s="1"/>
  <c r="X687" i="39"/>
  <c r="AC703" i="22"/>
  <c r="AG703" i="22" s="1"/>
  <c r="X703" i="39"/>
  <c r="AC699" i="22"/>
  <c r="AG699" i="22" s="1"/>
  <c r="X699" i="39"/>
  <c r="AC694" i="22"/>
  <c r="AG694" i="22" s="1"/>
  <c r="X694" i="39"/>
  <c r="AC690" i="22"/>
  <c r="AG690" i="22" s="1"/>
  <c r="X690" i="39"/>
  <c r="AC686" i="22"/>
  <c r="AG686" i="22" s="1"/>
  <c r="X686" i="39"/>
  <c r="AI697" i="22"/>
  <c r="AL697" i="22" s="1"/>
  <c r="Y697" i="39"/>
  <c r="AI689" i="22"/>
  <c r="AL689" i="22" s="1"/>
  <c r="Y689" i="39"/>
  <c r="AC697" i="22"/>
  <c r="AG697" i="22" s="1"/>
  <c r="X697" i="39"/>
  <c r="AC689" i="22"/>
  <c r="AG689" i="22" s="1"/>
  <c r="X689" i="39"/>
  <c r="AI672" i="22"/>
  <c r="AL672" i="22" s="1"/>
  <c r="Y672" i="39"/>
  <c r="AI663" i="22"/>
  <c r="AL663" i="22" s="1"/>
  <c r="Y663" i="39"/>
  <c r="AC674" i="22"/>
  <c r="AG674" i="22" s="1"/>
  <c r="X674" i="39"/>
  <c r="AC661" i="22"/>
  <c r="AG661" i="22" s="1"/>
  <c r="X661" i="39"/>
  <c r="AI673" i="22"/>
  <c r="AL673" i="22" s="1"/>
  <c r="Y673" i="39"/>
  <c r="AI660" i="22"/>
  <c r="AL660" i="22" s="1"/>
  <c r="Y660" i="39"/>
  <c r="AC668" i="22"/>
  <c r="AG668" i="22" s="1"/>
  <c r="X668" i="39"/>
  <c r="AC660" i="22"/>
  <c r="AG660" i="22" s="1"/>
  <c r="X660" i="39"/>
  <c r="Y677" i="39"/>
  <c r="AI667" i="22"/>
  <c r="AL667" i="22" s="1"/>
  <c r="Y667" i="39"/>
  <c r="AI659" i="22"/>
  <c r="AL659" i="22" s="1"/>
  <c r="Y659" i="39"/>
  <c r="AC669" i="22"/>
  <c r="AG669" i="22" s="1"/>
  <c r="X669" i="39"/>
  <c r="AC665" i="22"/>
  <c r="AG665" i="22" s="1"/>
  <c r="X665" i="39"/>
  <c r="AI681" i="22"/>
  <c r="AL681" i="22" s="1"/>
  <c r="Y681" i="39"/>
  <c r="AI668" i="22"/>
  <c r="AL668" i="22" s="1"/>
  <c r="Y668" i="39"/>
  <c r="AI664" i="22"/>
  <c r="AL664" i="22" s="1"/>
  <c r="Y664" i="39"/>
  <c r="AC681" i="22"/>
  <c r="AG681" i="22" s="1"/>
  <c r="X681" i="39"/>
  <c r="AC673" i="22"/>
  <c r="AG673" i="22" s="1"/>
  <c r="X673" i="39"/>
  <c r="AC664" i="22"/>
  <c r="AG664" i="22" s="1"/>
  <c r="X664" i="39"/>
  <c r="AI674" i="22"/>
  <c r="AL674" i="22" s="1"/>
  <c r="Y674" i="39"/>
  <c r="AI669" i="22"/>
  <c r="AL669" i="22" s="1"/>
  <c r="Y669" i="39"/>
  <c r="AI665" i="22"/>
  <c r="AL665" i="22" s="1"/>
  <c r="Y665" i="39"/>
  <c r="AI661" i="22"/>
  <c r="AL661" i="22" s="1"/>
  <c r="Y661" i="39"/>
  <c r="X677" i="39"/>
  <c r="AC672" i="22"/>
  <c r="AG672" i="22" s="1"/>
  <c r="X672" i="39"/>
  <c r="AC667" i="22"/>
  <c r="AG667" i="22" s="1"/>
  <c r="X667" i="39"/>
  <c r="AC663" i="22"/>
  <c r="AG663" i="22" s="1"/>
  <c r="X663" i="39"/>
  <c r="AC659" i="22"/>
  <c r="AG659" i="22" s="1"/>
  <c r="X659" i="39"/>
  <c r="AI675" i="22"/>
  <c r="AL675" i="22" s="1"/>
  <c r="Y675" i="39"/>
  <c r="AI671" i="22"/>
  <c r="AL671" i="22" s="1"/>
  <c r="Y671" i="39"/>
  <c r="AI666" i="22"/>
  <c r="AL666" i="22" s="1"/>
  <c r="Y666" i="39"/>
  <c r="AI662" i="22"/>
  <c r="AL662" i="22" s="1"/>
  <c r="Y662" i="39"/>
  <c r="AI658" i="22"/>
  <c r="AL658" i="22" s="1"/>
  <c r="Y658" i="39"/>
  <c r="AC675" i="22"/>
  <c r="AG675" i="22" s="1"/>
  <c r="X675" i="39"/>
  <c r="AC671" i="22"/>
  <c r="AG671" i="22" s="1"/>
  <c r="X671" i="39"/>
  <c r="AC666" i="22"/>
  <c r="AG666" i="22" s="1"/>
  <c r="X666" i="39"/>
  <c r="AC662" i="22"/>
  <c r="AG662" i="22" s="1"/>
  <c r="X662" i="39"/>
  <c r="AC658" i="22"/>
  <c r="AG658" i="22" s="1"/>
  <c r="X658" i="39"/>
  <c r="AI645" i="22"/>
  <c r="AL645" i="22" s="1"/>
  <c r="Y645" i="39"/>
  <c r="AI636" i="22"/>
  <c r="AL636" i="22" s="1"/>
  <c r="Y636" i="39"/>
  <c r="AI646" i="22"/>
  <c r="AL646" i="22" s="1"/>
  <c r="Y646" i="39"/>
  <c r="AI633" i="22"/>
  <c r="AL633" i="22" s="1"/>
  <c r="Y633" i="39"/>
  <c r="AC653" i="22"/>
  <c r="AG653" i="22" s="1"/>
  <c r="X653" i="39"/>
  <c r="AC636" i="22"/>
  <c r="AG636" i="22" s="1"/>
  <c r="X636" i="39"/>
  <c r="AI635" i="22"/>
  <c r="AL635" i="22" s="1"/>
  <c r="Y635" i="39"/>
  <c r="AC637" i="22"/>
  <c r="AG637" i="22" s="1"/>
  <c r="X637" i="39"/>
  <c r="AI653" i="22"/>
  <c r="AL653" i="22" s="1"/>
  <c r="Y653" i="39"/>
  <c r="AI640" i="22"/>
  <c r="AL640" i="22" s="1"/>
  <c r="Y640" i="39"/>
  <c r="AI632" i="22"/>
  <c r="AL632" i="22" s="1"/>
  <c r="Y632" i="39"/>
  <c r="AI639" i="22"/>
  <c r="AL639" i="22" s="1"/>
  <c r="Y639" i="39"/>
  <c r="AC644" i="22"/>
  <c r="AG644" i="22" s="1"/>
  <c r="X644" i="39"/>
  <c r="AC635" i="22"/>
  <c r="AG635" i="22" s="1"/>
  <c r="X635" i="39"/>
  <c r="AC645" i="22"/>
  <c r="AG645" i="22" s="1"/>
  <c r="X645" i="39"/>
  <c r="AC640" i="22"/>
  <c r="AG640" i="22" s="1"/>
  <c r="X640" i="39"/>
  <c r="AC632" i="22"/>
  <c r="AG632" i="22" s="1"/>
  <c r="X632" i="39"/>
  <c r="AI649" i="22"/>
  <c r="AL649" i="22" s="1"/>
  <c r="Y649" i="39"/>
  <c r="AC646" i="22"/>
  <c r="AG646" i="22" s="1"/>
  <c r="X646" i="39"/>
  <c r="AI647" i="22"/>
  <c r="AL647" i="22" s="1"/>
  <c r="Y647" i="39"/>
  <c r="AI643" i="22"/>
  <c r="AL643" i="22" s="1"/>
  <c r="Y643" i="39"/>
  <c r="AI638" i="22"/>
  <c r="AL638" i="22" s="1"/>
  <c r="Y638" i="39"/>
  <c r="AI634" i="22"/>
  <c r="AL634" i="22" s="1"/>
  <c r="Y634" i="39"/>
  <c r="AI630" i="22"/>
  <c r="AL630" i="22" s="1"/>
  <c r="Y630" i="39"/>
  <c r="AI644" i="22"/>
  <c r="AL644" i="22" s="1"/>
  <c r="Y644" i="39"/>
  <c r="AI637" i="22"/>
  <c r="AL637" i="22" s="1"/>
  <c r="Y637" i="39"/>
  <c r="AC649" i="22"/>
  <c r="AG649" i="22" s="1"/>
  <c r="X649" i="39"/>
  <c r="AC639" i="22"/>
  <c r="AG639" i="22" s="1"/>
  <c r="X639" i="39"/>
  <c r="AC631" i="22"/>
  <c r="AG631" i="22" s="1"/>
  <c r="X631" i="39"/>
  <c r="AC647" i="22"/>
  <c r="AG647" i="22" s="1"/>
  <c r="X647" i="39"/>
  <c r="AC643" i="22"/>
  <c r="AG643" i="22" s="1"/>
  <c r="X643" i="39"/>
  <c r="AC638" i="22"/>
  <c r="AG638" i="22" s="1"/>
  <c r="X638" i="39"/>
  <c r="AC634" i="22"/>
  <c r="AG634" i="22" s="1"/>
  <c r="X634" i="39"/>
  <c r="AC630" i="22"/>
  <c r="AG630" i="22" s="1"/>
  <c r="X630" i="39"/>
  <c r="AI641" i="22"/>
  <c r="AL641" i="22" s="1"/>
  <c r="Y641" i="39"/>
  <c r="AI631" i="22"/>
  <c r="AL631" i="22" s="1"/>
  <c r="Y631" i="39"/>
  <c r="AC641" i="22"/>
  <c r="AG641" i="22" s="1"/>
  <c r="X641" i="39"/>
  <c r="AC633" i="22"/>
  <c r="AG633" i="22" s="1"/>
  <c r="X633" i="39"/>
  <c r="AI621" i="22"/>
  <c r="AL621" i="22" s="1"/>
  <c r="Y621" i="39"/>
  <c r="AI607" i="22"/>
  <c r="AL607" i="22" s="1"/>
  <c r="Y607" i="39"/>
  <c r="AI617" i="22"/>
  <c r="AL617" i="22" s="1"/>
  <c r="Y617" i="39"/>
  <c r="AI602" i="22"/>
  <c r="AL602" i="22" s="1"/>
  <c r="Y602" i="39"/>
  <c r="AC606" i="22"/>
  <c r="AG606" i="22" s="1"/>
  <c r="X606" i="39"/>
  <c r="AC616" i="22"/>
  <c r="AG616" i="22" s="1"/>
  <c r="X616" i="39"/>
  <c r="AI615" i="22"/>
  <c r="AL615" i="22" s="1"/>
  <c r="Y615" i="39"/>
  <c r="AI604" i="22"/>
  <c r="AL604" i="22" s="1"/>
  <c r="Y604" i="39"/>
  <c r="AC608" i="22"/>
  <c r="AG608" i="22" s="1"/>
  <c r="X608" i="39"/>
  <c r="AI616" i="22"/>
  <c r="AL616" i="22" s="1"/>
  <c r="Y616" i="39"/>
  <c r="AI611" i="22"/>
  <c r="AL611" i="22" s="1"/>
  <c r="Y611" i="39"/>
  <c r="AI603" i="22"/>
  <c r="AL603" i="22" s="1"/>
  <c r="Y603" i="39"/>
  <c r="AI608" i="22"/>
  <c r="AL608" i="22" s="1"/>
  <c r="Y608" i="39"/>
  <c r="AC617" i="22"/>
  <c r="AG617" i="22" s="1"/>
  <c r="X617" i="39"/>
  <c r="AC621" i="22"/>
  <c r="AG621" i="22" s="1"/>
  <c r="X621" i="39"/>
  <c r="AC611" i="22"/>
  <c r="AG611" i="22" s="1"/>
  <c r="X611" i="39"/>
  <c r="AC607" i="22"/>
  <c r="AG607" i="22" s="1"/>
  <c r="X607" i="39"/>
  <c r="AC603" i="22"/>
  <c r="AG603" i="22" s="1"/>
  <c r="X603" i="39"/>
  <c r="AC615" i="22"/>
  <c r="AG615" i="22" s="1"/>
  <c r="X615" i="39"/>
  <c r="AI618" i="22"/>
  <c r="AL618" i="22" s="1"/>
  <c r="Y618" i="39"/>
  <c r="AI613" i="22"/>
  <c r="AL613" i="22" s="1"/>
  <c r="Y613" i="39"/>
  <c r="AI609" i="22"/>
  <c r="AL609" i="22" s="1"/>
  <c r="Y609" i="39"/>
  <c r="AI605" i="22"/>
  <c r="AL605" i="22" s="1"/>
  <c r="Y605" i="39"/>
  <c r="AI625" i="22"/>
  <c r="AL625" i="22" s="1"/>
  <c r="Y625" i="39"/>
  <c r="AI612" i="22"/>
  <c r="AL612" i="22" s="1"/>
  <c r="Y612" i="39"/>
  <c r="AI606" i="22"/>
  <c r="AL606" i="22" s="1"/>
  <c r="Y606" i="39"/>
  <c r="AC625" i="22"/>
  <c r="AG625" i="22" s="1"/>
  <c r="X625" i="39"/>
  <c r="AC610" i="22"/>
  <c r="AG610" i="22" s="1"/>
  <c r="X610" i="39"/>
  <c r="AC602" i="22"/>
  <c r="AG602" i="22" s="1"/>
  <c r="X602" i="39"/>
  <c r="AC618" i="22"/>
  <c r="AG618" i="22" s="1"/>
  <c r="X618" i="39"/>
  <c r="AC613" i="22"/>
  <c r="AG613" i="22" s="1"/>
  <c r="X613" i="39"/>
  <c r="AC609" i="22"/>
  <c r="AG609" i="22" s="1"/>
  <c r="X609" i="39"/>
  <c r="AC605" i="22"/>
  <c r="AG605" i="22" s="1"/>
  <c r="X605" i="39"/>
  <c r="AI619" i="22"/>
  <c r="AL619" i="22" s="1"/>
  <c r="Y619" i="39"/>
  <c r="AI610" i="22"/>
  <c r="AL610" i="22" s="1"/>
  <c r="Y610" i="39"/>
  <c r="AC619" i="22"/>
  <c r="AG619" i="22" s="1"/>
  <c r="X619" i="39"/>
  <c r="AC612" i="22"/>
  <c r="AG612" i="22" s="1"/>
  <c r="X612" i="39"/>
  <c r="AC604" i="22"/>
  <c r="AG604" i="22" s="1"/>
  <c r="X604" i="39"/>
  <c r="AI589" i="22"/>
  <c r="AL589" i="22" s="1"/>
  <c r="Y589" i="39"/>
  <c r="AI584" i="22"/>
  <c r="AL584" i="22" s="1"/>
  <c r="Y584" i="39"/>
  <c r="AI580" i="22"/>
  <c r="AL580" i="22" s="1"/>
  <c r="Y580" i="39"/>
  <c r="AI576" i="22"/>
  <c r="AL576" i="22" s="1"/>
  <c r="Y576" i="39"/>
  <c r="AC597" i="22"/>
  <c r="AG597" i="22" s="1"/>
  <c r="X597" i="39"/>
  <c r="AC589" i="22"/>
  <c r="AG589" i="22" s="1"/>
  <c r="X589" i="39"/>
  <c r="AC584" i="22"/>
  <c r="AG584" i="22" s="1"/>
  <c r="X584" i="39"/>
  <c r="AC580" i="22"/>
  <c r="AG580" i="22" s="1"/>
  <c r="X580" i="39"/>
  <c r="AC576" i="22"/>
  <c r="AG576" i="22" s="1"/>
  <c r="X576" i="39"/>
  <c r="AI593" i="22"/>
  <c r="AL593" i="22" s="1"/>
  <c r="Y593" i="39"/>
  <c r="AI588" i="22"/>
  <c r="AL588" i="22" s="1"/>
  <c r="Y588" i="39"/>
  <c r="Y583" i="39"/>
  <c r="AI579" i="22"/>
  <c r="AL579" i="22" s="1"/>
  <c r="Y579" i="39"/>
  <c r="AI575" i="22"/>
  <c r="AL575" i="22" s="1"/>
  <c r="Y575" i="39"/>
  <c r="AC590" i="22"/>
  <c r="AG590" i="22" s="1"/>
  <c r="X590" i="39"/>
  <c r="AC585" i="22"/>
  <c r="AG585" i="22" s="1"/>
  <c r="X585" i="39"/>
  <c r="AC581" i="22"/>
  <c r="AG581" i="22" s="1"/>
  <c r="X581" i="39"/>
  <c r="AC577" i="22"/>
  <c r="AG577" i="22" s="1"/>
  <c r="X577" i="39"/>
  <c r="AI591" i="22"/>
  <c r="AL591" i="22" s="1"/>
  <c r="Y591" i="39"/>
  <c r="AI587" i="22"/>
  <c r="AL587" i="22" s="1"/>
  <c r="Y587" i="39"/>
  <c r="AI582" i="22"/>
  <c r="AL582" i="22" s="1"/>
  <c r="Y582" i="39"/>
  <c r="AI574" i="22"/>
  <c r="AL574" i="22" s="1"/>
  <c r="Y574" i="39"/>
  <c r="AC591" i="22"/>
  <c r="AG591" i="22" s="1"/>
  <c r="X591" i="39"/>
  <c r="AC587" i="22"/>
  <c r="AG587" i="22" s="1"/>
  <c r="X587" i="39"/>
  <c r="AC582" i="22"/>
  <c r="AG582" i="22" s="1"/>
  <c r="X582" i="39"/>
  <c r="AC578" i="22"/>
  <c r="AG578" i="22" s="1"/>
  <c r="X578" i="39"/>
  <c r="AC574" i="22"/>
  <c r="AG574" i="22" s="1"/>
  <c r="X574" i="39"/>
  <c r="AI590" i="22"/>
  <c r="AL590" i="22" s="1"/>
  <c r="Y590" i="39"/>
  <c r="AI585" i="22"/>
  <c r="AL585" i="22" s="1"/>
  <c r="Y585" i="39"/>
  <c r="AI581" i="22"/>
  <c r="AL581" i="22" s="1"/>
  <c r="Y581" i="39"/>
  <c r="AI577" i="22"/>
  <c r="AL577" i="22" s="1"/>
  <c r="Y577" i="39"/>
  <c r="AC593" i="22"/>
  <c r="AG593" i="22" s="1"/>
  <c r="X593" i="39"/>
  <c r="AC588" i="22"/>
  <c r="AG588" i="22" s="1"/>
  <c r="X588" i="39"/>
  <c r="X583" i="39"/>
  <c r="AC579" i="22"/>
  <c r="AG579" i="22" s="1"/>
  <c r="X579" i="39"/>
  <c r="AC575" i="22"/>
  <c r="AG575" i="22" s="1"/>
  <c r="X575" i="39"/>
  <c r="AI513" i="22"/>
  <c r="AL513" i="22" s="1"/>
  <c r="Y513" i="39"/>
  <c r="AI505" i="22"/>
  <c r="AL505" i="22" s="1"/>
  <c r="Y505" i="39"/>
  <c r="AI500" i="22"/>
  <c r="AL500" i="22" s="1"/>
  <c r="Y500" i="39"/>
  <c r="AI493" i="22"/>
  <c r="AL493" i="22" s="1"/>
  <c r="Y493" i="39"/>
  <c r="AC513" i="22"/>
  <c r="AG513" i="22" s="1"/>
  <c r="X513" i="39"/>
  <c r="AC505" i="22"/>
  <c r="AG505" i="22" s="1"/>
  <c r="X505" i="39"/>
  <c r="AC500" i="22"/>
  <c r="AG500" i="22" s="1"/>
  <c r="X500" i="39"/>
  <c r="AC493" i="22"/>
  <c r="AG493" i="22" s="1"/>
  <c r="X493" i="39"/>
  <c r="AI509" i="22"/>
  <c r="AL509" i="22" s="1"/>
  <c r="Y509" i="39"/>
  <c r="AI504" i="22"/>
  <c r="AL504" i="22" s="1"/>
  <c r="Y504" i="39"/>
  <c r="AI499" i="22"/>
  <c r="AL499" i="22" s="1"/>
  <c r="Y499" i="39"/>
  <c r="AI492" i="22"/>
  <c r="AL492" i="22" s="1"/>
  <c r="Y492" i="39"/>
  <c r="AC509" i="22"/>
  <c r="AG509" i="22" s="1"/>
  <c r="X509" i="39"/>
  <c r="AC504" i="22"/>
  <c r="AG504" i="22" s="1"/>
  <c r="X504" i="39"/>
  <c r="AC499" i="22"/>
  <c r="AG499" i="22" s="1"/>
  <c r="X499" i="39"/>
  <c r="AC492" i="22"/>
  <c r="AG492" i="22" s="1"/>
  <c r="X492" i="39"/>
  <c r="AI507" i="22"/>
  <c r="AL507" i="22" s="1"/>
  <c r="Y507" i="39"/>
  <c r="AI503" i="22"/>
  <c r="AL503" i="22" s="1"/>
  <c r="Y503" i="39"/>
  <c r="AI498" i="22"/>
  <c r="AL498" i="22" s="1"/>
  <c r="Y498" i="39"/>
  <c r="AI491" i="22"/>
  <c r="AL491" i="22" s="1"/>
  <c r="Y491" i="39"/>
  <c r="AC507" i="22"/>
  <c r="AG507" i="22" s="1"/>
  <c r="X507" i="39"/>
  <c r="AC503" i="22"/>
  <c r="AG503" i="22" s="1"/>
  <c r="X503" i="39"/>
  <c r="AC498" i="22"/>
  <c r="AG498" i="22" s="1"/>
  <c r="X498" i="39"/>
  <c r="AC491" i="22"/>
  <c r="AG491" i="22" s="1"/>
  <c r="X491" i="39"/>
  <c r="AI506" i="22"/>
  <c r="AL506" i="22" s="1"/>
  <c r="Y506" i="39"/>
  <c r="AI501" i="22"/>
  <c r="AL501" i="22" s="1"/>
  <c r="Y501" i="39"/>
  <c r="AI497" i="22"/>
  <c r="AL497" i="22" s="1"/>
  <c r="Y497" i="39"/>
  <c r="AI490" i="22"/>
  <c r="AL490" i="22" s="1"/>
  <c r="Y490" i="39"/>
  <c r="AC506" i="22"/>
  <c r="AG506" i="22" s="1"/>
  <c r="X506" i="39"/>
  <c r="AC501" i="22"/>
  <c r="AG501" i="22" s="1"/>
  <c r="X501" i="39"/>
  <c r="AC497" i="22"/>
  <c r="AG497" i="22" s="1"/>
  <c r="X497" i="39"/>
  <c r="AC490" i="22"/>
  <c r="AG490" i="22" s="1"/>
  <c r="X490" i="39"/>
  <c r="AI481" i="22"/>
  <c r="AL481" i="22" s="1"/>
  <c r="Y481" i="39"/>
  <c r="AI476" i="22"/>
  <c r="AL476" i="22" s="1"/>
  <c r="Y476" i="39"/>
  <c r="AI471" i="22"/>
  <c r="AL471" i="22" s="1"/>
  <c r="Y471" i="39"/>
  <c r="AI467" i="22"/>
  <c r="AL467" i="22" s="1"/>
  <c r="Y467" i="39"/>
  <c r="AI463" i="22"/>
  <c r="AL463" i="22" s="1"/>
  <c r="Y463" i="39"/>
  <c r="AC470" i="22"/>
  <c r="AG470" i="22" s="1"/>
  <c r="X470" i="39"/>
  <c r="AC481" i="22"/>
  <c r="AG481" i="22" s="1"/>
  <c r="X481" i="39"/>
  <c r="AC476" i="22"/>
  <c r="AG476" i="22" s="1"/>
  <c r="X476" i="39"/>
  <c r="AC471" i="22"/>
  <c r="AG471" i="22" s="1"/>
  <c r="X471" i="39"/>
  <c r="AC467" i="22"/>
  <c r="AG467" i="22" s="1"/>
  <c r="X467" i="39"/>
  <c r="AC463" i="22"/>
  <c r="AG463" i="22" s="1"/>
  <c r="X463" i="39"/>
  <c r="AC475" i="22"/>
  <c r="AG475" i="22" s="1"/>
  <c r="X475" i="39"/>
  <c r="AC464" i="22"/>
  <c r="AG464" i="22" s="1"/>
  <c r="X464" i="39"/>
  <c r="AI479" i="22"/>
  <c r="AL479" i="22" s="1"/>
  <c r="Y479" i="39"/>
  <c r="AI475" i="22"/>
  <c r="AL475" i="22" s="1"/>
  <c r="Y475" i="39"/>
  <c r="AI470" i="22"/>
  <c r="AL470" i="22" s="1"/>
  <c r="Y470" i="39"/>
  <c r="AI466" i="22"/>
  <c r="AL466" i="22" s="1"/>
  <c r="Y466" i="39"/>
  <c r="AI462" i="22"/>
  <c r="AL462" i="22" s="1"/>
  <c r="Y462" i="39"/>
  <c r="AC472" i="22"/>
  <c r="AG472" i="22" s="1"/>
  <c r="X472" i="39"/>
  <c r="AI478" i="22"/>
  <c r="AL478" i="22" s="1"/>
  <c r="Y478" i="39"/>
  <c r="AI473" i="22"/>
  <c r="AL473" i="22" s="1"/>
  <c r="Y473" i="39"/>
  <c r="AI469" i="22"/>
  <c r="AL469" i="22" s="1"/>
  <c r="Y469" i="39"/>
  <c r="AI465" i="22"/>
  <c r="AL465" i="22" s="1"/>
  <c r="Y465" i="39"/>
  <c r="AC479" i="22"/>
  <c r="AG479" i="22" s="1"/>
  <c r="X479" i="39"/>
  <c r="AC462" i="22"/>
  <c r="AG462" i="22" s="1"/>
  <c r="X462" i="39"/>
  <c r="AC478" i="22"/>
  <c r="AG478" i="22" s="1"/>
  <c r="X478" i="39"/>
  <c r="AC473" i="22"/>
  <c r="AG473" i="22" s="1"/>
  <c r="X473" i="39"/>
  <c r="AC469" i="22"/>
  <c r="AG469" i="22" s="1"/>
  <c r="X469" i="39"/>
  <c r="AC465" i="22"/>
  <c r="AG465" i="22" s="1"/>
  <c r="X465" i="39"/>
  <c r="AC485" i="22"/>
  <c r="AG485" i="22" s="1"/>
  <c r="X485" i="39"/>
  <c r="AC468" i="22"/>
  <c r="AG468" i="22" s="1"/>
  <c r="X468" i="39"/>
  <c r="AI485" i="22"/>
  <c r="AL485" i="22" s="1"/>
  <c r="Y485" i="39"/>
  <c r="AI477" i="22"/>
  <c r="AL477" i="22" s="1"/>
  <c r="Y477" i="39"/>
  <c r="AI472" i="22"/>
  <c r="AL472" i="22" s="1"/>
  <c r="Y472" i="39"/>
  <c r="AI468" i="22"/>
  <c r="AL468" i="22" s="1"/>
  <c r="Y468" i="39"/>
  <c r="AI464" i="22"/>
  <c r="AL464" i="22" s="1"/>
  <c r="Y464" i="39"/>
  <c r="AC477" i="22"/>
  <c r="AG477" i="22" s="1"/>
  <c r="X477" i="39"/>
  <c r="AC466" i="22"/>
  <c r="AG466" i="22" s="1"/>
  <c r="X466" i="39"/>
  <c r="AI449" i="22"/>
  <c r="AL449" i="22" s="1"/>
  <c r="Y449" i="39"/>
  <c r="AC453" i="22"/>
  <c r="AG453" i="22" s="1"/>
  <c r="X453" i="39"/>
  <c r="AC457" i="22"/>
  <c r="AG457" i="22" s="1"/>
  <c r="X457" i="39"/>
  <c r="AC440" i="22"/>
  <c r="AG440" i="22" s="1"/>
  <c r="X440" i="39"/>
  <c r="AC439" i="22"/>
  <c r="AG439" i="22" s="1"/>
  <c r="X439" i="39"/>
  <c r="AI457" i="22"/>
  <c r="AL457" i="22" s="1"/>
  <c r="Y457" i="39"/>
  <c r="AI450" i="22"/>
  <c r="AL450" i="22" s="1"/>
  <c r="Y450" i="39"/>
  <c r="AC441" i="22"/>
  <c r="AG441" i="22" s="1"/>
  <c r="X441" i="39"/>
  <c r="AC449" i="22"/>
  <c r="AG449" i="22" s="1"/>
  <c r="X449" i="39"/>
  <c r="AC444" i="22"/>
  <c r="AG444" i="22" s="1"/>
  <c r="X444" i="39"/>
  <c r="AC436" i="22"/>
  <c r="AG436" i="22" s="1"/>
  <c r="X436" i="39"/>
  <c r="AI453" i="22"/>
  <c r="AL453" i="22" s="1"/>
  <c r="Y453" i="39"/>
  <c r="AC445" i="22"/>
  <c r="AG445" i="22" s="1"/>
  <c r="X445" i="39"/>
  <c r="AI451" i="22"/>
  <c r="AL451" i="22" s="1"/>
  <c r="Y451" i="39"/>
  <c r="AC448" i="22"/>
  <c r="AG448" i="22" s="1"/>
  <c r="X448" i="39"/>
  <c r="AC437" i="22"/>
  <c r="AG437" i="22" s="1"/>
  <c r="X437" i="39"/>
  <c r="AC451" i="22"/>
  <c r="AG451" i="22" s="1"/>
  <c r="X451" i="39"/>
  <c r="AC447" i="22"/>
  <c r="AG447" i="22" s="1"/>
  <c r="X447" i="39"/>
  <c r="AC442" i="22"/>
  <c r="AG442" i="22" s="1"/>
  <c r="X442" i="39"/>
  <c r="AC438" i="22"/>
  <c r="AG438" i="22" s="1"/>
  <c r="X438" i="39"/>
  <c r="AC434" i="22"/>
  <c r="AG434" i="22" s="1"/>
  <c r="X434" i="39"/>
  <c r="AC450" i="22"/>
  <c r="AG450" i="22" s="1"/>
  <c r="X450" i="39"/>
  <c r="AC443" i="22"/>
  <c r="AG443" i="22" s="1"/>
  <c r="X443" i="39"/>
  <c r="AC435" i="22"/>
  <c r="AG435" i="22" s="1"/>
  <c r="X435" i="39"/>
  <c r="U121" i="22"/>
  <c r="T121" i="22"/>
  <c r="U117" i="22"/>
  <c r="T117" i="22"/>
  <c r="U115" i="22"/>
  <c r="T115" i="22"/>
  <c r="U114" i="22"/>
  <c r="T114" i="22"/>
  <c r="U113" i="22"/>
  <c r="T113" i="22"/>
  <c r="U112" i="22"/>
  <c r="T112" i="22"/>
  <c r="U111" i="22"/>
  <c r="T111" i="22"/>
  <c r="U109" i="22"/>
  <c r="T109" i="22"/>
  <c r="U108" i="22"/>
  <c r="T108" i="22"/>
  <c r="U107" i="22"/>
  <c r="T107" i="22"/>
  <c r="U106" i="22"/>
  <c r="T106" i="22"/>
  <c r="U105" i="22"/>
  <c r="T105" i="22"/>
  <c r="U104" i="22"/>
  <c r="T104" i="22"/>
  <c r="U103" i="22"/>
  <c r="T103" i="22"/>
  <c r="U102" i="22"/>
  <c r="T102" i="22"/>
  <c r="U101" i="22"/>
  <c r="T101" i="22"/>
  <c r="U100" i="22"/>
  <c r="T100" i="22"/>
  <c r="U99" i="22"/>
  <c r="T99" i="22"/>
  <c r="U98" i="22"/>
  <c r="T98" i="22"/>
  <c r="U93" i="22"/>
  <c r="T93" i="22"/>
  <c r="U89" i="22"/>
  <c r="T89" i="22"/>
  <c r="U87" i="22"/>
  <c r="T87" i="22"/>
  <c r="U86" i="22"/>
  <c r="T86" i="22"/>
  <c r="U85" i="22"/>
  <c r="T85" i="22"/>
  <c r="U84" i="22"/>
  <c r="T84" i="22"/>
  <c r="U83" i="22"/>
  <c r="T83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74" i="22"/>
  <c r="T74" i="22"/>
  <c r="U73" i="22"/>
  <c r="T73" i="22"/>
  <c r="U72" i="22"/>
  <c r="T72" i="22"/>
  <c r="U71" i="22"/>
  <c r="T71" i="22"/>
  <c r="U70" i="22"/>
  <c r="T70" i="22"/>
  <c r="U65" i="22"/>
  <c r="T65" i="22"/>
  <c r="U61" i="22"/>
  <c r="U61" i="39" s="1"/>
  <c r="T61" i="22"/>
  <c r="T61" i="39" s="1"/>
  <c r="U59" i="22"/>
  <c r="T59" i="22"/>
  <c r="U58" i="22"/>
  <c r="T58" i="22"/>
  <c r="U57" i="22"/>
  <c r="T57" i="22"/>
  <c r="U56" i="22"/>
  <c r="T56" i="22"/>
  <c r="U55" i="22"/>
  <c r="T55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43" i="22"/>
  <c r="T43" i="22"/>
  <c r="U42" i="22"/>
  <c r="T42" i="22"/>
  <c r="U37" i="22"/>
  <c r="T37" i="22"/>
  <c r="U33" i="22"/>
  <c r="T33" i="22"/>
  <c r="U31" i="22"/>
  <c r="T31" i="22"/>
  <c r="U30" i="22"/>
  <c r="T30" i="22"/>
  <c r="U29" i="22"/>
  <c r="T29" i="22"/>
  <c r="U28" i="22"/>
  <c r="T28" i="22"/>
  <c r="U27" i="22"/>
  <c r="T27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AI201" i="22" l="1"/>
  <c r="AL201" i="22" s="1"/>
  <c r="Y201" i="39"/>
  <c r="AI196" i="22"/>
  <c r="AL196" i="22" s="1"/>
  <c r="Y196" i="39"/>
  <c r="AI191" i="22"/>
  <c r="AL191" i="22" s="1"/>
  <c r="Y191" i="39"/>
  <c r="AI187" i="22"/>
  <c r="AL187" i="22" s="1"/>
  <c r="Y187" i="39"/>
  <c r="AI183" i="22"/>
  <c r="AL183" i="22" s="1"/>
  <c r="Y183" i="39"/>
  <c r="AC182" i="22"/>
  <c r="AG182" i="22" s="1"/>
  <c r="X182" i="39"/>
  <c r="AC198" i="22"/>
  <c r="AG198" i="22" s="1"/>
  <c r="X198" i="39"/>
  <c r="AC193" i="22"/>
  <c r="AG193" i="22" s="1"/>
  <c r="X193" i="39"/>
  <c r="AC189" i="22"/>
  <c r="AG189" i="22" s="1"/>
  <c r="X189" i="39"/>
  <c r="AC185" i="22"/>
  <c r="AG185" i="22" s="1"/>
  <c r="X185" i="39"/>
  <c r="AC195" i="22"/>
  <c r="AG195" i="22" s="1"/>
  <c r="X195" i="39"/>
  <c r="AC184" i="22"/>
  <c r="AG184" i="22" s="1"/>
  <c r="X184" i="39"/>
  <c r="AI199" i="22"/>
  <c r="AL199" i="22" s="1"/>
  <c r="Y199" i="39"/>
  <c r="AI195" i="22"/>
  <c r="AL195" i="22" s="1"/>
  <c r="Y195" i="39"/>
  <c r="AI190" i="22"/>
  <c r="AL190" i="22" s="1"/>
  <c r="Y190" i="39"/>
  <c r="AI186" i="22"/>
  <c r="AL186" i="22" s="1"/>
  <c r="Y186" i="39"/>
  <c r="AI182" i="22"/>
  <c r="AL182" i="22" s="1"/>
  <c r="Y182" i="39"/>
  <c r="AC199" i="22"/>
  <c r="AG199" i="22" s="1"/>
  <c r="X199" i="39"/>
  <c r="AC192" i="22"/>
  <c r="AG192" i="22" s="1"/>
  <c r="X192" i="39"/>
  <c r="AI198" i="22"/>
  <c r="AL198" i="22" s="1"/>
  <c r="Y198" i="39"/>
  <c r="AI193" i="22"/>
  <c r="AL193" i="22" s="1"/>
  <c r="Y193" i="39"/>
  <c r="AI189" i="22"/>
  <c r="AL189" i="22" s="1"/>
  <c r="Y189" i="39"/>
  <c r="AI185" i="22"/>
  <c r="AL185" i="22" s="1"/>
  <c r="Y185" i="39"/>
  <c r="AC186" i="22"/>
  <c r="AG186" i="22" s="1"/>
  <c r="X186" i="39"/>
  <c r="AC201" i="22"/>
  <c r="AG201" i="22" s="1"/>
  <c r="X201" i="39"/>
  <c r="AC196" i="22"/>
  <c r="AG196" i="22" s="1"/>
  <c r="X196" i="39"/>
  <c r="AC191" i="22"/>
  <c r="AG191" i="22" s="1"/>
  <c r="X191" i="39"/>
  <c r="AC187" i="22"/>
  <c r="AG187" i="22" s="1"/>
  <c r="X187" i="39"/>
  <c r="AC183" i="22"/>
  <c r="AG183" i="22" s="1"/>
  <c r="X183" i="39"/>
  <c r="AC188" i="22"/>
  <c r="AG188" i="22" s="1"/>
  <c r="X188" i="39"/>
  <c r="AI205" i="22"/>
  <c r="AL205" i="22" s="1"/>
  <c r="Y205" i="39"/>
  <c r="AI197" i="22"/>
  <c r="AL197" i="22" s="1"/>
  <c r="Y197" i="39"/>
  <c r="AI192" i="22"/>
  <c r="AL192" i="22" s="1"/>
  <c r="Y192" i="39"/>
  <c r="AI188" i="22"/>
  <c r="AL188" i="22" s="1"/>
  <c r="Y188" i="39"/>
  <c r="AI184" i="22"/>
  <c r="AL184" i="22" s="1"/>
  <c r="Y184" i="39"/>
  <c r="AC205" i="22"/>
  <c r="AG205" i="22" s="1"/>
  <c r="X205" i="39"/>
  <c r="AC197" i="22"/>
  <c r="AG197" i="22" s="1"/>
  <c r="X197" i="39"/>
  <c r="AC190" i="22"/>
  <c r="AG190" i="22" s="1"/>
  <c r="X190" i="39"/>
  <c r="AI177" i="22"/>
  <c r="AL177" i="22" s="1"/>
  <c r="Y177" i="39"/>
  <c r="AI169" i="22"/>
  <c r="AL169" i="22" s="1"/>
  <c r="Y169" i="39"/>
  <c r="AI164" i="22"/>
  <c r="AL164" i="22" s="1"/>
  <c r="Y164" i="39"/>
  <c r="AI160" i="22"/>
  <c r="AL160" i="22" s="1"/>
  <c r="Y160" i="39"/>
  <c r="AI156" i="22"/>
  <c r="AL156" i="22" s="1"/>
  <c r="Y156" i="39"/>
  <c r="AC168" i="22"/>
  <c r="AG168" i="22" s="1"/>
  <c r="X168" i="39"/>
  <c r="AC155" i="22"/>
  <c r="AG155" i="22" s="1"/>
  <c r="X155" i="39"/>
  <c r="AC171" i="22"/>
  <c r="AG171" i="22" s="1"/>
  <c r="X171" i="39"/>
  <c r="AC167" i="22"/>
  <c r="AG167" i="22" s="1"/>
  <c r="X167" i="39"/>
  <c r="AC162" i="22"/>
  <c r="AG162" i="22" s="1"/>
  <c r="X162" i="39"/>
  <c r="AC158" i="22"/>
  <c r="AG158" i="22" s="1"/>
  <c r="X158" i="39"/>
  <c r="AC154" i="22"/>
  <c r="AG154" i="22" s="1"/>
  <c r="X154" i="39"/>
  <c r="AC163" i="22"/>
  <c r="AG163" i="22" s="1"/>
  <c r="X163" i="39"/>
  <c r="AI173" i="22"/>
  <c r="AL173" i="22" s="1"/>
  <c r="Y173" i="39"/>
  <c r="AI168" i="22"/>
  <c r="AL168" i="22" s="1"/>
  <c r="Y168" i="39"/>
  <c r="AI163" i="22"/>
  <c r="AL163" i="22" s="1"/>
  <c r="Y163" i="39"/>
  <c r="AI159" i="22"/>
  <c r="AL159" i="22" s="1"/>
  <c r="Y159" i="39"/>
  <c r="AI155" i="22"/>
  <c r="AL155" i="22" s="1"/>
  <c r="Y155" i="39"/>
  <c r="AC165" i="22"/>
  <c r="AG165" i="22" s="1"/>
  <c r="X165" i="39"/>
  <c r="AI171" i="22"/>
  <c r="AL171" i="22" s="1"/>
  <c r="Y171" i="39"/>
  <c r="AI167" i="22"/>
  <c r="AL167" i="22" s="1"/>
  <c r="Y167" i="39"/>
  <c r="AI162" i="22"/>
  <c r="AL162" i="22" s="1"/>
  <c r="Y162" i="39"/>
  <c r="AI158" i="22"/>
  <c r="AL158" i="22" s="1"/>
  <c r="Y158" i="39"/>
  <c r="AI154" i="22"/>
  <c r="AL154" i="22" s="1"/>
  <c r="Y154" i="39"/>
  <c r="AC161" i="22"/>
  <c r="AG161" i="22" s="1"/>
  <c r="X161" i="39"/>
  <c r="AC177" i="22"/>
  <c r="AG177" i="22" s="1"/>
  <c r="X177" i="39"/>
  <c r="AC169" i="22"/>
  <c r="AG169" i="22" s="1"/>
  <c r="X169" i="39"/>
  <c r="AC164" i="22"/>
  <c r="AG164" i="22" s="1"/>
  <c r="X164" i="39"/>
  <c r="AC160" i="22"/>
  <c r="AG160" i="22" s="1"/>
  <c r="X160" i="39"/>
  <c r="AC156" i="22"/>
  <c r="AG156" i="22" s="1"/>
  <c r="X156" i="39"/>
  <c r="AC170" i="22"/>
  <c r="AG170" i="22" s="1"/>
  <c r="X170" i="39"/>
  <c r="AC157" i="22"/>
  <c r="AG157" i="22" s="1"/>
  <c r="X157" i="39"/>
  <c r="AI170" i="22"/>
  <c r="AL170" i="22" s="1"/>
  <c r="Y170" i="39"/>
  <c r="AI165" i="22"/>
  <c r="AL165" i="22" s="1"/>
  <c r="Y165" i="39"/>
  <c r="AI161" i="22"/>
  <c r="AL161" i="22" s="1"/>
  <c r="Y161" i="39"/>
  <c r="AI157" i="22"/>
  <c r="AL157" i="22" s="1"/>
  <c r="Y157" i="39"/>
  <c r="AC173" i="22"/>
  <c r="AG173" i="22" s="1"/>
  <c r="X173" i="39"/>
  <c r="AC159" i="22"/>
  <c r="AG159" i="22" s="1"/>
  <c r="X159" i="39"/>
  <c r="AI145" i="22"/>
  <c r="AL145" i="22" s="1"/>
  <c r="Y145" i="39"/>
  <c r="AI132" i="22"/>
  <c r="AL132" i="22" s="1"/>
  <c r="Y132" i="39"/>
  <c r="AC133" i="22"/>
  <c r="AG133" i="22" s="1"/>
  <c r="X133" i="39"/>
  <c r="AI149" i="22"/>
  <c r="AL149" i="22" s="1"/>
  <c r="Y149" i="39"/>
  <c r="AI130" i="22"/>
  <c r="AL130" i="22" s="1"/>
  <c r="Y130" i="39"/>
  <c r="AC139" i="22"/>
  <c r="AG139" i="22" s="1"/>
  <c r="X139" i="39"/>
  <c r="AC130" i="22"/>
  <c r="AG130" i="22" s="1"/>
  <c r="X130" i="39"/>
  <c r="AI140" i="22"/>
  <c r="AL140" i="22" s="1"/>
  <c r="Y140" i="39"/>
  <c r="AC142" i="22"/>
  <c r="AG142" i="22" s="1"/>
  <c r="X142" i="39"/>
  <c r="AI136" i="22"/>
  <c r="AL136" i="22" s="1"/>
  <c r="Y136" i="39"/>
  <c r="AI134" i="22"/>
  <c r="AL134" i="22" s="1"/>
  <c r="Y134" i="39"/>
  <c r="AI135" i="22"/>
  <c r="AL135" i="22" s="1"/>
  <c r="Y135" i="39"/>
  <c r="AI131" i="22"/>
  <c r="AL131" i="22" s="1"/>
  <c r="Y131" i="39"/>
  <c r="AC137" i="22"/>
  <c r="AG137" i="22" s="1"/>
  <c r="X137" i="39"/>
  <c r="AC129" i="22"/>
  <c r="AG129" i="22" s="1"/>
  <c r="X129" i="39"/>
  <c r="AI141" i="22"/>
  <c r="AL141" i="22" s="1"/>
  <c r="Y141" i="39"/>
  <c r="AC143" i="22"/>
  <c r="AG143" i="22" s="1"/>
  <c r="X143" i="39"/>
  <c r="AC134" i="22"/>
  <c r="AG134" i="22" s="1"/>
  <c r="X134" i="39"/>
  <c r="AC126" i="22"/>
  <c r="AG126" i="22" s="1"/>
  <c r="X126" i="39"/>
  <c r="AI142" i="22"/>
  <c r="AL142" i="22" s="1"/>
  <c r="Y142" i="39"/>
  <c r="AI137" i="22"/>
  <c r="AL137" i="22" s="1"/>
  <c r="Y137" i="39"/>
  <c r="AI133" i="22"/>
  <c r="AL133" i="22" s="1"/>
  <c r="Y133" i="39"/>
  <c r="AI127" i="22"/>
  <c r="AL127" i="22" s="1"/>
  <c r="Y127" i="39"/>
  <c r="AC145" i="22"/>
  <c r="AG145" i="22" s="1"/>
  <c r="X145" i="39"/>
  <c r="AC140" i="22"/>
  <c r="AG140" i="22" s="1"/>
  <c r="X140" i="39"/>
  <c r="AC135" i="22"/>
  <c r="AG135" i="22" s="1"/>
  <c r="X135" i="39"/>
  <c r="AC131" i="22"/>
  <c r="AG131" i="22" s="1"/>
  <c r="X131" i="39"/>
  <c r="AC127" i="22"/>
  <c r="AG127" i="22" s="1"/>
  <c r="X127" i="39"/>
  <c r="AI126" i="22"/>
  <c r="AL126" i="22" s="1"/>
  <c r="Y126" i="39"/>
  <c r="AI143" i="22"/>
  <c r="AL143" i="22" s="1"/>
  <c r="Y143" i="39"/>
  <c r="AI139" i="22"/>
  <c r="AL139" i="22" s="1"/>
  <c r="Y139" i="39"/>
  <c r="AC149" i="22"/>
  <c r="AG149" i="22" s="1"/>
  <c r="X149" i="39"/>
  <c r="AC141" i="22"/>
  <c r="AG141" i="22" s="1"/>
  <c r="X141" i="39"/>
  <c r="AC136" i="22"/>
  <c r="AG136" i="22" s="1"/>
  <c r="X136" i="39"/>
  <c r="AC132" i="22"/>
  <c r="AG132" i="22" s="1"/>
  <c r="X132" i="39"/>
  <c r="AC128" i="22"/>
  <c r="AG128" i="22" s="1"/>
  <c r="X128" i="39"/>
  <c r="AI129" i="22"/>
  <c r="AL129" i="22" s="1"/>
  <c r="Y129" i="39"/>
  <c r="AI128" i="22"/>
  <c r="AL128" i="22" s="1"/>
  <c r="Y128" i="39"/>
  <c r="Y101" i="22"/>
  <c r="U101" i="39"/>
  <c r="Y109" i="22"/>
  <c r="U109" i="39"/>
  <c r="X99" i="22"/>
  <c r="T99" i="39"/>
  <c r="X101" i="22"/>
  <c r="T101" i="39"/>
  <c r="X103" i="22"/>
  <c r="T103" i="39"/>
  <c r="X105" i="22"/>
  <c r="T105" i="39"/>
  <c r="X107" i="22"/>
  <c r="T107" i="39"/>
  <c r="X109" i="22"/>
  <c r="T109" i="39"/>
  <c r="X112" i="22"/>
  <c r="T112" i="39"/>
  <c r="X114" i="22"/>
  <c r="T114" i="39"/>
  <c r="X117" i="22"/>
  <c r="T117" i="39"/>
  <c r="Y105" i="22"/>
  <c r="U105" i="39"/>
  <c r="Y114" i="22"/>
  <c r="U114" i="39"/>
  <c r="Y117" i="22"/>
  <c r="U117" i="39"/>
  <c r="Y103" i="22"/>
  <c r="U103" i="39"/>
  <c r="Y112" i="22"/>
  <c r="U112" i="39"/>
  <c r="X98" i="22"/>
  <c r="T98" i="39"/>
  <c r="X100" i="22"/>
  <c r="T100" i="39"/>
  <c r="X102" i="22"/>
  <c r="T102" i="39"/>
  <c r="X104" i="22"/>
  <c r="T104" i="39"/>
  <c r="X106" i="22"/>
  <c r="T106" i="39"/>
  <c r="X108" i="22"/>
  <c r="T108" i="39"/>
  <c r="X111" i="22"/>
  <c r="T111" i="39"/>
  <c r="X113" i="22"/>
  <c r="T113" i="39"/>
  <c r="X115" i="22"/>
  <c r="T115" i="39"/>
  <c r="X121" i="22"/>
  <c r="T121" i="39"/>
  <c r="Y99" i="22"/>
  <c r="U99" i="39"/>
  <c r="Y107" i="22"/>
  <c r="U107" i="39"/>
  <c r="Y98" i="22"/>
  <c r="U98" i="39"/>
  <c r="Y100" i="22"/>
  <c r="U100" i="39"/>
  <c r="Y102" i="22"/>
  <c r="U102" i="39"/>
  <c r="Y104" i="22"/>
  <c r="U104" i="39"/>
  <c r="Y106" i="22"/>
  <c r="U106" i="39"/>
  <c r="Y108" i="22"/>
  <c r="U108" i="39"/>
  <c r="Y111" i="22"/>
  <c r="U111" i="39"/>
  <c r="Y113" i="22"/>
  <c r="U113" i="39"/>
  <c r="Y115" i="22"/>
  <c r="U115" i="39"/>
  <c r="Y121" i="22"/>
  <c r="U121" i="39"/>
  <c r="X70" i="22"/>
  <c r="T70" i="39"/>
  <c r="X72" i="22"/>
  <c r="T72" i="39"/>
  <c r="X74" i="22"/>
  <c r="T74" i="39"/>
  <c r="X76" i="22"/>
  <c r="T76" i="39"/>
  <c r="X78" i="22"/>
  <c r="T78" i="39"/>
  <c r="X80" i="22"/>
  <c r="T80" i="39"/>
  <c r="X83" i="22"/>
  <c r="T83" i="39"/>
  <c r="X85" i="22"/>
  <c r="T85" i="39"/>
  <c r="X87" i="22"/>
  <c r="T87" i="39"/>
  <c r="X93" i="22"/>
  <c r="T93" i="39"/>
  <c r="Y70" i="22"/>
  <c r="U70" i="39"/>
  <c r="Y72" i="22"/>
  <c r="U72" i="39"/>
  <c r="Y74" i="22"/>
  <c r="U74" i="39"/>
  <c r="Y76" i="22"/>
  <c r="U76" i="39"/>
  <c r="Y78" i="22"/>
  <c r="U78" i="39"/>
  <c r="Y80" i="22"/>
  <c r="U80" i="39"/>
  <c r="Y83" i="22"/>
  <c r="U83" i="39"/>
  <c r="Y85" i="22"/>
  <c r="U85" i="39"/>
  <c r="Y87" i="22"/>
  <c r="U87" i="39"/>
  <c r="Y93" i="22"/>
  <c r="U93" i="39"/>
  <c r="X71" i="22"/>
  <c r="T71" i="39"/>
  <c r="X73" i="22"/>
  <c r="T73" i="39"/>
  <c r="X75" i="22"/>
  <c r="T75" i="39"/>
  <c r="X77" i="22"/>
  <c r="T77" i="39"/>
  <c r="X79" i="22"/>
  <c r="T79" i="39"/>
  <c r="X81" i="22"/>
  <c r="T81" i="39"/>
  <c r="X84" i="22"/>
  <c r="T84" i="39"/>
  <c r="X86" i="22"/>
  <c r="T86" i="39"/>
  <c r="X89" i="22"/>
  <c r="T89" i="39"/>
  <c r="Y71" i="22"/>
  <c r="U71" i="39"/>
  <c r="Y73" i="22"/>
  <c r="U73" i="39"/>
  <c r="Y75" i="22"/>
  <c r="U75" i="39"/>
  <c r="Y77" i="22"/>
  <c r="U77" i="39"/>
  <c r="Y79" i="22"/>
  <c r="U79" i="39"/>
  <c r="Y81" i="22"/>
  <c r="U81" i="39"/>
  <c r="Y84" i="22"/>
  <c r="U84" i="39"/>
  <c r="Y86" i="22"/>
  <c r="U86" i="39"/>
  <c r="Y89" i="22"/>
  <c r="U89" i="39"/>
  <c r="X46" i="22"/>
  <c r="T46" i="39"/>
  <c r="X57" i="22"/>
  <c r="T57" i="39"/>
  <c r="X43" i="22"/>
  <c r="T43" i="39"/>
  <c r="X45" i="22"/>
  <c r="T45" i="39"/>
  <c r="X47" i="22"/>
  <c r="T47" i="39"/>
  <c r="X49" i="22"/>
  <c r="T49" i="39"/>
  <c r="X51" i="22"/>
  <c r="T51" i="39"/>
  <c r="X53" i="22"/>
  <c r="T53" i="39"/>
  <c r="X56" i="22"/>
  <c r="T56" i="39"/>
  <c r="X58" i="22"/>
  <c r="T58" i="39"/>
  <c r="X61" i="22"/>
  <c r="X61" i="39" s="1"/>
  <c r="X44" i="22"/>
  <c r="T44" i="39"/>
  <c r="X50" i="22"/>
  <c r="T50" i="39"/>
  <c r="X55" i="22"/>
  <c r="T55" i="39"/>
  <c r="Y43" i="22"/>
  <c r="U43" i="39"/>
  <c r="Y45" i="22"/>
  <c r="U45" i="39"/>
  <c r="Y47" i="22"/>
  <c r="U47" i="39"/>
  <c r="Y49" i="22"/>
  <c r="U49" i="39"/>
  <c r="Y51" i="22"/>
  <c r="U51" i="39"/>
  <c r="Y53" i="22"/>
  <c r="U53" i="39"/>
  <c r="Y56" i="22"/>
  <c r="U56" i="39"/>
  <c r="Y58" i="22"/>
  <c r="U58" i="39"/>
  <c r="Y61" i="22"/>
  <c r="Y61" i="39" s="1"/>
  <c r="X42" i="22"/>
  <c r="T42" i="39"/>
  <c r="X52" i="22"/>
  <c r="T52" i="39"/>
  <c r="X65" i="22"/>
  <c r="T65" i="39"/>
  <c r="X48" i="22"/>
  <c r="T48" i="39"/>
  <c r="X59" i="22"/>
  <c r="T59" i="39"/>
  <c r="Y42" i="22"/>
  <c r="U42" i="39"/>
  <c r="Y44" i="22"/>
  <c r="U44" i="39"/>
  <c r="Y46" i="22"/>
  <c r="U46" i="39"/>
  <c r="Y48" i="22"/>
  <c r="U48" i="39"/>
  <c r="Y50" i="22"/>
  <c r="U50" i="39"/>
  <c r="Y52" i="22"/>
  <c r="U52" i="39"/>
  <c r="Y55" i="22"/>
  <c r="U55" i="39"/>
  <c r="Y57" i="22"/>
  <c r="U57" i="39"/>
  <c r="Y59" i="22"/>
  <c r="U59" i="39"/>
  <c r="Y65" i="22"/>
  <c r="U65" i="39"/>
  <c r="X16" i="22"/>
  <c r="T16" i="39"/>
  <c r="X22" i="22"/>
  <c r="T22" i="39"/>
  <c r="X29" i="22"/>
  <c r="T29" i="39"/>
  <c r="Y16" i="22"/>
  <c r="U16" i="39"/>
  <c r="Y18" i="22"/>
  <c r="U18" i="39"/>
  <c r="Y20" i="22"/>
  <c r="U20" i="39"/>
  <c r="Y22" i="22"/>
  <c r="U22" i="39"/>
  <c r="Y24" i="22"/>
  <c r="U24" i="39"/>
  <c r="Y27" i="22"/>
  <c r="U27" i="39"/>
  <c r="Y29" i="22"/>
  <c r="U29" i="39"/>
  <c r="Y31" i="22"/>
  <c r="U31" i="39"/>
  <c r="Y37" i="22"/>
  <c r="U37" i="39"/>
  <c r="X14" i="22"/>
  <c r="T14" i="39"/>
  <c r="X20" i="22"/>
  <c r="T20" i="39"/>
  <c r="X24" i="22"/>
  <c r="T24" i="39"/>
  <c r="X31" i="22"/>
  <c r="T31" i="39"/>
  <c r="Y14" i="22"/>
  <c r="U14" i="39"/>
  <c r="X15" i="22"/>
  <c r="T15" i="39"/>
  <c r="X17" i="22"/>
  <c r="T17" i="39"/>
  <c r="X19" i="22"/>
  <c r="T19" i="39"/>
  <c r="X21" i="22"/>
  <c r="T21" i="39"/>
  <c r="X23" i="22"/>
  <c r="T23" i="39"/>
  <c r="X25" i="22"/>
  <c r="T25" i="39"/>
  <c r="X28" i="22"/>
  <c r="T28" i="39"/>
  <c r="X30" i="22"/>
  <c r="T30" i="39"/>
  <c r="X33" i="22"/>
  <c r="T33" i="39"/>
  <c r="X18" i="22"/>
  <c r="T18" i="39"/>
  <c r="X27" i="22"/>
  <c r="T27" i="39"/>
  <c r="X37" i="22"/>
  <c r="T37" i="39"/>
  <c r="Y15" i="22"/>
  <c r="U15" i="39"/>
  <c r="Y17" i="22"/>
  <c r="U17" i="39"/>
  <c r="Y19" i="22"/>
  <c r="U19" i="39"/>
  <c r="Y21" i="22"/>
  <c r="U21" i="39"/>
  <c r="Y23" i="22"/>
  <c r="U23" i="39"/>
  <c r="Y25" i="22"/>
  <c r="U25" i="39"/>
  <c r="Y28" i="22"/>
  <c r="U28" i="39"/>
  <c r="Y30" i="22"/>
  <c r="U30" i="39"/>
  <c r="Y33" i="22"/>
  <c r="U33" i="39"/>
  <c r="H363" i="22"/>
  <c r="H363" i="39" s="1"/>
  <c r="H335" i="22"/>
  <c r="H335" i="39" s="1"/>
  <c r="H307" i="22"/>
  <c r="H307" i="39" s="1"/>
  <c r="H279" i="22"/>
  <c r="H279" i="39" s="1"/>
  <c r="H223" i="22"/>
  <c r="H223" i="39" s="1"/>
  <c r="H195" i="22"/>
  <c r="H195" i="39" s="1"/>
  <c r="H167" i="22"/>
  <c r="H167" i="39" s="1"/>
  <c r="H139" i="22"/>
  <c r="H139" i="39" s="1"/>
  <c r="H111" i="22"/>
  <c r="H111" i="39" s="1"/>
  <c r="H83" i="22"/>
  <c r="H83" i="39" s="1"/>
  <c r="H55" i="22"/>
  <c r="H55" i="39" s="1"/>
  <c r="F37" i="22"/>
  <c r="F37" i="39" s="1"/>
  <c r="F33" i="22"/>
  <c r="F33" i="39" s="1"/>
  <c r="F31" i="22"/>
  <c r="F31" i="39" s="1"/>
  <c r="F30" i="22"/>
  <c r="F30" i="39" s="1"/>
  <c r="F29" i="22"/>
  <c r="F29" i="39" s="1"/>
  <c r="F28" i="22"/>
  <c r="F28" i="39" s="1"/>
  <c r="F27" i="22"/>
  <c r="F27" i="39" s="1"/>
  <c r="F25" i="22"/>
  <c r="F25" i="39" s="1"/>
  <c r="F24" i="22"/>
  <c r="F24" i="39" s="1"/>
  <c r="F23" i="22"/>
  <c r="F23" i="39" s="1"/>
  <c r="F22" i="22"/>
  <c r="F22" i="39" s="1"/>
  <c r="F21" i="22"/>
  <c r="F21" i="39" s="1"/>
  <c r="F20" i="22"/>
  <c r="F20" i="39" s="1"/>
  <c r="F19" i="22"/>
  <c r="F19" i="39" s="1"/>
  <c r="F18" i="22"/>
  <c r="F18" i="39" s="1"/>
  <c r="F17" i="22"/>
  <c r="F17" i="39" s="1"/>
  <c r="F16" i="22"/>
  <c r="F16" i="39" s="1"/>
  <c r="F15" i="22"/>
  <c r="F15" i="39" s="1"/>
  <c r="F14" i="22"/>
  <c r="F14" i="39" s="1"/>
  <c r="F13" i="22"/>
  <c r="F13" i="39" s="1"/>
  <c r="F65" i="22"/>
  <c r="F65" i="39" s="1"/>
  <c r="F61" i="22"/>
  <c r="F61" i="39" s="1"/>
  <c r="F59" i="22"/>
  <c r="F59" i="39" s="1"/>
  <c r="F58" i="22"/>
  <c r="F58" i="39" s="1"/>
  <c r="F57" i="22"/>
  <c r="F57" i="39" s="1"/>
  <c r="F56" i="22"/>
  <c r="F56" i="39" s="1"/>
  <c r="F55" i="22"/>
  <c r="F55" i="39" s="1"/>
  <c r="F53" i="22"/>
  <c r="F53" i="39" s="1"/>
  <c r="F52" i="22"/>
  <c r="F52" i="39" s="1"/>
  <c r="F51" i="22"/>
  <c r="F51" i="39" s="1"/>
  <c r="F50" i="22"/>
  <c r="F50" i="39" s="1"/>
  <c r="F49" i="22"/>
  <c r="F49" i="39" s="1"/>
  <c r="F48" i="22"/>
  <c r="F48" i="39" s="1"/>
  <c r="F47" i="22"/>
  <c r="F47" i="39" s="1"/>
  <c r="F46" i="22"/>
  <c r="F46" i="39" s="1"/>
  <c r="F45" i="22"/>
  <c r="F45" i="39" s="1"/>
  <c r="F44" i="22"/>
  <c r="F44" i="39" s="1"/>
  <c r="F43" i="22"/>
  <c r="F43" i="39" s="1"/>
  <c r="F42" i="22"/>
  <c r="F42" i="39" s="1"/>
  <c r="F41" i="22"/>
  <c r="F41" i="39" s="1"/>
  <c r="F93" i="22"/>
  <c r="F93" i="39" s="1"/>
  <c r="F89" i="22"/>
  <c r="F89" i="39" s="1"/>
  <c r="F87" i="22"/>
  <c r="F87" i="39" s="1"/>
  <c r="F86" i="22"/>
  <c r="F86" i="39" s="1"/>
  <c r="F85" i="22"/>
  <c r="F85" i="39" s="1"/>
  <c r="F84" i="22"/>
  <c r="F84" i="39" s="1"/>
  <c r="F83" i="22"/>
  <c r="F83" i="39" s="1"/>
  <c r="F81" i="22"/>
  <c r="F81" i="39" s="1"/>
  <c r="F80" i="22"/>
  <c r="F80" i="39" s="1"/>
  <c r="F79" i="22"/>
  <c r="F79" i="39" s="1"/>
  <c r="F78" i="22"/>
  <c r="F78" i="39" s="1"/>
  <c r="F77" i="22"/>
  <c r="F77" i="39" s="1"/>
  <c r="F76" i="22"/>
  <c r="F76" i="39" s="1"/>
  <c r="F75" i="22"/>
  <c r="F75" i="39" s="1"/>
  <c r="F74" i="22"/>
  <c r="F74" i="39" s="1"/>
  <c r="F73" i="22"/>
  <c r="F73" i="39" s="1"/>
  <c r="F72" i="22"/>
  <c r="F72" i="39" s="1"/>
  <c r="F71" i="22"/>
  <c r="F71" i="39" s="1"/>
  <c r="F70" i="22"/>
  <c r="F70" i="39" s="1"/>
  <c r="F69" i="22"/>
  <c r="F69" i="39" s="1"/>
  <c r="F121" i="22"/>
  <c r="F121" i="39" s="1"/>
  <c r="F117" i="22"/>
  <c r="F117" i="39" s="1"/>
  <c r="F115" i="22"/>
  <c r="F115" i="39" s="1"/>
  <c r="F114" i="22"/>
  <c r="F114" i="39" s="1"/>
  <c r="F113" i="22"/>
  <c r="F113" i="39" s="1"/>
  <c r="F112" i="22"/>
  <c r="F112" i="39" s="1"/>
  <c r="F111" i="22"/>
  <c r="F111" i="39" s="1"/>
  <c r="F109" i="22"/>
  <c r="F109" i="39" s="1"/>
  <c r="F108" i="22"/>
  <c r="F108" i="39" s="1"/>
  <c r="F107" i="22"/>
  <c r="F107" i="39" s="1"/>
  <c r="F106" i="22"/>
  <c r="F106" i="39" s="1"/>
  <c r="F105" i="22"/>
  <c r="F105" i="39" s="1"/>
  <c r="F104" i="22"/>
  <c r="F104" i="39" s="1"/>
  <c r="F103" i="22"/>
  <c r="F103" i="39" s="1"/>
  <c r="F102" i="22"/>
  <c r="F102" i="39" s="1"/>
  <c r="F101" i="22"/>
  <c r="F101" i="39" s="1"/>
  <c r="F100" i="22"/>
  <c r="F100" i="39" s="1"/>
  <c r="F99" i="22"/>
  <c r="F99" i="39" s="1"/>
  <c r="F98" i="22"/>
  <c r="F98" i="39" s="1"/>
  <c r="F97" i="22"/>
  <c r="F97" i="39" s="1"/>
  <c r="F149" i="22"/>
  <c r="F149" i="39" s="1"/>
  <c r="F145" i="22"/>
  <c r="F145" i="39" s="1"/>
  <c r="F143" i="22"/>
  <c r="F143" i="39" s="1"/>
  <c r="F142" i="22"/>
  <c r="F142" i="39" s="1"/>
  <c r="F141" i="22"/>
  <c r="F141" i="39" s="1"/>
  <c r="F140" i="22"/>
  <c r="F140" i="39" s="1"/>
  <c r="F139" i="22"/>
  <c r="F139" i="39" s="1"/>
  <c r="F137" i="22"/>
  <c r="F137" i="39" s="1"/>
  <c r="F136" i="22"/>
  <c r="F136" i="39" s="1"/>
  <c r="F135" i="22"/>
  <c r="F135" i="39" s="1"/>
  <c r="F134" i="22"/>
  <c r="F134" i="39" s="1"/>
  <c r="F133" i="22"/>
  <c r="F133" i="39" s="1"/>
  <c r="F132" i="22"/>
  <c r="F132" i="39" s="1"/>
  <c r="F131" i="22"/>
  <c r="F131" i="39" s="1"/>
  <c r="F130" i="22"/>
  <c r="F130" i="39" s="1"/>
  <c r="F129" i="22"/>
  <c r="F129" i="39" s="1"/>
  <c r="F128" i="22"/>
  <c r="F128" i="39" s="1"/>
  <c r="F127" i="22"/>
  <c r="F127" i="39" s="1"/>
  <c r="F126" i="22"/>
  <c r="F126" i="39" s="1"/>
  <c r="F125" i="22"/>
  <c r="F125" i="39" s="1"/>
  <c r="F177" i="22"/>
  <c r="F177" i="39" s="1"/>
  <c r="F173" i="22"/>
  <c r="F173" i="39" s="1"/>
  <c r="F171" i="22"/>
  <c r="F171" i="39" s="1"/>
  <c r="F170" i="22"/>
  <c r="F170" i="39" s="1"/>
  <c r="F169" i="22"/>
  <c r="F169" i="39" s="1"/>
  <c r="F168" i="22"/>
  <c r="F168" i="39" s="1"/>
  <c r="F167" i="22"/>
  <c r="F167" i="39" s="1"/>
  <c r="F165" i="22"/>
  <c r="F165" i="39" s="1"/>
  <c r="F164" i="22"/>
  <c r="F164" i="39" s="1"/>
  <c r="F163" i="22"/>
  <c r="F163" i="39" s="1"/>
  <c r="F162" i="22"/>
  <c r="F162" i="39" s="1"/>
  <c r="F161" i="22"/>
  <c r="F161" i="39" s="1"/>
  <c r="F160" i="22"/>
  <c r="F160" i="39" s="1"/>
  <c r="F159" i="22"/>
  <c r="F159" i="39" s="1"/>
  <c r="F158" i="22"/>
  <c r="F158" i="39" s="1"/>
  <c r="F157" i="22"/>
  <c r="F157" i="39" s="1"/>
  <c r="F156" i="22"/>
  <c r="F156" i="39" s="1"/>
  <c r="F155" i="22"/>
  <c r="F155" i="39" s="1"/>
  <c r="F154" i="22"/>
  <c r="F154" i="39" s="1"/>
  <c r="F153" i="22"/>
  <c r="F153" i="39" s="1"/>
  <c r="F205" i="22"/>
  <c r="F205" i="39" s="1"/>
  <c r="F201" i="22"/>
  <c r="F201" i="39" s="1"/>
  <c r="F199" i="22"/>
  <c r="F199" i="39" s="1"/>
  <c r="F198" i="22"/>
  <c r="F198" i="39" s="1"/>
  <c r="F197" i="22"/>
  <c r="F197" i="39" s="1"/>
  <c r="F196" i="22"/>
  <c r="F196" i="39" s="1"/>
  <c r="F195" i="22"/>
  <c r="F195" i="39" s="1"/>
  <c r="F193" i="22"/>
  <c r="F193" i="39" s="1"/>
  <c r="F192" i="22"/>
  <c r="F192" i="39" s="1"/>
  <c r="F191" i="22"/>
  <c r="F191" i="39" s="1"/>
  <c r="F190" i="22"/>
  <c r="F190" i="39" s="1"/>
  <c r="F189" i="22"/>
  <c r="F189" i="39" s="1"/>
  <c r="F188" i="22"/>
  <c r="F188" i="39" s="1"/>
  <c r="F187" i="22"/>
  <c r="F187" i="39" s="1"/>
  <c r="F186" i="22"/>
  <c r="F186" i="39" s="1"/>
  <c r="F185" i="22"/>
  <c r="F185" i="39" s="1"/>
  <c r="F184" i="22"/>
  <c r="F184" i="39" s="1"/>
  <c r="F183" i="22"/>
  <c r="F183" i="39" s="1"/>
  <c r="F182" i="22"/>
  <c r="F182" i="39" s="1"/>
  <c r="F181" i="22"/>
  <c r="F181" i="39" s="1"/>
  <c r="F233" i="22"/>
  <c r="F233" i="39" s="1"/>
  <c r="F229" i="22"/>
  <c r="F229" i="39" s="1"/>
  <c r="F227" i="22"/>
  <c r="F227" i="39" s="1"/>
  <c r="F226" i="22"/>
  <c r="F226" i="39" s="1"/>
  <c r="F225" i="22"/>
  <c r="F225" i="39" s="1"/>
  <c r="F224" i="22"/>
  <c r="F224" i="39" s="1"/>
  <c r="F223" i="22"/>
  <c r="F223" i="39" s="1"/>
  <c r="F221" i="22"/>
  <c r="F221" i="39" s="1"/>
  <c r="F220" i="22"/>
  <c r="F220" i="39" s="1"/>
  <c r="F219" i="22"/>
  <c r="F219" i="39" s="1"/>
  <c r="F218" i="22"/>
  <c r="F218" i="39" s="1"/>
  <c r="F217" i="22"/>
  <c r="F217" i="39" s="1"/>
  <c r="F216" i="22"/>
  <c r="F216" i="39" s="1"/>
  <c r="F215" i="22"/>
  <c r="F215" i="39" s="1"/>
  <c r="F214" i="22"/>
  <c r="F214" i="39" s="1"/>
  <c r="F213" i="22"/>
  <c r="F213" i="39" s="1"/>
  <c r="F212" i="22"/>
  <c r="F212" i="39" s="1"/>
  <c r="F211" i="22"/>
  <c r="F211" i="39" s="1"/>
  <c r="F210" i="39"/>
  <c r="F209" i="22"/>
  <c r="F209" i="39" s="1"/>
  <c r="F261" i="22"/>
  <c r="F261" i="39" s="1"/>
  <c r="F257" i="22"/>
  <c r="F257" i="39" s="1"/>
  <c r="F255" i="22"/>
  <c r="F255" i="39" s="1"/>
  <c r="F254" i="22"/>
  <c r="F254" i="39" s="1"/>
  <c r="F253" i="22"/>
  <c r="F253" i="39" s="1"/>
  <c r="F252" i="22"/>
  <c r="F252" i="39" s="1"/>
  <c r="F243" i="22"/>
  <c r="F243" i="39" s="1"/>
  <c r="F242" i="22"/>
  <c r="F242" i="39" s="1"/>
  <c r="F241" i="22"/>
  <c r="F241" i="39" s="1"/>
  <c r="F240" i="22"/>
  <c r="F240" i="39" s="1"/>
  <c r="F239" i="22"/>
  <c r="F239" i="39" s="1"/>
  <c r="F238" i="22"/>
  <c r="F238" i="39" s="1"/>
  <c r="F237" i="22"/>
  <c r="F237" i="39" s="1"/>
  <c r="F289" i="22"/>
  <c r="F289" i="39" s="1"/>
  <c r="F285" i="22"/>
  <c r="F285" i="39" s="1"/>
  <c r="F283" i="22"/>
  <c r="F283" i="39" s="1"/>
  <c r="F282" i="22"/>
  <c r="F282" i="39" s="1"/>
  <c r="F281" i="22"/>
  <c r="F281" i="39" s="1"/>
  <c r="F280" i="22"/>
  <c r="F280" i="39" s="1"/>
  <c r="F279" i="22"/>
  <c r="F279" i="39" s="1"/>
  <c r="F277" i="22"/>
  <c r="F277" i="39" s="1"/>
  <c r="F276" i="22"/>
  <c r="F276" i="39" s="1"/>
  <c r="F275" i="22"/>
  <c r="F275" i="39" s="1"/>
  <c r="F274" i="22"/>
  <c r="F274" i="39" s="1"/>
  <c r="F273" i="22"/>
  <c r="F273" i="39" s="1"/>
  <c r="F272" i="22"/>
  <c r="F272" i="39" s="1"/>
  <c r="F271" i="22"/>
  <c r="F271" i="39" s="1"/>
  <c r="F270" i="22"/>
  <c r="F270" i="39" s="1"/>
  <c r="F269" i="22"/>
  <c r="F269" i="39" s="1"/>
  <c r="F268" i="22"/>
  <c r="F268" i="39" s="1"/>
  <c r="F267" i="22"/>
  <c r="F267" i="39" s="1"/>
  <c r="F266" i="22"/>
  <c r="F266" i="39" s="1"/>
  <c r="F265" i="22"/>
  <c r="F265" i="39" s="1"/>
  <c r="F317" i="39"/>
  <c r="F313" i="22"/>
  <c r="F313" i="39" s="1"/>
  <c r="F311" i="22"/>
  <c r="F311" i="39" s="1"/>
  <c r="F310" i="22"/>
  <c r="F310" i="39" s="1"/>
  <c r="F309" i="22"/>
  <c r="F309" i="39" s="1"/>
  <c r="F308" i="22"/>
  <c r="F308" i="39" s="1"/>
  <c r="F307" i="22"/>
  <c r="F307" i="39" s="1"/>
  <c r="F305" i="22"/>
  <c r="F305" i="39" s="1"/>
  <c r="F304" i="22"/>
  <c r="F304" i="39" s="1"/>
  <c r="F303" i="22"/>
  <c r="F303" i="39" s="1"/>
  <c r="F302" i="22"/>
  <c r="F302" i="39" s="1"/>
  <c r="F301" i="22"/>
  <c r="F301" i="39" s="1"/>
  <c r="F300" i="22"/>
  <c r="F300" i="39" s="1"/>
  <c r="F299" i="22"/>
  <c r="F299" i="39" s="1"/>
  <c r="F298" i="22"/>
  <c r="F298" i="39" s="1"/>
  <c r="F297" i="22"/>
  <c r="F297" i="39" s="1"/>
  <c r="F296" i="22"/>
  <c r="F296" i="39" s="1"/>
  <c r="F295" i="22"/>
  <c r="F295" i="39" s="1"/>
  <c r="F294" i="22"/>
  <c r="F294" i="39" s="1"/>
  <c r="F293" i="22"/>
  <c r="F293" i="39" s="1"/>
  <c r="F345" i="22"/>
  <c r="F345" i="39" s="1"/>
  <c r="F341" i="22"/>
  <c r="F341" i="39" s="1"/>
  <c r="F339" i="22"/>
  <c r="F339" i="39" s="1"/>
  <c r="F338" i="22"/>
  <c r="F338" i="39" s="1"/>
  <c r="F337" i="22"/>
  <c r="F337" i="39" s="1"/>
  <c r="F336" i="22"/>
  <c r="F336" i="39" s="1"/>
  <c r="F335" i="22"/>
  <c r="F335" i="39" s="1"/>
  <c r="F333" i="22"/>
  <c r="F333" i="39" s="1"/>
  <c r="F332" i="22"/>
  <c r="F332" i="39" s="1"/>
  <c r="F331" i="22"/>
  <c r="F331" i="39" s="1"/>
  <c r="F330" i="22"/>
  <c r="F330" i="39" s="1"/>
  <c r="F329" i="22"/>
  <c r="F329" i="39" s="1"/>
  <c r="F328" i="22"/>
  <c r="F328" i="39" s="1"/>
  <c r="F327" i="22"/>
  <c r="F327" i="39" s="1"/>
  <c r="F326" i="22"/>
  <c r="F326" i="39" s="1"/>
  <c r="F325" i="22"/>
  <c r="F325" i="39" s="1"/>
  <c r="F324" i="22"/>
  <c r="F324" i="39" s="1"/>
  <c r="F323" i="22"/>
  <c r="F323" i="39" s="1"/>
  <c r="F322" i="22"/>
  <c r="F322" i="39" s="1"/>
  <c r="F321" i="22"/>
  <c r="F321" i="39" s="1"/>
  <c r="F373" i="22"/>
  <c r="F373" i="39" s="1"/>
  <c r="F369" i="22"/>
  <c r="F369" i="39" s="1"/>
  <c r="F367" i="22"/>
  <c r="F367" i="39" s="1"/>
  <c r="F366" i="22"/>
  <c r="F366" i="39" s="1"/>
  <c r="F365" i="22"/>
  <c r="F365" i="39" s="1"/>
  <c r="F364" i="22"/>
  <c r="F364" i="39" s="1"/>
  <c r="F363" i="22"/>
  <c r="F363" i="39" s="1"/>
  <c r="F361" i="22"/>
  <c r="F361" i="39" s="1"/>
  <c r="F360" i="22"/>
  <c r="F360" i="39" s="1"/>
  <c r="F359" i="22"/>
  <c r="F359" i="39" s="1"/>
  <c r="F358" i="22"/>
  <c r="F358" i="39" s="1"/>
  <c r="F357" i="22"/>
  <c r="F357" i="39" s="1"/>
  <c r="F356" i="22"/>
  <c r="F356" i="39" s="1"/>
  <c r="F355" i="22"/>
  <c r="F355" i="39" s="1"/>
  <c r="F354" i="22"/>
  <c r="F354" i="39" s="1"/>
  <c r="F353" i="22"/>
  <c r="F353" i="39" s="1"/>
  <c r="F352" i="22"/>
  <c r="F352" i="39" s="1"/>
  <c r="F351" i="22"/>
  <c r="F351" i="39" s="1"/>
  <c r="F350" i="22"/>
  <c r="F350" i="39" s="1"/>
  <c r="F349" i="22"/>
  <c r="F349" i="39" s="1"/>
  <c r="H391" i="22"/>
  <c r="H391" i="39" s="1"/>
  <c r="F401" i="22"/>
  <c r="F401" i="39" s="1"/>
  <c r="F397" i="22"/>
  <c r="F397" i="39" s="1"/>
  <c r="F395" i="22"/>
  <c r="F395" i="39" s="1"/>
  <c r="F394" i="22"/>
  <c r="F394" i="39" s="1"/>
  <c r="F393" i="22"/>
  <c r="F393" i="39" s="1"/>
  <c r="F392" i="22"/>
  <c r="F392" i="39" s="1"/>
  <c r="F391" i="22"/>
  <c r="F391" i="39" s="1"/>
  <c r="F389" i="22"/>
  <c r="F389" i="39" s="1"/>
  <c r="F388" i="22"/>
  <c r="F388" i="39" s="1"/>
  <c r="F387" i="22"/>
  <c r="F387" i="39" s="1"/>
  <c r="F386" i="22"/>
  <c r="F386" i="39" s="1"/>
  <c r="F385" i="22"/>
  <c r="F385" i="39" s="1"/>
  <c r="F384" i="22"/>
  <c r="F384" i="39" s="1"/>
  <c r="F383" i="22"/>
  <c r="F383" i="39" s="1"/>
  <c r="F382" i="22"/>
  <c r="F382" i="39" s="1"/>
  <c r="F381" i="22"/>
  <c r="F381" i="39" s="1"/>
  <c r="F380" i="22"/>
  <c r="F380" i="39" s="1"/>
  <c r="F379" i="22"/>
  <c r="F379" i="39" s="1"/>
  <c r="F378" i="22"/>
  <c r="F378" i="39" s="1"/>
  <c r="F377" i="22"/>
  <c r="F377" i="39" s="1"/>
  <c r="H419" i="22"/>
  <c r="H419" i="39" s="1"/>
  <c r="F429" i="22"/>
  <c r="F429" i="39" s="1"/>
  <c r="F425" i="22"/>
  <c r="F425" i="39" s="1"/>
  <c r="F423" i="22"/>
  <c r="F423" i="39" s="1"/>
  <c r="F422" i="22"/>
  <c r="F422" i="39" s="1"/>
  <c r="F421" i="22"/>
  <c r="F421" i="39" s="1"/>
  <c r="F420" i="22"/>
  <c r="F420" i="39" s="1"/>
  <c r="F419" i="22"/>
  <c r="F419" i="39" s="1"/>
  <c r="F417" i="22"/>
  <c r="F417" i="39" s="1"/>
  <c r="F416" i="22"/>
  <c r="F416" i="39" s="1"/>
  <c r="F415" i="22"/>
  <c r="F415" i="39" s="1"/>
  <c r="F414" i="22"/>
  <c r="F414" i="39" s="1"/>
  <c r="F413" i="22"/>
  <c r="F413" i="39" s="1"/>
  <c r="F412" i="22"/>
  <c r="F412" i="39" s="1"/>
  <c r="F411" i="22"/>
  <c r="F411" i="39" s="1"/>
  <c r="F410" i="22"/>
  <c r="F410" i="39" s="1"/>
  <c r="F409" i="22"/>
  <c r="F409" i="39" s="1"/>
  <c r="F408" i="22"/>
  <c r="F408" i="39" s="1"/>
  <c r="F407" i="22"/>
  <c r="F407" i="39" s="1"/>
  <c r="F406" i="22"/>
  <c r="F406" i="39" s="1"/>
  <c r="F405" i="22"/>
  <c r="F405" i="39" s="1"/>
  <c r="H447" i="22"/>
  <c r="H447" i="39" s="1"/>
  <c r="F457" i="22"/>
  <c r="F457" i="39" s="1"/>
  <c r="F453" i="22"/>
  <c r="F453" i="39" s="1"/>
  <c r="F451" i="22"/>
  <c r="F451" i="39" s="1"/>
  <c r="F450" i="22"/>
  <c r="F450" i="39" s="1"/>
  <c r="F449" i="22"/>
  <c r="F449" i="39" s="1"/>
  <c r="F448" i="22"/>
  <c r="F448" i="39" s="1"/>
  <c r="F447" i="22"/>
  <c r="F447" i="39" s="1"/>
  <c r="F445" i="22"/>
  <c r="F445" i="39" s="1"/>
  <c r="F444" i="22"/>
  <c r="F444" i="39" s="1"/>
  <c r="F443" i="22"/>
  <c r="F443" i="39" s="1"/>
  <c r="F442" i="22"/>
  <c r="F442" i="39" s="1"/>
  <c r="F441" i="22"/>
  <c r="F441" i="39" s="1"/>
  <c r="F440" i="22"/>
  <c r="F440" i="39" s="1"/>
  <c r="F439" i="22"/>
  <c r="F439" i="39" s="1"/>
  <c r="F438" i="22"/>
  <c r="F438" i="39" s="1"/>
  <c r="F437" i="22"/>
  <c r="F437" i="39" s="1"/>
  <c r="F436" i="22"/>
  <c r="F436" i="39" s="1"/>
  <c r="F435" i="22"/>
  <c r="F435" i="39" s="1"/>
  <c r="F434" i="22"/>
  <c r="F434" i="39" s="1"/>
  <c r="F433" i="22"/>
  <c r="F433" i="39" s="1"/>
  <c r="H475" i="22"/>
  <c r="H475" i="39" s="1"/>
  <c r="F485" i="22"/>
  <c r="F485" i="39" s="1"/>
  <c r="F481" i="22"/>
  <c r="F481" i="39" s="1"/>
  <c r="F479" i="22"/>
  <c r="F479" i="39" s="1"/>
  <c r="F478" i="22"/>
  <c r="F478" i="39" s="1"/>
  <c r="F477" i="22"/>
  <c r="F477" i="39" s="1"/>
  <c r="F476" i="22"/>
  <c r="F476" i="39" s="1"/>
  <c r="F475" i="22"/>
  <c r="F475" i="39" s="1"/>
  <c r="F473" i="22"/>
  <c r="F473" i="39" s="1"/>
  <c r="F472" i="22"/>
  <c r="F472" i="39" s="1"/>
  <c r="F471" i="22"/>
  <c r="F471" i="39" s="1"/>
  <c r="F470" i="22"/>
  <c r="F470" i="39" s="1"/>
  <c r="F469" i="22"/>
  <c r="F469" i="39" s="1"/>
  <c r="F468" i="22"/>
  <c r="F468" i="39" s="1"/>
  <c r="F467" i="22"/>
  <c r="F467" i="39" s="1"/>
  <c r="F466" i="22"/>
  <c r="F466" i="39" s="1"/>
  <c r="F465" i="22"/>
  <c r="F465" i="39" s="1"/>
  <c r="F464" i="22"/>
  <c r="F464" i="39" s="1"/>
  <c r="F463" i="22"/>
  <c r="F463" i="39" s="1"/>
  <c r="F462" i="22"/>
  <c r="F462" i="39" s="1"/>
  <c r="F461" i="22"/>
  <c r="F461" i="39" s="1"/>
  <c r="H503" i="22"/>
  <c r="H503" i="39" s="1"/>
  <c r="F513" i="22"/>
  <c r="F513" i="39" s="1"/>
  <c r="F509" i="22"/>
  <c r="F509" i="39" s="1"/>
  <c r="F507" i="22"/>
  <c r="F507" i="39" s="1"/>
  <c r="F506" i="22"/>
  <c r="F506" i="39" s="1"/>
  <c r="F505" i="22"/>
  <c r="F505" i="39" s="1"/>
  <c r="F504" i="22"/>
  <c r="F504" i="39" s="1"/>
  <c r="F503" i="22"/>
  <c r="F503" i="39" s="1"/>
  <c r="F501" i="22"/>
  <c r="F501" i="39" s="1"/>
  <c r="F500" i="22"/>
  <c r="F500" i="39" s="1"/>
  <c r="F499" i="22"/>
  <c r="F499" i="39" s="1"/>
  <c r="F498" i="22"/>
  <c r="F498" i="39" s="1"/>
  <c r="F497" i="22"/>
  <c r="F497" i="39" s="1"/>
  <c r="F493" i="22"/>
  <c r="F493" i="39" s="1"/>
  <c r="F492" i="22"/>
  <c r="F492" i="39" s="1"/>
  <c r="F491" i="22"/>
  <c r="F491" i="39" s="1"/>
  <c r="F490" i="22"/>
  <c r="F490" i="39" s="1"/>
  <c r="F489" i="22"/>
  <c r="F489" i="39" s="1"/>
  <c r="H531" i="22"/>
  <c r="H531" i="39" s="1"/>
  <c r="F531" i="22"/>
  <c r="F531" i="39" s="1"/>
  <c r="F541" i="22"/>
  <c r="F541" i="39" s="1"/>
  <c r="F535" i="22"/>
  <c r="F535" i="39" s="1"/>
  <c r="F534" i="22"/>
  <c r="F534" i="39" s="1"/>
  <c r="F533" i="22"/>
  <c r="F533" i="39" s="1"/>
  <c r="F532" i="22"/>
  <c r="F532" i="39" s="1"/>
  <c r="F529" i="22"/>
  <c r="F529" i="39" s="1"/>
  <c r="F528" i="22"/>
  <c r="F528" i="39" s="1"/>
  <c r="F527" i="22"/>
  <c r="F527" i="39" s="1"/>
  <c r="F526" i="22"/>
  <c r="F526" i="39" s="1"/>
  <c r="F525" i="22"/>
  <c r="F525" i="39" s="1"/>
  <c r="F524" i="22"/>
  <c r="F524" i="39" s="1"/>
  <c r="F523" i="22"/>
  <c r="F523" i="39" s="1"/>
  <c r="F522" i="22"/>
  <c r="F522" i="39" s="1"/>
  <c r="F521" i="22"/>
  <c r="F521" i="39" s="1"/>
  <c r="F520" i="22"/>
  <c r="F520" i="39" s="1"/>
  <c r="F519" i="22"/>
  <c r="F519" i="39" s="1"/>
  <c r="F518" i="22"/>
  <c r="F518" i="39" s="1"/>
  <c r="F517" i="22"/>
  <c r="F517" i="39" s="1"/>
  <c r="H559" i="22"/>
  <c r="H559" i="39" s="1"/>
  <c r="F559" i="22"/>
  <c r="F559" i="39" s="1"/>
  <c r="F569" i="22"/>
  <c r="F569" i="39" s="1"/>
  <c r="F563" i="22"/>
  <c r="F563" i="39" s="1"/>
  <c r="F562" i="22"/>
  <c r="F562" i="39" s="1"/>
  <c r="F561" i="22"/>
  <c r="F561" i="39" s="1"/>
  <c r="F560" i="22"/>
  <c r="F560" i="39" s="1"/>
  <c r="F557" i="22"/>
  <c r="F557" i="39" s="1"/>
  <c r="F556" i="22"/>
  <c r="F556" i="39" s="1"/>
  <c r="F555" i="22"/>
  <c r="F555" i="39" s="1"/>
  <c r="F554" i="22"/>
  <c r="F554" i="39" s="1"/>
  <c r="F553" i="22"/>
  <c r="F553" i="39" s="1"/>
  <c r="F552" i="22"/>
  <c r="F552" i="39" s="1"/>
  <c r="F551" i="22"/>
  <c r="F551" i="39" s="1"/>
  <c r="F550" i="22"/>
  <c r="F550" i="39" s="1"/>
  <c r="F549" i="22"/>
  <c r="F549" i="39" s="1"/>
  <c r="F548" i="22"/>
  <c r="F548" i="39" s="1"/>
  <c r="F547" i="22"/>
  <c r="F547" i="39" s="1"/>
  <c r="F546" i="22"/>
  <c r="F546" i="39" s="1"/>
  <c r="F545" i="22"/>
  <c r="F545" i="39" s="1"/>
  <c r="F597" i="22"/>
  <c r="F597" i="39" s="1"/>
  <c r="F593" i="22"/>
  <c r="F593" i="39" s="1"/>
  <c r="F591" i="22"/>
  <c r="F591" i="39" s="1"/>
  <c r="F590" i="22"/>
  <c r="F590" i="39" s="1"/>
  <c r="F589" i="22"/>
  <c r="F589" i="39" s="1"/>
  <c r="F588" i="22"/>
  <c r="F588" i="39" s="1"/>
  <c r="F587" i="22"/>
  <c r="F587" i="39" s="1"/>
  <c r="F585" i="22"/>
  <c r="F585" i="39" s="1"/>
  <c r="F584" i="22"/>
  <c r="F584" i="39" s="1"/>
  <c r="F583" i="39"/>
  <c r="F582" i="22"/>
  <c r="F582" i="39" s="1"/>
  <c r="F581" i="22"/>
  <c r="F581" i="39" s="1"/>
  <c r="F580" i="22"/>
  <c r="F580" i="39" s="1"/>
  <c r="F579" i="22"/>
  <c r="F579" i="39" s="1"/>
  <c r="F578" i="22"/>
  <c r="F578" i="39" s="1"/>
  <c r="F577" i="22"/>
  <c r="F577" i="39" s="1"/>
  <c r="F576" i="22"/>
  <c r="F576" i="39" s="1"/>
  <c r="F575" i="22"/>
  <c r="F575" i="39" s="1"/>
  <c r="F574" i="22"/>
  <c r="F574" i="39" s="1"/>
  <c r="F573" i="22"/>
  <c r="F573" i="39" s="1"/>
  <c r="H587" i="22"/>
  <c r="H587" i="39" s="1"/>
  <c r="F626" i="39"/>
  <c r="F625" i="22"/>
  <c r="F625" i="39" s="1"/>
  <c r="F621" i="22"/>
  <c r="F621" i="39" s="1"/>
  <c r="F619" i="22"/>
  <c r="F619" i="39" s="1"/>
  <c r="F618" i="22"/>
  <c r="F618" i="39" s="1"/>
  <c r="F617" i="22"/>
  <c r="F617" i="39" s="1"/>
  <c r="F616" i="22"/>
  <c r="F616" i="39" s="1"/>
  <c r="F615" i="22"/>
  <c r="F615" i="39" s="1"/>
  <c r="F613" i="22"/>
  <c r="F613" i="39" s="1"/>
  <c r="F612" i="22"/>
  <c r="F612" i="39" s="1"/>
  <c r="F611" i="22"/>
  <c r="F611" i="39" s="1"/>
  <c r="F610" i="22"/>
  <c r="F610" i="39" s="1"/>
  <c r="F609" i="22"/>
  <c r="F609" i="39" s="1"/>
  <c r="F608" i="22"/>
  <c r="F608" i="39" s="1"/>
  <c r="F607" i="22"/>
  <c r="F607" i="39" s="1"/>
  <c r="F606" i="22"/>
  <c r="F606" i="39" s="1"/>
  <c r="F605" i="22"/>
  <c r="F605" i="39" s="1"/>
  <c r="F604" i="22"/>
  <c r="F604" i="39" s="1"/>
  <c r="F603" i="22"/>
  <c r="F603" i="39" s="1"/>
  <c r="F602" i="22"/>
  <c r="F602" i="39" s="1"/>
  <c r="F601" i="22"/>
  <c r="F601" i="39" s="1"/>
  <c r="H615" i="22"/>
  <c r="H615" i="39" s="1"/>
  <c r="F653" i="22"/>
  <c r="F653" i="39" s="1"/>
  <c r="F649" i="22"/>
  <c r="F649" i="39" s="1"/>
  <c r="F647" i="22"/>
  <c r="F647" i="39" s="1"/>
  <c r="F646" i="22"/>
  <c r="F646" i="39" s="1"/>
  <c r="F645" i="22"/>
  <c r="F645" i="39" s="1"/>
  <c r="F644" i="22"/>
  <c r="F644" i="39" s="1"/>
  <c r="F643" i="22"/>
  <c r="F643" i="39" s="1"/>
  <c r="F641" i="22"/>
  <c r="F641" i="39" s="1"/>
  <c r="F640" i="22"/>
  <c r="F640" i="39" s="1"/>
  <c r="F639" i="22"/>
  <c r="F639" i="39" s="1"/>
  <c r="F638" i="22"/>
  <c r="F638" i="39" s="1"/>
  <c r="F637" i="22"/>
  <c r="F637" i="39" s="1"/>
  <c r="F636" i="22"/>
  <c r="F636" i="39" s="1"/>
  <c r="F635" i="22"/>
  <c r="F635" i="39" s="1"/>
  <c r="F634" i="22"/>
  <c r="F634" i="39" s="1"/>
  <c r="F633" i="22"/>
  <c r="F633" i="39" s="1"/>
  <c r="F632" i="22"/>
  <c r="F632" i="39" s="1"/>
  <c r="F631" i="22"/>
  <c r="F631" i="39" s="1"/>
  <c r="F630" i="22"/>
  <c r="F630" i="39" s="1"/>
  <c r="F629" i="22"/>
  <c r="F629" i="39" s="1"/>
  <c r="H643" i="22"/>
  <c r="H643" i="39" s="1"/>
  <c r="F681" i="22"/>
  <c r="F681" i="39" s="1"/>
  <c r="F677" i="39"/>
  <c r="F675" i="22"/>
  <c r="F675" i="39" s="1"/>
  <c r="F674" i="22"/>
  <c r="F674" i="39" s="1"/>
  <c r="F673" i="22"/>
  <c r="F673" i="39" s="1"/>
  <c r="F672" i="22"/>
  <c r="F672" i="39" s="1"/>
  <c r="F671" i="22"/>
  <c r="F671" i="39" s="1"/>
  <c r="F669" i="22"/>
  <c r="F669" i="39" s="1"/>
  <c r="F668" i="22"/>
  <c r="F668" i="39" s="1"/>
  <c r="F667" i="22"/>
  <c r="F667" i="39" s="1"/>
  <c r="F666" i="22"/>
  <c r="F666" i="39" s="1"/>
  <c r="F665" i="22"/>
  <c r="F665" i="39" s="1"/>
  <c r="F664" i="22"/>
  <c r="F664" i="39" s="1"/>
  <c r="F663" i="22"/>
  <c r="F663" i="39" s="1"/>
  <c r="F662" i="22"/>
  <c r="F662" i="39" s="1"/>
  <c r="F661" i="22"/>
  <c r="F661" i="39" s="1"/>
  <c r="F660" i="22"/>
  <c r="F660" i="39" s="1"/>
  <c r="F659" i="22"/>
  <c r="F659" i="39" s="1"/>
  <c r="F658" i="22"/>
  <c r="F658" i="39" s="1"/>
  <c r="F657" i="22"/>
  <c r="F657" i="39" s="1"/>
  <c r="H671" i="22"/>
  <c r="H671" i="39" s="1"/>
  <c r="H699" i="22"/>
  <c r="H699" i="39" s="1"/>
  <c r="F709" i="22"/>
  <c r="F709" i="39" s="1"/>
  <c r="F705" i="22"/>
  <c r="F705" i="39" s="1"/>
  <c r="F703" i="22"/>
  <c r="F703" i="39" s="1"/>
  <c r="F702" i="22"/>
  <c r="F702" i="39" s="1"/>
  <c r="F701" i="22"/>
  <c r="F701" i="39" s="1"/>
  <c r="F700" i="22"/>
  <c r="F700" i="39" s="1"/>
  <c r="F699" i="22"/>
  <c r="F699" i="39" s="1"/>
  <c r="F697" i="22"/>
  <c r="F697" i="39" s="1"/>
  <c r="F696" i="22"/>
  <c r="F696" i="39" s="1"/>
  <c r="F695" i="22"/>
  <c r="F695" i="39" s="1"/>
  <c r="F694" i="22"/>
  <c r="F694" i="39" s="1"/>
  <c r="F693" i="22"/>
  <c r="F693" i="39" s="1"/>
  <c r="F692" i="22"/>
  <c r="F692" i="39" s="1"/>
  <c r="F691" i="22"/>
  <c r="F691" i="39" s="1"/>
  <c r="F690" i="22"/>
  <c r="F690" i="39" s="1"/>
  <c r="F689" i="22"/>
  <c r="F689" i="39" s="1"/>
  <c r="F688" i="22"/>
  <c r="F688" i="39" s="1"/>
  <c r="F687" i="22"/>
  <c r="F687" i="39" s="1"/>
  <c r="F686" i="22"/>
  <c r="F686" i="39" s="1"/>
  <c r="F685" i="22"/>
  <c r="F685" i="39" s="1"/>
  <c r="F737" i="22"/>
  <c r="F737" i="39" s="1"/>
  <c r="F733" i="22"/>
  <c r="F733" i="39" s="1"/>
  <c r="F731" i="22"/>
  <c r="F731" i="39" s="1"/>
  <c r="F730" i="22"/>
  <c r="F730" i="39" s="1"/>
  <c r="F729" i="22"/>
  <c r="F729" i="39" s="1"/>
  <c r="F728" i="22"/>
  <c r="F728" i="39" s="1"/>
  <c r="F727" i="22"/>
  <c r="F727" i="39" s="1"/>
  <c r="F725" i="22"/>
  <c r="F725" i="39" s="1"/>
  <c r="F724" i="22"/>
  <c r="F724" i="39" s="1"/>
  <c r="F723" i="22"/>
  <c r="F723" i="39" s="1"/>
  <c r="F722" i="22"/>
  <c r="F722" i="39" s="1"/>
  <c r="F721" i="22"/>
  <c r="F721" i="39" s="1"/>
  <c r="F720" i="22"/>
  <c r="F720" i="39" s="1"/>
  <c r="F719" i="22"/>
  <c r="F719" i="39" s="1"/>
  <c r="F718" i="22"/>
  <c r="F718" i="39" s="1"/>
  <c r="F717" i="22"/>
  <c r="F717" i="39" s="1"/>
  <c r="F716" i="22"/>
  <c r="F716" i="39" s="1"/>
  <c r="F715" i="22"/>
  <c r="F715" i="39" s="1"/>
  <c r="F714" i="22"/>
  <c r="F714" i="39" s="1"/>
  <c r="F713" i="22"/>
  <c r="F713" i="39" s="1"/>
  <c r="F712" i="22"/>
  <c r="F765" i="22"/>
  <c r="F765" i="39" s="1"/>
  <c r="F761" i="22"/>
  <c r="F761" i="39" s="1"/>
  <c r="F759" i="22"/>
  <c r="F759" i="39" s="1"/>
  <c r="F758" i="22"/>
  <c r="F758" i="39" s="1"/>
  <c r="F757" i="22"/>
  <c r="F757" i="39" s="1"/>
  <c r="F756" i="22"/>
  <c r="F756" i="39" s="1"/>
  <c r="F755" i="22"/>
  <c r="F755" i="39" s="1"/>
  <c r="F753" i="22"/>
  <c r="F753" i="39" s="1"/>
  <c r="F752" i="22"/>
  <c r="F752" i="39" s="1"/>
  <c r="F751" i="22"/>
  <c r="F751" i="39" s="1"/>
  <c r="F750" i="22"/>
  <c r="F750" i="39" s="1"/>
  <c r="F749" i="22"/>
  <c r="F749" i="39" s="1"/>
  <c r="F748" i="22"/>
  <c r="F748" i="39" s="1"/>
  <c r="F747" i="22"/>
  <c r="F747" i="39" s="1"/>
  <c r="F746" i="22"/>
  <c r="F746" i="39" s="1"/>
  <c r="F745" i="22"/>
  <c r="F745" i="39" s="1"/>
  <c r="F744" i="22"/>
  <c r="F744" i="39" s="1"/>
  <c r="F743" i="22"/>
  <c r="F743" i="39" s="1"/>
  <c r="F742" i="22"/>
  <c r="F742" i="39" s="1"/>
  <c r="H755" i="22"/>
  <c r="H755" i="39" s="1"/>
  <c r="F741" i="22"/>
  <c r="F741" i="39" s="1"/>
  <c r="H783" i="22"/>
  <c r="H783" i="39" s="1"/>
  <c r="F783" i="22"/>
  <c r="F783" i="39" s="1"/>
  <c r="F793" i="22"/>
  <c r="F793" i="39" s="1"/>
  <c r="F789" i="22"/>
  <c r="F789" i="39" s="1"/>
  <c r="F787" i="22"/>
  <c r="F787" i="39" s="1"/>
  <c r="F786" i="22"/>
  <c r="F786" i="39" s="1"/>
  <c r="F785" i="22"/>
  <c r="F785" i="39" s="1"/>
  <c r="F784" i="22"/>
  <c r="F784" i="39" s="1"/>
  <c r="F781" i="22"/>
  <c r="F781" i="39" s="1"/>
  <c r="F780" i="22"/>
  <c r="F780" i="39" s="1"/>
  <c r="F779" i="22"/>
  <c r="F779" i="39" s="1"/>
  <c r="F778" i="22"/>
  <c r="F778" i="39" s="1"/>
  <c r="F777" i="22"/>
  <c r="F777" i="39" s="1"/>
  <c r="F776" i="22"/>
  <c r="F776" i="39" s="1"/>
  <c r="F775" i="22"/>
  <c r="F775" i="39" s="1"/>
  <c r="F774" i="22"/>
  <c r="F774" i="39" s="1"/>
  <c r="F773" i="22"/>
  <c r="F773" i="39" s="1"/>
  <c r="F772" i="22"/>
  <c r="F772" i="39" s="1"/>
  <c r="F771" i="22"/>
  <c r="F771" i="39" s="1"/>
  <c r="F770" i="22"/>
  <c r="F770" i="39" s="1"/>
  <c r="F769" i="22"/>
  <c r="F769" i="39" s="1"/>
  <c r="H811" i="22"/>
  <c r="H811" i="39" s="1"/>
  <c r="F811" i="22"/>
  <c r="F811" i="39" s="1"/>
  <c r="F821" i="22"/>
  <c r="F821" i="39" s="1"/>
  <c r="F817" i="22"/>
  <c r="F817" i="39" s="1"/>
  <c r="F815" i="22"/>
  <c r="F815" i="39" s="1"/>
  <c r="F814" i="22"/>
  <c r="F814" i="39" s="1"/>
  <c r="F813" i="22"/>
  <c r="F813" i="39" s="1"/>
  <c r="F812" i="22"/>
  <c r="F812" i="39" s="1"/>
  <c r="F809" i="22"/>
  <c r="F809" i="39" s="1"/>
  <c r="F808" i="22"/>
  <c r="F808" i="39" s="1"/>
  <c r="F807" i="22"/>
  <c r="F807" i="39" s="1"/>
  <c r="F806" i="22"/>
  <c r="F806" i="39" s="1"/>
  <c r="F805" i="22"/>
  <c r="F805" i="39" s="1"/>
  <c r="F804" i="22"/>
  <c r="F804" i="39" s="1"/>
  <c r="F803" i="22"/>
  <c r="F803" i="39" s="1"/>
  <c r="F802" i="22"/>
  <c r="F802" i="39" s="1"/>
  <c r="F801" i="22"/>
  <c r="F801" i="39" s="1"/>
  <c r="F800" i="22"/>
  <c r="F800" i="39" s="1"/>
  <c r="F799" i="22"/>
  <c r="F799" i="39" s="1"/>
  <c r="F798" i="22"/>
  <c r="F798" i="39" s="1"/>
  <c r="F797" i="22"/>
  <c r="F797" i="39" s="1"/>
  <c r="F849" i="22"/>
  <c r="F849" i="39" s="1"/>
  <c r="F845" i="22"/>
  <c r="F845" i="39" s="1"/>
  <c r="F843" i="22"/>
  <c r="F843" i="39" s="1"/>
  <c r="F842" i="22"/>
  <c r="F842" i="39" s="1"/>
  <c r="F841" i="22"/>
  <c r="F841" i="39" s="1"/>
  <c r="F840" i="22"/>
  <c r="F840" i="39" s="1"/>
  <c r="F839" i="22"/>
  <c r="F839" i="39" s="1"/>
  <c r="F837" i="22"/>
  <c r="F837" i="39" s="1"/>
  <c r="F836" i="22"/>
  <c r="F836" i="39" s="1"/>
  <c r="F835" i="22"/>
  <c r="F835" i="39" s="1"/>
  <c r="F834" i="22"/>
  <c r="F834" i="39" s="1"/>
  <c r="F833" i="22"/>
  <c r="F833" i="39" s="1"/>
  <c r="F832" i="22"/>
  <c r="F832" i="39" s="1"/>
  <c r="F831" i="22"/>
  <c r="F831" i="39" s="1"/>
  <c r="F830" i="22"/>
  <c r="F830" i="39" s="1"/>
  <c r="F829" i="22"/>
  <c r="F829" i="39" s="1"/>
  <c r="F828" i="22"/>
  <c r="F828" i="39" s="1"/>
  <c r="F827" i="22"/>
  <c r="F827" i="39" s="1"/>
  <c r="F826" i="22"/>
  <c r="F826" i="39" s="1"/>
  <c r="F825" i="22"/>
  <c r="F825" i="39" s="1"/>
  <c r="F877" i="22"/>
  <c r="F877" i="39" s="1"/>
  <c r="F873" i="22"/>
  <c r="F873" i="39" s="1"/>
  <c r="F871" i="22"/>
  <c r="F871" i="39" s="1"/>
  <c r="F870" i="22"/>
  <c r="F870" i="39" s="1"/>
  <c r="F869" i="22"/>
  <c r="F869" i="39" s="1"/>
  <c r="F868" i="22"/>
  <c r="F868" i="39" s="1"/>
  <c r="F867" i="22"/>
  <c r="F867" i="39" s="1"/>
  <c r="F865" i="22"/>
  <c r="F865" i="39" s="1"/>
  <c r="F864" i="22"/>
  <c r="F864" i="39" s="1"/>
  <c r="F863" i="22"/>
  <c r="F863" i="39" s="1"/>
  <c r="F862" i="22"/>
  <c r="F862" i="39" s="1"/>
  <c r="F861" i="22"/>
  <c r="F861" i="39" s="1"/>
  <c r="F860" i="22"/>
  <c r="F860" i="39" s="1"/>
  <c r="F859" i="22"/>
  <c r="F859" i="39" s="1"/>
  <c r="F858" i="22"/>
  <c r="F858" i="39" s="1"/>
  <c r="F857" i="22"/>
  <c r="F857" i="39" s="1"/>
  <c r="F856" i="22"/>
  <c r="F856" i="39" s="1"/>
  <c r="F855" i="22"/>
  <c r="F855" i="39" s="1"/>
  <c r="F854" i="22"/>
  <c r="F854" i="39" s="1"/>
  <c r="F853" i="22"/>
  <c r="F853" i="39" s="1"/>
  <c r="H839" i="22"/>
  <c r="H839" i="39" s="1"/>
  <c r="H867" i="22"/>
  <c r="H867" i="39" s="1"/>
  <c r="AI121" i="22" l="1"/>
  <c r="AL121" i="22" s="1"/>
  <c r="Y121" i="39"/>
  <c r="AI113" i="22"/>
  <c r="AL113" i="22" s="1"/>
  <c r="Y113" i="39"/>
  <c r="AI108" i="22"/>
  <c r="AL108" i="22" s="1"/>
  <c r="Y108" i="39"/>
  <c r="AI104" i="22"/>
  <c r="AL104" i="22" s="1"/>
  <c r="Y104" i="39"/>
  <c r="AI100" i="22"/>
  <c r="AL100" i="22" s="1"/>
  <c r="Y100" i="39"/>
  <c r="AI107" i="22"/>
  <c r="AL107" i="22" s="1"/>
  <c r="Y107" i="39"/>
  <c r="AC121" i="22"/>
  <c r="AG121" i="22" s="1"/>
  <c r="X121" i="39"/>
  <c r="AC113" i="22"/>
  <c r="AG113" i="22" s="1"/>
  <c r="X113" i="39"/>
  <c r="AC108" i="22"/>
  <c r="AG108" i="22" s="1"/>
  <c r="X108" i="39"/>
  <c r="AC104" i="22"/>
  <c r="AG104" i="22" s="1"/>
  <c r="X104" i="39"/>
  <c r="AC100" i="22"/>
  <c r="AG100" i="22" s="1"/>
  <c r="X100" i="39"/>
  <c r="AI112" i="22"/>
  <c r="AL112" i="22" s="1"/>
  <c r="Y112" i="39"/>
  <c r="AI117" i="22"/>
  <c r="AL117" i="22" s="1"/>
  <c r="Y117" i="39"/>
  <c r="AI105" i="22"/>
  <c r="AL105" i="22" s="1"/>
  <c r="Y105" i="39"/>
  <c r="AC114" i="22"/>
  <c r="AG114" i="22" s="1"/>
  <c r="X114" i="39"/>
  <c r="AC109" i="22"/>
  <c r="AG109" i="22" s="1"/>
  <c r="X109" i="39"/>
  <c r="AC105" i="22"/>
  <c r="AG105" i="22" s="1"/>
  <c r="X105" i="39"/>
  <c r="AC101" i="22"/>
  <c r="AG101" i="22" s="1"/>
  <c r="X101" i="39"/>
  <c r="AI109" i="22"/>
  <c r="AL109" i="22" s="1"/>
  <c r="Y109" i="39"/>
  <c r="AI115" i="22"/>
  <c r="AL115" i="22" s="1"/>
  <c r="Y115" i="39"/>
  <c r="AI111" i="22"/>
  <c r="AL111" i="22" s="1"/>
  <c r="Y111" i="39"/>
  <c r="AI106" i="22"/>
  <c r="AL106" i="22" s="1"/>
  <c r="Y106" i="39"/>
  <c r="AI102" i="22"/>
  <c r="AL102" i="22" s="1"/>
  <c r="Y102" i="39"/>
  <c r="AI98" i="22"/>
  <c r="AL98" i="22" s="1"/>
  <c r="Y98" i="39"/>
  <c r="AI99" i="22"/>
  <c r="AL99" i="22" s="1"/>
  <c r="Y99" i="39"/>
  <c r="AC115" i="22"/>
  <c r="AG115" i="22" s="1"/>
  <c r="X115" i="39"/>
  <c r="AC111" i="22"/>
  <c r="AG111" i="22" s="1"/>
  <c r="X111" i="39"/>
  <c r="AC106" i="22"/>
  <c r="AG106" i="22" s="1"/>
  <c r="X106" i="39"/>
  <c r="AC102" i="22"/>
  <c r="AG102" i="22" s="1"/>
  <c r="X102" i="39"/>
  <c r="AC98" i="22"/>
  <c r="AG98" i="22" s="1"/>
  <c r="X98" i="39"/>
  <c r="AI103" i="22"/>
  <c r="AL103" i="22" s="1"/>
  <c r="Y103" i="39"/>
  <c r="AI114" i="22"/>
  <c r="AL114" i="22" s="1"/>
  <c r="Y114" i="39"/>
  <c r="AC117" i="22"/>
  <c r="AG117" i="22" s="1"/>
  <c r="X117" i="39"/>
  <c r="AC112" i="22"/>
  <c r="AG112" i="22" s="1"/>
  <c r="X112" i="39"/>
  <c r="AC107" i="22"/>
  <c r="AG107" i="22" s="1"/>
  <c r="X107" i="39"/>
  <c r="AC103" i="22"/>
  <c r="AG103" i="22" s="1"/>
  <c r="X103" i="39"/>
  <c r="AC99" i="22"/>
  <c r="AG99" i="22" s="1"/>
  <c r="X99" i="39"/>
  <c r="AI101" i="22"/>
  <c r="AL101" i="22" s="1"/>
  <c r="Y101" i="39"/>
  <c r="AI89" i="22"/>
  <c r="AL89" i="22" s="1"/>
  <c r="Y89" i="39"/>
  <c r="AI84" i="22"/>
  <c r="AL84" i="22" s="1"/>
  <c r="Y84" i="39"/>
  <c r="AI79" i="22"/>
  <c r="AL79" i="22" s="1"/>
  <c r="Y79" i="39"/>
  <c r="AI75" i="22"/>
  <c r="AL75" i="22" s="1"/>
  <c r="Y75" i="39"/>
  <c r="AI71" i="22"/>
  <c r="AL71" i="22" s="1"/>
  <c r="Y71" i="39"/>
  <c r="AC86" i="22"/>
  <c r="AG86" i="22" s="1"/>
  <c r="X86" i="39"/>
  <c r="AC81" i="22"/>
  <c r="AG81" i="22" s="1"/>
  <c r="X81" i="39"/>
  <c r="AC77" i="22"/>
  <c r="AG77" i="22" s="1"/>
  <c r="X77" i="39"/>
  <c r="AC73" i="22"/>
  <c r="AG73" i="22" s="1"/>
  <c r="X73" i="39"/>
  <c r="AI93" i="22"/>
  <c r="AL93" i="22" s="1"/>
  <c r="Y93" i="39"/>
  <c r="AI85" i="22"/>
  <c r="AL85" i="22" s="1"/>
  <c r="Y85" i="39"/>
  <c r="AI80" i="22"/>
  <c r="AL80" i="22" s="1"/>
  <c r="Y80" i="39"/>
  <c r="AI76" i="22"/>
  <c r="AL76" i="22" s="1"/>
  <c r="Y76" i="39"/>
  <c r="AI72" i="22"/>
  <c r="AL72" i="22" s="1"/>
  <c r="Y72" i="39"/>
  <c r="AC93" i="22"/>
  <c r="AG93" i="22" s="1"/>
  <c r="X93" i="39"/>
  <c r="AC85" i="22"/>
  <c r="AG85" i="22" s="1"/>
  <c r="X85" i="39"/>
  <c r="AC80" i="22"/>
  <c r="AG80" i="22" s="1"/>
  <c r="X80" i="39"/>
  <c r="AC76" i="22"/>
  <c r="AG76" i="22" s="1"/>
  <c r="X76" i="39"/>
  <c r="AC72" i="22"/>
  <c r="AG72" i="22" s="1"/>
  <c r="X72" i="39"/>
  <c r="AI86" i="22"/>
  <c r="AL86" i="22" s="1"/>
  <c r="Y86" i="39"/>
  <c r="AI81" i="22"/>
  <c r="AL81" i="22" s="1"/>
  <c r="Y81" i="39"/>
  <c r="AI77" i="22"/>
  <c r="AL77" i="22" s="1"/>
  <c r="Y77" i="39"/>
  <c r="AI73" i="22"/>
  <c r="AL73" i="22" s="1"/>
  <c r="Y73" i="39"/>
  <c r="AC89" i="22"/>
  <c r="AG89" i="22" s="1"/>
  <c r="X89" i="39"/>
  <c r="AC84" i="22"/>
  <c r="AG84" i="22" s="1"/>
  <c r="X84" i="39"/>
  <c r="AC79" i="22"/>
  <c r="AG79" i="22" s="1"/>
  <c r="X79" i="39"/>
  <c r="AC75" i="22"/>
  <c r="AG75" i="22" s="1"/>
  <c r="X75" i="39"/>
  <c r="AC71" i="22"/>
  <c r="AG71" i="22" s="1"/>
  <c r="X71" i="39"/>
  <c r="AI87" i="22"/>
  <c r="AL87" i="22" s="1"/>
  <c r="Y87" i="39"/>
  <c r="AI83" i="22"/>
  <c r="AL83" i="22" s="1"/>
  <c r="Y83" i="39"/>
  <c r="AI78" i="22"/>
  <c r="AL78" i="22" s="1"/>
  <c r="Y78" i="39"/>
  <c r="AI74" i="22"/>
  <c r="AL74" i="22" s="1"/>
  <c r="Y74" i="39"/>
  <c r="AI70" i="22"/>
  <c r="AL70" i="22" s="1"/>
  <c r="Y70" i="39"/>
  <c r="AC87" i="22"/>
  <c r="AG87" i="22" s="1"/>
  <c r="X87" i="39"/>
  <c r="AC83" i="22"/>
  <c r="AG83" i="22" s="1"/>
  <c r="X83" i="39"/>
  <c r="AC78" i="22"/>
  <c r="AG78" i="22" s="1"/>
  <c r="X78" i="39"/>
  <c r="AC74" i="22"/>
  <c r="AG74" i="22" s="1"/>
  <c r="X74" i="39"/>
  <c r="AC70" i="22"/>
  <c r="AG70" i="22" s="1"/>
  <c r="X70" i="39"/>
  <c r="AI65" i="22"/>
  <c r="AL65" i="22" s="1"/>
  <c r="Y65" i="39"/>
  <c r="AI57" i="22"/>
  <c r="AL57" i="22" s="1"/>
  <c r="Y57" i="39"/>
  <c r="AI52" i="22"/>
  <c r="AL52" i="22" s="1"/>
  <c r="Y52" i="39"/>
  <c r="AI48" i="22"/>
  <c r="AL48" i="22" s="1"/>
  <c r="Y48" i="39"/>
  <c r="AI44" i="22"/>
  <c r="AL44" i="22" s="1"/>
  <c r="Y44" i="39"/>
  <c r="AC59" i="22"/>
  <c r="AG59" i="22" s="1"/>
  <c r="X59" i="39"/>
  <c r="AC65" i="22"/>
  <c r="AG65" i="22" s="1"/>
  <c r="X65" i="39"/>
  <c r="AC42" i="22"/>
  <c r="AG42" i="22" s="1"/>
  <c r="X42" i="39"/>
  <c r="AI58" i="22"/>
  <c r="AL58" i="22" s="1"/>
  <c r="Y58" i="39"/>
  <c r="AI53" i="22"/>
  <c r="AL53" i="22" s="1"/>
  <c r="Y53" i="39"/>
  <c r="AI49" i="22"/>
  <c r="AL49" i="22" s="1"/>
  <c r="Y49" i="39"/>
  <c r="AI45" i="22"/>
  <c r="AL45" i="22" s="1"/>
  <c r="Y45" i="39"/>
  <c r="AC55" i="22"/>
  <c r="AG55" i="22" s="1"/>
  <c r="X55" i="39"/>
  <c r="AC44" i="22"/>
  <c r="AG44" i="22" s="1"/>
  <c r="X44" i="39"/>
  <c r="AC58" i="22"/>
  <c r="AG58" i="22" s="1"/>
  <c r="X58" i="39"/>
  <c r="AC53" i="22"/>
  <c r="AG53" i="22" s="1"/>
  <c r="X53" i="39"/>
  <c r="AC49" i="22"/>
  <c r="AG49" i="22" s="1"/>
  <c r="X49" i="39"/>
  <c r="AC45" i="22"/>
  <c r="AG45" i="22" s="1"/>
  <c r="X45" i="39"/>
  <c r="AC57" i="22"/>
  <c r="AG57" i="22" s="1"/>
  <c r="X57" i="39"/>
  <c r="AI59" i="22"/>
  <c r="AL59" i="22" s="1"/>
  <c r="Y59" i="39"/>
  <c r="AI55" i="22"/>
  <c r="AL55" i="22" s="1"/>
  <c r="Y55" i="39"/>
  <c r="AI50" i="22"/>
  <c r="AL50" i="22" s="1"/>
  <c r="Y50" i="39"/>
  <c r="AI46" i="22"/>
  <c r="AL46" i="22" s="1"/>
  <c r="Y46" i="39"/>
  <c r="AI42" i="22"/>
  <c r="AL42" i="22" s="1"/>
  <c r="Y42" i="39"/>
  <c r="AC48" i="22"/>
  <c r="AG48" i="22" s="1"/>
  <c r="X48" i="39"/>
  <c r="AC52" i="22"/>
  <c r="AG52" i="22" s="1"/>
  <c r="X52" i="39"/>
  <c r="AI61" i="22"/>
  <c r="AL61" i="22" s="1"/>
  <c r="AI56" i="22"/>
  <c r="AL56" i="22" s="1"/>
  <c r="Y56" i="39"/>
  <c r="AI51" i="22"/>
  <c r="AL51" i="22" s="1"/>
  <c r="Y51" i="39"/>
  <c r="AI47" i="22"/>
  <c r="AL47" i="22" s="1"/>
  <c r="Y47" i="39"/>
  <c r="AI43" i="22"/>
  <c r="AL43" i="22" s="1"/>
  <c r="Y43" i="39"/>
  <c r="AC50" i="22"/>
  <c r="AG50" i="22" s="1"/>
  <c r="X50" i="39"/>
  <c r="AC61" i="22"/>
  <c r="AG61" i="22" s="1"/>
  <c r="AC56" i="22"/>
  <c r="AG56" i="22" s="1"/>
  <c r="X56" i="39"/>
  <c r="AC51" i="22"/>
  <c r="AG51" i="22" s="1"/>
  <c r="X51" i="39"/>
  <c r="AC47" i="22"/>
  <c r="AG47" i="22" s="1"/>
  <c r="X47" i="39"/>
  <c r="AC43" i="22"/>
  <c r="AG43" i="22" s="1"/>
  <c r="X43" i="39"/>
  <c r="AC46" i="22"/>
  <c r="AG46" i="22" s="1"/>
  <c r="X46" i="39"/>
  <c r="AI33" i="22"/>
  <c r="AL33" i="22" s="1"/>
  <c r="Y33" i="39"/>
  <c r="AI28" i="22"/>
  <c r="AL28" i="22" s="1"/>
  <c r="Y28" i="39"/>
  <c r="AI23" i="22"/>
  <c r="AL23" i="22" s="1"/>
  <c r="Y23" i="39"/>
  <c r="AI19" i="22"/>
  <c r="AL19" i="22" s="1"/>
  <c r="Y19" i="39"/>
  <c r="AI15" i="22"/>
  <c r="AL15" i="22" s="1"/>
  <c r="Y15" i="39"/>
  <c r="AC27" i="22"/>
  <c r="AG27" i="22" s="1"/>
  <c r="X27" i="39"/>
  <c r="AC33" i="22"/>
  <c r="AG33" i="22" s="1"/>
  <c r="X33" i="39"/>
  <c r="AC28" i="22"/>
  <c r="AG28" i="22" s="1"/>
  <c r="X28" i="39"/>
  <c r="AC23" i="22"/>
  <c r="AG23" i="22" s="1"/>
  <c r="X23" i="39"/>
  <c r="AC19" i="22"/>
  <c r="AG19" i="22" s="1"/>
  <c r="X19" i="39"/>
  <c r="AC15" i="22"/>
  <c r="AG15" i="22" s="1"/>
  <c r="X15" i="39"/>
  <c r="AC31" i="22"/>
  <c r="AG31" i="22" s="1"/>
  <c r="X31" i="39"/>
  <c r="AC20" i="22"/>
  <c r="AG20" i="22" s="1"/>
  <c r="X20" i="39"/>
  <c r="AI37" i="22"/>
  <c r="AL37" i="22" s="1"/>
  <c r="Y37" i="39"/>
  <c r="AI29" i="22"/>
  <c r="AL29" i="22" s="1"/>
  <c r="Y29" i="39"/>
  <c r="AI24" i="22"/>
  <c r="AL24" i="22" s="1"/>
  <c r="Y24" i="39"/>
  <c r="AI20" i="22"/>
  <c r="AL20" i="22" s="1"/>
  <c r="Y20" i="39"/>
  <c r="AI16" i="22"/>
  <c r="AL16" i="22" s="1"/>
  <c r="Y16" i="39"/>
  <c r="AC22" i="22"/>
  <c r="AG22" i="22" s="1"/>
  <c r="X22" i="39"/>
  <c r="AI30" i="22"/>
  <c r="AL30" i="22" s="1"/>
  <c r="Y30" i="39"/>
  <c r="AI25" i="22"/>
  <c r="AL25" i="22" s="1"/>
  <c r="Y25" i="39"/>
  <c r="AI21" i="22"/>
  <c r="AL21" i="22" s="1"/>
  <c r="Y21" i="39"/>
  <c r="AI17" i="22"/>
  <c r="AL17" i="22" s="1"/>
  <c r="Y17" i="39"/>
  <c r="AC37" i="22"/>
  <c r="AG37" i="22" s="1"/>
  <c r="X37" i="39"/>
  <c r="AC18" i="22"/>
  <c r="AG18" i="22" s="1"/>
  <c r="X18" i="39"/>
  <c r="AC30" i="22"/>
  <c r="AG30" i="22" s="1"/>
  <c r="X30" i="39"/>
  <c r="AC25" i="22"/>
  <c r="AG25" i="22" s="1"/>
  <c r="X25" i="39"/>
  <c r="AC21" i="22"/>
  <c r="AG21" i="22" s="1"/>
  <c r="X21" i="39"/>
  <c r="AC17" i="22"/>
  <c r="AG17" i="22" s="1"/>
  <c r="X17" i="39"/>
  <c r="AI14" i="22"/>
  <c r="AL14" i="22" s="1"/>
  <c r="Y14" i="39"/>
  <c r="AC24" i="22"/>
  <c r="AG24" i="22" s="1"/>
  <c r="X24" i="39"/>
  <c r="AC14" i="22"/>
  <c r="AG14" i="22" s="1"/>
  <c r="X14" i="39"/>
  <c r="AI31" i="22"/>
  <c r="AL31" i="22" s="1"/>
  <c r="Y31" i="39"/>
  <c r="AI27" i="22"/>
  <c r="AL27" i="22" s="1"/>
  <c r="Y27" i="39"/>
  <c r="AI22" i="22"/>
  <c r="AL22" i="22" s="1"/>
  <c r="Y22" i="39"/>
  <c r="AI18" i="22"/>
  <c r="AL18" i="22" s="1"/>
  <c r="Y18" i="39"/>
  <c r="AC29" i="22"/>
  <c r="AG29" i="22" s="1"/>
  <c r="X29" i="39"/>
  <c r="AC16" i="22"/>
  <c r="AG16" i="22" s="1"/>
  <c r="X16" i="39"/>
  <c r="H873" i="22"/>
  <c r="H873" i="39" s="1"/>
  <c r="H845" i="22"/>
  <c r="H845" i="39" s="1"/>
  <c r="H817" i="22"/>
  <c r="H817" i="39" s="1"/>
  <c r="H789" i="22"/>
  <c r="H789" i="39" s="1"/>
  <c r="H761" i="22"/>
  <c r="H761" i="39" s="1"/>
  <c r="H733" i="22"/>
  <c r="H733" i="39" s="1"/>
  <c r="H705" i="22"/>
  <c r="H705" i="39" s="1"/>
  <c r="H677" i="39"/>
  <c r="H649" i="22"/>
  <c r="H649" i="39" s="1"/>
  <c r="H621" i="22"/>
  <c r="H621" i="39" s="1"/>
  <c r="H593" i="22"/>
  <c r="H593" i="39" s="1"/>
  <c r="H565" i="22"/>
  <c r="H565" i="39" s="1"/>
  <c r="F565" i="22"/>
  <c r="F565" i="39" s="1"/>
  <c r="H537" i="22"/>
  <c r="H537" i="39" s="1"/>
  <c r="F537" i="22"/>
  <c r="F537" i="39" s="1"/>
  <c r="H509" i="22"/>
  <c r="H509" i="39" s="1"/>
  <c r="H481" i="22"/>
  <c r="H481" i="39" s="1"/>
  <c r="H453" i="22"/>
  <c r="H453" i="39" s="1"/>
  <c r="H425" i="22"/>
  <c r="H425" i="39" s="1"/>
  <c r="H397" i="22"/>
  <c r="H397" i="39" s="1"/>
  <c r="H369" i="22"/>
  <c r="H369" i="39" s="1"/>
  <c r="H341" i="22"/>
  <c r="H341" i="39" s="1"/>
  <c r="H313" i="22"/>
  <c r="H313" i="39" s="1"/>
  <c r="H285" i="22"/>
  <c r="H285" i="39" s="1"/>
  <c r="H257" i="22"/>
  <c r="H257" i="39" s="1"/>
  <c r="H229" i="22"/>
  <c r="H229" i="39" s="1"/>
  <c r="H201" i="22"/>
  <c r="H201" i="39" s="1"/>
  <c r="H173" i="22"/>
  <c r="H173" i="39" s="1"/>
  <c r="H145" i="22"/>
  <c r="H145" i="39" s="1"/>
  <c r="H117" i="22"/>
  <c r="H117" i="39" s="1"/>
  <c r="H89" i="22"/>
  <c r="H89" i="39" s="1"/>
  <c r="H61" i="22"/>
  <c r="H61" i="39" s="1"/>
  <c r="H33" i="22"/>
  <c r="H33" i="39" s="1"/>
  <c r="H27" i="22" l="1"/>
  <c r="H27" i="39" s="1"/>
  <c r="F13" i="40"/>
  <c r="C2" i="22" l="1"/>
  <c r="C732" i="22" s="1"/>
  <c r="C732" i="39" s="1"/>
  <c r="C1" i="22"/>
  <c r="C172" i="22" l="1"/>
  <c r="C172" i="39" s="1"/>
  <c r="C200" i="22"/>
  <c r="C200" i="39" s="1"/>
  <c r="C228" i="22"/>
  <c r="C228" i="39" s="1"/>
  <c r="C144" i="22"/>
  <c r="C144" i="39" s="1"/>
  <c r="C116" i="22"/>
  <c r="C116" i="39" s="1"/>
  <c r="C88" i="22"/>
  <c r="C88" i="39" s="1"/>
  <c r="C368" i="22"/>
  <c r="C368" i="39" s="1"/>
  <c r="C424" i="22"/>
  <c r="C424" i="39" s="1"/>
  <c r="C340" i="22"/>
  <c r="C340" i="39" s="1"/>
  <c r="C312" i="22"/>
  <c r="C312" i="39" s="1"/>
  <c r="C396" i="22"/>
  <c r="C396" i="39" s="1"/>
  <c r="C284" i="22"/>
  <c r="C284" i="39" s="1"/>
  <c r="C256" i="22"/>
  <c r="C256" i="39" s="1"/>
  <c r="C480" i="22"/>
  <c r="C480" i="39" s="1"/>
  <c r="C536" i="22"/>
  <c r="C536" i="39" s="1"/>
  <c r="C592" i="22"/>
  <c r="C592" i="39" s="1"/>
  <c r="C677" i="22"/>
  <c r="C677" i="39" s="1"/>
  <c r="C760" i="22"/>
  <c r="C760" i="39" s="1"/>
  <c r="C844" i="22"/>
  <c r="C844" i="39" s="1"/>
  <c r="C872" i="22"/>
  <c r="C872" i="39" s="1"/>
  <c r="C508" i="22"/>
  <c r="C508" i="39" s="1"/>
  <c r="C452" i="22"/>
  <c r="C452" i="39" s="1"/>
  <c r="C648" i="22"/>
  <c r="C648" i="39" s="1"/>
  <c r="C788" i="22"/>
  <c r="C788" i="39" s="1"/>
  <c r="C676" i="22"/>
  <c r="C676" i="39" s="1"/>
  <c r="C816" i="22"/>
  <c r="C816" i="39" s="1"/>
  <c r="C564" i="22"/>
  <c r="C564" i="39" s="1"/>
  <c r="C704" i="22"/>
  <c r="C704" i="39" s="1"/>
  <c r="C620" i="22"/>
  <c r="C620" i="39" s="1"/>
  <c r="C32" i="22"/>
  <c r="C32" i="39" s="1"/>
  <c r="C60" i="22"/>
  <c r="C60" i="39" s="1"/>
  <c r="C428" i="22"/>
  <c r="C428" i="39" s="1"/>
  <c r="C423" i="22"/>
  <c r="C423" i="39" s="1"/>
  <c r="C419" i="22"/>
  <c r="C419" i="39" s="1"/>
  <c r="C415" i="22"/>
  <c r="C415" i="39" s="1"/>
  <c r="C411" i="22"/>
  <c r="C411" i="39" s="1"/>
  <c r="C407" i="22"/>
  <c r="C407" i="39" s="1"/>
  <c r="C400" i="22"/>
  <c r="C400" i="39" s="1"/>
  <c r="C395" i="22"/>
  <c r="C395" i="39" s="1"/>
  <c r="C391" i="22"/>
  <c r="C391" i="39" s="1"/>
  <c r="C387" i="22"/>
  <c r="C387" i="39" s="1"/>
  <c r="C383" i="22"/>
  <c r="C383" i="39" s="1"/>
  <c r="C379" i="22"/>
  <c r="C379" i="39" s="1"/>
  <c r="C372" i="22"/>
  <c r="C372" i="39" s="1"/>
  <c r="C367" i="22"/>
  <c r="C367" i="39" s="1"/>
  <c r="C363" i="22"/>
  <c r="C363" i="39" s="1"/>
  <c r="C359" i="22"/>
  <c r="C359" i="39" s="1"/>
  <c r="C355" i="22"/>
  <c r="C355" i="39" s="1"/>
  <c r="C351" i="22"/>
  <c r="C351" i="39" s="1"/>
  <c r="C344" i="22"/>
  <c r="C344" i="39" s="1"/>
  <c r="C339" i="22"/>
  <c r="C339" i="39" s="1"/>
  <c r="C335" i="22"/>
  <c r="C335" i="39" s="1"/>
  <c r="C331" i="22"/>
  <c r="C331" i="39" s="1"/>
  <c r="C327" i="22"/>
  <c r="C327" i="39" s="1"/>
  <c r="C323" i="22"/>
  <c r="C323" i="39" s="1"/>
  <c r="C316" i="22"/>
  <c r="C316" i="39" s="1"/>
  <c r="C311" i="22"/>
  <c r="C311" i="39" s="1"/>
  <c r="C307" i="22"/>
  <c r="C307" i="39" s="1"/>
  <c r="C303" i="22"/>
  <c r="C303" i="39" s="1"/>
  <c r="C299" i="22"/>
  <c r="C299" i="39" s="1"/>
  <c r="C295" i="22"/>
  <c r="C295" i="39" s="1"/>
  <c r="C288" i="22"/>
  <c r="C288" i="39" s="1"/>
  <c r="C283" i="22"/>
  <c r="C283" i="39" s="1"/>
  <c r="C279" i="22"/>
  <c r="C279" i="39" s="1"/>
  <c r="C275" i="22"/>
  <c r="C275" i="39" s="1"/>
  <c r="C271" i="22"/>
  <c r="C271" i="39" s="1"/>
  <c r="C267" i="22"/>
  <c r="C267" i="39" s="1"/>
  <c r="C260" i="22"/>
  <c r="C255" i="22"/>
  <c r="C255" i="39" s="1"/>
  <c r="C251" i="22"/>
  <c r="C251" i="39" s="1"/>
  <c r="C247" i="22"/>
  <c r="C247" i="39" s="1"/>
  <c r="C243" i="22"/>
  <c r="C243" i="39" s="1"/>
  <c r="C239" i="22"/>
  <c r="C239" i="39" s="1"/>
  <c r="C232" i="22"/>
  <c r="C232" i="39" s="1"/>
  <c r="C227" i="22"/>
  <c r="C227" i="39" s="1"/>
  <c r="C223" i="22"/>
  <c r="C223" i="39" s="1"/>
  <c r="C219" i="22"/>
  <c r="C219" i="39" s="1"/>
  <c r="C215" i="22"/>
  <c r="C215" i="39" s="1"/>
  <c r="C211" i="22"/>
  <c r="C211" i="39" s="1"/>
  <c r="C204" i="22"/>
  <c r="C204" i="39" s="1"/>
  <c r="C199" i="22"/>
  <c r="C199" i="39" s="1"/>
  <c r="C195" i="22"/>
  <c r="C195" i="39" s="1"/>
  <c r="C427" i="22"/>
  <c r="C427" i="39" s="1"/>
  <c r="C422" i="22"/>
  <c r="C422" i="39" s="1"/>
  <c r="C418" i="22"/>
  <c r="C418" i="39" s="1"/>
  <c r="C414" i="22"/>
  <c r="C414" i="39" s="1"/>
  <c r="C410" i="22"/>
  <c r="C410" i="39" s="1"/>
  <c r="C406" i="22"/>
  <c r="C406" i="39" s="1"/>
  <c r="C399" i="22"/>
  <c r="C399" i="39" s="1"/>
  <c r="C394" i="22"/>
  <c r="C394" i="39" s="1"/>
  <c r="C390" i="22"/>
  <c r="C390" i="39" s="1"/>
  <c r="C386" i="22"/>
  <c r="C386" i="39" s="1"/>
  <c r="C382" i="22"/>
  <c r="C382" i="39" s="1"/>
  <c r="C378" i="22"/>
  <c r="C378" i="39" s="1"/>
  <c r="C371" i="22"/>
  <c r="C371" i="39" s="1"/>
  <c r="C366" i="22"/>
  <c r="C366" i="39" s="1"/>
  <c r="C362" i="22"/>
  <c r="C362" i="39" s="1"/>
  <c r="C358" i="22"/>
  <c r="C358" i="39" s="1"/>
  <c r="C354" i="22"/>
  <c r="C354" i="39" s="1"/>
  <c r="C350" i="22"/>
  <c r="C350" i="39" s="1"/>
  <c r="C343" i="22"/>
  <c r="C343" i="39" s="1"/>
  <c r="C338" i="22"/>
  <c r="C338" i="39" s="1"/>
  <c r="C334" i="22"/>
  <c r="C334" i="39" s="1"/>
  <c r="C330" i="22"/>
  <c r="C330" i="39" s="1"/>
  <c r="C326" i="22"/>
  <c r="C326" i="39" s="1"/>
  <c r="C322" i="22"/>
  <c r="C322" i="39" s="1"/>
  <c r="C315" i="22"/>
  <c r="C315" i="39" s="1"/>
  <c r="C310" i="22"/>
  <c r="C310" i="39" s="1"/>
  <c r="C306" i="22"/>
  <c r="C306" i="39" s="1"/>
  <c r="C302" i="22"/>
  <c r="C302" i="39" s="1"/>
  <c r="C298" i="22"/>
  <c r="C298" i="39" s="1"/>
  <c r="C294" i="22"/>
  <c r="C294" i="39" s="1"/>
  <c r="C287" i="22"/>
  <c r="C287" i="39" s="1"/>
  <c r="C282" i="22"/>
  <c r="C282" i="39" s="1"/>
  <c r="C278" i="22"/>
  <c r="C278" i="39" s="1"/>
  <c r="C274" i="22"/>
  <c r="C274" i="39" s="1"/>
  <c r="C270" i="22"/>
  <c r="C270" i="39" s="1"/>
  <c r="C266" i="22"/>
  <c r="C266" i="39" s="1"/>
  <c r="C259" i="22"/>
  <c r="C259" i="39" s="1"/>
  <c r="C254" i="22"/>
  <c r="C254" i="39" s="1"/>
  <c r="C250" i="22"/>
  <c r="C250" i="39" s="1"/>
  <c r="C246" i="22"/>
  <c r="C246" i="39" s="1"/>
  <c r="C242" i="22"/>
  <c r="C242" i="39" s="1"/>
  <c r="C238" i="22"/>
  <c r="C238" i="39" s="1"/>
  <c r="C231" i="22"/>
  <c r="C231" i="39" s="1"/>
  <c r="C226" i="22"/>
  <c r="C226" i="39" s="1"/>
  <c r="C222" i="22"/>
  <c r="C222" i="39" s="1"/>
  <c r="C218" i="22"/>
  <c r="C218" i="39" s="1"/>
  <c r="C214" i="22"/>
  <c r="C214" i="39" s="1"/>
  <c r="C210" i="22"/>
  <c r="C210" i="39" s="1"/>
  <c r="C203" i="22"/>
  <c r="C203" i="39" s="1"/>
  <c r="C198" i="22"/>
  <c r="C198" i="39" s="1"/>
  <c r="C194" i="22"/>
  <c r="C194" i="39" s="1"/>
  <c r="C190" i="22"/>
  <c r="C190" i="39" s="1"/>
  <c r="C186" i="22"/>
  <c r="C186" i="39" s="1"/>
  <c r="C426" i="22"/>
  <c r="C426" i="39" s="1"/>
  <c r="C417" i="22"/>
  <c r="C417" i="39" s="1"/>
  <c r="C409" i="22"/>
  <c r="C409" i="39" s="1"/>
  <c r="C398" i="22"/>
  <c r="C398" i="39" s="1"/>
  <c r="C389" i="22"/>
  <c r="C389" i="39" s="1"/>
  <c r="C381" i="22"/>
  <c r="C381" i="39" s="1"/>
  <c r="C370" i="22"/>
  <c r="C370" i="39" s="1"/>
  <c r="C361" i="22"/>
  <c r="C361" i="39" s="1"/>
  <c r="C353" i="22"/>
  <c r="C353" i="39" s="1"/>
  <c r="C342" i="22"/>
  <c r="C342" i="39" s="1"/>
  <c r="C333" i="22"/>
  <c r="C333" i="39" s="1"/>
  <c r="C325" i="22"/>
  <c r="C325" i="39" s="1"/>
  <c r="C314" i="22"/>
  <c r="C314" i="39" s="1"/>
  <c r="C305" i="22"/>
  <c r="C305" i="39" s="1"/>
  <c r="C297" i="22"/>
  <c r="C297" i="39" s="1"/>
  <c r="C286" i="22"/>
  <c r="C286" i="39" s="1"/>
  <c r="C277" i="22"/>
  <c r="C277" i="39" s="1"/>
  <c r="C269" i="22"/>
  <c r="C269" i="39" s="1"/>
  <c r="C258" i="22"/>
  <c r="C258" i="39" s="1"/>
  <c r="C249" i="22"/>
  <c r="C249" i="39" s="1"/>
  <c r="C241" i="22"/>
  <c r="C241" i="39" s="1"/>
  <c r="C230" i="22"/>
  <c r="C230" i="39" s="1"/>
  <c r="C221" i="22"/>
  <c r="C221" i="39" s="1"/>
  <c r="C213" i="22"/>
  <c r="C213" i="39" s="1"/>
  <c r="C202" i="22"/>
  <c r="C202" i="39" s="1"/>
  <c r="C193" i="22"/>
  <c r="C193" i="39" s="1"/>
  <c r="C188" i="22"/>
  <c r="C188" i="39" s="1"/>
  <c r="C183" i="22"/>
  <c r="C183" i="39" s="1"/>
  <c r="C176" i="22"/>
  <c r="C176" i="39" s="1"/>
  <c r="C171" i="22"/>
  <c r="C171" i="39" s="1"/>
  <c r="C167" i="22"/>
  <c r="C167" i="39" s="1"/>
  <c r="C163" i="22"/>
  <c r="C163" i="39" s="1"/>
  <c r="C159" i="22"/>
  <c r="C159" i="39" s="1"/>
  <c r="C155" i="22"/>
  <c r="C155" i="39" s="1"/>
  <c r="C148" i="22"/>
  <c r="C148" i="39" s="1"/>
  <c r="C143" i="22"/>
  <c r="C143" i="39" s="1"/>
  <c r="C139" i="22"/>
  <c r="C139" i="39" s="1"/>
  <c r="C135" i="22"/>
  <c r="C135" i="39" s="1"/>
  <c r="C131" i="22"/>
  <c r="C131" i="39" s="1"/>
  <c r="C127" i="22"/>
  <c r="C127" i="39" s="1"/>
  <c r="C120" i="22"/>
  <c r="C120" i="39" s="1"/>
  <c r="C115" i="22"/>
  <c r="C115" i="39" s="1"/>
  <c r="C111" i="22"/>
  <c r="C111" i="39" s="1"/>
  <c r="C107" i="22"/>
  <c r="C107" i="39" s="1"/>
  <c r="C103" i="22"/>
  <c r="C103" i="39" s="1"/>
  <c r="C99" i="22"/>
  <c r="C99" i="39" s="1"/>
  <c r="C92" i="22"/>
  <c r="C92" i="39" s="1"/>
  <c r="C87" i="22"/>
  <c r="C87" i="39" s="1"/>
  <c r="C83" i="22"/>
  <c r="C83" i="39" s="1"/>
  <c r="C79" i="22"/>
  <c r="C79" i="39" s="1"/>
  <c r="C75" i="22"/>
  <c r="C75" i="39" s="1"/>
  <c r="C71" i="22"/>
  <c r="C71" i="39" s="1"/>
  <c r="C64" i="22"/>
  <c r="C64" i="39" s="1"/>
  <c r="C59" i="22"/>
  <c r="C59" i="39" s="1"/>
  <c r="C55" i="22"/>
  <c r="C55" i="39" s="1"/>
  <c r="C51" i="22"/>
  <c r="C51" i="39" s="1"/>
  <c r="C47" i="22"/>
  <c r="C47" i="39" s="1"/>
  <c r="C43" i="22"/>
  <c r="C43" i="39" s="1"/>
  <c r="C36" i="22"/>
  <c r="C36" i="39" s="1"/>
  <c r="C31" i="22"/>
  <c r="C31" i="39" s="1"/>
  <c r="C27" i="22"/>
  <c r="C27" i="39" s="1"/>
  <c r="C23" i="22"/>
  <c r="C23" i="39" s="1"/>
  <c r="C19" i="22"/>
  <c r="C19" i="39" s="1"/>
  <c r="C15" i="22"/>
  <c r="C15" i="39" s="1"/>
  <c r="C413" i="22"/>
  <c r="C413" i="39" s="1"/>
  <c r="C393" i="22"/>
  <c r="C393" i="39" s="1"/>
  <c r="C377" i="22"/>
  <c r="C377" i="39" s="1"/>
  <c r="C357" i="22"/>
  <c r="C357" i="39" s="1"/>
  <c r="C337" i="22"/>
  <c r="C337" i="39" s="1"/>
  <c r="C321" i="22"/>
  <c r="C321" i="39" s="1"/>
  <c r="C293" i="22"/>
  <c r="C293" i="39" s="1"/>
  <c r="C273" i="22"/>
  <c r="C273" i="39" s="1"/>
  <c r="C253" i="22"/>
  <c r="C253" i="39" s="1"/>
  <c r="C237" i="22"/>
  <c r="C237" i="39" s="1"/>
  <c r="C217" i="22"/>
  <c r="C217" i="39" s="1"/>
  <c r="C197" i="22"/>
  <c r="C197" i="39" s="1"/>
  <c r="C185" i="22"/>
  <c r="C185" i="39" s="1"/>
  <c r="C174" i="22"/>
  <c r="C174" i="39" s="1"/>
  <c r="C165" i="22"/>
  <c r="C165" i="39" s="1"/>
  <c r="C157" i="22"/>
  <c r="C157" i="39" s="1"/>
  <c r="C146" i="22"/>
  <c r="C146" i="39" s="1"/>
  <c r="C137" i="22"/>
  <c r="C137" i="39" s="1"/>
  <c r="C129" i="22"/>
  <c r="C129" i="39" s="1"/>
  <c r="C118" i="22"/>
  <c r="C118" i="39" s="1"/>
  <c r="C109" i="22"/>
  <c r="C109" i="39" s="1"/>
  <c r="C101" i="22"/>
  <c r="C101" i="39" s="1"/>
  <c r="C90" i="22"/>
  <c r="C90" i="39" s="1"/>
  <c r="C81" i="22"/>
  <c r="C81" i="39" s="1"/>
  <c r="C73" i="22"/>
  <c r="C73" i="39" s="1"/>
  <c r="C62" i="22"/>
  <c r="C62" i="39" s="1"/>
  <c r="C53" i="22"/>
  <c r="C53" i="39" s="1"/>
  <c r="C45" i="22"/>
  <c r="C45" i="39" s="1"/>
  <c r="C34" i="22"/>
  <c r="C34" i="39" s="1"/>
  <c r="C29" i="22"/>
  <c r="C29" i="39" s="1"/>
  <c r="C21" i="22"/>
  <c r="C21" i="39" s="1"/>
  <c r="C13" i="22"/>
  <c r="C13" i="39" s="1"/>
  <c r="C429" i="22"/>
  <c r="C429" i="39" s="1"/>
  <c r="C412" i="22"/>
  <c r="C412" i="39" s="1"/>
  <c r="C392" i="22"/>
  <c r="C392" i="39" s="1"/>
  <c r="C373" i="22"/>
  <c r="C373" i="39" s="1"/>
  <c r="C356" i="22"/>
  <c r="C356" i="39" s="1"/>
  <c r="C336" i="22"/>
  <c r="C336" i="39" s="1"/>
  <c r="C317" i="22"/>
  <c r="C317" i="39" s="1"/>
  <c r="C300" i="22"/>
  <c r="C300" i="39" s="1"/>
  <c r="C280" i="22"/>
  <c r="C280" i="39" s="1"/>
  <c r="C252" i="22"/>
  <c r="C252" i="39" s="1"/>
  <c r="C233" i="22"/>
  <c r="C233" i="39" s="1"/>
  <c r="C216" i="22"/>
  <c r="C216" i="39" s="1"/>
  <c r="C205" i="22"/>
  <c r="C205" i="39" s="1"/>
  <c r="C189" i="22"/>
  <c r="C189" i="39" s="1"/>
  <c r="C177" i="22"/>
  <c r="C177" i="39" s="1"/>
  <c r="C168" i="22"/>
  <c r="C168" i="39" s="1"/>
  <c r="C160" i="22"/>
  <c r="C160" i="39" s="1"/>
  <c r="C149" i="22"/>
  <c r="C149" i="39" s="1"/>
  <c r="C140" i="22"/>
  <c r="C140" i="39" s="1"/>
  <c r="C132" i="22"/>
  <c r="C132" i="39" s="1"/>
  <c r="C121" i="22"/>
  <c r="C121" i="39" s="1"/>
  <c r="C108" i="22"/>
  <c r="C108" i="39" s="1"/>
  <c r="C100" i="22"/>
  <c r="C100" i="39" s="1"/>
  <c r="C89" i="22"/>
  <c r="C89" i="39" s="1"/>
  <c r="C80" i="22"/>
  <c r="C80" i="39" s="1"/>
  <c r="C72" i="22"/>
  <c r="C72" i="39" s="1"/>
  <c r="C61" i="22"/>
  <c r="C61" i="39" s="1"/>
  <c r="C52" i="22"/>
  <c r="C52" i="39" s="1"/>
  <c r="C44" i="22"/>
  <c r="C44" i="39" s="1"/>
  <c r="C33" i="22"/>
  <c r="C33" i="39" s="1"/>
  <c r="C24" i="22"/>
  <c r="C24" i="39" s="1"/>
  <c r="C16" i="22"/>
  <c r="C16" i="39" s="1"/>
  <c r="C425" i="22"/>
  <c r="C425" i="39" s="1"/>
  <c r="C416" i="22"/>
  <c r="C416" i="39" s="1"/>
  <c r="C408" i="22"/>
  <c r="C408" i="39" s="1"/>
  <c r="C397" i="22"/>
  <c r="C397" i="39" s="1"/>
  <c r="C388" i="22"/>
  <c r="C388" i="39" s="1"/>
  <c r="C380" i="22"/>
  <c r="C380" i="39" s="1"/>
  <c r="C369" i="22"/>
  <c r="C369" i="39" s="1"/>
  <c r="C360" i="22"/>
  <c r="C360" i="39" s="1"/>
  <c r="C352" i="22"/>
  <c r="C352" i="39" s="1"/>
  <c r="C341" i="22"/>
  <c r="C341" i="39" s="1"/>
  <c r="C332" i="22"/>
  <c r="C332" i="39" s="1"/>
  <c r="C324" i="22"/>
  <c r="C324" i="39" s="1"/>
  <c r="C313" i="22"/>
  <c r="C313" i="39" s="1"/>
  <c r="C304" i="22"/>
  <c r="C304" i="39" s="1"/>
  <c r="C296" i="22"/>
  <c r="C296" i="39" s="1"/>
  <c r="C285" i="22"/>
  <c r="C285" i="39" s="1"/>
  <c r="C276" i="22"/>
  <c r="C276" i="39" s="1"/>
  <c r="C268" i="22"/>
  <c r="C268" i="39" s="1"/>
  <c r="C257" i="22"/>
  <c r="C257" i="39" s="1"/>
  <c r="C248" i="22"/>
  <c r="C248" i="39" s="1"/>
  <c r="C240" i="22"/>
  <c r="C240" i="39" s="1"/>
  <c r="C229" i="22"/>
  <c r="C229" i="39" s="1"/>
  <c r="C220" i="22"/>
  <c r="C220" i="39" s="1"/>
  <c r="C212" i="22"/>
  <c r="C212" i="39" s="1"/>
  <c r="C201" i="22"/>
  <c r="C201" i="39" s="1"/>
  <c r="C192" i="22"/>
  <c r="C192" i="39" s="1"/>
  <c r="C187" i="22"/>
  <c r="C187" i="39" s="1"/>
  <c r="C182" i="22"/>
  <c r="C182" i="39" s="1"/>
  <c r="C175" i="22"/>
  <c r="C175" i="39" s="1"/>
  <c r="C170" i="22"/>
  <c r="C170" i="39" s="1"/>
  <c r="C166" i="22"/>
  <c r="C166" i="39" s="1"/>
  <c r="C162" i="22"/>
  <c r="C162" i="39" s="1"/>
  <c r="C158" i="22"/>
  <c r="C158" i="39" s="1"/>
  <c r="C154" i="22"/>
  <c r="C154" i="39" s="1"/>
  <c r="C147" i="22"/>
  <c r="C147" i="39" s="1"/>
  <c r="C142" i="22"/>
  <c r="C142" i="39" s="1"/>
  <c r="C138" i="22"/>
  <c r="C138" i="39" s="1"/>
  <c r="C134" i="22"/>
  <c r="C134" i="39" s="1"/>
  <c r="C130" i="22"/>
  <c r="C130" i="39" s="1"/>
  <c r="C126" i="22"/>
  <c r="C126" i="39" s="1"/>
  <c r="C119" i="22"/>
  <c r="C119" i="39" s="1"/>
  <c r="C114" i="22"/>
  <c r="C114" i="39" s="1"/>
  <c r="C110" i="22"/>
  <c r="C110" i="39" s="1"/>
  <c r="C106" i="22"/>
  <c r="C106" i="39" s="1"/>
  <c r="C102" i="22"/>
  <c r="C102" i="39" s="1"/>
  <c r="C98" i="22"/>
  <c r="C98" i="39" s="1"/>
  <c r="C91" i="22"/>
  <c r="C91" i="39" s="1"/>
  <c r="C86" i="22"/>
  <c r="C86" i="39" s="1"/>
  <c r="C82" i="22"/>
  <c r="C82" i="39" s="1"/>
  <c r="C78" i="22"/>
  <c r="C78" i="39" s="1"/>
  <c r="C74" i="22"/>
  <c r="C74" i="39" s="1"/>
  <c r="C70" i="22"/>
  <c r="C70" i="39" s="1"/>
  <c r="C63" i="22"/>
  <c r="C63" i="39" s="1"/>
  <c r="C58" i="22"/>
  <c r="C58" i="39" s="1"/>
  <c r="C54" i="22"/>
  <c r="C54" i="39" s="1"/>
  <c r="C50" i="22"/>
  <c r="C50" i="39" s="1"/>
  <c r="C46" i="22"/>
  <c r="C46" i="39" s="1"/>
  <c r="C42" i="22"/>
  <c r="C42" i="39" s="1"/>
  <c r="C35" i="22"/>
  <c r="C35" i="39" s="1"/>
  <c r="C30" i="22"/>
  <c r="C30" i="39" s="1"/>
  <c r="C26" i="22"/>
  <c r="C26" i="39" s="1"/>
  <c r="C22" i="22"/>
  <c r="C22" i="39" s="1"/>
  <c r="C18" i="22"/>
  <c r="C18" i="39" s="1"/>
  <c r="C14" i="22"/>
  <c r="C14" i="39" s="1"/>
  <c r="C421" i="22"/>
  <c r="C421" i="39" s="1"/>
  <c r="C405" i="22"/>
  <c r="C405" i="39" s="1"/>
  <c r="C385" i="22"/>
  <c r="C385" i="39" s="1"/>
  <c r="C365" i="22"/>
  <c r="C365" i="39" s="1"/>
  <c r="C349" i="22"/>
  <c r="C349" i="39" s="1"/>
  <c r="C329" i="22"/>
  <c r="C329" i="39" s="1"/>
  <c r="C309" i="22"/>
  <c r="C309" i="39" s="1"/>
  <c r="C301" i="22"/>
  <c r="C301" i="39" s="1"/>
  <c r="C281" i="22"/>
  <c r="C281" i="39" s="1"/>
  <c r="C265" i="22"/>
  <c r="C265" i="39" s="1"/>
  <c r="C245" i="22"/>
  <c r="C245" i="39" s="1"/>
  <c r="C225" i="22"/>
  <c r="C225" i="39" s="1"/>
  <c r="C209" i="22"/>
  <c r="C209" i="39" s="1"/>
  <c r="C191" i="22"/>
  <c r="C191" i="39" s="1"/>
  <c r="C181" i="22"/>
  <c r="C181" i="39" s="1"/>
  <c r="C169" i="22"/>
  <c r="C169" i="39" s="1"/>
  <c r="C161" i="22"/>
  <c r="C161" i="39" s="1"/>
  <c r="C153" i="22"/>
  <c r="C153" i="39" s="1"/>
  <c r="C141" i="22"/>
  <c r="C141" i="39" s="1"/>
  <c r="C133" i="22"/>
  <c r="C133" i="39" s="1"/>
  <c r="C125" i="22"/>
  <c r="C125" i="39" s="1"/>
  <c r="C113" i="22"/>
  <c r="C113" i="39" s="1"/>
  <c r="C105" i="22"/>
  <c r="C105" i="39" s="1"/>
  <c r="C97" i="22"/>
  <c r="C97" i="39" s="1"/>
  <c r="C85" i="22"/>
  <c r="C85" i="39" s="1"/>
  <c r="C77" i="22"/>
  <c r="C77" i="39" s="1"/>
  <c r="C69" i="22"/>
  <c r="C69" i="39" s="1"/>
  <c r="C57" i="22"/>
  <c r="C57" i="39" s="1"/>
  <c r="C49" i="22"/>
  <c r="C49" i="39" s="1"/>
  <c r="C41" i="22"/>
  <c r="C41" i="39" s="1"/>
  <c r="C25" i="22"/>
  <c r="C25" i="39" s="1"/>
  <c r="C17" i="22"/>
  <c r="C17" i="39" s="1"/>
  <c r="C420" i="22"/>
  <c r="C420" i="39" s="1"/>
  <c r="C401" i="22"/>
  <c r="C401" i="39" s="1"/>
  <c r="C384" i="22"/>
  <c r="C384" i="39" s="1"/>
  <c r="C364" i="22"/>
  <c r="C364" i="39" s="1"/>
  <c r="C345" i="22"/>
  <c r="C345" i="39" s="1"/>
  <c r="C328" i="22"/>
  <c r="C328" i="39" s="1"/>
  <c r="C308" i="22"/>
  <c r="C308" i="39" s="1"/>
  <c r="C289" i="22"/>
  <c r="C289" i="39" s="1"/>
  <c r="C272" i="22"/>
  <c r="C272" i="39" s="1"/>
  <c r="C261" i="22"/>
  <c r="C261" i="39" s="1"/>
  <c r="C244" i="22"/>
  <c r="C244" i="39" s="1"/>
  <c r="C224" i="22"/>
  <c r="C224" i="39" s="1"/>
  <c r="C196" i="22"/>
  <c r="C196" i="39" s="1"/>
  <c r="C184" i="22"/>
  <c r="C184" i="39" s="1"/>
  <c r="C173" i="22"/>
  <c r="C173" i="39" s="1"/>
  <c r="C164" i="22"/>
  <c r="C164" i="39" s="1"/>
  <c r="C156" i="22"/>
  <c r="C156" i="39" s="1"/>
  <c r="C145" i="22"/>
  <c r="C145" i="39" s="1"/>
  <c r="C136" i="22"/>
  <c r="C136" i="39" s="1"/>
  <c r="C128" i="22"/>
  <c r="C128" i="39" s="1"/>
  <c r="C117" i="22"/>
  <c r="C117" i="39" s="1"/>
  <c r="C112" i="22"/>
  <c r="C112" i="39" s="1"/>
  <c r="C104" i="22"/>
  <c r="C104" i="39" s="1"/>
  <c r="C93" i="22"/>
  <c r="C93" i="39" s="1"/>
  <c r="C84" i="22"/>
  <c r="C84" i="39" s="1"/>
  <c r="C76" i="22"/>
  <c r="C76" i="39" s="1"/>
  <c r="C65" i="22"/>
  <c r="C65" i="39" s="1"/>
  <c r="C56" i="22"/>
  <c r="C56" i="39" s="1"/>
  <c r="C48" i="22"/>
  <c r="C48" i="39" s="1"/>
  <c r="C37" i="22"/>
  <c r="C37" i="39" s="1"/>
  <c r="C28" i="22"/>
  <c r="C28" i="39" s="1"/>
  <c r="C20" i="22"/>
  <c r="C20" i="39" s="1"/>
  <c r="C877" i="22"/>
  <c r="C877" i="39" s="1"/>
  <c r="C873" i="22"/>
  <c r="C873" i="39" s="1"/>
  <c r="C868" i="22"/>
  <c r="C868" i="39" s="1"/>
  <c r="C864" i="22"/>
  <c r="C864" i="39" s="1"/>
  <c r="C860" i="22"/>
  <c r="C860" i="39" s="1"/>
  <c r="C856" i="22"/>
  <c r="C856" i="39" s="1"/>
  <c r="C849" i="22"/>
  <c r="C849" i="39" s="1"/>
  <c r="C845" i="22"/>
  <c r="C845" i="39" s="1"/>
  <c r="C840" i="22"/>
  <c r="C840" i="39" s="1"/>
  <c r="C836" i="22"/>
  <c r="C836" i="39" s="1"/>
  <c r="C832" i="22"/>
  <c r="C832" i="39" s="1"/>
  <c r="C828" i="22"/>
  <c r="C828" i="39" s="1"/>
  <c r="C821" i="22"/>
  <c r="C821" i="39" s="1"/>
  <c r="C817" i="22"/>
  <c r="C817" i="39" s="1"/>
  <c r="C812" i="22"/>
  <c r="C812" i="39" s="1"/>
  <c r="C808" i="22"/>
  <c r="C808" i="39" s="1"/>
  <c r="C804" i="22"/>
  <c r="C804" i="39" s="1"/>
  <c r="C800" i="22"/>
  <c r="C800" i="39" s="1"/>
  <c r="C793" i="22"/>
  <c r="C793" i="39" s="1"/>
  <c r="C789" i="22"/>
  <c r="C789" i="39" s="1"/>
  <c r="C784" i="22"/>
  <c r="C784" i="39" s="1"/>
  <c r="C780" i="22"/>
  <c r="C780" i="39" s="1"/>
  <c r="C776" i="22"/>
  <c r="C776" i="39" s="1"/>
  <c r="C772" i="22"/>
  <c r="C772" i="39" s="1"/>
  <c r="C765" i="22"/>
  <c r="C765" i="39" s="1"/>
  <c r="C761" i="22"/>
  <c r="C761" i="39" s="1"/>
  <c r="C756" i="22"/>
  <c r="C756" i="39" s="1"/>
  <c r="C752" i="22"/>
  <c r="C752" i="39" s="1"/>
  <c r="C748" i="22"/>
  <c r="C748" i="39" s="1"/>
  <c r="C744" i="22"/>
  <c r="C744" i="39" s="1"/>
  <c r="C737" i="22"/>
  <c r="C737" i="39" s="1"/>
  <c r="C733" i="22"/>
  <c r="C733" i="39" s="1"/>
  <c r="C728" i="22"/>
  <c r="C728" i="39" s="1"/>
  <c r="C724" i="22"/>
  <c r="C724" i="39" s="1"/>
  <c r="C720" i="22"/>
  <c r="C720" i="39" s="1"/>
  <c r="C716" i="22"/>
  <c r="C716" i="39" s="1"/>
  <c r="C709" i="22"/>
  <c r="C709" i="39" s="1"/>
  <c r="C705" i="22"/>
  <c r="C705" i="39" s="1"/>
  <c r="C700" i="22"/>
  <c r="C700" i="39" s="1"/>
  <c r="C696" i="22"/>
  <c r="C696" i="39" s="1"/>
  <c r="C692" i="22"/>
  <c r="C692" i="39" s="1"/>
  <c r="C688" i="22"/>
  <c r="C688" i="39" s="1"/>
  <c r="C681" i="22"/>
  <c r="C681" i="39" s="1"/>
  <c r="C672" i="22"/>
  <c r="C672" i="39" s="1"/>
  <c r="C668" i="22"/>
  <c r="C668" i="39" s="1"/>
  <c r="C664" i="22"/>
  <c r="C664" i="39" s="1"/>
  <c r="C660" i="22"/>
  <c r="C660" i="39" s="1"/>
  <c r="C653" i="22"/>
  <c r="C653" i="39" s="1"/>
  <c r="C649" i="22"/>
  <c r="C649" i="39" s="1"/>
  <c r="C644" i="22"/>
  <c r="C644" i="39" s="1"/>
  <c r="C640" i="22"/>
  <c r="C640" i="39" s="1"/>
  <c r="C636" i="22"/>
  <c r="C636" i="39" s="1"/>
  <c r="C632" i="22"/>
  <c r="C632" i="39" s="1"/>
  <c r="C625" i="22"/>
  <c r="C625" i="39" s="1"/>
  <c r="C621" i="22"/>
  <c r="C621" i="39" s="1"/>
  <c r="C616" i="22"/>
  <c r="C616" i="39" s="1"/>
  <c r="C612" i="22"/>
  <c r="C612" i="39" s="1"/>
  <c r="C608" i="22"/>
  <c r="C608" i="39" s="1"/>
  <c r="C604" i="22"/>
  <c r="C604" i="39" s="1"/>
  <c r="C597" i="22"/>
  <c r="C597" i="39" s="1"/>
  <c r="C593" i="22"/>
  <c r="C593" i="39" s="1"/>
  <c r="C588" i="22"/>
  <c r="C588" i="39" s="1"/>
  <c r="C584" i="22"/>
  <c r="C584" i="39" s="1"/>
  <c r="C580" i="22"/>
  <c r="C580" i="39" s="1"/>
  <c r="C576" i="22"/>
  <c r="C576" i="39" s="1"/>
  <c r="C569" i="22"/>
  <c r="C569" i="39" s="1"/>
  <c r="C565" i="22"/>
  <c r="C565" i="39" s="1"/>
  <c r="C560" i="22"/>
  <c r="C560" i="39" s="1"/>
  <c r="C556" i="22"/>
  <c r="C556" i="39" s="1"/>
  <c r="C552" i="22"/>
  <c r="C552" i="39" s="1"/>
  <c r="C548" i="22"/>
  <c r="C548" i="39" s="1"/>
  <c r="C541" i="22"/>
  <c r="C541" i="39" s="1"/>
  <c r="C537" i="22"/>
  <c r="C537" i="39" s="1"/>
  <c r="C532" i="22"/>
  <c r="C532" i="39" s="1"/>
  <c r="C528" i="22"/>
  <c r="C528" i="39" s="1"/>
  <c r="C524" i="22"/>
  <c r="C524" i="39" s="1"/>
  <c r="C520" i="22"/>
  <c r="C520" i="39" s="1"/>
  <c r="C513" i="22"/>
  <c r="C513" i="39" s="1"/>
  <c r="C876" i="22"/>
  <c r="C876" i="39" s="1"/>
  <c r="C871" i="22"/>
  <c r="C871" i="39" s="1"/>
  <c r="C867" i="22"/>
  <c r="C867" i="39" s="1"/>
  <c r="C863" i="22"/>
  <c r="C863" i="39" s="1"/>
  <c r="C859" i="22"/>
  <c r="C859" i="39" s="1"/>
  <c r="C855" i="22"/>
  <c r="C855" i="39" s="1"/>
  <c r="C848" i="22"/>
  <c r="C848" i="39" s="1"/>
  <c r="C843" i="22"/>
  <c r="C843" i="39" s="1"/>
  <c r="C839" i="22"/>
  <c r="C839" i="39" s="1"/>
  <c r="C835" i="22"/>
  <c r="C835" i="39" s="1"/>
  <c r="C831" i="22"/>
  <c r="C831" i="39" s="1"/>
  <c r="C827" i="22"/>
  <c r="C827" i="39" s="1"/>
  <c r="C820" i="22"/>
  <c r="C820" i="39" s="1"/>
  <c r="C815" i="22"/>
  <c r="C815" i="39" s="1"/>
  <c r="C811" i="22"/>
  <c r="C811" i="39" s="1"/>
  <c r="C807" i="22"/>
  <c r="C807" i="39" s="1"/>
  <c r="C803" i="22"/>
  <c r="C803" i="39" s="1"/>
  <c r="C799" i="22"/>
  <c r="C799" i="39" s="1"/>
  <c r="C792" i="22"/>
  <c r="C792" i="39" s="1"/>
  <c r="C787" i="22"/>
  <c r="C787" i="39" s="1"/>
  <c r="C783" i="22"/>
  <c r="C783" i="39" s="1"/>
  <c r="C779" i="22"/>
  <c r="C779" i="39" s="1"/>
  <c r="C775" i="22"/>
  <c r="C775" i="39" s="1"/>
  <c r="C771" i="22"/>
  <c r="C771" i="39" s="1"/>
  <c r="C764" i="22"/>
  <c r="C764" i="39" s="1"/>
  <c r="C759" i="22"/>
  <c r="C759" i="39" s="1"/>
  <c r="C755" i="22"/>
  <c r="C755" i="39" s="1"/>
  <c r="C751" i="22"/>
  <c r="C751" i="39" s="1"/>
  <c r="C747" i="22"/>
  <c r="C747" i="39" s="1"/>
  <c r="C743" i="22"/>
  <c r="C743" i="39" s="1"/>
  <c r="C736" i="22"/>
  <c r="C736" i="39" s="1"/>
  <c r="C731" i="22"/>
  <c r="C731" i="39" s="1"/>
  <c r="C727" i="22"/>
  <c r="C727" i="39" s="1"/>
  <c r="C723" i="22"/>
  <c r="C723" i="39" s="1"/>
  <c r="C719" i="22"/>
  <c r="C719" i="39" s="1"/>
  <c r="C715" i="22"/>
  <c r="C715" i="39" s="1"/>
  <c r="C708" i="22"/>
  <c r="C708" i="39" s="1"/>
  <c r="C703" i="22"/>
  <c r="C703" i="39" s="1"/>
  <c r="C699" i="22"/>
  <c r="C699" i="39" s="1"/>
  <c r="C695" i="22"/>
  <c r="C695" i="39" s="1"/>
  <c r="C691" i="22"/>
  <c r="C691" i="39" s="1"/>
  <c r="C687" i="22"/>
  <c r="C687" i="39" s="1"/>
  <c r="C680" i="22"/>
  <c r="C680" i="39" s="1"/>
  <c r="C675" i="22"/>
  <c r="C675" i="39" s="1"/>
  <c r="C671" i="22"/>
  <c r="C671" i="39" s="1"/>
  <c r="C667" i="22"/>
  <c r="C667" i="39" s="1"/>
  <c r="C663" i="22"/>
  <c r="C663" i="39" s="1"/>
  <c r="C659" i="22"/>
  <c r="C659" i="39" s="1"/>
  <c r="C652" i="22"/>
  <c r="C652" i="39" s="1"/>
  <c r="C647" i="22"/>
  <c r="C647" i="39" s="1"/>
  <c r="C643" i="22"/>
  <c r="C643" i="39" s="1"/>
  <c r="C639" i="22"/>
  <c r="C639" i="39" s="1"/>
  <c r="C635" i="22"/>
  <c r="C635" i="39" s="1"/>
  <c r="C631" i="22"/>
  <c r="C631" i="39" s="1"/>
  <c r="C624" i="22"/>
  <c r="C624" i="39" s="1"/>
  <c r="C619" i="22"/>
  <c r="C619" i="39" s="1"/>
  <c r="C615" i="22"/>
  <c r="C615" i="39" s="1"/>
  <c r="C611" i="22"/>
  <c r="C611" i="39" s="1"/>
  <c r="C607" i="22"/>
  <c r="C607" i="39" s="1"/>
  <c r="C603" i="22"/>
  <c r="C603" i="39" s="1"/>
  <c r="C596" i="22"/>
  <c r="C596" i="39" s="1"/>
  <c r="C591" i="22"/>
  <c r="C591" i="39" s="1"/>
  <c r="C587" i="22"/>
  <c r="C587" i="39" s="1"/>
  <c r="C583" i="22"/>
  <c r="C583" i="39" s="1"/>
  <c r="C579" i="22"/>
  <c r="C579" i="39" s="1"/>
  <c r="C575" i="22"/>
  <c r="C575" i="39" s="1"/>
  <c r="C568" i="22"/>
  <c r="C568" i="39" s="1"/>
  <c r="C563" i="22"/>
  <c r="C563" i="39" s="1"/>
  <c r="C559" i="22"/>
  <c r="C559" i="39" s="1"/>
  <c r="C555" i="22"/>
  <c r="C555" i="39" s="1"/>
  <c r="C551" i="22"/>
  <c r="C551" i="39" s="1"/>
  <c r="C547" i="22"/>
  <c r="C547" i="39" s="1"/>
  <c r="C540" i="22"/>
  <c r="C540" i="39" s="1"/>
  <c r="C535" i="22"/>
  <c r="C535" i="39" s="1"/>
  <c r="C531" i="22"/>
  <c r="C531" i="39" s="1"/>
  <c r="C527" i="22"/>
  <c r="C527" i="39" s="1"/>
  <c r="C523" i="22"/>
  <c r="C523" i="39" s="1"/>
  <c r="C519" i="22"/>
  <c r="C519" i="39" s="1"/>
  <c r="C512" i="22"/>
  <c r="C512" i="39" s="1"/>
  <c r="C507" i="22"/>
  <c r="C507" i="39" s="1"/>
  <c r="C503" i="22"/>
  <c r="C503" i="39" s="1"/>
  <c r="C499" i="22"/>
  <c r="C499" i="39" s="1"/>
  <c r="C495" i="22"/>
  <c r="C495" i="39" s="1"/>
  <c r="C491" i="22"/>
  <c r="C491" i="39" s="1"/>
  <c r="C484" i="22"/>
  <c r="C484" i="39" s="1"/>
  <c r="C875" i="22"/>
  <c r="C875" i="39" s="1"/>
  <c r="C870" i="22"/>
  <c r="C870" i="39" s="1"/>
  <c r="C866" i="22"/>
  <c r="C866" i="39" s="1"/>
  <c r="C862" i="22"/>
  <c r="C862" i="39" s="1"/>
  <c r="C858" i="22"/>
  <c r="C858" i="39" s="1"/>
  <c r="C854" i="22"/>
  <c r="C854" i="39" s="1"/>
  <c r="C847" i="22"/>
  <c r="C847" i="39" s="1"/>
  <c r="C842" i="22"/>
  <c r="C842" i="39" s="1"/>
  <c r="C838" i="22"/>
  <c r="C838" i="39" s="1"/>
  <c r="C834" i="22"/>
  <c r="C834" i="39" s="1"/>
  <c r="C830" i="22"/>
  <c r="C830" i="39" s="1"/>
  <c r="C826" i="22"/>
  <c r="C826" i="39" s="1"/>
  <c r="C819" i="22"/>
  <c r="C819" i="39" s="1"/>
  <c r="C814" i="22"/>
  <c r="C814" i="39" s="1"/>
  <c r="C810" i="22"/>
  <c r="C810" i="39" s="1"/>
  <c r="C806" i="22"/>
  <c r="C806" i="39" s="1"/>
  <c r="C802" i="22"/>
  <c r="C802" i="39" s="1"/>
  <c r="C798" i="22"/>
  <c r="C798" i="39" s="1"/>
  <c r="C791" i="22"/>
  <c r="C791" i="39" s="1"/>
  <c r="C786" i="22"/>
  <c r="C786" i="39" s="1"/>
  <c r="C782" i="22"/>
  <c r="C782" i="39" s="1"/>
  <c r="C778" i="22"/>
  <c r="C778" i="39" s="1"/>
  <c r="C774" i="22"/>
  <c r="C774" i="39" s="1"/>
  <c r="C770" i="22"/>
  <c r="C770" i="39" s="1"/>
  <c r="C763" i="22"/>
  <c r="C763" i="39" s="1"/>
  <c r="C758" i="22"/>
  <c r="C758" i="39" s="1"/>
  <c r="C754" i="22"/>
  <c r="C754" i="39" s="1"/>
  <c r="C750" i="22"/>
  <c r="C750" i="39" s="1"/>
  <c r="C746" i="22"/>
  <c r="C746" i="39" s="1"/>
  <c r="C742" i="22"/>
  <c r="C742" i="39" s="1"/>
  <c r="C735" i="22"/>
  <c r="C735" i="39" s="1"/>
  <c r="C730" i="22"/>
  <c r="C730" i="39" s="1"/>
  <c r="C726" i="22"/>
  <c r="C726" i="39" s="1"/>
  <c r="C722" i="22"/>
  <c r="C722" i="39" s="1"/>
  <c r="C718" i="22"/>
  <c r="C718" i="39" s="1"/>
  <c r="C714" i="22"/>
  <c r="C714" i="39" s="1"/>
  <c r="C707" i="22"/>
  <c r="C707" i="39" s="1"/>
  <c r="C702" i="22"/>
  <c r="C702" i="39" s="1"/>
  <c r="C698" i="22"/>
  <c r="C698" i="39" s="1"/>
  <c r="C694" i="22"/>
  <c r="C694" i="39" s="1"/>
  <c r="C690" i="22"/>
  <c r="C690" i="39" s="1"/>
  <c r="C686" i="22"/>
  <c r="C686" i="39" s="1"/>
  <c r="C679" i="22"/>
  <c r="C679" i="39" s="1"/>
  <c r="C674" i="22"/>
  <c r="C674" i="39" s="1"/>
  <c r="C670" i="22"/>
  <c r="C670" i="39" s="1"/>
  <c r="C666" i="22"/>
  <c r="C666" i="39" s="1"/>
  <c r="C662" i="22"/>
  <c r="C662" i="39" s="1"/>
  <c r="C658" i="22"/>
  <c r="C658" i="39" s="1"/>
  <c r="C651" i="22"/>
  <c r="C651" i="39" s="1"/>
  <c r="C646" i="22"/>
  <c r="C646" i="39" s="1"/>
  <c r="C642" i="22"/>
  <c r="C642" i="39" s="1"/>
  <c r="C638" i="22"/>
  <c r="C638" i="39" s="1"/>
  <c r="C634" i="22"/>
  <c r="C634" i="39" s="1"/>
  <c r="C630" i="22"/>
  <c r="C630" i="39" s="1"/>
  <c r="C623" i="22"/>
  <c r="C623" i="39" s="1"/>
  <c r="C618" i="22"/>
  <c r="C618" i="39" s="1"/>
  <c r="C614" i="22"/>
  <c r="C614" i="39" s="1"/>
  <c r="C610" i="22"/>
  <c r="C610" i="39" s="1"/>
  <c r="C606" i="22"/>
  <c r="C606" i="39" s="1"/>
  <c r="C602" i="22"/>
  <c r="C602" i="39" s="1"/>
  <c r="C595" i="22"/>
  <c r="C595" i="39" s="1"/>
  <c r="C590" i="22"/>
  <c r="C590" i="39" s="1"/>
  <c r="C586" i="22"/>
  <c r="C586" i="39" s="1"/>
  <c r="C582" i="22"/>
  <c r="C582" i="39" s="1"/>
  <c r="C578" i="22"/>
  <c r="C578" i="39" s="1"/>
  <c r="C574" i="22"/>
  <c r="C574" i="39" s="1"/>
  <c r="C567" i="22"/>
  <c r="C567" i="39" s="1"/>
  <c r="C562" i="22"/>
  <c r="C562" i="39" s="1"/>
  <c r="C558" i="22"/>
  <c r="C558" i="39" s="1"/>
  <c r="C554" i="22"/>
  <c r="C554" i="39" s="1"/>
  <c r="C550" i="22"/>
  <c r="C550" i="39" s="1"/>
  <c r="C546" i="22"/>
  <c r="C546" i="39" s="1"/>
  <c r="C539" i="22"/>
  <c r="C539" i="39" s="1"/>
  <c r="C534" i="22"/>
  <c r="C534" i="39" s="1"/>
  <c r="C530" i="22"/>
  <c r="C530" i="39" s="1"/>
  <c r="C526" i="22"/>
  <c r="C526" i="39" s="1"/>
  <c r="C522" i="22"/>
  <c r="C522" i="39" s="1"/>
  <c r="C518" i="22"/>
  <c r="C518" i="39" s="1"/>
  <c r="C511" i="22"/>
  <c r="C511" i="39" s="1"/>
  <c r="C506" i="22"/>
  <c r="C506" i="39" s="1"/>
  <c r="C502" i="22"/>
  <c r="C502" i="39" s="1"/>
  <c r="C498" i="22"/>
  <c r="C498" i="39" s="1"/>
  <c r="C494" i="22"/>
  <c r="C494" i="39" s="1"/>
  <c r="C490" i="22"/>
  <c r="C490" i="39" s="1"/>
  <c r="C483" i="22"/>
  <c r="C483" i="39" s="1"/>
  <c r="C874" i="22"/>
  <c r="C874" i="39" s="1"/>
  <c r="C857" i="22"/>
  <c r="C857" i="39" s="1"/>
  <c r="C837" i="22"/>
  <c r="C837" i="39" s="1"/>
  <c r="C818" i="22"/>
  <c r="C818" i="39" s="1"/>
  <c r="C801" i="22"/>
  <c r="C801" i="39" s="1"/>
  <c r="C781" i="22"/>
  <c r="C781" i="39" s="1"/>
  <c r="C762" i="22"/>
  <c r="C762" i="39" s="1"/>
  <c r="C745" i="22"/>
  <c r="C745" i="39" s="1"/>
  <c r="C725" i="22"/>
  <c r="C725" i="39" s="1"/>
  <c r="C706" i="22"/>
  <c r="C706" i="39" s="1"/>
  <c r="C689" i="22"/>
  <c r="C689" i="39" s="1"/>
  <c r="C669" i="22"/>
  <c r="C669" i="39" s="1"/>
  <c r="C650" i="22"/>
  <c r="C650" i="39" s="1"/>
  <c r="C633" i="22"/>
  <c r="C633" i="39" s="1"/>
  <c r="C613" i="22"/>
  <c r="C613" i="39" s="1"/>
  <c r="C594" i="22"/>
  <c r="C594" i="39" s="1"/>
  <c r="C577" i="22"/>
  <c r="C577" i="39" s="1"/>
  <c r="C557" i="22"/>
  <c r="C557" i="39" s="1"/>
  <c r="C538" i="22"/>
  <c r="C538" i="39" s="1"/>
  <c r="C521" i="22"/>
  <c r="C521" i="39" s="1"/>
  <c r="C505" i="22"/>
  <c r="C505" i="39" s="1"/>
  <c r="C497" i="22"/>
  <c r="C497" i="39" s="1"/>
  <c r="C489" i="22"/>
  <c r="C489" i="39" s="1"/>
  <c r="C479" i="22"/>
  <c r="C479" i="39" s="1"/>
  <c r="C475" i="22"/>
  <c r="C475" i="39" s="1"/>
  <c r="C471" i="22"/>
  <c r="C471" i="39" s="1"/>
  <c r="C467" i="22"/>
  <c r="C467" i="39" s="1"/>
  <c r="C463" i="22"/>
  <c r="C463" i="39" s="1"/>
  <c r="C456" i="22"/>
  <c r="C456" i="39" s="1"/>
  <c r="C451" i="22"/>
  <c r="C451" i="39" s="1"/>
  <c r="C447" i="22"/>
  <c r="C447" i="39" s="1"/>
  <c r="C443" i="22"/>
  <c r="C443" i="39" s="1"/>
  <c r="C439" i="22"/>
  <c r="C439" i="39" s="1"/>
  <c r="C435" i="22"/>
  <c r="C435" i="39" s="1"/>
  <c r="C869" i="22"/>
  <c r="C869" i="39" s="1"/>
  <c r="C853" i="22"/>
  <c r="C853" i="39" s="1"/>
  <c r="C833" i="22"/>
  <c r="C833" i="39" s="1"/>
  <c r="C813" i="22"/>
  <c r="C813" i="39" s="1"/>
  <c r="C797" i="22"/>
  <c r="C797" i="39" s="1"/>
  <c r="C777" i="22"/>
  <c r="C777" i="39" s="1"/>
  <c r="C757" i="22"/>
  <c r="C757" i="39" s="1"/>
  <c r="C741" i="22"/>
  <c r="C741" i="39" s="1"/>
  <c r="C721" i="22"/>
  <c r="C721" i="39" s="1"/>
  <c r="C701" i="22"/>
  <c r="C701" i="39" s="1"/>
  <c r="C685" i="22"/>
  <c r="C685" i="39" s="1"/>
  <c r="C665" i="22"/>
  <c r="C665" i="39" s="1"/>
  <c r="C645" i="22"/>
  <c r="C645" i="39" s="1"/>
  <c r="C629" i="22"/>
  <c r="C629" i="39" s="1"/>
  <c r="C609" i="22"/>
  <c r="C609" i="39" s="1"/>
  <c r="C589" i="22"/>
  <c r="C589" i="39" s="1"/>
  <c r="C573" i="22"/>
  <c r="C573" i="39" s="1"/>
  <c r="C553" i="22"/>
  <c r="C553" i="39" s="1"/>
  <c r="C533" i="22"/>
  <c r="C533" i="39" s="1"/>
  <c r="C517" i="22"/>
  <c r="C517" i="39" s="1"/>
  <c r="C504" i="22"/>
  <c r="C504" i="39" s="1"/>
  <c r="C496" i="22"/>
  <c r="C496" i="39" s="1"/>
  <c r="C485" i="22"/>
  <c r="C485" i="39" s="1"/>
  <c r="C478" i="22"/>
  <c r="C478" i="39" s="1"/>
  <c r="C474" i="22"/>
  <c r="C474" i="39" s="1"/>
  <c r="C470" i="22"/>
  <c r="C470" i="39" s="1"/>
  <c r="C466" i="22"/>
  <c r="C466" i="39" s="1"/>
  <c r="C462" i="22"/>
  <c r="C462" i="39" s="1"/>
  <c r="C455" i="22"/>
  <c r="C455" i="39" s="1"/>
  <c r="C450" i="22"/>
  <c r="C450" i="39" s="1"/>
  <c r="C446" i="22"/>
  <c r="C446" i="39" s="1"/>
  <c r="C442" i="22"/>
  <c r="C442" i="39" s="1"/>
  <c r="C438" i="22"/>
  <c r="C438" i="39" s="1"/>
  <c r="C434" i="22"/>
  <c r="C434" i="39" s="1"/>
  <c r="C865" i="22"/>
  <c r="C865" i="39" s="1"/>
  <c r="C829" i="22"/>
  <c r="C829" i="39" s="1"/>
  <c r="C790" i="22"/>
  <c r="C790" i="39" s="1"/>
  <c r="C753" i="22"/>
  <c r="C753" i="39" s="1"/>
  <c r="C717" i="22"/>
  <c r="C717" i="39" s="1"/>
  <c r="C678" i="22"/>
  <c r="C678" i="39" s="1"/>
  <c r="C641" i="22"/>
  <c r="C641" i="39" s="1"/>
  <c r="C605" i="22"/>
  <c r="C605" i="39" s="1"/>
  <c r="C566" i="22"/>
  <c r="C566" i="39" s="1"/>
  <c r="C529" i="22"/>
  <c r="C529" i="39" s="1"/>
  <c r="C501" i="22"/>
  <c r="C501" i="39" s="1"/>
  <c r="C482" i="22"/>
  <c r="C482" i="39" s="1"/>
  <c r="C473" i="22"/>
  <c r="C473" i="39" s="1"/>
  <c r="C465" i="22"/>
  <c r="C465" i="39" s="1"/>
  <c r="C454" i="22"/>
  <c r="C454" i="39" s="1"/>
  <c r="C445" i="22"/>
  <c r="C445" i="39" s="1"/>
  <c r="C437" i="22"/>
  <c r="C437" i="39" s="1"/>
  <c r="C734" i="22"/>
  <c r="C734" i="39" s="1"/>
  <c r="C510" i="22"/>
  <c r="C510" i="39" s="1"/>
  <c r="C469" i="22"/>
  <c r="C469" i="39" s="1"/>
  <c r="C449" i="22"/>
  <c r="C449" i="39" s="1"/>
  <c r="C433" i="22"/>
  <c r="C433" i="39" s="1"/>
  <c r="C805" i="22"/>
  <c r="C805" i="39" s="1"/>
  <c r="C769" i="22"/>
  <c r="C769" i="39" s="1"/>
  <c r="C693" i="22"/>
  <c r="C693" i="39" s="1"/>
  <c r="C617" i="22"/>
  <c r="C617" i="39" s="1"/>
  <c r="C545" i="22"/>
  <c r="C545" i="39" s="1"/>
  <c r="C492" i="22"/>
  <c r="C492" i="39" s="1"/>
  <c r="C468" i="22"/>
  <c r="C468" i="39" s="1"/>
  <c r="C448" i="22"/>
  <c r="C448" i="39" s="1"/>
  <c r="C861" i="22"/>
  <c r="C861" i="39" s="1"/>
  <c r="C825" i="22"/>
  <c r="C825" i="39" s="1"/>
  <c r="C785" i="22"/>
  <c r="C785" i="39" s="1"/>
  <c r="C749" i="22"/>
  <c r="C749" i="39" s="1"/>
  <c r="C713" i="22"/>
  <c r="C713" i="39" s="1"/>
  <c r="C673" i="22"/>
  <c r="C673" i="39" s="1"/>
  <c r="C637" i="22"/>
  <c r="C637" i="39" s="1"/>
  <c r="C601" i="22"/>
  <c r="C601" i="39" s="1"/>
  <c r="C561" i="22"/>
  <c r="C561" i="39" s="1"/>
  <c r="C525" i="22"/>
  <c r="C525" i="39" s="1"/>
  <c r="C500" i="22"/>
  <c r="C500" i="39" s="1"/>
  <c r="C481" i="22"/>
  <c r="C481" i="39" s="1"/>
  <c r="C472" i="22"/>
  <c r="C472" i="39" s="1"/>
  <c r="C464" i="22"/>
  <c r="C464" i="39" s="1"/>
  <c r="C453" i="22"/>
  <c r="C453" i="39" s="1"/>
  <c r="C444" i="22"/>
  <c r="C444" i="39" s="1"/>
  <c r="C436" i="22"/>
  <c r="C436" i="39" s="1"/>
  <c r="C846" i="22"/>
  <c r="C846" i="39" s="1"/>
  <c r="C809" i="22"/>
  <c r="C809" i="39" s="1"/>
  <c r="C773" i="22"/>
  <c r="C773" i="39" s="1"/>
  <c r="C697" i="22"/>
  <c r="C697" i="39" s="1"/>
  <c r="C661" i="22"/>
  <c r="C661" i="39" s="1"/>
  <c r="C622" i="22"/>
  <c r="C622" i="39" s="1"/>
  <c r="C585" i="22"/>
  <c r="C585" i="39" s="1"/>
  <c r="C549" i="22"/>
  <c r="C549" i="39" s="1"/>
  <c r="C493" i="22"/>
  <c r="C493" i="39" s="1"/>
  <c r="C477" i="22"/>
  <c r="C477" i="39" s="1"/>
  <c r="C461" i="22"/>
  <c r="C461" i="39" s="1"/>
  <c r="C441" i="22"/>
  <c r="C441" i="39" s="1"/>
  <c r="C841" i="22"/>
  <c r="C841" i="39" s="1"/>
  <c r="C729" i="22"/>
  <c r="C729" i="39" s="1"/>
  <c r="C657" i="22"/>
  <c r="C657" i="39" s="1"/>
  <c r="C581" i="22"/>
  <c r="C581" i="39" s="1"/>
  <c r="C509" i="22"/>
  <c r="C509" i="39" s="1"/>
  <c r="C476" i="22"/>
  <c r="C476" i="39" s="1"/>
  <c r="C457" i="22"/>
  <c r="C457" i="39" s="1"/>
  <c r="C440" i="22"/>
  <c r="C440" i="39" s="1"/>
  <c r="C260" i="39"/>
  <c r="C1" i="39"/>
  <c r="AC1" i="39" s="1"/>
  <c r="C2" i="39"/>
  <c r="AC2" i="39" s="1"/>
  <c r="S318" i="22" l="1"/>
  <c r="R318" i="22"/>
  <c r="R318" i="39" s="1"/>
  <c r="AK2" i="33"/>
  <c r="AJ2" i="33"/>
  <c r="AK1" i="33"/>
  <c r="AJ1" i="33"/>
  <c r="AF2" i="33"/>
  <c r="AE2" i="33"/>
  <c r="AD2" i="33"/>
  <c r="AF1" i="33"/>
  <c r="AE1" i="33"/>
  <c r="AD1" i="33"/>
  <c r="AL2" i="22"/>
  <c r="AL1" i="22"/>
  <c r="AG2" i="22"/>
  <c r="AG1" i="22"/>
  <c r="S318" i="39" l="1"/>
  <c r="AG3" i="22"/>
  <c r="AD3" i="33"/>
  <c r="AF3" i="33"/>
  <c r="AE3" i="33"/>
  <c r="AJ3" i="33"/>
  <c r="AK3" i="33"/>
  <c r="AL3" i="22"/>
  <c r="H16" i="22" l="1"/>
  <c r="H16" i="39" s="1"/>
  <c r="H18" i="22"/>
  <c r="H18" i="39" s="1"/>
  <c r="H19" i="22"/>
  <c r="H19" i="39" s="1"/>
  <c r="H20" i="22"/>
  <c r="H20" i="39" s="1"/>
  <c r="H21" i="22"/>
  <c r="H21" i="39" s="1"/>
  <c r="H22" i="22"/>
  <c r="H22" i="39" s="1"/>
  <c r="H24" i="22"/>
  <c r="H24" i="39" s="1"/>
  <c r="H25" i="22"/>
  <c r="H25" i="39" s="1"/>
  <c r="H28" i="22"/>
  <c r="H28" i="39" s="1"/>
  <c r="H30" i="22"/>
  <c r="H30" i="39" s="1"/>
  <c r="S262" i="22" l="1"/>
  <c r="R262" i="22"/>
  <c r="R262" i="39" s="1"/>
  <c r="Q262" i="22"/>
  <c r="Q262" i="39" s="1"/>
  <c r="P262" i="22"/>
  <c r="P262" i="39" s="1"/>
  <c r="O262" i="22"/>
  <c r="N262" i="22"/>
  <c r="N262" i="39" s="1"/>
  <c r="M262" i="22"/>
  <c r="M262" i="39" s="1"/>
  <c r="L262" i="22"/>
  <c r="L262" i="39" s="1"/>
  <c r="K262" i="22"/>
  <c r="J262" i="22"/>
  <c r="J262" i="39" s="1"/>
  <c r="S262" i="39" l="1"/>
  <c r="K262" i="39"/>
  <c r="O262" i="39"/>
  <c r="T125" i="22"/>
  <c r="T125" i="39" s="1"/>
  <c r="T97" i="22"/>
  <c r="T97" i="39" s="1"/>
  <c r="W2" i="33" l="1"/>
  <c r="AW2" i="40" s="1"/>
  <c r="V2" i="33"/>
  <c r="AV2" i="40" s="1"/>
  <c r="S2" i="33"/>
  <c r="AS2" i="40" s="1"/>
  <c r="R2" i="33"/>
  <c r="AR2" i="40" s="1"/>
  <c r="Q2" i="33"/>
  <c r="P2" i="33"/>
  <c r="M2" i="33"/>
  <c r="L2" i="33"/>
  <c r="F12" i="34"/>
  <c r="W1" i="33"/>
  <c r="AW1" i="40" s="1"/>
  <c r="V1" i="33"/>
  <c r="AV1" i="40" s="1"/>
  <c r="S1" i="33"/>
  <c r="AS1" i="40" s="1"/>
  <c r="R1" i="33"/>
  <c r="AR1" i="40" s="1"/>
  <c r="Q1" i="33"/>
  <c r="AQ1" i="40" s="1"/>
  <c r="P1" i="33"/>
  <c r="AP1" i="40" s="1"/>
  <c r="O1" i="33"/>
  <c r="AO1" i="40" s="1"/>
  <c r="N1" i="33"/>
  <c r="AN1" i="40" s="1"/>
  <c r="M1" i="33"/>
  <c r="AM1" i="40" s="1"/>
  <c r="L1" i="33"/>
  <c r="AL1" i="40" s="1"/>
  <c r="K1" i="33"/>
  <c r="AK1" i="40" s="1"/>
  <c r="J2" i="33"/>
  <c r="J1" i="33"/>
  <c r="AJ1" i="40" s="1"/>
  <c r="C3" i="33"/>
  <c r="C3" i="40" s="1"/>
  <c r="AC3" i="40" s="1"/>
  <c r="C2" i="33"/>
  <c r="C1" i="33"/>
  <c r="C1" i="40" s="1"/>
  <c r="AC1" i="40" s="1"/>
  <c r="H10" i="33"/>
  <c r="H10" i="40" s="1"/>
  <c r="U217" i="33"/>
  <c r="T217" i="33"/>
  <c r="G217" i="33" s="1"/>
  <c r="H217" i="33" s="1"/>
  <c r="U216" i="33"/>
  <c r="T216" i="33"/>
  <c r="G216" i="33" s="1"/>
  <c r="H216" i="33" s="1"/>
  <c r="U215" i="33"/>
  <c r="T215" i="33"/>
  <c r="G215" i="33" s="1"/>
  <c r="H215" i="33" s="1"/>
  <c r="U214" i="33"/>
  <c r="U215" i="40" s="1"/>
  <c r="T214" i="33"/>
  <c r="U213" i="33"/>
  <c r="U214" i="40" s="1"/>
  <c r="T213" i="33"/>
  <c r="U212" i="33"/>
  <c r="U213" i="40" s="1"/>
  <c r="T212" i="33"/>
  <c r="U211" i="33"/>
  <c r="U212" i="40" s="1"/>
  <c r="T211" i="33"/>
  <c r="U210" i="33"/>
  <c r="U211" i="40" s="1"/>
  <c r="T210" i="33"/>
  <c r="U209" i="33"/>
  <c r="U210" i="40" s="1"/>
  <c r="T209" i="33"/>
  <c r="U208" i="33"/>
  <c r="U209" i="40" s="1"/>
  <c r="T208" i="33"/>
  <c r="U207" i="33"/>
  <c r="U208" i="40" s="1"/>
  <c r="T207" i="33"/>
  <c r="U206" i="33"/>
  <c r="U207" i="40" s="1"/>
  <c r="T206" i="33"/>
  <c r="U205" i="33"/>
  <c r="U206" i="40" s="1"/>
  <c r="T205" i="33"/>
  <c r="U204" i="33"/>
  <c r="U205" i="40" s="1"/>
  <c r="T204" i="33"/>
  <c r="U203" i="33"/>
  <c r="U204" i="40" s="1"/>
  <c r="T203" i="33"/>
  <c r="U202" i="33"/>
  <c r="U203" i="40" s="1"/>
  <c r="T202" i="33"/>
  <c r="U201" i="33"/>
  <c r="U202" i="40" s="1"/>
  <c r="T201" i="33"/>
  <c r="U200" i="33"/>
  <c r="U201" i="40" s="1"/>
  <c r="T200" i="33"/>
  <c r="U199" i="33"/>
  <c r="U200" i="40" s="1"/>
  <c r="T199" i="33"/>
  <c r="U198" i="33"/>
  <c r="U199" i="40" s="1"/>
  <c r="T198" i="33"/>
  <c r="U197" i="33"/>
  <c r="U198" i="40" s="1"/>
  <c r="T197" i="33"/>
  <c r="U196" i="33"/>
  <c r="U197" i="40" s="1"/>
  <c r="T196" i="33"/>
  <c r="U195" i="33"/>
  <c r="U196" i="40" s="1"/>
  <c r="T195" i="33"/>
  <c r="U194" i="33"/>
  <c r="U195" i="40" s="1"/>
  <c r="T194" i="33"/>
  <c r="U193" i="33"/>
  <c r="U194" i="40" s="1"/>
  <c r="T193" i="33"/>
  <c r="U192" i="33"/>
  <c r="U193" i="40" s="1"/>
  <c r="T192" i="33"/>
  <c r="U191" i="33"/>
  <c r="U192" i="40" s="1"/>
  <c r="T191" i="33"/>
  <c r="U190" i="33"/>
  <c r="U191" i="40" s="1"/>
  <c r="T190" i="33"/>
  <c r="U189" i="33"/>
  <c r="U190" i="40" s="1"/>
  <c r="T189" i="33"/>
  <c r="U188" i="33"/>
  <c r="U189" i="40" s="1"/>
  <c r="T188" i="33"/>
  <c r="U187" i="33"/>
  <c r="U188" i="40" s="1"/>
  <c r="T187" i="33"/>
  <c r="U186" i="33"/>
  <c r="U187" i="40" s="1"/>
  <c r="T186" i="33"/>
  <c r="U185" i="33"/>
  <c r="U186" i="40" s="1"/>
  <c r="T185" i="33"/>
  <c r="U184" i="33"/>
  <c r="U185" i="40" s="1"/>
  <c r="T184" i="33"/>
  <c r="U183" i="33"/>
  <c r="U184" i="40" s="1"/>
  <c r="T183" i="33"/>
  <c r="U182" i="33"/>
  <c r="U183" i="40" s="1"/>
  <c r="T182" i="33"/>
  <c r="U181" i="33"/>
  <c r="U182" i="40" s="1"/>
  <c r="T181" i="33"/>
  <c r="U180" i="33"/>
  <c r="U181" i="40" s="1"/>
  <c r="T180" i="33"/>
  <c r="U179" i="33"/>
  <c r="U180" i="40" s="1"/>
  <c r="T179" i="33"/>
  <c r="U178" i="33"/>
  <c r="U179" i="40" s="1"/>
  <c r="T178" i="33"/>
  <c r="U177" i="33"/>
  <c r="U178" i="40" s="1"/>
  <c r="T177" i="33"/>
  <c r="U176" i="33"/>
  <c r="U177" i="40" s="1"/>
  <c r="T176" i="33"/>
  <c r="U175" i="33"/>
  <c r="U176" i="40" s="1"/>
  <c r="T175" i="33"/>
  <c r="U174" i="33"/>
  <c r="U175" i="40" s="1"/>
  <c r="T174" i="33"/>
  <c r="U173" i="33"/>
  <c r="U174" i="40" s="1"/>
  <c r="T173" i="33"/>
  <c r="U172" i="33"/>
  <c r="U173" i="40" s="1"/>
  <c r="T172" i="33"/>
  <c r="U171" i="33"/>
  <c r="U172" i="40" s="1"/>
  <c r="T171" i="33"/>
  <c r="U170" i="33"/>
  <c r="U171" i="40" s="1"/>
  <c r="T170" i="33"/>
  <c r="U169" i="33"/>
  <c r="U170" i="40" s="1"/>
  <c r="T169" i="33"/>
  <c r="U168" i="33"/>
  <c r="U169" i="40" s="1"/>
  <c r="T168" i="33"/>
  <c r="U167" i="33"/>
  <c r="U168" i="40" s="1"/>
  <c r="T167" i="33"/>
  <c r="U166" i="33"/>
  <c r="U167" i="40" s="1"/>
  <c r="T166" i="33"/>
  <c r="U165" i="33"/>
  <c r="U166" i="40" s="1"/>
  <c r="T165" i="33"/>
  <c r="U164" i="33"/>
  <c r="U165" i="40" s="1"/>
  <c r="T164" i="33"/>
  <c r="U163" i="33"/>
  <c r="U164" i="40" s="1"/>
  <c r="T163" i="33"/>
  <c r="U162" i="33"/>
  <c r="U163" i="40" s="1"/>
  <c r="T162" i="33"/>
  <c r="U161" i="33"/>
  <c r="U162" i="40" s="1"/>
  <c r="T161" i="33"/>
  <c r="U159" i="33"/>
  <c r="U160" i="40" s="1"/>
  <c r="T159" i="33"/>
  <c r="U158" i="33"/>
  <c r="U159" i="40" s="1"/>
  <c r="T158" i="33"/>
  <c r="U157" i="33"/>
  <c r="U158" i="40" s="1"/>
  <c r="T157" i="33"/>
  <c r="U156" i="33"/>
  <c r="U157" i="40" s="1"/>
  <c r="T156" i="33"/>
  <c r="U155" i="33"/>
  <c r="U156" i="40" s="1"/>
  <c r="T155" i="33"/>
  <c r="U154" i="33"/>
  <c r="U155" i="40" s="1"/>
  <c r="T154" i="33"/>
  <c r="U153" i="33"/>
  <c r="U154" i="40" s="1"/>
  <c r="T153" i="33"/>
  <c r="U152" i="33"/>
  <c r="U153" i="40" s="1"/>
  <c r="T152" i="33"/>
  <c r="U151" i="33"/>
  <c r="U152" i="40" s="1"/>
  <c r="T151" i="33"/>
  <c r="U150" i="33"/>
  <c r="U151" i="40" s="1"/>
  <c r="T150" i="33"/>
  <c r="U149" i="33"/>
  <c r="U150" i="40" s="1"/>
  <c r="T149" i="33"/>
  <c r="U148" i="33"/>
  <c r="U149" i="40" s="1"/>
  <c r="T148" i="33"/>
  <c r="U147" i="33"/>
  <c r="U148" i="40" s="1"/>
  <c r="T147" i="33"/>
  <c r="U146" i="33"/>
  <c r="U147" i="40" s="1"/>
  <c r="T146" i="33"/>
  <c r="U145" i="33"/>
  <c r="U146" i="40" s="1"/>
  <c r="T145" i="33"/>
  <c r="U144" i="33"/>
  <c r="U145" i="40" s="1"/>
  <c r="T144" i="33"/>
  <c r="U143" i="33"/>
  <c r="U144" i="40" s="1"/>
  <c r="T143" i="33"/>
  <c r="U142" i="33"/>
  <c r="U143" i="40" s="1"/>
  <c r="T142" i="33"/>
  <c r="U141" i="33"/>
  <c r="U142" i="40" s="1"/>
  <c r="T141" i="33"/>
  <c r="U140" i="33"/>
  <c r="U141" i="40" s="1"/>
  <c r="T140" i="33"/>
  <c r="U139" i="33"/>
  <c r="U140" i="40" s="1"/>
  <c r="T139" i="33"/>
  <c r="U138" i="33"/>
  <c r="U139" i="40" s="1"/>
  <c r="T138" i="33"/>
  <c r="U137" i="33"/>
  <c r="U138" i="40" s="1"/>
  <c r="T137" i="33"/>
  <c r="U136" i="33"/>
  <c r="U137" i="40" s="1"/>
  <c r="T136" i="33"/>
  <c r="U135" i="33"/>
  <c r="U136" i="40" s="1"/>
  <c r="T135" i="33"/>
  <c r="U133" i="33"/>
  <c r="U134" i="40" s="1"/>
  <c r="T133" i="33"/>
  <c r="U132" i="33"/>
  <c r="U133" i="40" s="1"/>
  <c r="T132" i="33"/>
  <c r="U131" i="33"/>
  <c r="U132" i="40" s="1"/>
  <c r="T131" i="33"/>
  <c r="U130" i="33"/>
  <c r="U131" i="40" s="1"/>
  <c r="T130" i="33"/>
  <c r="U129" i="33"/>
  <c r="U130" i="40" s="1"/>
  <c r="T129" i="33"/>
  <c r="U128" i="33"/>
  <c r="U129" i="40" s="1"/>
  <c r="T128" i="33"/>
  <c r="U127" i="33"/>
  <c r="U128" i="40" s="1"/>
  <c r="T127" i="33"/>
  <c r="U126" i="33"/>
  <c r="U127" i="40" s="1"/>
  <c r="T126" i="33"/>
  <c r="U125" i="33"/>
  <c r="U126" i="40" s="1"/>
  <c r="T125" i="33"/>
  <c r="U124" i="33"/>
  <c r="U125" i="40" s="1"/>
  <c r="T124" i="33"/>
  <c r="U123" i="33"/>
  <c r="U124" i="40" s="1"/>
  <c r="T123" i="33"/>
  <c r="U121" i="33"/>
  <c r="U122" i="40" s="1"/>
  <c r="T121" i="33"/>
  <c r="U120" i="33"/>
  <c r="U121" i="40" s="1"/>
  <c r="T120" i="33"/>
  <c r="U116" i="33"/>
  <c r="U117" i="40" s="1"/>
  <c r="T116" i="33"/>
  <c r="U115" i="33"/>
  <c r="T115" i="33"/>
  <c r="G115" i="33" s="1"/>
  <c r="G116" i="40" s="1"/>
  <c r="U110" i="33"/>
  <c r="T110" i="33"/>
  <c r="G110" i="33" s="1"/>
  <c r="U109" i="33"/>
  <c r="T109" i="33"/>
  <c r="G109" i="33" s="1"/>
  <c r="U108" i="33"/>
  <c r="T108" i="33"/>
  <c r="G108" i="33" s="1"/>
  <c r="U107" i="33"/>
  <c r="T107" i="33"/>
  <c r="G107" i="33" s="1"/>
  <c r="U106" i="33"/>
  <c r="T106" i="33"/>
  <c r="G106" i="33" s="1"/>
  <c r="U105" i="33"/>
  <c r="T105" i="33"/>
  <c r="G105" i="33" s="1"/>
  <c r="U104" i="33"/>
  <c r="T104" i="33"/>
  <c r="G104" i="33" s="1"/>
  <c r="U103" i="33"/>
  <c r="T103" i="33"/>
  <c r="G103" i="33" s="1"/>
  <c r="U102" i="33"/>
  <c r="T102" i="33"/>
  <c r="G102" i="33" s="1"/>
  <c r="U101" i="33"/>
  <c r="T101" i="33"/>
  <c r="G101" i="33" s="1"/>
  <c r="U100" i="33"/>
  <c r="T100" i="33"/>
  <c r="G100" i="33" s="1"/>
  <c r="U99" i="33"/>
  <c r="T99" i="33"/>
  <c r="G99" i="33" s="1"/>
  <c r="U98" i="33"/>
  <c r="T98" i="33"/>
  <c r="G98" i="33" s="1"/>
  <c r="U97" i="33"/>
  <c r="T97" i="33"/>
  <c r="G97" i="33" s="1"/>
  <c r="U96" i="33"/>
  <c r="T96" i="33"/>
  <c r="G96" i="33" s="1"/>
  <c r="U95" i="33"/>
  <c r="T95" i="33"/>
  <c r="G95" i="33" s="1"/>
  <c r="U94" i="33"/>
  <c r="T94" i="33"/>
  <c r="G94" i="33" s="1"/>
  <c r="U93" i="33"/>
  <c r="T93" i="33"/>
  <c r="G93" i="33" s="1"/>
  <c r="U92" i="33"/>
  <c r="T92" i="33"/>
  <c r="G92" i="33" s="1"/>
  <c r="U91" i="33"/>
  <c r="T91" i="33"/>
  <c r="G91" i="33" s="1"/>
  <c r="U90" i="33"/>
  <c r="T90" i="33"/>
  <c r="G90" i="33" s="1"/>
  <c r="U89" i="33"/>
  <c r="T89" i="33"/>
  <c r="G89" i="33" s="1"/>
  <c r="U88" i="33"/>
  <c r="T88" i="33"/>
  <c r="G88" i="33" s="1"/>
  <c r="U87" i="33"/>
  <c r="T87" i="33"/>
  <c r="G87" i="33" s="1"/>
  <c r="U86" i="33"/>
  <c r="T86" i="33"/>
  <c r="G86" i="33" s="1"/>
  <c r="U85" i="33"/>
  <c r="T85" i="33"/>
  <c r="G85" i="33" s="1"/>
  <c r="U84" i="33"/>
  <c r="T84" i="33"/>
  <c r="G84" i="33" s="1"/>
  <c r="U83" i="33"/>
  <c r="T83" i="33"/>
  <c r="G83" i="33" s="1"/>
  <c r="U82" i="33"/>
  <c r="T82" i="33"/>
  <c r="G82" i="33" s="1"/>
  <c r="U81" i="33"/>
  <c r="T81" i="33"/>
  <c r="G81" i="33" s="1"/>
  <c r="U80" i="33"/>
  <c r="T80" i="33"/>
  <c r="G80" i="33" s="1"/>
  <c r="U79" i="33"/>
  <c r="T79" i="33"/>
  <c r="G79" i="33" s="1"/>
  <c r="U78" i="33"/>
  <c r="T78" i="33"/>
  <c r="G78" i="33" s="1"/>
  <c r="U77" i="33"/>
  <c r="T77" i="33"/>
  <c r="G77" i="33" s="1"/>
  <c r="U76" i="33"/>
  <c r="T76" i="33"/>
  <c r="G76" i="33" s="1"/>
  <c r="U75" i="33"/>
  <c r="T75" i="33"/>
  <c r="G75" i="33" s="1"/>
  <c r="U74" i="33"/>
  <c r="T74" i="33"/>
  <c r="G74" i="33" s="1"/>
  <c r="U73" i="33"/>
  <c r="T73" i="33"/>
  <c r="G73" i="33" s="1"/>
  <c r="U72" i="33"/>
  <c r="T72" i="33"/>
  <c r="G72" i="33" s="1"/>
  <c r="U71" i="33"/>
  <c r="T71" i="33"/>
  <c r="G71" i="33" s="1"/>
  <c r="U70" i="33"/>
  <c r="T70" i="33"/>
  <c r="G70" i="33" s="1"/>
  <c r="U69" i="33"/>
  <c r="T69" i="33"/>
  <c r="G69" i="33" s="1"/>
  <c r="U68" i="33"/>
  <c r="T68" i="33"/>
  <c r="G68" i="33" s="1"/>
  <c r="U67" i="33"/>
  <c r="T67" i="33"/>
  <c r="G67" i="33" s="1"/>
  <c r="U66" i="33"/>
  <c r="T66" i="33"/>
  <c r="G66" i="33" s="1"/>
  <c r="U65" i="33"/>
  <c r="T65" i="33"/>
  <c r="G65" i="33" s="1"/>
  <c r="U64" i="33"/>
  <c r="T64" i="33"/>
  <c r="G64" i="33" s="1"/>
  <c r="U50" i="33"/>
  <c r="T50" i="33"/>
  <c r="G50" i="33" s="1"/>
  <c r="U46" i="33"/>
  <c r="T46" i="33"/>
  <c r="G46" i="33" s="1"/>
  <c r="U45" i="33"/>
  <c r="T45" i="33"/>
  <c r="G45" i="33" s="1"/>
  <c r="U40" i="33"/>
  <c r="T40" i="33"/>
  <c r="G40" i="33" s="1"/>
  <c r="U39" i="33"/>
  <c r="T39" i="33"/>
  <c r="G39" i="33" s="1"/>
  <c r="U38" i="33"/>
  <c r="T38" i="33"/>
  <c r="G38" i="33" s="1"/>
  <c r="U14" i="33"/>
  <c r="T14" i="33"/>
  <c r="U34" i="33"/>
  <c r="T34" i="33"/>
  <c r="U33" i="33"/>
  <c r="T33" i="33"/>
  <c r="U32" i="33"/>
  <c r="T32" i="33"/>
  <c r="U31" i="33"/>
  <c r="T31" i="33"/>
  <c r="U30" i="33"/>
  <c r="T30" i="33"/>
  <c r="U29" i="33"/>
  <c r="T29" i="33"/>
  <c r="U28" i="33"/>
  <c r="T28" i="33"/>
  <c r="U27" i="33"/>
  <c r="T27" i="33"/>
  <c r="U25" i="33"/>
  <c r="T25" i="33"/>
  <c r="G25" i="33" s="1"/>
  <c r="U24" i="33"/>
  <c r="T24" i="33"/>
  <c r="G24" i="33" s="1"/>
  <c r="U23" i="33"/>
  <c r="T23" i="33"/>
  <c r="G23" i="33" s="1"/>
  <c r="U22" i="33"/>
  <c r="T22" i="33"/>
  <c r="U21" i="33"/>
  <c r="T21" i="33"/>
  <c r="G21" i="33" s="1"/>
  <c r="U20" i="33"/>
  <c r="T20" i="33"/>
  <c r="G20" i="33" s="1"/>
  <c r="U19" i="33"/>
  <c r="T19" i="33"/>
  <c r="G19" i="33" s="1"/>
  <c r="H15" i="33"/>
  <c r="X33" i="33" l="1"/>
  <c r="X34" i="33"/>
  <c r="Y33" i="33"/>
  <c r="X32" i="33"/>
  <c r="Y32" i="33"/>
  <c r="AI32" i="33" s="1"/>
  <c r="AL32" i="33" s="1"/>
  <c r="G22" i="33"/>
  <c r="X22" i="33"/>
  <c r="Y34" i="33"/>
  <c r="Y22" i="33"/>
  <c r="H85" i="33"/>
  <c r="H101" i="33"/>
  <c r="H71" i="33"/>
  <c r="H93" i="33"/>
  <c r="H39" i="33"/>
  <c r="H81" i="33"/>
  <c r="H105" i="33"/>
  <c r="H99" i="33"/>
  <c r="H87" i="33"/>
  <c r="H65" i="33"/>
  <c r="H89" i="33"/>
  <c r="H107" i="33"/>
  <c r="H77" i="33"/>
  <c r="H97" i="33"/>
  <c r="H115" i="33"/>
  <c r="H116" i="40" s="1"/>
  <c r="H73" i="33"/>
  <c r="H45" i="33"/>
  <c r="H79" i="33"/>
  <c r="H91" i="33"/>
  <c r="H103" i="33"/>
  <c r="H109" i="33"/>
  <c r="H67" i="33"/>
  <c r="H83" i="33"/>
  <c r="H95" i="33"/>
  <c r="H106" i="33"/>
  <c r="T134" i="40"/>
  <c r="G133" i="33"/>
  <c r="T137" i="40"/>
  <c r="G136" i="33"/>
  <c r="T139" i="40"/>
  <c r="G138" i="33"/>
  <c r="T141" i="40"/>
  <c r="G140" i="33"/>
  <c r="T143" i="40"/>
  <c r="G142" i="33"/>
  <c r="T145" i="40"/>
  <c r="G144" i="33"/>
  <c r="T147" i="40"/>
  <c r="G146" i="33"/>
  <c r="T149" i="40"/>
  <c r="G148" i="33"/>
  <c r="T151" i="40"/>
  <c r="G150" i="33"/>
  <c r="T153" i="40"/>
  <c r="G152" i="33"/>
  <c r="T155" i="40"/>
  <c r="G154" i="33"/>
  <c r="T157" i="40"/>
  <c r="G156" i="33"/>
  <c r="T159" i="40"/>
  <c r="G158" i="33"/>
  <c r="T162" i="40"/>
  <c r="G161" i="33"/>
  <c r="T164" i="40"/>
  <c r="G163" i="33"/>
  <c r="T166" i="40"/>
  <c r="G165" i="33"/>
  <c r="T168" i="40"/>
  <c r="G167" i="33"/>
  <c r="T170" i="40"/>
  <c r="G169" i="33"/>
  <c r="T172" i="40"/>
  <c r="G171" i="33"/>
  <c r="T174" i="40"/>
  <c r="G173" i="33"/>
  <c r="T176" i="40"/>
  <c r="G175" i="33"/>
  <c r="T178" i="40"/>
  <c r="G177" i="33"/>
  <c r="T180" i="40"/>
  <c r="G179" i="33"/>
  <c r="T182" i="40"/>
  <c r="G181" i="33"/>
  <c r="T184" i="40"/>
  <c r="G183" i="33"/>
  <c r="T186" i="40"/>
  <c r="G185" i="33"/>
  <c r="T188" i="40"/>
  <c r="G187" i="33"/>
  <c r="T190" i="40"/>
  <c r="G189" i="33"/>
  <c r="T192" i="40"/>
  <c r="G191" i="33"/>
  <c r="T194" i="40"/>
  <c r="G193" i="33"/>
  <c r="T196" i="40"/>
  <c r="G195" i="33"/>
  <c r="T198" i="40"/>
  <c r="G197" i="33"/>
  <c r="T200" i="40"/>
  <c r="G199" i="33"/>
  <c r="T202" i="40"/>
  <c r="G201" i="33"/>
  <c r="T204" i="40"/>
  <c r="G203" i="33"/>
  <c r="T206" i="40"/>
  <c r="G205" i="33"/>
  <c r="T208" i="40"/>
  <c r="G207" i="33"/>
  <c r="T210" i="40"/>
  <c r="G209" i="33"/>
  <c r="T212" i="40"/>
  <c r="G211" i="33"/>
  <c r="T214" i="40"/>
  <c r="G213" i="33"/>
  <c r="H40" i="33"/>
  <c r="H66" i="33"/>
  <c r="H72" i="33"/>
  <c r="H78" i="33"/>
  <c r="H84" i="33"/>
  <c r="H90" i="33"/>
  <c r="H96" i="33"/>
  <c r="H102" i="33"/>
  <c r="H108" i="33"/>
  <c r="H46" i="33"/>
  <c r="H68" i="33"/>
  <c r="H74" i="33"/>
  <c r="H80" i="33"/>
  <c r="H86" i="33"/>
  <c r="H92" i="33"/>
  <c r="H98" i="33"/>
  <c r="H104" i="33"/>
  <c r="H110" i="33"/>
  <c r="T136" i="40"/>
  <c r="G135" i="33"/>
  <c r="T138" i="40"/>
  <c r="G137" i="33"/>
  <c r="T140" i="40"/>
  <c r="G139" i="33"/>
  <c r="T142" i="40"/>
  <c r="G141" i="33"/>
  <c r="T144" i="40"/>
  <c r="G143" i="33"/>
  <c r="T146" i="40"/>
  <c r="G145" i="33"/>
  <c r="T148" i="40"/>
  <c r="G147" i="33"/>
  <c r="T150" i="40"/>
  <c r="G149" i="33"/>
  <c r="T152" i="40"/>
  <c r="G151" i="33"/>
  <c r="T154" i="40"/>
  <c r="G153" i="33"/>
  <c r="T156" i="40"/>
  <c r="G155" i="33"/>
  <c r="T158" i="40"/>
  <c r="G157" i="33"/>
  <c r="T160" i="40"/>
  <c r="G159" i="33"/>
  <c r="T163" i="40"/>
  <c r="G162" i="33"/>
  <c r="T165" i="40"/>
  <c r="G164" i="33"/>
  <c r="T167" i="40"/>
  <c r="G166" i="33"/>
  <c r="T169" i="40"/>
  <c r="G168" i="33"/>
  <c r="T171" i="40"/>
  <c r="G170" i="33"/>
  <c r="T173" i="40"/>
  <c r="G172" i="33"/>
  <c r="T175" i="40"/>
  <c r="G174" i="33"/>
  <c r="T177" i="40"/>
  <c r="G176" i="33"/>
  <c r="T179" i="40"/>
  <c r="G178" i="33"/>
  <c r="T181" i="40"/>
  <c r="G180" i="33"/>
  <c r="T183" i="40"/>
  <c r="G182" i="33"/>
  <c r="T185" i="40"/>
  <c r="G184" i="33"/>
  <c r="T187" i="40"/>
  <c r="G186" i="33"/>
  <c r="T189" i="40"/>
  <c r="G188" i="33"/>
  <c r="T191" i="40"/>
  <c r="G190" i="33"/>
  <c r="T193" i="40"/>
  <c r="G192" i="33"/>
  <c r="T195" i="40"/>
  <c r="G194" i="33"/>
  <c r="T197" i="40"/>
  <c r="G196" i="33"/>
  <c r="T199" i="40"/>
  <c r="G198" i="33"/>
  <c r="T201" i="40"/>
  <c r="G200" i="33"/>
  <c r="T203" i="40"/>
  <c r="G202" i="33"/>
  <c r="T205" i="40"/>
  <c r="G204" i="33"/>
  <c r="T207" i="40"/>
  <c r="G206" i="33"/>
  <c r="T209" i="40"/>
  <c r="G208" i="33"/>
  <c r="T211" i="40"/>
  <c r="G210" i="33"/>
  <c r="T213" i="40"/>
  <c r="G212" i="33"/>
  <c r="T215" i="40"/>
  <c r="G214" i="33"/>
  <c r="H50" i="33"/>
  <c r="H75" i="33"/>
  <c r="H69" i="33"/>
  <c r="H38" i="33"/>
  <c r="H64" i="33"/>
  <c r="H70" i="33"/>
  <c r="H76" i="33"/>
  <c r="H82" i="33"/>
  <c r="H88" i="33"/>
  <c r="H94" i="33"/>
  <c r="H100" i="33"/>
  <c r="G29" i="33"/>
  <c r="G31" i="33"/>
  <c r="G33" i="33"/>
  <c r="G28" i="33"/>
  <c r="H28" i="33" s="1"/>
  <c r="G30" i="33"/>
  <c r="H30" i="33" s="1"/>
  <c r="G34" i="33"/>
  <c r="T133" i="40"/>
  <c r="G132" i="33"/>
  <c r="T124" i="40"/>
  <c r="G123" i="33"/>
  <c r="T121" i="40"/>
  <c r="G120" i="33"/>
  <c r="T126" i="40"/>
  <c r="G125" i="33"/>
  <c r="T130" i="40"/>
  <c r="G129" i="33"/>
  <c r="T125" i="40"/>
  <c r="G124" i="33"/>
  <c r="T129" i="40"/>
  <c r="G128" i="33"/>
  <c r="T128" i="40"/>
  <c r="G127" i="33"/>
  <c r="T132" i="40"/>
  <c r="G131" i="33"/>
  <c r="T122" i="40"/>
  <c r="G121" i="33"/>
  <c r="T127" i="40"/>
  <c r="G126" i="33"/>
  <c r="T131" i="40"/>
  <c r="G130" i="33"/>
  <c r="G32" i="33"/>
  <c r="G27" i="33"/>
  <c r="H27" i="33" s="1"/>
  <c r="G14" i="33"/>
  <c r="T117" i="40"/>
  <c r="G116" i="33"/>
  <c r="H23" i="33"/>
  <c r="H25" i="33"/>
  <c r="H24" i="33"/>
  <c r="H21" i="33"/>
  <c r="H19" i="33"/>
  <c r="C134" i="33"/>
  <c r="C135" i="40" s="1"/>
  <c r="C122" i="33"/>
  <c r="C123" i="40" s="1"/>
  <c r="C2" i="40"/>
  <c r="AC2" i="40" s="1"/>
  <c r="C160" i="33"/>
  <c r="C161" i="40" s="1"/>
  <c r="X104" i="33"/>
  <c r="X106" i="33"/>
  <c r="X108" i="33"/>
  <c r="X110" i="33"/>
  <c r="X155" i="33"/>
  <c r="X156" i="40" s="1"/>
  <c r="Y156" i="33"/>
  <c r="Y157" i="40" s="1"/>
  <c r="X159" i="33"/>
  <c r="X160" i="40" s="1"/>
  <c r="Y161" i="33"/>
  <c r="Y162" i="40" s="1"/>
  <c r="X164" i="33"/>
  <c r="X165" i="40" s="1"/>
  <c r="Y165" i="33"/>
  <c r="Y166" i="40" s="1"/>
  <c r="X168" i="33"/>
  <c r="X169" i="40" s="1"/>
  <c r="Y169" i="33"/>
  <c r="Y170" i="40" s="1"/>
  <c r="X172" i="33"/>
  <c r="X173" i="40" s="1"/>
  <c r="Y173" i="33"/>
  <c r="Y174" i="40" s="1"/>
  <c r="X176" i="33"/>
  <c r="X177" i="40" s="1"/>
  <c r="Y177" i="33"/>
  <c r="Y178" i="40" s="1"/>
  <c r="X180" i="33"/>
  <c r="X181" i="40" s="1"/>
  <c r="Y181" i="33"/>
  <c r="Y182" i="40" s="1"/>
  <c r="X184" i="33"/>
  <c r="X185" i="40" s="1"/>
  <c r="Y185" i="33"/>
  <c r="Y186" i="40" s="1"/>
  <c r="X188" i="33"/>
  <c r="X189" i="40" s="1"/>
  <c r="Y189" i="33"/>
  <c r="Y190" i="40" s="1"/>
  <c r="X192" i="33"/>
  <c r="X193" i="40" s="1"/>
  <c r="Y193" i="33"/>
  <c r="Y194" i="40" s="1"/>
  <c r="X196" i="33"/>
  <c r="X197" i="40" s="1"/>
  <c r="Y197" i="33"/>
  <c r="Y198" i="40" s="1"/>
  <c r="X200" i="33"/>
  <c r="X201" i="40" s="1"/>
  <c r="Y201" i="33"/>
  <c r="Y202" i="40" s="1"/>
  <c r="X204" i="33"/>
  <c r="X205" i="40" s="1"/>
  <c r="Y205" i="33"/>
  <c r="Y206" i="40" s="1"/>
  <c r="Y104" i="33"/>
  <c r="Y106" i="33"/>
  <c r="Y108" i="33"/>
  <c r="Y110" i="33"/>
  <c r="X154" i="33"/>
  <c r="X155" i="40" s="1"/>
  <c r="Y155" i="33"/>
  <c r="Y156" i="40" s="1"/>
  <c r="X158" i="33"/>
  <c r="X159" i="40" s="1"/>
  <c r="Y159" i="33"/>
  <c r="Y160" i="40" s="1"/>
  <c r="X163" i="33"/>
  <c r="X164" i="40" s="1"/>
  <c r="Y164" i="33"/>
  <c r="Y165" i="40" s="1"/>
  <c r="X167" i="33"/>
  <c r="X168" i="40" s="1"/>
  <c r="Y168" i="33"/>
  <c r="Y169" i="40" s="1"/>
  <c r="X171" i="33"/>
  <c r="X172" i="40" s="1"/>
  <c r="Y172" i="33"/>
  <c r="Y173" i="40" s="1"/>
  <c r="X175" i="33"/>
  <c r="X176" i="40" s="1"/>
  <c r="Y176" i="33"/>
  <c r="Y177" i="40" s="1"/>
  <c r="X179" i="33"/>
  <c r="X180" i="40" s="1"/>
  <c r="Y180" i="33"/>
  <c r="Y181" i="40" s="1"/>
  <c r="X183" i="33"/>
  <c r="X184" i="40" s="1"/>
  <c r="Y184" i="33"/>
  <c r="Y185" i="40" s="1"/>
  <c r="X187" i="33"/>
  <c r="X188" i="40" s="1"/>
  <c r="Y188" i="33"/>
  <c r="Y189" i="40" s="1"/>
  <c r="X191" i="33"/>
  <c r="X192" i="40" s="1"/>
  <c r="Y192" i="33"/>
  <c r="Y193" i="40" s="1"/>
  <c r="X195" i="33"/>
  <c r="X196" i="40" s="1"/>
  <c r="Y196" i="33"/>
  <c r="Y197" i="40" s="1"/>
  <c r="X199" i="33"/>
  <c r="X200" i="40" s="1"/>
  <c r="Y200" i="33"/>
  <c r="Y201" i="40" s="1"/>
  <c r="X203" i="33"/>
  <c r="X204" i="40" s="1"/>
  <c r="Y204" i="33"/>
  <c r="Y205" i="40" s="1"/>
  <c r="X105" i="33"/>
  <c r="X107" i="33"/>
  <c r="X109" i="33"/>
  <c r="Y154" i="33"/>
  <c r="Y155" i="40" s="1"/>
  <c r="X157" i="33"/>
  <c r="X158" i="40" s="1"/>
  <c r="Y158" i="33"/>
  <c r="Y159" i="40" s="1"/>
  <c r="X162" i="33"/>
  <c r="X163" i="40" s="1"/>
  <c r="Y163" i="33"/>
  <c r="Y164" i="40" s="1"/>
  <c r="X166" i="33"/>
  <c r="X167" i="40" s="1"/>
  <c r="Y167" i="33"/>
  <c r="Y168" i="40" s="1"/>
  <c r="X170" i="33"/>
  <c r="X171" i="40" s="1"/>
  <c r="Y171" i="33"/>
  <c r="Y172" i="40" s="1"/>
  <c r="X174" i="33"/>
  <c r="X175" i="40" s="1"/>
  <c r="Y175" i="33"/>
  <c r="Y176" i="40" s="1"/>
  <c r="X178" i="33"/>
  <c r="X179" i="40" s="1"/>
  <c r="Y179" i="33"/>
  <c r="Y180" i="40" s="1"/>
  <c r="X182" i="33"/>
  <c r="X183" i="40" s="1"/>
  <c r="Y183" i="33"/>
  <c r="Y184" i="40" s="1"/>
  <c r="X186" i="33"/>
  <c r="X187" i="40" s="1"/>
  <c r="Y187" i="33"/>
  <c r="Y188" i="40" s="1"/>
  <c r="X190" i="33"/>
  <c r="X191" i="40" s="1"/>
  <c r="Y191" i="33"/>
  <c r="Y192" i="40" s="1"/>
  <c r="X194" i="33"/>
  <c r="X195" i="40" s="1"/>
  <c r="Y195" i="33"/>
  <c r="Y196" i="40" s="1"/>
  <c r="X198" i="33"/>
  <c r="X199" i="40" s="1"/>
  <c r="Y199" i="33"/>
  <c r="Y200" i="40" s="1"/>
  <c r="X202" i="33"/>
  <c r="X203" i="40" s="1"/>
  <c r="Y203" i="33"/>
  <c r="Y204" i="40" s="1"/>
  <c r="X206" i="33"/>
  <c r="X207" i="40" s="1"/>
  <c r="X207" i="33"/>
  <c r="X208" i="40" s="1"/>
  <c r="X208" i="33"/>
  <c r="X209" i="40" s="1"/>
  <c r="X209" i="33"/>
  <c r="X210" i="40" s="1"/>
  <c r="X210" i="33"/>
  <c r="X211" i="40" s="1"/>
  <c r="X211" i="33"/>
  <c r="X212" i="40" s="1"/>
  <c r="X212" i="33"/>
  <c r="X213" i="40" s="1"/>
  <c r="X213" i="33"/>
  <c r="X214" i="40" s="1"/>
  <c r="X214" i="33"/>
  <c r="X215" i="40" s="1"/>
  <c r="X215" i="33"/>
  <c r="X216" i="33"/>
  <c r="X217" i="33"/>
  <c r="Y105" i="33"/>
  <c r="Y107" i="33"/>
  <c r="Y109" i="33"/>
  <c r="X156" i="33"/>
  <c r="X157" i="40" s="1"/>
  <c r="Y157" i="33"/>
  <c r="Y158" i="40" s="1"/>
  <c r="X161" i="33"/>
  <c r="X162" i="40" s="1"/>
  <c r="Y162" i="33"/>
  <c r="Y163" i="40" s="1"/>
  <c r="X165" i="33"/>
  <c r="X166" i="40" s="1"/>
  <c r="Y166" i="33"/>
  <c r="Y167" i="40" s="1"/>
  <c r="X169" i="33"/>
  <c r="X170" i="40" s="1"/>
  <c r="Y170" i="33"/>
  <c r="Y171" i="40" s="1"/>
  <c r="X173" i="33"/>
  <c r="X174" i="40" s="1"/>
  <c r="Y174" i="33"/>
  <c r="Y175" i="40" s="1"/>
  <c r="X177" i="33"/>
  <c r="X178" i="40" s="1"/>
  <c r="Y178" i="33"/>
  <c r="Y179" i="40" s="1"/>
  <c r="X181" i="33"/>
  <c r="X182" i="40" s="1"/>
  <c r="Y182" i="33"/>
  <c r="Y183" i="40" s="1"/>
  <c r="X185" i="33"/>
  <c r="X186" i="40" s="1"/>
  <c r="Y186" i="33"/>
  <c r="Y187" i="40" s="1"/>
  <c r="X189" i="33"/>
  <c r="X190" i="40" s="1"/>
  <c r="Y190" i="33"/>
  <c r="Y191" i="40" s="1"/>
  <c r="X193" i="33"/>
  <c r="X194" i="40" s="1"/>
  <c r="Y194" i="33"/>
  <c r="Y195" i="40" s="1"/>
  <c r="X197" i="33"/>
  <c r="X198" i="40" s="1"/>
  <c r="Y198" i="33"/>
  <c r="Y199" i="40" s="1"/>
  <c r="X201" i="33"/>
  <c r="X202" i="40" s="1"/>
  <c r="Y202" i="33"/>
  <c r="Y203" i="40" s="1"/>
  <c r="X205" i="33"/>
  <c r="X206" i="40" s="1"/>
  <c r="Y206" i="33"/>
  <c r="Y207" i="40" s="1"/>
  <c r="Y207" i="33"/>
  <c r="Y208" i="40" s="1"/>
  <c r="Y208" i="33"/>
  <c r="Y209" i="40" s="1"/>
  <c r="Y209" i="33"/>
  <c r="Y210" i="40" s="1"/>
  <c r="Y210" i="33"/>
  <c r="Y211" i="40" s="1"/>
  <c r="Y211" i="33"/>
  <c r="Y212" i="40" s="1"/>
  <c r="Y212" i="33"/>
  <c r="Y213" i="40" s="1"/>
  <c r="Y213" i="33"/>
  <c r="Y214" i="40" s="1"/>
  <c r="Y214" i="33"/>
  <c r="Y215" i="40" s="1"/>
  <c r="Y215" i="33"/>
  <c r="Y216" i="33"/>
  <c r="Y217" i="33"/>
  <c r="X140" i="33"/>
  <c r="X141" i="40" s="1"/>
  <c r="X144" i="33"/>
  <c r="X145" i="40" s="1"/>
  <c r="Y149" i="33"/>
  <c r="Y150" i="40" s="1"/>
  <c r="X152" i="33"/>
  <c r="X153" i="40" s="1"/>
  <c r="X139" i="33"/>
  <c r="X140" i="40" s="1"/>
  <c r="X143" i="33"/>
  <c r="X144" i="40" s="1"/>
  <c r="X147" i="33"/>
  <c r="X148" i="40" s="1"/>
  <c r="Y152" i="33"/>
  <c r="Y153" i="40" s="1"/>
  <c r="X138" i="33"/>
  <c r="X139" i="40" s="1"/>
  <c r="Y139" i="33"/>
  <c r="Y140" i="40" s="1"/>
  <c r="X142" i="33"/>
  <c r="X143" i="40" s="1"/>
  <c r="Y143" i="33"/>
  <c r="Y144" i="40" s="1"/>
  <c r="X146" i="33"/>
  <c r="X147" i="40" s="1"/>
  <c r="Y147" i="33"/>
  <c r="Y148" i="40" s="1"/>
  <c r="X150" i="33"/>
  <c r="X151" i="40" s="1"/>
  <c r="Y151" i="33"/>
  <c r="Y152" i="40" s="1"/>
  <c r="Y141" i="33"/>
  <c r="Y142" i="40" s="1"/>
  <c r="Y145" i="33"/>
  <c r="Y146" i="40" s="1"/>
  <c r="X148" i="33"/>
  <c r="X149" i="40" s="1"/>
  <c r="Y153" i="33"/>
  <c r="Y154" i="40" s="1"/>
  <c r="Y136" i="33"/>
  <c r="Y137" i="40" s="1"/>
  <c r="Y140" i="33"/>
  <c r="Y141" i="40" s="1"/>
  <c r="Y144" i="33"/>
  <c r="Y145" i="40" s="1"/>
  <c r="Y148" i="33"/>
  <c r="Y149" i="40" s="1"/>
  <c r="X151" i="33"/>
  <c r="X152" i="40" s="1"/>
  <c r="X137" i="33"/>
  <c r="X138" i="40" s="1"/>
  <c r="Y138" i="33"/>
  <c r="Y139" i="40" s="1"/>
  <c r="X141" i="33"/>
  <c r="X142" i="40" s="1"/>
  <c r="Y142" i="33"/>
  <c r="Y143" i="40" s="1"/>
  <c r="X145" i="33"/>
  <c r="X146" i="40" s="1"/>
  <c r="Y146" i="33"/>
  <c r="Y147" i="40" s="1"/>
  <c r="X149" i="33"/>
  <c r="X150" i="40" s="1"/>
  <c r="Y150" i="33"/>
  <c r="Y151" i="40" s="1"/>
  <c r="X153" i="33"/>
  <c r="X154" i="40" s="1"/>
  <c r="X136" i="33"/>
  <c r="X137" i="40" s="1"/>
  <c r="Y29" i="33"/>
  <c r="Y40" i="33"/>
  <c r="Y64" i="33"/>
  <c r="Y68" i="33"/>
  <c r="Y72" i="33"/>
  <c r="Y76" i="33"/>
  <c r="Y82" i="33"/>
  <c r="Y86" i="33"/>
  <c r="Y90" i="33"/>
  <c r="Y94" i="33"/>
  <c r="Y98" i="33"/>
  <c r="Y100" i="33"/>
  <c r="X21" i="33"/>
  <c r="X26" i="33"/>
  <c r="AC32" i="33"/>
  <c r="AG32" i="33" s="1"/>
  <c r="X45" i="33"/>
  <c r="X65" i="33"/>
  <c r="X69" i="33"/>
  <c r="X73" i="33"/>
  <c r="X77" i="33"/>
  <c r="X81" i="33"/>
  <c r="X85" i="33"/>
  <c r="X89" i="33"/>
  <c r="X93" i="33"/>
  <c r="X99" i="33"/>
  <c r="X103" i="33"/>
  <c r="X20" i="33"/>
  <c r="X23" i="33"/>
  <c r="X25" i="33"/>
  <c r="X27" i="33"/>
  <c r="X29" i="33"/>
  <c r="X31" i="33"/>
  <c r="X38" i="33"/>
  <c r="X40" i="33"/>
  <c r="X46" i="33"/>
  <c r="X64" i="33"/>
  <c r="X66" i="33"/>
  <c r="X68" i="33"/>
  <c r="X70" i="33"/>
  <c r="X72" i="33"/>
  <c r="X74" i="33"/>
  <c r="X76" i="33"/>
  <c r="X78" i="33"/>
  <c r="X80" i="33"/>
  <c r="X82" i="33"/>
  <c r="X84" i="33"/>
  <c r="X86" i="33"/>
  <c r="X88" i="33"/>
  <c r="X90" i="33"/>
  <c r="X92" i="33"/>
  <c r="X94" i="33"/>
  <c r="X96" i="33"/>
  <c r="X98" i="33"/>
  <c r="X100" i="33"/>
  <c r="X102" i="33"/>
  <c r="Y16" i="33"/>
  <c r="Y20" i="33"/>
  <c r="Y23" i="33"/>
  <c r="Y25" i="33"/>
  <c r="Y27" i="33"/>
  <c r="Y31" i="33"/>
  <c r="Y38" i="33"/>
  <c r="Y46" i="33"/>
  <c r="Y66" i="33"/>
  <c r="Y70" i="33"/>
  <c r="Y74" i="33"/>
  <c r="Y78" i="33"/>
  <c r="Y80" i="33"/>
  <c r="Y84" i="33"/>
  <c r="Y88" i="33"/>
  <c r="Y92" i="33"/>
  <c r="Y96" i="33"/>
  <c r="Y102" i="33"/>
  <c r="X15" i="33"/>
  <c r="X19" i="33"/>
  <c r="X24" i="33"/>
  <c r="X28" i="33"/>
  <c r="X30" i="33"/>
  <c r="X39" i="33"/>
  <c r="X50" i="33"/>
  <c r="X67" i="33"/>
  <c r="X71" i="33"/>
  <c r="X75" i="33"/>
  <c r="X79" i="33"/>
  <c r="X83" i="33"/>
  <c r="X87" i="33"/>
  <c r="X91" i="33"/>
  <c r="X95" i="33"/>
  <c r="X97" i="33"/>
  <c r="X101" i="33"/>
  <c r="Y15" i="33"/>
  <c r="Y19" i="33"/>
  <c r="Y21" i="33"/>
  <c r="Y24" i="33"/>
  <c r="Y26" i="33"/>
  <c r="Y28" i="33"/>
  <c r="Y30" i="33"/>
  <c r="Y39" i="33"/>
  <c r="Y45" i="33"/>
  <c r="Y50" i="33"/>
  <c r="Y65" i="33"/>
  <c r="Y67" i="33"/>
  <c r="Y69" i="33"/>
  <c r="Y71" i="33"/>
  <c r="Y73" i="33"/>
  <c r="Y75" i="33"/>
  <c r="Y77" i="33"/>
  <c r="Y79" i="33"/>
  <c r="Y81" i="33"/>
  <c r="Y83" i="33"/>
  <c r="Y85" i="33"/>
  <c r="Y87" i="33"/>
  <c r="Y89" i="33"/>
  <c r="Y91" i="33"/>
  <c r="Y93" i="33"/>
  <c r="Y95" i="33"/>
  <c r="Y97" i="33"/>
  <c r="Y99" i="33"/>
  <c r="Y101" i="33"/>
  <c r="Y103" i="33"/>
  <c r="Y115" i="33"/>
  <c r="U116" i="40"/>
  <c r="X121" i="33"/>
  <c r="X122" i="40" s="1"/>
  <c r="Y123" i="33"/>
  <c r="Y124" i="40" s="1"/>
  <c r="X126" i="33"/>
  <c r="X127" i="40" s="1"/>
  <c r="Y127" i="33"/>
  <c r="Y128" i="40" s="1"/>
  <c r="X130" i="33"/>
  <c r="X131" i="40" s="1"/>
  <c r="Y131" i="33"/>
  <c r="Y132" i="40" s="1"/>
  <c r="X135" i="33"/>
  <c r="X136" i="40" s="1"/>
  <c r="G14" i="34"/>
  <c r="AN2" i="40"/>
  <c r="X120" i="33"/>
  <c r="X121" i="40" s="1"/>
  <c r="Y121" i="33"/>
  <c r="Y122" i="40" s="1"/>
  <c r="X125" i="33"/>
  <c r="X126" i="40" s="1"/>
  <c r="Y126" i="33"/>
  <c r="Y127" i="40" s="1"/>
  <c r="X129" i="33"/>
  <c r="X130" i="40" s="1"/>
  <c r="Y130" i="33"/>
  <c r="Y131" i="40" s="1"/>
  <c r="X133" i="33"/>
  <c r="X134" i="40" s="1"/>
  <c r="Y135" i="33"/>
  <c r="Y136" i="40" s="1"/>
  <c r="G12" i="34"/>
  <c r="AJ2" i="40"/>
  <c r="F14" i="34"/>
  <c r="AO2" i="40"/>
  <c r="X116" i="33"/>
  <c r="X117" i="40" s="1"/>
  <c r="Y120" i="33"/>
  <c r="Y121" i="40" s="1"/>
  <c r="X124" i="33"/>
  <c r="X125" i="40" s="1"/>
  <c r="Y125" i="33"/>
  <c r="Y126" i="40" s="1"/>
  <c r="X128" i="33"/>
  <c r="X129" i="40" s="1"/>
  <c r="Y129" i="33"/>
  <c r="Y130" i="40" s="1"/>
  <c r="X132" i="33"/>
  <c r="X133" i="40" s="1"/>
  <c r="Y133" i="33"/>
  <c r="Y134" i="40" s="1"/>
  <c r="G13" i="34"/>
  <c r="AL2" i="40"/>
  <c r="G15" i="34"/>
  <c r="AP2" i="40"/>
  <c r="X115" i="33"/>
  <c r="T116" i="40"/>
  <c r="Y116" i="33"/>
  <c r="Y117" i="40" s="1"/>
  <c r="X123" i="33"/>
  <c r="X124" i="40" s="1"/>
  <c r="Y124" i="33"/>
  <c r="Y125" i="40" s="1"/>
  <c r="X127" i="33"/>
  <c r="X128" i="40" s="1"/>
  <c r="Y128" i="33"/>
  <c r="Y129" i="40" s="1"/>
  <c r="X131" i="33"/>
  <c r="X132" i="40" s="1"/>
  <c r="Y132" i="33"/>
  <c r="Y133" i="40" s="1"/>
  <c r="F13" i="34"/>
  <c r="AM2" i="40"/>
  <c r="F15" i="34"/>
  <c r="AQ2" i="40"/>
  <c r="C57" i="33"/>
  <c r="C118" i="33"/>
  <c r="C119" i="40" s="1"/>
  <c r="C117" i="33"/>
  <c r="C118" i="40" s="1"/>
  <c r="C119" i="33"/>
  <c r="C120" i="40" s="1"/>
  <c r="C58" i="33"/>
  <c r="C47" i="33"/>
  <c r="C52" i="33"/>
  <c r="C54" i="33"/>
  <c r="C53" i="33"/>
  <c r="C48" i="33"/>
  <c r="C49" i="33"/>
  <c r="C44" i="33"/>
  <c r="C42" i="33"/>
  <c r="C41" i="33"/>
  <c r="C43" i="33"/>
  <c r="C35" i="33"/>
  <c r="C13" i="33"/>
  <c r="C37" i="33"/>
  <c r="C16" i="33"/>
  <c r="C36" i="33"/>
  <c r="C26" i="33"/>
  <c r="C55" i="33"/>
  <c r="C59" i="33"/>
  <c r="C61" i="33"/>
  <c r="C63" i="33"/>
  <c r="C56" i="33"/>
  <c r="C60" i="33"/>
  <c r="C62" i="33"/>
  <c r="C51" i="33"/>
  <c r="Y137" i="33"/>
  <c r="Y138" i="40" s="1"/>
  <c r="C110" i="33"/>
  <c r="C106" i="33"/>
  <c r="C102" i="33"/>
  <c r="C98" i="33"/>
  <c r="C94" i="33"/>
  <c r="C90" i="33"/>
  <c r="C86" i="33"/>
  <c r="C82" i="33"/>
  <c r="C78" i="33"/>
  <c r="C74" i="33"/>
  <c r="C70" i="33"/>
  <c r="C66" i="33"/>
  <c r="C39" i="33"/>
  <c r="C34" i="33"/>
  <c r="C32" i="33"/>
  <c r="C28" i="33"/>
  <c r="C24" i="33"/>
  <c r="C20" i="33"/>
  <c r="C17" i="33"/>
  <c r="C109" i="33"/>
  <c r="C105" i="33"/>
  <c r="C101" i="33"/>
  <c r="C97" i="33"/>
  <c r="C93" i="33"/>
  <c r="C89" i="33"/>
  <c r="C85" i="33"/>
  <c r="C81" i="33"/>
  <c r="C77" i="33"/>
  <c r="C73" i="33"/>
  <c r="C69" i="33"/>
  <c r="C65" i="33"/>
  <c r="C46" i="33"/>
  <c r="C38" i="33"/>
  <c r="C31" i="33"/>
  <c r="C27" i="33"/>
  <c r="C23" i="33"/>
  <c r="C19" i="33"/>
  <c r="C108" i="33"/>
  <c r="C104" i="33"/>
  <c r="C100" i="33"/>
  <c r="C96" i="33"/>
  <c r="C92" i="33"/>
  <c r="C88" i="33"/>
  <c r="C84" i="33"/>
  <c r="C80" i="33"/>
  <c r="C76" i="33"/>
  <c r="C72" i="33"/>
  <c r="C95" i="33"/>
  <c r="C79" i="33"/>
  <c r="C67" i="33"/>
  <c r="C50" i="33"/>
  <c r="C14" i="33"/>
  <c r="C33" i="33"/>
  <c r="C25" i="33"/>
  <c r="C83" i="33"/>
  <c r="C107" i="33"/>
  <c r="C91" i="33"/>
  <c r="C75" i="33"/>
  <c r="C64" i="33"/>
  <c r="C45" i="33"/>
  <c r="C30" i="33"/>
  <c r="C22" i="33"/>
  <c r="C103" i="33"/>
  <c r="C87" i="33"/>
  <c r="C40" i="33"/>
  <c r="C29" i="33"/>
  <c r="C21" i="33"/>
  <c r="C99" i="33"/>
  <c r="C68" i="33"/>
  <c r="C15" i="33"/>
  <c r="C18" i="33"/>
  <c r="C71" i="33"/>
  <c r="C115" i="33"/>
  <c r="C116" i="40" s="1"/>
  <c r="C123" i="33"/>
  <c r="C124" i="40" s="1"/>
  <c r="C127" i="33"/>
  <c r="C128" i="40" s="1"/>
  <c r="C131" i="33"/>
  <c r="C132" i="40" s="1"/>
  <c r="C136" i="33"/>
  <c r="C137" i="40" s="1"/>
  <c r="C140" i="33"/>
  <c r="C141" i="40" s="1"/>
  <c r="C144" i="33"/>
  <c r="C145" i="40" s="1"/>
  <c r="C148" i="33"/>
  <c r="C149" i="40" s="1"/>
  <c r="C152" i="33"/>
  <c r="C153" i="40" s="1"/>
  <c r="C156" i="33"/>
  <c r="C157" i="40" s="1"/>
  <c r="C161" i="33"/>
  <c r="C162" i="40" s="1"/>
  <c r="C165" i="33"/>
  <c r="C166" i="40" s="1"/>
  <c r="C169" i="33"/>
  <c r="C170" i="40" s="1"/>
  <c r="C173" i="33"/>
  <c r="C174" i="40" s="1"/>
  <c r="C174" i="33"/>
  <c r="C175" i="40" s="1"/>
  <c r="C178" i="33"/>
  <c r="C179" i="40" s="1"/>
  <c r="C182" i="33"/>
  <c r="C183" i="40" s="1"/>
  <c r="C186" i="33"/>
  <c r="C187" i="40" s="1"/>
  <c r="C190" i="33"/>
  <c r="C191" i="40" s="1"/>
  <c r="C194" i="33"/>
  <c r="C195" i="40" s="1"/>
  <c r="C198" i="33"/>
  <c r="C199" i="40" s="1"/>
  <c r="C202" i="33"/>
  <c r="C203" i="40" s="1"/>
  <c r="C206" i="33"/>
  <c r="C207" i="40" s="1"/>
  <c r="C210" i="33"/>
  <c r="C211" i="40" s="1"/>
  <c r="C214" i="33"/>
  <c r="C215" i="40" s="1"/>
  <c r="C116" i="33"/>
  <c r="C117" i="40" s="1"/>
  <c r="C124" i="33"/>
  <c r="C125" i="40" s="1"/>
  <c r="C128" i="33"/>
  <c r="C129" i="40" s="1"/>
  <c r="C132" i="33"/>
  <c r="C133" i="40" s="1"/>
  <c r="C137" i="33"/>
  <c r="C138" i="40" s="1"/>
  <c r="C141" i="33"/>
  <c r="C142" i="40" s="1"/>
  <c r="C145" i="33"/>
  <c r="C146" i="40" s="1"/>
  <c r="C149" i="33"/>
  <c r="C150" i="40" s="1"/>
  <c r="C153" i="33"/>
  <c r="C154" i="40" s="1"/>
  <c r="C157" i="33"/>
  <c r="C158" i="40" s="1"/>
  <c r="C162" i="33"/>
  <c r="C163" i="40" s="1"/>
  <c r="C166" i="33"/>
  <c r="C167" i="40" s="1"/>
  <c r="C170" i="33"/>
  <c r="C171" i="40" s="1"/>
  <c r="C175" i="33"/>
  <c r="C176" i="40" s="1"/>
  <c r="C179" i="33"/>
  <c r="C180" i="40" s="1"/>
  <c r="C183" i="33"/>
  <c r="C184" i="40" s="1"/>
  <c r="C187" i="33"/>
  <c r="C188" i="40" s="1"/>
  <c r="C191" i="33"/>
  <c r="C192" i="40" s="1"/>
  <c r="C195" i="33"/>
  <c r="C196" i="40" s="1"/>
  <c r="C199" i="33"/>
  <c r="C200" i="40" s="1"/>
  <c r="C203" i="33"/>
  <c r="C204" i="40" s="1"/>
  <c r="C207" i="33"/>
  <c r="C208" i="40" s="1"/>
  <c r="C211" i="33"/>
  <c r="C212" i="40" s="1"/>
  <c r="C215" i="33"/>
  <c r="C120" i="33"/>
  <c r="C121" i="40" s="1"/>
  <c r="C125" i="33"/>
  <c r="C126" i="40" s="1"/>
  <c r="C129" i="33"/>
  <c r="C130" i="40" s="1"/>
  <c r="C133" i="33"/>
  <c r="C134" i="40" s="1"/>
  <c r="C138" i="33"/>
  <c r="C139" i="40" s="1"/>
  <c r="C142" i="33"/>
  <c r="C143" i="40" s="1"/>
  <c r="C146" i="33"/>
  <c r="C147" i="40" s="1"/>
  <c r="C150" i="33"/>
  <c r="C151" i="40" s="1"/>
  <c r="C154" i="33"/>
  <c r="C155" i="40" s="1"/>
  <c r="C158" i="33"/>
  <c r="C159" i="40" s="1"/>
  <c r="C163" i="33"/>
  <c r="C164" i="40" s="1"/>
  <c r="C167" i="33"/>
  <c r="C168" i="40" s="1"/>
  <c r="C171" i="33"/>
  <c r="C172" i="40" s="1"/>
  <c r="C176" i="33"/>
  <c r="C177" i="40" s="1"/>
  <c r="C180" i="33"/>
  <c r="C181" i="40" s="1"/>
  <c r="C184" i="33"/>
  <c r="C185" i="40" s="1"/>
  <c r="C188" i="33"/>
  <c r="C189" i="40" s="1"/>
  <c r="C192" i="33"/>
  <c r="C193" i="40" s="1"/>
  <c r="C196" i="33"/>
  <c r="C197" i="40" s="1"/>
  <c r="C200" i="33"/>
  <c r="C201" i="40" s="1"/>
  <c r="C204" i="33"/>
  <c r="C205" i="40" s="1"/>
  <c r="C208" i="33"/>
  <c r="C209" i="40" s="1"/>
  <c r="C212" i="33"/>
  <c r="C213" i="40" s="1"/>
  <c r="C216" i="33"/>
  <c r="C121" i="33"/>
  <c r="C122" i="40" s="1"/>
  <c r="C139" i="33"/>
  <c r="C140" i="40" s="1"/>
  <c r="C155" i="33"/>
  <c r="C156" i="40" s="1"/>
  <c r="C172" i="33"/>
  <c r="C173" i="40" s="1"/>
  <c r="C185" i="33"/>
  <c r="C186" i="40" s="1"/>
  <c r="C201" i="33"/>
  <c r="C202" i="40" s="1"/>
  <c r="C217" i="33"/>
  <c r="C135" i="33"/>
  <c r="C136" i="40" s="1"/>
  <c r="C213" i="33"/>
  <c r="C214" i="40" s="1"/>
  <c r="C126" i="33"/>
  <c r="C127" i="40" s="1"/>
  <c r="C143" i="33"/>
  <c r="C144" i="40" s="1"/>
  <c r="C159" i="33"/>
  <c r="C160" i="40" s="1"/>
  <c r="C189" i="33"/>
  <c r="C190" i="40" s="1"/>
  <c r="C205" i="33"/>
  <c r="C206" i="40" s="1"/>
  <c r="C147" i="33"/>
  <c r="C148" i="40" s="1"/>
  <c r="C164" i="33"/>
  <c r="C165" i="40" s="1"/>
  <c r="C177" i="33"/>
  <c r="C178" i="40" s="1"/>
  <c r="C193" i="33"/>
  <c r="C194" i="40" s="1"/>
  <c r="C209" i="33"/>
  <c r="C210" i="40" s="1"/>
  <c r="C151" i="33"/>
  <c r="C152" i="40" s="1"/>
  <c r="C168" i="33"/>
  <c r="C169" i="40" s="1"/>
  <c r="C181" i="33"/>
  <c r="C182" i="40" s="1"/>
  <c r="C197" i="33"/>
  <c r="C198" i="40" s="1"/>
  <c r="C130" i="33"/>
  <c r="C131" i="40" s="1"/>
  <c r="F16" i="34"/>
  <c r="G16" i="34"/>
  <c r="T2" i="33"/>
  <c r="U2" i="33"/>
  <c r="X16" i="33"/>
  <c r="P878" i="22"/>
  <c r="P878" i="39" s="1"/>
  <c r="O878" i="22"/>
  <c r="N878" i="22"/>
  <c r="N878" i="39" s="1"/>
  <c r="M878" i="22"/>
  <c r="L878" i="22"/>
  <c r="L878" i="39" s="1"/>
  <c r="K878" i="22"/>
  <c r="J878" i="22"/>
  <c r="J878" i="39" s="1"/>
  <c r="J850" i="22"/>
  <c r="J850" i="39" s="1"/>
  <c r="AK878" i="22"/>
  <c r="AJ878" i="22"/>
  <c r="AF878" i="22"/>
  <c r="AE878" i="22"/>
  <c r="AD878" i="22"/>
  <c r="W878" i="22"/>
  <c r="W878" i="39" s="1"/>
  <c r="V878" i="22"/>
  <c r="V878" i="39" s="1"/>
  <c r="S878" i="22"/>
  <c r="R878" i="22"/>
  <c r="R878" i="39" s="1"/>
  <c r="Q878" i="22"/>
  <c r="H877" i="22"/>
  <c r="H877" i="39" s="1"/>
  <c r="H871" i="22"/>
  <c r="H871" i="39" s="1"/>
  <c r="H870" i="22"/>
  <c r="H870" i="39" s="1"/>
  <c r="H869" i="22"/>
  <c r="H869" i="39" s="1"/>
  <c r="H868" i="22"/>
  <c r="H868" i="39" s="1"/>
  <c r="H865" i="22"/>
  <c r="H865" i="39" s="1"/>
  <c r="H864" i="22"/>
  <c r="H864" i="39" s="1"/>
  <c r="H863" i="22"/>
  <c r="H863" i="39" s="1"/>
  <c r="H862" i="22"/>
  <c r="H862" i="39" s="1"/>
  <c r="H861" i="22"/>
  <c r="H861" i="39" s="1"/>
  <c r="H860" i="22"/>
  <c r="H860" i="39" s="1"/>
  <c r="H859" i="22"/>
  <c r="H859" i="39" s="1"/>
  <c r="H858" i="22"/>
  <c r="H858" i="39" s="1"/>
  <c r="H857" i="22"/>
  <c r="H857" i="39" s="1"/>
  <c r="H856" i="22"/>
  <c r="H856" i="39" s="1"/>
  <c r="H855" i="22"/>
  <c r="H855" i="39" s="1"/>
  <c r="H854" i="22"/>
  <c r="H854" i="39" s="1"/>
  <c r="U853" i="22"/>
  <c r="U853" i="39" s="1"/>
  <c r="T853" i="22"/>
  <c r="T853" i="39" s="1"/>
  <c r="H853" i="22"/>
  <c r="H853" i="39" s="1"/>
  <c r="AK850" i="22"/>
  <c r="AJ850" i="22"/>
  <c r="AF850" i="22"/>
  <c r="AE850" i="22"/>
  <c r="AD850" i="22"/>
  <c r="W850" i="22"/>
  <c r="W850" i="39" s="1"/>
  <c r="V850" i="22"/>
  <c r="V850" i="39" s="1"/>
  <c r="S850" i="22"/>
  <c r="R850" i="22"/>
  <c r="R850" i="39" s="1"/>
  <c r="Q850" i="22"/>
  <c r="P850" i="22"/>
  <c r="P850" i="39" s="1"/>
  <c r="O850" i="22"/>
  <c r="N850" i="22"/>
  <c r="N850" i="39" s="1"/>
  <c r="M850" i="22"/>
  <c r="L850" i="22"/>
  <c r="L850" i="39" s="1"/>
  <c r="K850" i="22"/>
  <c r="H849" i="22"/>
  <c r="H849" i="39" s="1"/>
  <c r="H843" i="22"/>
  <c r="H843" i="39" s="1"/>
  <c r="H842" i="22"/>
  <c r="H842" i="39" s="1"/>
  <c r="H841" i="22"/>
  <c r="H841" i="39" s="1"/>
  <c r="H840" i="22"/>
  <c r="H840" i="39" s="1"/>
  <c r="H837" i="22"/>
  <c r="H837" i="39" s="1"/>
  <c r="H836" i="22"/>
  <c r="H836" i="39" s="1"/>
  <c r="H835" i="22"/>
  <c r="H835" i="39" s="1"/>
  <c r="H834" i="22"/>
  <c r="H834" i="39" s="1"/>
  <c r="H833" i="22"/>
  <c r="H833" i="39" s="1"/>
  <c r="H832" i="22"/>
  <c r="H832" i="39" s="1"/>
  <c r="H831" i="22"/>
  <c r="H831" i="39" s="1"/>
  <c r="H830" i="22"/>
  <c r="H830" i="39" s="1"/>
  <c r="H829" i="22"/>
  <c r="H829" i="39" s="1"/>
  <c r="H828" i="22"/>
  <c r="H828" i="39" s="1"/>
  <c r="H827" i="22"/>
  <c r="H827" i="39" s="1"/>
  <c r="H826" i="22"/>
  <c r="H826" i="39" s="1"/>
  <c r="U825" i="22"/>
  <c r="T825" i="22"/>
  <c r="T825" i="39" s="1"/>
  <c r="H825" i="22"/>
  <c r="H825" i="39" s="1"/>
  <c r="AK822" i="22"/>
  <c r="AJ822" i="22"/>
  <c r="AF822" i="22"/>
  <c r="AE822" i="22"/>
  <c r="AD822" i="22"/>
  <c r="W822" i="22"/>
  <c r="W822" i="39" s="1"/>
  <c r="V822" i="22"/>
  <c r="V822" i="39" s="1"/>
  <c r="S822" i="22"/>
  <c r="R822" i="22"/>
  <c r="R822" i="39" s="1"/>
  <c r="Q822" i="22"/>
  <c r="P822" i="22"/>
  <c r="P822" i="39" s="1"/>
  <c r="O822" i="22"/>
  <c r="N822" i="22"/>
  <c r="N822" i="39" s="1"/>
  <c r="M822" i="22"/>
  <c r="L822" i="22"/>
  <c r="L822" i="39" s="1"/>
  <c r="K822" i="22"/>
  <c r="J822" i="22"/>
  <c r="J822" i="39" s="1"/>
  <c r="H821" i="22"/>
  <c r="H821" i="39" s="1"/>
  <c r="H815" i="22"/>
  <c r="H815" i="39" s="1"/>
  <c r="H814" i="22"/>
  <c r="H814" i="39" s="1"/>
  <c r="H813" i="22"/>
  <c r="H813" i="39" s="1"/>
  <c r="H812" i="22"/>
  <c r="H812" i="39" s="1"/>
  <c r="H809" i="22"/>
  <c r="H809" i="39" s="1"/>
  <c r="H808" i="22"/>
  <c r="H808" i="39" s="1"/>
  <c r="H807" i="22"/>
  <c r="H807" i="39" s="1"/>
  <c r="H806" i="22"/>
  <c r="H806" i="39" s="1"/>
  <c r="H805" i="22"/>
  <c r="H805" i="39" s="1"/>
  <c r="H804" i="22"/>
  <c r="H804" i="39" s="1"/>
  <c r="H803" i="22"/>
  <c r="H803" i="39" s="1"/>
  <c r="H802" i="22"/>
  <c r="H802" i="39" s="1"/>
  <c r="H801" i="22"/>
  <c r="H801" i="39" s="1"/>
  <c r="H800" i="22"/>
  <c r="H800" i="39" s="1"/>
  <c r="H799" i="22"/>
  <c r="H799" i="39" s="1"/>
  <c r="H798" i="22"/>
  <c r="H798" i="39" s="1"/>
  <c r="U797" i="22"/>
  <c r="U797" i="39" s="1"/>
  <c r="T797" i="22"/>
  <c r="T797" i="39" s="1"/>
  <c r="H797" i="22"/>
  <c r="H797" i="39" s="1"/>
  <c r="AK794" i="22"/>
  <c r="AJ794" i="22"/>
  <c r="AF794" i="22"/>
  <c r="AE794" i="22"/>
  <c r="AD794" i="22"/>
  <c r="W794" i="22"/>
  <c r="W794" i="39" s="1"/>
  <c r="V794" i="22"/>
  <c r="V794" i="39" s="1"/>
  <c r="S794" i="22"/>
  <c r="R794" i="22"/>
  <c r="R794" i="39" s="1"/>
  <c r="Q794" i="22"/>
  <c r="P794" i="22"/>
  <c r="P794" i="39" s="1"/>
  <c r="O794" i="22"/>
  <c r="N794" i="22"/>
  <c r="N794" i="39" s="1"/>
  <c r="M794" i="22"/>
  <c r="L794" i="22"/>
  <c r="L794" i="39" s="1"/>
  <c r="K794" i="22"/>
  <c r="J794" i="22"/>
  <c r="J794" i="39" s="1"/>
  <c r="H793" i="22"/>
  <c r="H793" i="39" s="1"/>
  <c r="H787" i="22"/>
  <c r="H787" i="39" s="1"/>
  <c r="H786" i="22"/>
  <c r="H786" i="39" s="1"/>
  <c r="H785" i="22"/>
  <c r="H785" i="39" s="1"/>
  <c r="H784" i="22"/>
  <c r="H784" i="39" s="1"/>
  <c r="H781" i="22"/>
  <c r="H781" i="39" s="1"/>
  <c r="H780" i="22"/>
  <c r="H780" i="39" s="1"/>
  <c r="H779" i="22"/>
  <c r="H779" i="39" s="1"/>
  <c r="H778" i="22"/>
  <c r="H778" i="39" s="1"/>
  <c r="H777" i="22"/>
  <c r="H777" i="39" s="1"/>
  <c r="H776" i="22"/>
  <c r="H776" i="39" s="1"/>
  <c r="H775" i="22"/>
  <c r="H775" i="39" s="1"/>
  <c r="H774" i="22"/>
  <c r="H774" i="39" s="1"/>
  <c r="H773" i="22"/>
  <c r="H773" i="39" s="1"/>
  <c r="H772" i="22"/>
  <c r="H772" i="39" s="1"/>
  <c r="H771" i="22"/>
  <c r="H771" i="39" s="1"/>
  <c r="H770" i="22"/>
  <c r="H770" i="39" s="1"/>
  <c r="U769" i="22"/>
  <c r="U769" i="39" s="1"/>
  <c r="T769" i="22"/>
  <c r="T769" i="39" s="1"/>
  <c r="H769" i="22"/>
  <c r="H769" i="39" s="1"/>
  <c r="AK766" i="22"/>
  <c r="AJ766" i="22"/>
  <c r="AF766" i="22"/>
  <c r="AE766" i="22"/>
  <c r="AD766" i="22"/>
  <c r="W766" i="22"/>
  <c r="W766" i="39" s="1"/>
  <c r="V766" i="22"/>
  <c r="V766" i="39" s="1"/>
  <c r="S766" i="22"/>
  <c r="R766" i="22"/>
  <c r="R766" i="39" s="1"/>
  <c r="Q766" i="22"/>
  <c r="P766" i="22"/>
  <c r="P766" i="39" s="1"/>
  <c r="O766" i="22"/>
  <c r="N766" i="22"/>
  <c r="N766" i="39" s="1"/>
  <c r="M766" i="22"/>
  <c r="L766" i="22"/>
  <c r="L766" i="39" s="1"/>
  <c r="K766" i="22"/>
  <c r="J766" i="22"/>
  <c r="J766" i="39" s="1"/>
  <c r="H765" i="22"/>
  <c r="H765" i="39" s="1"/>
  <c r="H759" i="22"/>
  <c r="H759" i="39" s="1"/>
  <c r="H758" i="22"/>
  <c r="H758" i="39" s="1"/>
  <c r="H757" i="22"/>
  <c r="H757" i="39" s="1"/>
  <c r="H756" i="22"/>
  <c r="H756" i="39" s="1"/>
  <c r="H753" i="22"/>
  <c r="H753" i="39" s="1"/>
  <c r="H752" i="22"/>
  <c r="H752" i="39" s="1"/>
  <c r="H751" i="22"/>
  <c r="H751" i="39" s="1"/>
  <c r="H750" i="22"/>
  <c r="H750" i="39" s="1"/>
  <c r="H749" i="22"/>
  <c r="H749" i="39" s="1"/>
  <c r="H748" i="22"/>
  <c r="H748" i="39" s="1"/>
  <c r="H747" i="22"/>
  <c r="H747" i="39" s="1"/>
  <c r="H746" i="22"/>
  <c r="H746" i="39" s="1"/>
  <c r="H745" i="22"/>
  <c r="H745" i="39" s="1"/>
  <c r="H744" i="22"/>
  <c r="H744" i="39" s="1"/>
  <c r="H743" i="22"/>
  <c r="H743" i="39" s="1"/>
  <c r="H742" i="22"/>
  <c r="H742" i="39" s="1"/>
  <c r="U741" i="22"/>
  <c r="T741" i="22"/>
  <c r="T741" i="39" s="1"/>
  <c r="H741" i="22"/>
  <c r="H741" i="39" s="1"/>
  <c r="AK738" i="22"/>
  <c r="AJ738" i="22"/>
  <c r="AF738" i="22"/>
  <c r="AE738" i="22"/>
  <c r="AD738" i="22"/>
  <c r="S738" i="22"/>
  <c r="R738" i="22"/>
  <c r="R738" i="39" s="1"/>
  <c r="Q738" i="22"/>
  <c r="P738" i="22"/>
  <c r="P738" i="39" s="1"/>
  <c r="O738" i="39"/>
  <c r="N738" i="22"/>
  <c r="N738" i="39" s="1"/>
  <c r="M738" i="22"/>
  <c r="L738" i="22"/>
  <c r="L738" i="39" s="1"/>
  <c r="K738" i="22"/>
  <c r="J738" i="22"/>
  <c r="J738" i="39" s="1"/>
  <c r="H737" i="22"/>
  <c r="H737" i="39" s="1"/>
  <c r="H731" i="22"/>
  <c r="H731" i="39" s="1"/>
  <c r="H730" i="22"/>
  <c r="H730" i="39" s="1"/>
  <c r="H729" i="22"/>
  <c r="H729" i="39" s="1"/>
  <c r="H728" i="22"/>
  <c r="H728" i="39" s="1"/>
  <c r="H725" i="22"/>
  <c r="H725" i="39" s="1"/>
  <c r="H724" i="22"/>
  <c r="H724" i="39" s="1"/>
  <c r="H723" i="22"/>
  <c r="H723" i="39" s="1"/>
  <c r="H722" i="22"/>
  <c r="H722" i="39" s="1"/>
  <c r="H721" i="22"/>
  <c r="H721" i="39" s="1"/>
  <c r="H720" i="22"/>
  <c r="H720" i="39" s="1"/>
  <c r="H719" i="22"/>
  <c r="H719" i="39" s="1"/>
  <c r="H718" i="22"/>
  <c r="H718" i="39" s="1"/>
  <c r="H717" i="22"/>
  <c r="H717" i="39" s="1"/>
  <c r="H716" i="22"/>
  <c r="H716" i="39" s="1"/>
  <c r="H715" i="22"/>
  <c r="H715" i="39" s="1"/>
  <c r="H714" i="22"/>
  <c r="H714" i="39" s="1"/>
  <c r="U713" i="22"/>
  <c r="U713" i="39" s="1"/>
  <c r="T713" i="22"/>
  <c r="H713" i="22"/>
  <c r="H713" i="39" s="1"/>
  <c r="AK710" i="22"/>
  <c r="AJ710" i="22"/>
  <c r="AF710" i="22"/>
  <c r="AE710" i="22"/>
  <c r="AD710" i="22"/>
  <c r="W710" i="22"/>
  <c r="W710" i="39" s="1"/>
  <c r="V710" i="22"/>
  <c r="V710" i="39" s="1"/>
  <c r="S710" i="22"/>
  <c r="R710" i="22"/>
  <c r="R710" i="39" s="1"/>
  <c r="Q710" i="22"/>
  <c r="P710" i="22"/>
  <c r="P710" i="39" s="1"/>
  <c r="O710" i="22"/>
  <c r="N710" i="22"/>
  <c r="N710" i="39" s="1"/>
  <c r="M710" i="22"/>
  <c r="L710" i="22"/>
  <c r="L710" i="39" s="1"/>
  <c r="K710" i="22"/>
  <c r="J710" i="22"/>
  <c r="J710" i="39" s="1"/>
  <c r="H709" i="22"/>
  <c r="H709" i="39" s="1"/>
  <c r="H703" i="22"/>
  <c r="H703" i="39" s="1"/>
  <c r="H702" i="22"/>
  <c r="H702" i="39" s="1"/>
  <c r="H701" i="22"/>
  <c r="H701" i="39" s="1"/>
  <c r="H700" i="22"/>
  <c r="H700" i="39" s="1"/>
  <c r="H697" i="22"/>
  <c r="H697" i="39" s="1"/>
  <c r="H696" i="22"/>
  <c r="H696" i="39" s="1"/>
  <c r="H695" i="22"/>
  <c r="H695" i="39" s="1"/>
  <c r="H694" i="22"/>
  <c r="H694" i="39" s="1"/>
  <c r="H693" i="22"/>
  <c r="H693" i="39" s="1"/>
  <c r="H692" i="22"/>
  <c r="H692" i="39" s="1"/>
  <c r="H691" i="22"/>
  <c r="H691" i="39" s="1"/>
  <c r="H690" i="22"/>
  <c r="H690" i="39" s="1"/>
  <c r="H689" i="22"/>
  <c r="H689" i="39" s="1"/>
  <c r="H688" i="22"/>
  <c r="H688" i="39" s="1"/>
  <c r="H687" i="22"/>
  <c r="H687" i="39" s="1"/>
  <c r="H686" i="22"/>
  <c r="H686" i="39" s="1"/>
  <c r="U685" i="22"/>
  <c r="U685" i="39" s="1"/>
  <c r="T685" i="22"/>
  <c r="T685" i="39" s="1"/>
  <c r="H685" i="22"/>
  <c r="H685" i="39" s="1"/>
  <c r="AK682" i="22"/>
  <c r="AJ682" i="22"/>
  <c r="AF682" i="22"/>
  <c r="AE682" i="22"/>
  <c r="AD682" i="22"/>
  <c r="W682" i="22"/>
  <c r="W682" i="39" s="1"/>
  <c r="V682" i="22"/>
  <c r="V682" i="39" s="1"/>
  <c r="S682" i="22"/>
  <c r="R682" i="22"/>
  <c r="R682" i="39" s="1"/>
  <c r="Q682" i="22"/>
  <c r="P682" i="22"/>
  <c r="P682" i="39" s="1"/>
  <c r="O682" i="22"/>
  <c r="N682" i="22"/>
  <c r="N682" i="39" s="1"/>
  <c r="M682" i="22"/>
  <c r="L682" i="22"/>
  <c r="L682" i="39" s="1"/>
  <c r="K682" i="22"/>
  <c r="J682" i="22"/>
  <c r="J682" i="39" s="1"/>
  <c r="H681" i="22"/>
  <c r="H681" i="39" s="1"/>
  <c r="H675" i="22"/>
  <c r="H675" i="39" s="1"/>
  <c r="H674" i="22"/>
  <c r="H674" i="39" s="1"/>
  <c r="H673" i="22"/>
  <c r="H673" i="39" s="1"/>
  <c r="H672" i="22"/>
  <c r="H672" i="39" s="1"/>
  <c r="H669" i="22"/>
  <c r="H669" i="39" s="1"/>
  <c r="H668" i="22"/>
  <c r="H668" i="39" s="1"/>
  <c r="H667" i="22"/>
  <c r="H667" i="39" s="1"/>
  <c r="H666" i="22"/>
  <c r="H666" i="39" s="1"/>
  <c r="H665" i="22"/>
  <c r="H665" i="39" s="1"/>
  <c r="H664" i="22"/>
  <c r="H664" i="39" s="1"/>
  <c r="H663" i="22"/>
  <c r="H663" i="39" s="1"/>
  <c r="H662" i="22"/>
  <c r="H662" i="39" s="1"/>
  <c r="H661" i="22"/>
  <c r="H661" i="39" s="1"/>
  <c r="H660" i="22"/>
  <c r="H660" i="39" s="1"/>
  <c r="H659" i="22"/>
  <c r="H659" i="39" s="1"/>
  <c r="H658" i="22"/>
  <c r="H658" i="39" s="1"/>
  <c r="U657" i="22"/>
  <c r="U657" i="39" s="1"/>
  <c r="T657" i="22"/>
  <c r="H657" i="22"/>
  <c r="H657" i="39" s="1"/>
  <c r="AK654" i="22"/>
  <c r="AJ654" i="22"/>
  <c r="AF654" i="22"/>
  <c r="AE654" i="22"/>
  <c r="AD654" i="22"/>
  <c r="W654" i="22"/>
  <c r="W654" i="39" s="1"/>
  <c r="V654" i="22"/>
  <c r="V654" i="39" s="1"/>
  <c r="S654" i="22"/>
  <c r="R654" i="22"/>
  <c r="R654" i="39" s="1"/>
  <c r="Q654" i="22"/>
  <c r="P654" i="22"/>
  <c r="P654" i="39" s="1"/>
  <c r="O654" i="22"/>
  <c r="N654" i="22"/>
  <c r="N654" i="39" s="1"/>
  <c r="M654" i="22"/>
  <c r="L654" i="22"/>
  <c r="L654" i="39" s="1"/>
  <c r="K654" i="22"/>
  <c r="J654" i="22"/>
  <c r="J654" i="39" s="1"/>
  <c r="H653" i="22"/>
  <c r="H653" i="39" s="1"/>
  <c r="H647" i="22"/>
  <c r="H647" i="39" s="1"/>
  <c r="H646" i="22"/>
  <c r="H646" i="39" s="1"/>
  <c r="H645" i="22"/>
  <c r="H645" i="39" s="1"/>
  <c r="H644" i="22"/>
  <c r="H644" i="39" s="1"/>
  <c r="H641" i="22"/>
  <c r="H641" i="39" s="1"/>
  <c r="H640" i="22"/>
  <c r="H640" i="39" s="1"/>
  <c r="H639" i="22"/>
  <c r="H639" i="39" s="1"/>
  <c r="H638" i="22"/>
  <c r="H638" i="39" s="1"/>
  <c r="H637" i="22"/>
  <c r="H637" i="39" s="1"/>
  <c r="H636" i="22"/>
  <c r="H636" i="39" s="1"/>
  <c r="H635" i="22"/>
  <c r="H635" i="39" s="1"/>
  <c r="H634" i="22"/>
  <c r="H634" i="39" s="1"/>
  <c r="H633" i="22"/>
  <c r="H633" i="39" s="1"/>
  <c r="H632" i="22"/>
  <c r="H632" i="39" s="1"/>
  <c r="H631" i="22"/>
  <c r="H631" i="39" s="1"/>
  <c r="H630" i="22"/>
  <c r="H630" i="39" s="1"/>
  <c r="U629" i="22"/>
  <c r="U629" i="39" s="1"/>
  <c r="T629" i="22"/>
  <c r="T629" i="39" s="1"/>
  <c r="H629" i="22"/>
  <c r="H629" i="39" s="1"/>
  <c r="AK626" i="22"/>
  <c r="AJ626" i="22"/>
  <c r="AF626" i="22"/>
  <c r="AE626" i="22"/>
  <c r="AD626" i="22"/>
  <c r="W626" i="22"/>
  <c r="W626" i="39" s="1"/>
  <c r="V626" i="22"/>
  <c r="V626" i="39" s="1"/>
  <c r="S626" i="22"/>
  <c r="R626" i="22"/>
  <c r="R626" i="39" s="1"/>
  <c r="Q626" i="22"/>
  <c r="P626" i="22"/>
  <c r="P626" i="39" s="1"/>
  <c r="O626" i="22"/>
  <c r="N626" i="22"/>
  <c r="N626" i="39" s="1"/>
  <c r="M626" i="22"/>
  <c r="L626" i="22"/>
  <c r="L626" i="39" s="1"/>
  <c r="K626" i="22"/>
  <c r="J626" i="22"/>
  <c r="J626" i="39" s="1"/>
  <c r="H625" i="22"/>
  <c r="H625" i="39" s="1"/>
  <c r="H619" i="22"/>
  <c r="H619" i="39" s="1"/>
  <c r="H618" i="22"/>
  <c r="H618" i="39" s="1"/>
  <c r="H617" i="22"/>
  <c r="H617" i="39" s="1"/>
  <c r="H616" i="22"/>
  <c r="H616" i="39" s="1"/>
  <c r="H613" i="22"/>
  <c r="H613" i="39" s="1"/>
  <c r="H612" i="22"/>
  <c r="H612" i="39" s="1"/>
  <c r="H611" i="22"/>
  <c r="H611" i="39" s="1"/>
  <c r="H610" i="22"/>
  <c r="H610" i="39" s="1"/>
  <c r="H609" i="22"/>
  <c r="H609" i="39" s="1"/>
  <c r="H608" i="22"/>
  <c r="H608" i="39" s="1"/>
  <c r="H607" i="22"/>
  <c r="H607" i="39" s="1"/>
  <c r="H606" i="22"/>
  <c r="H606" i="39" s="1"/>
  <c r="H605" i="22"/>
  <c r="H605" i="39" s="1"/>
  <c r="H604" i="22"/>
  <c r="H604" i="39" s="1"/>
  <c r="H603" i="22"/>
  <c r="H603" i="39" s="1"/>
  <c r="H602" i="22"/>
  <c r="H602" i="39" s="1"/>
  <c r="U601" i="22"/>
  <c r="U601" i="39" s="1"/>
  <c r="T601" i="22"/>
  <c r="T601" i="39" s="1"/>
  <c r="H601" i="22"/>
  <c r="H601" i="39" s="1"/>
  <c r="AK598" i="22"/>
  <c r="AJ598" i="22"/>
  <c r="AF598" i="22"/>
  <c r="AE598" i="22"/>
  <c r="AD598" i="22"/>
  <c r="W598" i="22"/>
  <c r="W598" i="39" s="1"/>
  <c r="V598" i="22"/>
  <c r="V598" i="39" s="1"/>
  <c r="S598" i="22"/>
  <c r="R598" i="22"/>
  <c r="R598" i="39" s="1"/>
  <c r="Q598" i="22"/>
  <c r="P598" i="22"/>
  <c r="P598" i="39" s="1"/>
  <c r="O598" i="22"/>
  <c r="N598" i="22"/>
  <c r="N598" i="39" s="1"/>
  <c r="M598" i="22"/>
  <c r="L598" i="22"/>
  <c r="L598" i="39" s="1"/>
  <c r="K598" i="22"/>
  <c r="H597" i="22"/>
  <c r="H597" i="39" s="1"/>
  <c r="H591" i="22"/>
  <c r="H591" i="39" s="1"/>
  <c r="H590" i="22"/>
  <c r="H590" i="39" s="1"/>
  <c r="H589" i="22"/>
  <c r="H589" i="39" s="1"/>
  <c r="H588" i="22"/>
  <c r="H588" i="39" s="1"/>
  <c r="H585" i="22"/>
  <c r="H585" i="39" s="1"/>
  <c r="H584" i="22"/>
  <c r="H584" i="39" s="1"/>
  <c r="H583" i="39"/>
  <c r="H582" i="22"/>
  <c r="H582" i="39" s="1"/>
  <c r="H581" i="22"/>
  <c r="H581" i="39" s="1"/>
  <c r="H580" i="22"/>
  <c r="H580" i="39" s="1"/>
  <c r="H579" i="22"/>
  <c r="H579" i="39" s="1"/>
  <c r="H578" i="22"/>
  <c r="H578" i="39" s="1"/>
  <c r="H577" i="22"/>
  <c r="H577" i="39" s="1"/>
  <c r="H576" i="22"/>
  <c r="H576" i="39" s="1"/>
  <c r="H575" i="22"/>
  <c r="H575" i="39" s="1"/>
  <c r="H574" i="22"/>
  <c r="H574" i="39" s="1"/>
  <c r="U573" i="22"/>
  <c r="U573" i="39" s="1"/>
  <c r="T573" i="22"/>
  <c r="T573" i="39" s="1"/>
  <c r="H573" i="22"/>
  <c r="H573" i="39" s="1"/>
  <c r="AK570" i="22"/>
  <c r="AJ570" i="22"/>
  <c r="AF570" i="22"/>
  <c r="AE570" i="22"/>
  <c r="AD570" i="22"/>
  <c r="W570" i="22"/>
  <c r="W570" i="39" s="1"/>
  <c r="V570" i="22"/>
  <c r="V570" i="39" s="1"/>
  <c r="S570" i="22"/>
  <c r="R570" i="22"/>
  <c r="R570" i="39" s="1"/>
  <c r="Q570" i="22"/>
  <c r="P570" i="22"/>
  <c r="P570" i="39" s="1"/>
  <c r="O570" i="22"/>
  <c r="N570" i="22"/>
  <c r="N570" i="39" s="1"/>
  <c r="M570" i="22"/>
  <c r="L570" i="22"/>
  <c r="L570" i="39" s="1"/>
  <c r="K570" i="22"/>
  <c r="J570" i="39"/>
  <c r="H569" i="22"/>
  <c r="H569" i="39" s="1"/>
  <c r="H563" i="22"/>
  <c r="H563" i="39" s="1"/>
  <c r="H562" i="22"/>
  <c r="H562" i="39" s="1"/>
  <c r="H561" i="22"/>
  <c r="H561" i="39" s="1"/>
  <c r="H560" i="22"/>
  <c r="H560" i="39" s="1"/>
  <c r="H557" i="22"/>
  <c r="H557" i="39" s="1"/>
  <c r="H556" i="22"/>
  <c r="H556" i="39" s="1"/>
  <c r="H555" i="22"/>
  <c r="H555" i="39" s="1"/>
  <c r="H554" i="22"/>
  <c r="H554" i="39" s="1"/>
  <c r="H553" i="22"/>
  <c r="H553" i="39" s="1"/>
  <c r="H552" i="22"/>
  <c r="H552" i="39" s="1"/>
  <c r="H551" i="22"/>
  <c r="H551" i="39" s="1"/>
  <c r="H550" i="22"/>
  <c r="H550" i="39" s="1"/>
  <c r="H549" i="22"/>
  <c r="H549" i="39" s="1"/>
  <c r="H548" i="22"/>
  <c r="H548" i="39" s="1"/>
  <c r="H547" i="22"/>
  <c r="H547" i="39" s="1"/>
  <c r="H546" i="22"/>
  <c r="H546" i="39" s="1"/>
  <c r="U545" i="22"/>
  <c r="T545" i="22"/>
  <c r="T545" i="39" s="1"/>
  <c r="H545" i="22"/>
  <c r="H545" i="39" s="1"/>
  <c r="AK542" i="22"/>
  <c r="AJ542" i="22"/>
  <c r="AF542" i="22"/>
  <c r="AE542" i="22"/>
  <c r="AD542" i="22"/>
  <c r="W542" i="22"/>
  <c r="W542" i="39" s="1"/>
  <c r="V542" i="22"/>
  <c r="V542" i="39" s="1"/>
  <c r="S542" i="22"/>
  <c r="R542" i="22"/>
  <c r="R542" i="39" s="1"/>
  <c r="Q542" i="22"/>
  <c r="P542" i="22"/>
  <c r="P542" i="39" s="1"/>
  <c r="O542" i="22"/>
  <c r="N542" i="22"/>
  <c r="N542" i="39" s="1"/>
  <c r="M542" i="22"/>
  <c r="L542" i="22"/>
  <c r="L542" i="39" s="1"/>
  <c r="K542" i="22"/>
  <c r="J542" i="22"/>
  <c r="J542" i="39" s="1"/>
  <c r="H541" i="22"/>
  <c r="H541" i="39" s="1"/>
  <c r="H535" i="22"/>
  <c r="H535" i="39" s="1"/>
  <c r="H534" i="22"/>
  <c r="H534" i="39" s="1"/>
  <c r="H533" i="22"/>
  <c r="H533" i="39" s="1"/>
  <c r="H532" i="22"/>
  <c r="H532" i="39" s="1"/>
  <c r="H529" i="22"/>
  <c r="H529" i="39" s="1"/>
  <c r="H528" i="22"/>
  <c r="H528" i="39" s="1"/>
  <c r="H527" i="22"/>
  <c r="H527" i="39" s="1"/>
  <c r="H526" i="22"/>
  <c r="H526" i="39" s="1"/>
  <c r="H525" i="22"/>
  <c r="H525" i="39" s="1"/>
  <c r="H524" i="22"/>
  <c r="H524" i="39" s="1"/>
  <c r="H523" i="22"/>
  <c r="H523" i="39" s="1"/>
  <c r="H522" i="22"/>
  <c r="H522" i="39" s="1"/>
  <c r="H521" i="22"/>
  <c r="H521" i="39" s="1"/>
  <c r="H520" i="22"/>
  <c r="H520" i="39" s="1"/>
  <c r="H519" i="22"/>
  <c r="H519" i="39" s="1"/>
  <c r="H518" i="22"/>
  <c r="H518" i="39" s="1"/>
  <c r="U517" i="22"/>
  <c r="T517" i="22"/>
  <c r="T517" i="39" s="1"/>
  <c r="H517" i="22"/>
  <c r="H517" i="39" s="1"/>
  <c r="AK514" i="22"/>
  <c r="AJ514" i="22"/>
  <c r="AF514" i="22"/>
  <c r="AE514" i="22"/>
  <c r="AD514" i="22"/>
  <c r="W514" i="22"/>
  <c r="W514" i="39" s="1"/>
  <c r="V514" i="22"/>
  <c r="V514" i="39" s="1"/>
  <c r="S514" i="22"/>
  <c r="R514" i="22"/>
  <c r="R514" i="39" s="1"/>
  <c r="Q514" i="22"/>
  <c r="P514" i="22"/>
  <c r="P514" i="39" s="1"/>
  <c r="O514" i="22"/>
  <c r="N514" i="22"/>
  <c r="N514" i="39" s="1"/>
  <c r="M514" i="22"/>
  <c r="L514" i="22"/>
  <c r="L514" i="39" s="1"/>
  <c r="K514" i="22"/>
  <c r="J514" i="22"/>
  <c r="J514" i="39" s="1"/>
  <c r="H513" i="22"/>
  <c r="H513" i="39" s="1"/>
  <c r="H507" i="22"/>
  <c r="H507" i="39" s="1"/>
  <c r="H506" i="22"/>
  <c r="H506" i="39" s="1"/>
  <c r="H505" i="22"/>
  <c r="H505" i="39" s="1"/>
  <c r="H504" i="22"/>
  <c r="H504" i="39" s="1"/>
  <c r="H501" i="22"/>
  <c r="H501" i="39" s="1"/>
  <c r="H500" i="22"/>
  <c r="H500" i="39" s="1"/>
  <c r="H499" i="22"/>
  <c r="H499" i="39" s="1"/>
  <c r="H498" i="22"/>
  <c r="H498" i="39" s="1"/>
  <c r="H497" i="22"/>
  <c r="H497" i="39" s="1"/>
  <c r="H493" i="22"/>
  <c r="H493" i="39" s="1"/>
  <c r="H492" i="22"/>
  <c r="H492" i="39" s="1"/>
  <c r="H491" i="22"/>
  <c r="H491" i="39" s="1"/>
  <c r="H490" i="22"/>
  <c r="H490" i="39" s="1"/>
  <c r="U489" i="22"/>
  <c r="U489" i="39" s="1"/>
  <c r="T489" i="22"/>
  <c r="T489" i="39" s="1"/>
  <c r="H489" i="22"/>
  <c r="H489" i="39" s="1"/>
  <c r="AK486" i="22"/>
  <c r="AJ486" i="22"/>
  <c r="AF486" i="22"/>
  <c r="AE486" i="22"/>
  <c r="AD486" i="22"/>
  <c r="W486" i="22"/>
  <c r="W486" i="39" s="1"/>
  <c r="V486" i="22"/>
  <c r="V486" i="39" s="1"/>
  <c r="S486" i="22"/>
  <c r="R486" i="22"/>
  <c r="R486" i="39" s="1"/>
  <c r="Q486" i="22"/>
  <c r="P486" i="22"/>
  <c r="P486" i="39" s="1"/>
  <c r="O486" i="22"/>
  <c r="N486" i="22"/>
  <c r="N486" i="39" s="1"/>
  <c r="M486" i="22"/>
  <c r="L486" i="22"/>
  <c r="L486" i="39" s="1"/>
  <c r="K486" i="39"/>
  <c r="H485" i="22"/>
  <c r="H485" i="39" s="1"/>
  <c r="H479" i="22"/>
  <c r="H479" i="39" s="1"/>
  <c r="H478" i="22"/>
  <c r="H478" i="39" s="1"/>
  <c r="H477" i="22"/>
  <c r="H477" i="39" s="1"/>
  <c r="H476" i="22"/>
  <c r="H476" i="39" s="1"/>
  <c r="H473" i="22"/>
  <c r="H473" i="39" s="1"/>
  <c r="H472" i="22"/>
  <c r="H472" i="39" s="1"/>
  <c r="H471" i="22"/>
  <c r="H471" i="39" s="1"/>
  <c r="H470" i="22"/>
  <c r="H470" i="39" s="1"/>
  <c r="H469" i="22"/>
  <c r="H469" i="39" s="1"/>
  <c r="H468" i="22"/>
  <c r="H468" i="39" s="1"/>
  <c r="H467" i="22"/>
  <c r="H467" i="39" s="1"/>
  <c r="H466" i="22"/>
  <c r="H466" i="39" s="1"/>
  <c r="H465" i="22"/>
  <c r="H465" i="39" s="1"/>
  <c r="H464" i="22"/>
  <c r="H464" i="39" s="1"/>
  <c r="H463" i="22"/>
  <c r="H463" i="39" s="1"/>
  <c r="H462" i="22"/>
  <c r="H462" i="39" s="1"/>
  <c r="U461" i="22"/>
  <c r="T461" i="22"/>
  <c r="X461" i="22" s="1"/>
  <c r="H461" i="22"/>
  <c r="H461" i="39" s="1"/>
  <c r="AK458" i="22"/>
  <c r="AJ458" i="22"/>
  <c r="AF458" i="22"/>
  <c r="AE458" i="22"/>
  <c r="AD458" i="22"/>
  <c r="W458" i="22"/>
  <c r="W458" i="39" s="1"/>
  <c r="V458" i="22"/>
  <c r="V458" i="39" s="1"/>
  <c r="S458" i="22"/>
  <c r="R458" i="22"/>
  <c r="R458" i="39" s="1"/>
  <c r="Q458" i="22"/>
  <c r="P458" i="22"/>
  <c r="P458" i="39" s="1"/>
  <c r="O458" i="22"/>
  <c r="N458" i="22"/>
  <c r="N458" i="39" s="1"/>
  <c r="M458" i="22"/>
  <c r="L458" i="22"/>
  <c r="L458" i="39" s="1"/>
  <c r="K458" i="22"/>
  <c r="J458" i="22"/>
  <c r="J458" i="39" s="1"/>
  <c r="H457" i="22"/>
  <c r="H457" i="39" s="1"/>
  <c r="H451" i="22"/>
  <c r="H451" i="39" s="1"/>
  <c r="H450" i="22"/>
  <c r="H450" i="39" s="1"/>
  <c r="H449" i="22"/>
  <c r="H449" i="39" s="1"/>
  <c r="H448" i="22"/>
  <c r="H448" i="39" s="1"/>
  <c r="H445" i="22"/>
  <c r="H445" i="39" s="1"/>
  <c r="H444" i="22"/>
  <c r="H444" i="39" s="1"/>
  <c r="H443" i="22"/>
  <c r="H443" i="39" s="1"/>
  <c r="H442" i="22"/>
  <c r="H442" i="39" s="1"/>
  <c r="H441" i="22"/>
  <c r="H441" i="39" s="1"/>
  <c r="H440" i="22"/>
  <c r="H440" i="39" s="1"/>
  <c r="H439" i="22"/>
  <c r="H439" i="39" s="1"/>
  <c r="H438" i="22"/>
  <c r="H438" i="39" s="1"/>
  <c r="H437" i="22"/>
  <c r="H437" i="39" s="1"/>
  <c r="H436" i="22"/>
  <c r="H436" i="39" s="1"/>
  <c r="H435" i="22"/>
  <c r="H435" i="39" s="1"/>
  <c r="H434" i="22"/>
  <c r="H434" i="39" s="1"/>
  <c r="T433" i="39"/>
  <c r="H433" i="22"/>
  <c r="H433" i="39" s="1"/>
  <c r="AK430" i="22"/>
  <c r="AJ430" i="22"/>
  <c r="AF430" i="22"/>
  <c r="AE430" i="22"/>
  <c r="AD430" i="22"/>
  <c r="W430" i="39"/>
  <c r="V430" i="39"/>
  <c r="S430" i="22"/>
  <c r="R430" i="22"/>
  <c r="R430" i="39" s="1"/>
  <c r="Q430" i="22"/>
  <c r="Q430" i="39" s="1"/>
  <c r="P430" i="22"/>
  <c r="P430" i="39" s="1"/>
  <c r="O430" i="22"/>
  <c r="N430" i="22"/>
  <c r="N430" i="39" s="1"/>
  <c r="M430" i="22"/>
  <c r="M430" i="39" s="1"/>
  <c r="L430" i="22"/>
  <c r="L430" i="39" s="1"/>
  <c r="K430" i="22"/>
  <c r="J430" i="22"/>
  <c r="J430" i="39" s="1"/>
  <c r="H429" i="22"/>
  <c r="H429" i="39" s="1"/>
  <c r="H423" i="22"/>
  <c r="H423" i="39" s="1"/>
  <c r="H422" i="22"/>
  <c r="H422" i="39" s="1"/>
  <c r="H421" i="22"/>
  <c r="H421" i="39" s="1"/>
  <c r="H420" i="22"/>
  <c r="H420" i="39" s="1"/>
  <c r="H417" i="22"/>
  <c r="H417" i="39" s="1"/>
  <c r="H416" i="22"/>
  <c r="H416" i="39" s="1"/>
  <c r="H415" i="22"/>
  <c r="H415" i="39" s="1"/>
  <c r="H414" i="22"/>
  <c r="H414" i="39" s="1"/>
  <c r="H413" i="22"/>
  <c r="H413" i="39" s="1"/>
  <c r="H412" i="22"/>
  <c r="H412" i="39" s="1"/>
  <c r="H411" i="22"/>
  <c r="H411" i="39" s="1"/>
  <c r="H410" i="22"/>
  <c r="H410" i="39" s="1"/>
  <c r="H409" i="22"/>
  <c r="H409" i="39" s="1"/>
  <c r="H408" i="22"/>
  <c r="H408" i="39" s="1"/>
  <c r="H407" i="22"/>
  <c r="H407" i="39" s="1"/>
  <c r="H406" i="22"/>
  <c r="H406" i="39" s="1"/>
  <c r="U405" i="22"/>
  <c r="U405" i="39" s="1"/>
  <c r="T405" i="22"/>
  <c r="T405" i="39" s="1"/>
  <c r="H405" i="22"/>
  <c r="H405" i="39" s="1"/>
  <c r="AK402" i="22"/>
  <c r="AJ402" i="22"/>
  <c r="AF402" i="22"/>
  <c r="AE402" i="22"/>
  <c r="AD402" i="22"/>
  <c r="W402" i="22"/>
  <c r="W402" i="39" s="1"/>
  <c r="V402" i="22"/>
  <c r="V402" i="39" s="1"/>
  <c r="S402" i="22"/>
  <c r="R402" i="22"/>
  <c r="R402" i="39" s="1"/>
  <c r="Q402" i="22"/>
  <c r="Q402" i="39" s="1"/>
  <c r="P402" i="22"/>
  <c r="P402" i="39" s="1"/>
  <c r="O402" i="22"/>
  <c r="N402" i="22"/>
  <c r="N402" i="39" s="1"/>
  <c r="M402" i="22"/>
  <c r="M402" i="39" s="1"/>
  <c r="L402" i="22"/>
  <c r="L402" i="39" s="1"/>
  <c r="K402" i="22"/>
  <c r="J402" i="22"/>
  <c r="J402" i="39" s="1"/>
  <c r="H401" i="22"/>
  <c r="H401" i="39" s="1"/>
  <c r="H395" i="22"/>
  <c r="H395" i="39" s="1"/>
  <c r="H394" i="22"/>
  <c r="H394" i="39" s="1"/>
  <c r="H393" i="22"/>
  <c r="H393" i="39" s="1"/>
  <c r="H392" i="22"/>
  <c r="H392" i="39" s="1"/>
  <c r="H389" i="22"/>
  <c r="H389" i="39" s="1"/>
  <c r="H388" i="22"/>
  <c r="H388" i="39" s="1"/>
  <c r="H387" i="22"/>
  <c r="H387" i="39" s="1"/>
  <c r="H386" i="22"/>
  <c r="H386" i="39" s="1"/>
  <c r="H385" i="22"/>
  <c r="H385" i="39" s="1"/>
  <c r="H384" i="22"/>
  <c r="H384" i="39" s="1"/>
  <c r="H383" i="22"/>
  <c r="H383" i="39" s="1"/>
  <c r="H382" i="22"/>
  <c r="H382" i="39" s="1"/>
  <c r="H381" i="22"/>
  <c r="H381" i="39" s="1"/>
  <c r="H380" i="22"/>
  <c r="H380" i="39" s="1"/>
  <c r="H379" i="22"/>
  <c r="H379" i="39" s="1"/>
  <c r="H378" i="22"/>
  <c r="H378" i="39" s="1"/>
  <c r="Y377" i="22"/>
  <c r="Y377" i="39" s="1"/>
  <c r="H377" i="22"/>
  <c r="H377" i="39" s="1"/>
  <c r="AK374" i="22"/>
  <c r="AJ374" i="22"/>
  <c r="AF374" i="22"/>
  <c r="AE374" i="22"/>
  <c r="AD374" i="22"/>
  <c r="W374" i="22"/>
  <c r="W374" i="39" s="1"/>
  <c r="V374" i="22"/>
  <c r="V374" i="39" s="1"/>
  <c r="S374" i="22"/>
  <c r="R374" i="22"/>
  <c r="R374" i="39" s="1"/>
  <c r="Q374" i="22"/>
  <c r="Q374" i="39" s="1"/>
  <c r="P374" i="22"/>
  <c r="P374" i="39" s="1"/>
  <c r="O374" i="22"/>
  <c r="N374" i="22"/>
  <c r="N374" i="39" s="1"/>
  <c r="M374" i="22"/>
  <c r="M374" i="39" s="1"/>
  <c r="L374" i="22"/>
  <c r="L374" i="39" s="1"/>
  <c r="K374" i="22"/>
  <c r="J374" i="22"/>
  <c r="J374" i="39" s="1"/>
  <c r="H373" i="22"/>
  <c r="H373" i="39" s="1"/>
  <c r="H367" i="22"/>
  <c r="H367" i="39" s="1"/>
  <c r="H366" i="22"/>
  <c r="H366" i="39" s="1"/>
  <c r="H365" i="22"/>
  <c r="H365" i="39" s="1"/>
  <c r="H364" i="22"/>
  <c r="H364" i="39" s="1"/>
  <c r="H361" i="22"/>
  <c r="H361" i="39" s="1"/>
  <c r="H360" i="22"/>
  <c r="H360" i="39" s="1"/>
  <c r="H359" i="22"/>
  <c r="H359" i="39" s="1"/>
  <c r="H358" i="22"/>
  <c r="H358" i="39" s="1"/>
  <c r="H357" i="22"/>
  <c r="H357" i="39" s="1"/>
  <c r="H356" i="22"/>
  <c r="H356" i="39" s="1"/>
  <c r="H355" i="22"/>
  <c r="H355" i="39" s="1"/>
  <c r="H354" i="22"/>
  <c r="H354" i="39" s="1"/>
  <c r="H353" i="22"/>
  <c r="H353" i="39" s="1"/>
  <c r="H352" i="22"/>
  <c r="H352" i="39" s="1"/>
  <c r="H351" i="22"/>
  <c r="H351" i="39" s="1"/>
  <c r="H350" i="22"/>
  <c r="H350" i="39" s="1"/>
  <c r="U349" i="22"/>
  <c r="U349" i="39" s="1"/>
  <c r="T349" i="22"/>
  <c r="T349" i="39" s="1"/>
  <c r="H349" i="22"/>
  <c r="H349" i="39" s="1"/>
  <c r="AK346" i="22"/>
  <c r="AJ346" i="22"/>
  <c r="AF346" i="22"/>
  <c r="AE346" i="22"/>
  <c r="AD346" i="22"/>
  <c r="W346" i="22"/>
  <c r="W346" i="39" s="1"/>
  <c r="V346" i="22"/>
  <c r="V346" i="39" s="1"/>
  <c r="S346" i="22"/>
  <c r="R346" i="22"/>
  <c r="R346" i="39" s="1"/>
  <c r="Q346" i="22"/>
  <c r="Q346" i="39" s="1"/>
  <c r="P346" i="22"/>
  <c r="P346" i="39" s="1"/>
  <c r="O346" i="22"/>
  <c r="N346" i="22"/>
  <c r="N346" i="39" s="1"/>
  <c r="M346" i="22"/>
  <c r="M346" i="39" s="1"/>
  <c r="L346" i="22"/>
  <c r="L346" i="39" s="1"/>
  <c r="K346" i="22"/>
  <c r="J346" i="22"/>
  <c r="J346" i="39" s="1"/>
  <c r="H345" i="22"/>
  <c r="H345" i="39" s="1"/>
  <c r="H339" i="22"/>
  <c r="H339" i="39" s="1"/>
  <c r="H338" i="22"/>
  <c r="H338" i="39" s="1"/>
  <c r="H337" i="22"/>
  <c r="H337" i="39" s="1"/>
  <c r="H336" i="22"/>
  <c r="H336" i="39" s="1"/>
  <c r="H333" i="22"/>
  <c r="H333" i="39" s="1"/>
  <c r="H332" i="22"/>
  <c r="H332" i="39" s="1"/>
  <c r="H331" i="22"/>
  <c r="H331" i="39" s="1"/>
  <c r="H330" i="22"/>
  <c r="H330" i="39" s="1"/>
  <c r="H329" i="22"/>
  <c r="H329" i="39" s="1"/>
  <c r="H328" i="22"/>
  <c r="H328" i="39" s="1"/>
  <c r="H327" i="22"/>
  <c r="H327" i="39" s="1"/>
  <c r="H326" i="22"/>
  <c r="H326" i="39" s="1"/>
  <c r="H325" i="22"/>
  <c r="H325" i="39" s="1"/>
  <c r="H324" i="22"/>
  <c r="H324" i="39" s="1"/>
  <c r="H323" i="22"/>
  <c r="H323" i="39" s="1"/>
  <c r="H322" i="22"/>
  <c r="H322" i="39" s="1"/>
  <c r="U321" i="22"/>
  <c r="U321" i="39" s="1"/>
  <c r="T321" i="22"/>
  <c r="T321" i="39" s="1"/>
  <c r="H321" i="22"/>
  <c r="H321" i="39" s="1"/>
  <c r="AK318" i="22"/>
  <c r="AJ318" i="22"/>
  <c r="AF318" i="22"/>
  <c r="AE318" i="22"/>
  <c r="AD318" i="22"/>
  <c r="W318" i="39"/>
  <c r="V318" i="39"/>
  <c r="Q318" i="22"/>
  <c r="Q318" i="39" s="1"/>
  <c r="P318" i="22"/>
  <c r="P318" i="39" s="1"/>
  <c r="O318" i="22"/>
  <c r="N318" i="22"/>
  <c r="N318" i="39" s="1"/>
  <c r="M318" i="22"/>
  <c r="M318" i="39" s="1"/>
  <c r="L318" i="22"/>
  <c r="L318" i="39" s="1"/>
  <c r="H317" i="39"/>
  <c r="H311" i="22"/>
  <c r="H311" i="39" s="1"/>
  <c r="H310" i="22"/>
  <c r="H310" i="39" s="1"/>
  <c r="H309" i="22"/>
  <c r="H309" i="39" s="1"/>
  <c r="H308" i="22"/>
  <c r="H308" i="39" s="1"/>
  <c r="H305" i="22"/>
  <c r="H305" i="39" s="1"/>
  <c r="H304" i="22"/>
  <c r="H304" i="39" s="1"/>
  <c r="H303" i="22"/>
  <c r="H303" i="39" s="1"/>
  <c r="H302" i="22"/>
  <c r="H302" i="39" s="1"/>
  <c r="H301" i="22"/>
  <c r="H301" i="39" s="1"/>
  <c r="H300" i="22"/>
  <c r="H300" i="39" s="1"/>
  <c r="H299" i="22"/>
  <c r="H299" i="39" s="1"/>
  <c r="H298" i="22"/>
  <c r="H298" i="39" s="1"/>
  <c r="H297" i="22"/>
  <c r="H297" i="39" s="1"/>
  <c r="H296" i="22"/>
  <c r="H296" i="39" s="1"/>
  <c r="H295" i="22"/>
  <c r="H295" i="39" s="1"/>
  <c r="H294" i="22"/>
  <c r="H294" i="39" s="1"/>
  <c r="H293" i="22"/>
  <c r="H293" i="39" s="1"/>
  <c r="AK290" i="22"/>
  <c r="AJ290" i="22"/>
  <c r="AF290" i="22"/>
  <c r="AE290" i="22"/>
  <c r="AD290" i="22"/>
  <c r="W290" i="22"/>
  <c r="W290" i="39" s="1"/>
  <c r="V290" i="22"/>
  <c r="V290" i="39" s="1"/>
  <c r="S290" i="22"/>
  <c r="R290" i="22"/>
  <c r="R290" i="39" s="1"/>
  <c r="Q290" i="22"/>
  <c r="Q290" i="39" s="1"/>
  <c r="P290" i="22"/>
  <c r="P290" i="39" s="1"/>
  <c r="O290" i="22"/>
  <c r="N290" i="22"/>
  <c r="N290" i="39" s="1"/>
  <c r="M290" i="22"/>
  <c r="M290" i="39" s="1"/>
  <c r="L290" i="22"/>
  <c r="L290" i="39" s="1"/>
  <c r="K290" i="22"/>
  <c r="J290" i="22"/>
  <c r="J290" i="39" s="1"/>
  <c r="H289" i="22"/>
  <c r="H289" i="39" s="1"/>
  <c r="H283" i="22"/>
  <c r="H283" i="39" s="1"/>
  <c r="H282" i="22"/>
  <c r="H282" i="39" s="1"/>
  <c r="H281" i="22"/>
  <c r="H281" i="39" s="1"/>
  <c r="H280" i="22"/>
  <c r="H280" i="39" s="1"/>
  <c r="H277" i="22"/>
  <c r="H277" i="39" s="1"/>
  <c r="H276" i="22"/>
  <c r="H276" i="39" s="1"/>
  <c r="H275" i="22"/>
  <c r="H275" i="39" s="1"/>
  <c r="H274" i="22"/>
  <c r="H274" i="39" s="1"/>
  <c r="H273" i="22"/>
  <c r="H273" i="39" s="1"/>
  <c r="H272" i="22"/>
  <c r="H272" i="39" s="1"/>
  <c r="H271" i="22"/>
  <c r="H271" i="39" s="1"/>
  <c r="H270" i="22"/>
  <c r="H270" i="39" s="1"/>
  <c r="H269" i="22"/>
  <c r="H269" i="39" s="1"/>
  <c r="H268" i="22"/>
  <c r="H268" i="39" s="1"/>
  <c r="H267" i="22"/>
  <c r="H267" i="39" s="1"/>
  <c r="H266" i="22"/>
  <c r="H266" i="39" s="1"/>
  <c r="U265" i="22"/>
  <c r="U265" i="39" s="1"/>
  <c r="T265" i="22"/>
  <c r="T265" i="39" s="1"/>
  <c r="H265" i="22"/>
  <c r="H265" i="39" s="1"/>
  <c r="AK262" i="22"/>
  <c r="AJ262" i="22"/>
  <c r="AF262" i="22"/>
  <c r="AE262" i="22"/>
  <c r="AD262" i="22"/>
  <c r="W262" i="39"/>
  <c r="V262" i="39"/>
  <c r="H261" i="22"/>
  <c r="H261" i="39" s="1"/>
  <c r="H255" i="22"/>
  <c r="H255" i="39" s="1"/>
  <c r="H254" i="22"/>
  <c r="H254" i="39" s="1"/>
  <c r="H253" i="22"/>
  <c r="H253" i="39" s="1"/>
  <c r="H252" i="22"/>
  <c r="H252" i="39" s="1"/>
  <c r="H243" i="22"/>
  <c r="H243" i="39" s="1"/>
  <c r="H242" i="22"/>
  <c r="H242" i="39" s="1"/>
  <c r="H241" i="22"/>
  <c r="H241" i="39" s="1"/>
  <c r="H240" i="22"/>
  <c r="H240" i="39" s="1"/>
  <c r="H239" i="22"/>
  <c r="H239" i="39" s="1"/>
  <c r="H238" i="22"/>
  <c r="H238" i="39" s="1"/>
  <c r="U237" i="22"/>
  <c r="U237" i="39" s="1"/>
  <c r="T237" i="22"/>
  <c r="T237" i="39" s="1"/>
  <c r="H237" i="22"/>
  <c r="H237" i="39" s="1"/>
  <c r="AK234" i="22"/>
  <c r="AJ234" i="22"/>
  <c r="AF234" i="22"/>
  <c r="AE234" i="22"/>
  <c r="AD234" i="22"/>
  <c r="W234" i="22"/>
  <c r="W234" i="39" s="1"/>
  <c r="V234" i="22"/>
  <c r="V234" i="39" s="1"/>
  <c r="R234" i="39"/>
  <c r="Q234" i="22"/>
  <c r="Q234" i="39" s="1"/>
  <c r="P234" i="22"/>
  <c r="P234" i="39" s="1"/>
  <c r="O234" i="22"/>
  <c r="N234" i="22"/>
  <c r="N234" i="39" s="1"/>
  <c r="M234" i="22"/>
  <c r="M234" i="39" s="1"/>
  <c r="L234" i="22"/>
  <c r="L234" i="39" s="1"/>
  <c r="K234" i="22"/>
  <c r="J234" i="22"/>
  <c r="J234" i="39" s="1"/>
  <c r="AI233" i="22"/>
  <c r="AL233" i="22" s="1"/>
  <c r="H233" i="22"/>
  <c r="H233" i="39" s="1"/>
  <c r="AI227" i="22"/>
  <c r="AL227" i="22" s="1"/>
  <c r="H227" i="22"/>
  <c r="H227" i="39" s="1"/>
  <c r="AI226" i="22"/>
  <c r="AL226" i="22" s="1"/>
  <c r="H226" i="22"/>
  <c r="H226" i="39" s="1"/>
  <c r="AI225" i="22"/>
  <c r="AL225" i="22" s="1"/>
  <c r="H225" i="22"/>
  <c r="H225" i="39" s="1"/>
  <c r="AI224" i="22"/>
  <c r="AL224" i="22" s="1"/>
  <c r="H224" i="22"/>
  <c r="H224" i="39" s="1"/>
  <c r="AI221" i="22"/>
  <c r="AL221" i="22" s="1"/>
  <c r="H221" i="22"/>
  <c r="H221" i="39" s="1"/>
  <c r="AI220" i="22"/>
  <c r="AL220" i="22" s="1"/>
  <c r="H220" i="22"/>
  <c r="H220" i="39" s="1"/>
  <c r="AI219" i="22"/>
  <c r="AL219" i="22" s="1"/>
  <c r="H219" i="22"/>
  <c r="H219" i="39" s="1"/>
  <c r="AI218" i="22"/>
  <c r="AL218" i="22" s="1"/>
  <c r="H218" i="22"/>
  <c r="H218" i="39" s="1"/>
  <c r="AI217" i="22"/>
  <c r="AL217" i="22" s="1"/>
  <c r="H217" i="22"/>
  <c r="H217" i="39" s="1"/>
  <c r="AI216" i="22"/>
  <c r="AL216" i="22" s="1"/>
  <c r="H216" i="22"/>
  <c r="H216" i="39" s="1"/>
  <c r="AI215" i="22"/>
  <c r="AL215" i="22" s="1"/>
  <c r="H215" i="22"/>
  <c r="H215" i="39" s="1"/>
  <c r="AI214" i="22"/>
  <c r="AL214" i="22" s="1"/>
  <c r="H214" i="22"/>
  <c r="H214" i="39" s="1"/>
  <c r="AI213" i="22"/>
  <c r="AL213" i="22" s="1"/>
  <c r="H213" i="22"/>
  <c r="H213" i="39" s="1"/>
  <c r="AI212" i="22"/>
  <c r="AL212" i="22" s="1"/>
  <c r="H212" i="22"/>
  <c r="H212" i="39" s="1"/>
  <c r="AI211" i="22"/>
  <c r="AL211" i="22" s="1"/>
  <c r="H211" i="22"/>
  <c r="H211" i="39" s="1"/>
  <c r="H210" i="39"/>
  <c r="U209" i="22"/>
  <c r="U209" i="39" s="1"/>
  <c r="T209" i="22"/>
  <c r="T209" i="39" s="1"/>
  <c r="H209" i="22"/>
  <c r="H209" i="39" s="1"/>
  <c r="AK206" i="22"/>
  <c r="AJ206" i="22"/>
  <c r="AF206" i="22"/>
  <c r="AE206" i="22"/>
  <c r="AD206" i="22"/>
  <c r="S206" i="22"/>
  <c r="R206" i="22"/>
  <c r="R206" i="39" s="1"/>
  <c r="Q206" i="22"/>
  <c r="Q206" i="39" s="1"/>
  <c r="P206" i="22"/>
  <c r="P206" i="39" s="1"/>
  <c r="N206" i="39"/>
  <c r="M206" i="22"/>
  <c r="M206" i="39" s="1"/>
  <c r="L206" i="22"/>
  <c r="L206" i="39" s="1"/>
  <c r="J206" i="22"/>
  <c r="J206" i="39" s="1"/>
  <c r="H205" i="22"/>
  <c r="H205" i="39" s="1"/>
  <c r="H199" i="22"/>
  <c r="H199" i="39" s="1"/>
  <c r="H198" i="22"/>
  <c r="H198" i="39" s="1"/>
  <c r="H197" i="22"/>
  <c r="H197" i="39" s="1"/>
  <c r="H196" i="22"/>
  <c r="H196" i="39" s="1"/>
  <c r="H193" i="22"/>
  <c r="H193" i="39" s="1"/>
  <c r="H192" i="22"/>
  <c r="H192" i="39" s="1"/>
  <c r="H191" i="22"/>
  <c r="H191" i="39" s="1"/>
  <c r="H190" i="22"/>
  <c r="H190" i="39" s="1"/>
  <c r="H189" i="22"/>
  <c r="H189" i="39" s="1"/>
  <c r="H188" i="22"/>
  <c r="H188" i="39" s="1"/>
  <c r="H187" i="22"/>
  <c r="H187" i="39" s="1"/>
  <c r="H186" i="22"/>
  <c r="H186" i="39" s="1"/>
  <c r="H185" i="22"/>
  <c r="H185" i="39" s="1"/>
  <c r="H184" i="22"/>
  <c r="H184" i="39" s="1"/>
  <c r="H183" i="22"/>
  <c r="H183" i="39" s="1"/>
  <c r="H182" i="22"/>
  <c r="H182" i="39" s="1"/>
  <c r="U181" i="22"/>
  <c r="U181" i="39" s="1"/>
  <c r="T181" i="22"/>
  <c r="T181" i="39" s="1"/>
  <c r="H181" i="22"/>
  <c r="H181" i="39" s="1"/>
  <c r="AK178" i="22"/>
  <c r="AJ178" i="22"/>
  <c r="AF178" i="22"/>
  <c r="AE178" i="22"/>
  <c r="AD178" i="22"/>
  <c r="W178" i="22"/>
  <c r="W178" i="39" s="1"/>
  <c r="V178" i="22"/>
  <c r="V178" i="39" s="1"/>
  <c r="S178" i="22"/>
  <c r="R178" i="22"/>
  <c r="R178" i="39" s="1"/>
  <c r="Q178" i="22"/>
  <c r="Q178" i="39" s="1"/>
  <c r="P178" i="22"/>
  <c r="P178" i="39" s="1"/>
  <c r="O178" i="22"/>
  <c r="N178" i="22"/>
  <c r="N178" i="39" s="1"/>
  <c r="M178" i="22"/>
  <c r="M178" i="39" s="1"/>
  <c r="L178" i="22"/>
  <c r="L178" i="39" s="1"/>
  <c r="J178" i="22"/>
  <c r="J178" i="39" s="1"/>
  <c r="H177" i="22"/>
  <c r="H177" i="39" s="1"/>
  <c r="H171" i="22"/>
  <c r="H171" i="39" s="1"/>
  <c r="H170" i="22"/>
  <c r="H170" i="39" s="1"/>
  <c r="H169" i="22"/>
  <c r="H169" i="39" s="1"/>
  <c r="H168" i="22"/>
  <c r="H168" i="39" s="1"/>
  <c r="H165" i="22"/>
  <c r="H165" i="39" s="1"/>
  <c r="H164" i="22"/>
  <c r="H164" i="39" s="1"/>
  <c r="H163" i="22"/>
  <c r="H163" i="39" s="1"/>
  <c r="H162" i="22"/>
  <c r="H162" i="39" s="1"/>
  <c r="H161" i="22"/>
  <c r="H161" i="39" s="1"/>
  <c r="H160" i="22"/>
  <c r="H160" i="39" s="1"/>
  <c r="H159" i="22"/>
  <c r="H159" i="39" s="1"/>
  <c r="H158" i="22"/>
  <c r="H158" i="39" s="1"/>
  <c r="H157" i="22"/>
  <c r="H157" i="39" s="1"/>
  <c r="H156" i="22"/>
  <c r="H156" i="39" s="1"/>
  <c r="H155" i="22"/>
  <c r="H155" i="39" s="1"/>
  <c r="H154" i="22"/>
  <c r="H154" i="39" s="1"/>
  <c r="U153" i="39"/>
  <c r="T153" i="39"/>
  <c r="H153" i="22"/>
  <c r="H153" i="39" s="1"/>
  <c r="AK150" i="22"/>
  <c r="AJ150" i="22"/>
  <c r="AF150" i="22"/>
  <c r="AE150" i="22"/>
  <c r="AD150" i="22"/>
  <c r="W150" i="22"/>
  <c r="W150" i="39" s="1"/>
  <c r="V150" i="22"/>
  <c r="V150" i="39" s="1"/>
  <c r="S150" i="22"/>
  <c r="R150" i="22"/>
  <c r="R150" i="39" s="1"/>
  <c r="Q150" i="22"/>
  <c r="Q150" i="39" s="1"/>
  <c r="P150" i="22"/>
  <c r="P150" i="39" s="1"/>
  <c r="O150" i="22"/>
  <c r="N150" i="22"/>
  <c r="N150" i="39" s="1"/>
  <c r="M150" i="22"/>
  <c r="M150" i="39" s="1"/>
  <c r="L150" i="22"/>
  <c r="L150" i="39" s="1"/>
  <c r="K150" i="22"/>
  <c r="J150" i="22"/>
  <c r="J150" i="39" s="1"/>
  <c r="H149" i="22"/>
  <c r="H149" i="39" s="1"/>
  <c r="H143" i="22"/>
  <c r="H143" i="39" s="1"/>
  <c r="H142" i="22"/>
  <c r="H142" i="39" s="1"/>
  <c r="H141" i="22"/>
  <c r="H141" i="39" s="1"/>
  <c r="H140" i="22"/>
  <c r="H140" i="39" s="1"/>
  <c r="H137" i="22"/>
  <c r="H137" i="39" s="1"/>
  <c r="H136" i="22"/>
  <c r="H136" i="39" s="1"/>
  <c r="H135" i="22"/>
  <c r="H135" i="39" s="1"/>
  <c r="H134" i="22"/>
  <c r="H134" i="39" s="1"/>
  <c r="H133" i="22"/>
  <c r="H133" i="39" s="1"/>
  <c r="H132" i="22"/>
  <c r="H132" i="39" s="1"/>
  <c r="H131" i="22"/>
  <c r="H131" i="39" s="1"/>
  <c r="H130" i="22"/>
  <c r="H130" i="39" s="1"/>
  <c r="H129" i="22"/>
  <c r="H129" i="39" s="1"/>
  <c r="H128" i="22"/>
  <c r="H128" i="39" s="1"/>
  <c r="H127" i="22"/>
  <c r="H127" i="39" s="1"/>
  <c r="H126" i="22"/>
  <c r="H126" i="39" s="1"/>
  <c r="U125" i="22"/>
  <c r="T150" i="22"/>
  <c r="T150" i="39" s="1"/>
  <c r="H125" i="22"/>
  <c r="H125" i="39" s="1"/>
  <c r="AK122" i="22"/>
  <c r="AJ122" i="22"/>
  <c r="AF122" i="22"/>
  <c r="AE122" i="22"/>
  <c r="AD122" i="22"/>
  <c r="S122" i="22"/>
  <c r="R122" i="22"/>
  <c r="R122" i="39" s="1"/>
  <c r="Q122" i="22"/>
  <c r="Q122" i="39" s="1"/>
  <c r="P122" i="22"/>
  <c r="P122" i="39" s="1"/>
  <c r="O122" i="22"/>
  <c r="N122" i="22"/>
  <c r="N122" i="39" s="1"/>
  <c r="M122" i="22"/>
  <c r="M122" i="39" s="1"/>
  <c r="L122" i="22"/>
  <c r="L122" i="39" s="1"/>
  <c r="K122" i="22"/>
  <c r="J122" i="22"/>
  <c r="J122" i="39" s="1"/>
  <c r="H121" i="22"/>
  <c r="H121" i="39" s="1"/>
  <c r="H115" i="22"/>
  <c r="H115" i="39" s="1"/>
  <c r="H114" i="22"/>
  <c r="H114" i="39" s="1"/>
  <c r="H113" i="22"/>
  <c r="H113" i="39" s="1"/>
  <c r="H112" i="22"/>
  <c r="H112" i="39" s="1"/>
  <c r="H109" i="22"/>
  <c r="H109" i="39" s="1"/>
  <c r="H108" i="22"/>
  <c r="H108" i="39" s="1"/>
  <c r="H107" i="22"/>
  <c r="H107" i="39" s="1"/>
  <c r="H106" i="22"/>
  <c r="H106" i="39" s="1"/>
  <c r="H105" i="22"/>
  <c r="H105" i="39" s="1"/>
  <c r="H104" i="22"/>
  <c r="H104" i="39" s="1"/>
  <c r="H103" i="22"/>
  <c r="H103" i="39" s="1"/>
  <c r="H102" i="22"/>
  <c r="H102" i="39" s="1"/>
  <c r="H101" i="22"/>
  <c r="H101" i="39" s="1"/>
  <c r="H100" i="22"/>
  <c r="H100" i="39" s="1"/>
  <c r="H99" i="22"/>
  <c r="H99" i="39" s="1"/>
  <c r="H98" i="22"/>
  <c r="H98" i="39" s="1"/>
  <c r="U97" i="22"/>
  <c r="U97" i="39" s="1"/>
  <c r="T122" i="22"/>
  <c r="T122" i="39" s="1"/>
  <c r="H97" i="22"/>
  <c r="H97" i="39" s="1"/>
  <c r="AK94" i="22"/>
  <c r="AJ94" i="22"/>
  <c r="AF94" i="22"/>
  <c r="AE94" i="22"/>
  <c r="AD94" i="22"/>
  <c r="W94" i="22"/>
  <c r="W94" i="39" s="1"/>
  <c r="V94" i="22"/>
  <c r="V94" i="39" s="1"/>
  <c r="R94" i="39"/>
  <c r="Q94" i="39"/>
  <c r="P94" i="39"/>
  <c r="N94" i="39"/>
  <c r="M94" i="39"/>
  <c r="L94" i="39"/>
  <c r="K94" i="22"/>
  <c r="J94" i="22"/>
  <c r="J94" i="39" s="1"/>
  <c r="AK66" i="22"/>
  <c r="AJ66" i="22"/>
  <c r="AF66" i="22"/>
  <c r="AE66" i="22"/>
  <c r="AD66" i="22"/>
  <c r="W66" i="22"/>
  <c r="W66" i="39" s="1"/>
  <c r="V66" i="22"/>
  <c r="V66" i="39" s="1"/>
  <c r="S66" i="22"/>
  <c r="R66" i="22"/>
  <c r="R66" i="39" s="1"/>
  <c r="Q66" i="22"/>
  <c r="Q66" i="39" s="1"/>
  <c r="P66" i="22"/>
  <c r="P66" i="39" s="1"/>
  <c r="O66" i="22"/>
  <c r="N66" i="22"/>
  <c r="N66" i="39" s="1"/>
  <c r="M66" i="22"/>
  <c r="M66" i="39" s="1"/>
  <c r="L66" i="22"/>
  <c r="L66" i="39" s="1"/>
  <c r="U69" i="22"/>
  <c r="T69" i="22"/>
  <c r="U41" i="22"/>
  <c r="T41" i="22"/>
  <c r="H93" i="22"/>
  <c r="H93" i="39" s="1"/>
  <c r="H87" i="22"/>
  <c r="H87" i="39" s="1"/>
  <c r="H86" i="22"/>
  <c r="H86" i="39" s="1"/>
  <c r="H85" i="22"/>
  <c r="H85" i="39" s="1"/>
  <c r="H84" i="22"/>
  <c r="H84" i="39" s="1"/>
  <c r="H81" i="22"/>
  <c r="H81" i="39" s="1"/>
  <c r="H80" i="22"/>
  <c r="H80" i="39" s="1"/>
  <c r="H79" i="22"/>
  <c r="H79" i="39" s="1"/>
  <c r="H78" i="22"/>
  <c r="H78" i="39" s="1"/>
  <c r="H77" i="22"/>
  <c r="H77" i="39" s="1"/>
  <c r="H76" i="22"/>
  <c r="H76" i="39" s="1"/>
  <c r="H75" i="22"/>
  <c r="H75" i="39" s="1"/>
  <c r="H74" i="22"/>
  <c r="H74" i="39" s="1"/>
  <c r="H73" i="22"/>
  <c r="H73" i="39" s="1"/>
  <c r="H72" i="22"/>
  <c r="H72" i="39" s="1"/>
  <c r="H71" i="22"/>
  <c r="H71" i="39" s="1"/>
  <c r="H70" i="22"/>
  <c r="H70" i="39" s="1"/>
  <c r="H69" i="22"/>
  <c r="H69" i="39" s="1"/>
  <c r="H65" i="22"/>
  <c r="H65" i="39" s="1"/>
  <c r="H59" i="22"/>
  <c r="H59" i="39" s="1"/>
  <c r="H58" i="22"/>
  <c r="H58" i="39" s="1"/>
  <c r="H57" i="22"/>
  <c r="H57" i="39" s="1"/>
  <c r="H56" i="22"/>
  <c r="H56" i="39" s="1"/>
  <c r="H53" i="22"/>
  <c r="H53" i="39" s="1"/>
  <c r="H52" i="22"/>
  <c r="H52" i="39" s="1"/>
  <c r="H51" i="22"/>
  <c r="H51" i="39" s="1"/>
  <c r="H50" i="22"/>
  <c r="H50" i="39" s="1"/>
  <c r="H49" i="22"/>
  <c r="H49" i="39" s="1"/>
  <c r="H48" i="22"/>
  <c r="H48" i="39" s="1"/>
  <c r="H47" i="22"/>
  <c r="H47" i="39" s="1"/>
  <c r="H46" i="22"/>
  <c r="H46" i="39" s="1"/>
  <c r="H45" i="22"/>
  <c r="H45" i="39" s="1"/>
  <c r="H44" i="22"/>
  <c r="H44" i="39" s="1"/>
  <c r="H43" i="22"/>
  <c r="H43" i="39" s="1"/>
  <c r="H42" i="22"/>
  <c r="H42" i="39" s="1"/>
  <c r="H41" i="22"/>
  <c r="H41" i="39" s="1"/>
  <c r="M654" i="39" l="1"/>
  <c r="Q654" i="39"/>
  <c r="M626" i="39"/>
  <c r="Q626" i="39"/>
  <c r="M598" i="39"/>
  <c r="Q598" i="39"/>
  <c r="M570" i="39"/>
  <c r="Q570" i="39"/>
  <c r="M542" i="39"/>
  <c r="Q542" i="39"/>
  <c r="M514" i="39"/>
  <c r="Q514" i="39"/>
  <c r="M486" i="39"/>
  <c r="Q486" i="39"/>
  <c r="M458" i="39"/>
  <c r="Q458" i="39"/>
  <c r="Q878" i="39"/>
  <c r="M878" i="39"/>
  <c r="Q850" i="39"/>
  <c r="M850" i="39"/>
  <c r="Q822" i="39"/>
  <c r="Q794" i="39"/>
  <c r="Q766" i="39"/>
  <c r="M822" i="39"/>
  <c r="M794" i="39"/>
  <c r="M766" i="39"/>
  <c r="Q738" i="39"/>
  <c r="M738" i="39"/>
  <c r="Q682" i="39"/>
  <c r="Q710" i="39"/>
  <c r="M710" i="39"/>
  <c r="M682" i="39"/>
  <c r="C13" i="40"/>
  <c r="AI22" i="33"/>
  <c r="AL22" i="33" s="1"/>
  <c r="AI34" i="33"/>
  <c r="AL34" i="33" s="1"/>
  <c r="AC22" i="33"/>
  <c r="AG22" i="33" s="1"/>
  <c r="AI33" i="33"/>
  <c r="AL33" i="33" s="1"/>
  <c r="H22" i="33"/>
  <c r="AC34" i="33"/>
  <c r="AG34" i="33" s="1"/>
  <c r="AC33" i="33"/>
  <c r="AG33" i="33" s="1"/>
  <c r="H31" i="33"/>
  <c r="O822" i="39"/>
  <c r="O850" i="39"/>
  <c r="O878" i="39"/>
  <c r="K822" i="39"/>
  <c r="K850" i="39"/>
  <c r="K878" i="39"/>
  <c r="S822" i="39"/>
  <c r="S850" i="39"/>
  <c r="S878" i="39"/>
  <c r="H34" i="33"/>
  <c r="H29" i="33"/>
  <c r="H32" i="33"/>
  <c r="G139" i="40"/>
  <c r="H138" i="33"/>
  <c r="H139" i="40" s="1"/>
  <c r="G199" i="40"/>
  <c r="H198" i="33"/>
  <c r="H199" i="40" s="1"/>
  <c r="G175" i="40"/>
  <c r="H174" i="33"/>
  <c r="H175" i="40" s="1"/>
  <c r="G156" i="40"/>
  <c r="H155" i="33"/>
  <c r="H156" i="40" s="1"/>
  <c r="G212" i="40"/>
  <c r="H211" i="33"/>
  <c r="H212" i="40" s="1"/>
  <c r="G194" i="40"/>
  <c r="H193" i="33"/>
  <c r="H194" i="40" s="1"/>
  <c r="G170" i="40"/>
  <c r="H169" i="33"/>
  <c r="H170" i="40" s="1"/>
  <c r="G164" i="40"/>
  <c r="H163" i="33"/>
  <c r="H164" i="40" s="1"/>
  <c r="G145" i="40"/>
  <c r="H144" i="33"/>
  <c r="H145" i="40" s="1"/>
  <c r="G211" i="40"/>
  <c r="H210" i="33"/>
  <c r="H211" i="40" s="1"/>
  <c r="G193" i="40"/>
  <c r="H192" i="33"/>
  <c r="H193" i="40" s="1"/>
  <c r="G181" i="40"/>
  <c r="H180" i="33"/>
  <c r="H181" i="40" s="1"/>
  <c r="G163" i="40"/>
  <c r="H162" i="33"/>
  <c r="H163" i="40" s="1"/>
  <c r="G138" i="40"/>
  <c r="H137" i="33"/>
  <c r="H138" i="40" s="1"/>
  <c r="G200" i="40"/>
  <c r="H199" i="33"/>
  <c r="H200" i="40" s="1"/>
  <c r="G182" i="40"/>
  <c r="H181" i="33"/>
  <c r="H182" i="40" s="1"/>
  <c r="G151" i="40"/>
  <c r="H150" i="33"/>
  <c r="H151" i="40" s="1"/>
  <c r="G215" i="40"/>
  <c r="H214" i="33"/>
  <c r="H215" i="40" s="1"/>
  <c r="G209" i="40"/>
  <c r="H208" i="33"/>
  <c r="H209" i="40" s="1"/>
  <c r="G203" i="40"/>
  <c r="H202" i="33"/>
  <c r="H203" i="40" s="1"/>
  <c r="G197" i="40"/>
  <c r="H196" i="33"/>
  <c r="H197" i="40" s="1"/>
  <c r="G191" i="40"/>
  <c r="H190" i="33"/>
  <c r="H191" i="40" s="1"/>
  <c r="G185" i="40"/>
  <c r="H184" i="33"/>
  <c r="H185" i="40" s="1"/>
  <c r="G179" i="40"/>
  <c r="H178" i="33"/>
  <c r="H179" i="40" s="1"/>
  <c r="G173" i="40"/>
  <c r="H172" i="33"/>
  <c r="H173" i="40" s="1"/>
  <c r="G167" i="40"/>
  <c r="H166" i="33"/>
  <c r="H167" i="40" s="1"/>
  <c r="G160" i="40"/>
  <c r="H159" i="33"/>
  <c r="H160" i="40" s="1"/>
  <c r="G154" i="40"/>
  <c r="H153" i="33"/>
  <c r="H154" i="40" s="1"/>
  <c r="G148" i="40"/>
  <c r="H147" i="33"/>
  <c r="H148" i="40" s="1"/>
  <c r="G142" i="40"/>
  <c r="H141" i="33"/>
  <c r="H142" i="40" s="1"/>
  <c r="G136" i="40"/>
  <c r="H135" i="33"/>
  <c r="H136" i="40" s="1"/>
  <c r="G210" i="40"/>
  <c r="H209" i="33"/>
  <c r="H210" i="40" s="1"/>
  <c r="G204" i="40"/>
  <c r="H203" i="33"/>
  <c r="H204" i="40" s="1"/>
  <c r="G198" i="40"/>
  <c r="H197" i="33"/>
  <c r="H198" i="40" s="1"/>
  <c r="G192" i="40"/>
  <c r="H191" i="33"/>
  <c r="H192" i="40" s="1"/>
  <c r="G186" i="40"/>
  <c r="H185" i="33"/>
  <c r="H186" i="40" s="1"/>
  <c r="G180" i="40"/>
  <c r="H179" i="33"/>
  <c r="H180" i="40" s="1"/>
  <c r="G174" i="40"/>
  <c r="H173" i="33"/>
  <c r="H174" i="40" s="1"/>
  <c r="G168" i="40"/>
  <c r="H167" i="33"/>
  <c r="H168" i="40" s="1"/>
  <c r="G162" i="40"/>
  <c r="H161" i="33"/>
  <c r="H162" i="40" s="1"/>
  <c r="G155" i="40"/>
  <c r="H154" i="33"/>
  <c r="H155" i="40" s="1"/>
  <c r="G149" i="40"/>
  <c r="H148" i="33"/>
  <c r="H149" i="40" s="1"/>
  <c r="G143" i="40"/>
  <c r="H142" i="33"/>
  <c r="H143" i="40" s="1"/>
  <c r="G137" i="40"/>
  <c r="H136" i="33"/>
  <c r="H137" i="40" s="1"/>
  <c r="G205" i="40"/>
  <c r="H204" i="33"/>
  <c r="H205" i="40" s="1"/>
  <c r="G187" i="40"/>
  <c r="H186" i="33"/>
  <c r="H187" i="40" s="1"/>
  <c r="G169" i="40"/>
  <c r="H168" i="33"/>
  <c r="H169" i="40" s="1"/>
  <c r="G144" i="40"/>
  <c r="H143" i="33"/>
  <c r="H144" i="40" s="1"/>
  <c r="G206" i="40"/>
  <c r="H205" i="33"/>
  <c r="H206" i="40" s="1"/>
  <c r="G188" i="40"/>
  <c r="H187" i="33"/>
  <c r="H188" i="40" s="1"/>
  <c r="G176" i="40"/>
  <c r="H175" i="33"/>
  <c r="H176" i="40" s="1"/>
  <c r="G157" i="40"/>
  <c r="H156" i="33"/>
  <c r="H157" i="40" s="1"/>
  <c r="G150" i="40"/>
  <c r="H149" i="33"/>
  <c r="H150" i="40" s="1"/>
  <c r="G213" i="40"/>
  <c r="H212" i="33"/>
  <c r="H213" i="40" s="1"/>
  <c r="G207" i="40"/>
  <c r="H206" i="33"/>
  <c r="H207" i="40" s="1"/>
  <c r="G201" i="40"/>
  <c r="H200" i="33"/>
  <c r="H201" i="40" s="1"/>
  <c r="G195" i="40"/>
  <c r="H194" i="33"/>
  <c r="H195" i="40" s="1"/>
  <c r="G189" i="40"/>
  <c r="H188" i="33"/>
  <c r="H189" i="40" s="1"/>
  <c r="G183" i="40"/>
  <c r="H182" i="33"/>
  <c r="H183" i="40" s="1"/>
  <c r="G177" i="40"/>
  <c r="H176" i="33"/>
  <c r="H177" i="40" s="1"/>
  <c r="G171" i="40"/>
  <c r="H170" i="33"/>
  <c r="H171" i="40" s="1"/>
  <c r="G165" i="40"/>
  <c r="H164" i="33"/>
  <c r="H165" i="40" s="1"/>
  <c r="G158" i="40"/>
  <c r="H157" i="33"/>
  <c r="H158" i="40" s="1"/>
  <c r="G152" i="40"/>
  <c r="H151" i="33"/>
  <c r="H152" i="40" s="1"/>
  <c r="G146" i="40"/>
  <c r="H145" i="33"/>
  <c r="H146" i="40" s="1"/>
  <c r="G140" i="40"/>
  <c r="H139" i="33"/>
  <c r="H140" i="40" s="1"/>
  <c r="G214" i="40"/>
  <c r="H213" i="33"/>
  <c r="H214" i="40" s="1"/>
  <c r="G208" i="40"/>
  <c r="H207" i="33"/>
  <c r="H208" i="40" s="1"/>
  <c r="G202" i="40"/>
  <c r="H201" i="33"/>
  <c r="H202" i="40" s="1"/>
  <c r="G196" i="40"/>
  <c r="H195" i="33"/>
  <c r="H196" i="40" s="1"/>
  <c r="G190" i="40"/>
  <c r="H189" i="33"/>
  <c r="H190" i="40" s="1"/>
  <c r="G184" i="40"/>
  <c r="H183" i="33"/>
  <c r="H184" i="40" s="1"/>
  <c r="G178" i="40"/>
  <c r="H177" i="33"/>
  <c r="H178" i="40" s="1"/>
  <c r="G172" i="40"/>
  <c r="H171" i="33"/>
  <c r="H172" i="40" s="1"/>
  <c r="G166" i="40"/>
  <c r="H165" i="33"/>
  <c r="H166" i="40" s="1"/>
  <c r="G159" i="40"/>
  <c r="H158" i="33"/>
  <c r="H159" i="40" s="1"/>
  <c r="G153" i="40"/>
  <c r="H152" i="33"/>
  <c r="H153" i="40" s="1"/>
  <c r="G147" i="40"/>
  <c r="H146" i="33"/>
  <c r="H147" i="40" s="1"/>
  <c r="G141" i="40"/>
  <c r="H140" i="33"/>
  <c r="H141" i="40" s="1"/>
  <c r="G134" i="40"/>
  <c r="H133" i="33"/>
  <c r="H134" i="40" s="1"/>
  <c r="H33" i="33"/>
  <c r="K458" i="39"/>
  <c r="O458" i="39"/>
  <c r="S458" i="39"/>
  <c r="O486" i="39"/>
  <c r="S486" i="39"/>
  <c r="O514" i="39"/>
  <c r="K514" i="39"/>
  <c r="S514" i="39"/>
  <c r="K542" i="39"/>
  <c r="O542" i="39"/>
  <c r="S542" i="39"/>
  <c r="K570" i="39"/>
  <c r="O570" i="39"/>
  <c r="S570" i="39"/>
  <c r="O598" i="39"/>
  <c r="S598" i="39"/>
  <c r="O626" i="39"/>
  <c r="S626" i="39"/>
  <c r="K626" i="39"/>
  <c r="K654" i="39"/>
  <c r="O654" i="39"/>
  <c r="S654" i="39"/>
  <c r="O682" i="39"/>
  <c r="K710" i="39"/>
  <c r="O710" i="39"/>
  <c r="S710" i="39"/>
  <c r="K738" i="39"/>
  <c r="S738" i="39"/>
  <c r="K766" i="39"/>
  <c r="K682" i="39"/>
  <c r="K598" i="39"/>
  <c r="S682" i="39"/>
  <c r="K794" i="39"/>
  <c r="O794" i="39"/>
  <c r="O766" i="39"/>
  <c r="S794" i="39"/>
  <c r="S766" i="39"/>
  <c r="G133" i="40"/>
  <c r="H132" i="33"/>
  <c r="H133" i="40" s="1"/>
  <c r="G127" i="40"/>
  <c r="H126" i="33"/>
  <c r="H127" i="40" s="1"/>
  <c r="G132" i="40"/>
  <c r="H131" i="33"/>
  <c r="H132" i="40" s="1"/>
  <c r="G129" i="40"/>
  <c r="H128" i="33"/>
  <c r="H129" i="40" s="1"/>
  <c r="G130" i="40"/>
  <c r="H129" i="33"/>
  <c r="H130" i="40" s="1"/>
  <c r="G121" i="40"/>
  <c r="H120" i="33"/>
  <c r="H121" i="40" s="1"/>
  <c r="G131" i="40"/>
  <c r="H130" i="33"/>
  <c r="H131" i="40" s="1"/>
  <c r="G122" i="40"/>
  <c r="H121" i="33"/>
  <c r="H122" i="40" s="1"/>
  <c r="G128" i="40"/>
  <c r="H127" i="33"/>
  <c r="H128" i="40" s="1"/>
  <c r="G125" i="40"/>
  <c r="H124" i="33"/>
  <c r="H125" i="40" s="1"/>
  <c r="G126" i="40"/>
  <c r="H125" i="33"/>
  <c r="H126" i="40" s="1"/>
  <c r="G124" i="40"/>
  <c r="H123" i="33"/>
  <c r="H124" i="40" s="1"/>
  <c r="S430" i="39"/>
  <c r="O430" i="39"/>
  <c r="K430" i="39"/>
  <c r="K402" i="39"/>
  <c r="O402" i="39"/>
  <c r="S402" i="39"/>
  <c r="K374" i="39"/>
  <c r="K346" i="39"/>
  <c r="O374" i="39"/>
  <c r="O346" i="39"/>
  <c r="O318" i="39"/>
  <c r="S374" i="39"/>
  <c r="S346" i="39"/>
  <c r="S290" i="39"/>
  <c r="K290" i="39"/>
  <c r="O290" i="39"/>
  <c r="K206" i="39"/>
  <c r="K234" i="39"/>
  <c r="O206" i="39"/>
  <c r="O234" i="39"/>
  <c r="S206" i="39"/>
  <c r="S234" i="39"/>
  <c r="S66" i="39"/>
  <c r="K94" i="39"/>
  <c r="K122" i="39"/>
  <c r="K150" i="39"/>
  <c r="O150" i="39"/>
  <c r="O122" i="39"/>
  <c r="O94" i="39"/>
  <c r="O66" i="39"/>
  <c r="O178" i="39"/>
  <c r="S178" i="39"/>
  <c r="S150" i="39"/>
  <c r="S122" i="39"/>
  <c r="S94" i="39"/>
  <c r="H14" i="33"/>
  <c r="G117" i="40"/>
  <c r="H116" i="33"/>
  <c r="H117" i="40" s="1"/>
  <c r="H20" i="33"/>
  <c r="U461" i="39"/>
  <c r="Y461" i="22"/>
  <c r="Y461" i="39" s="1"/>
  <c r="L1" i="39"/>
  <c r="P1" i="39"/>
  <c r="V1" i="39"/>
  <c r="Y825" i="22"/>
  <c r="Y850" i="22" s="1"/>
  <c r="Y850" i="39" s="1"/>
  <c r="U825" i="39"/>
  <c r="AI217" i="33"/>
  <c r="AL217" i="33" s="1"/>
  <c r="AI215" i="33"/>
  <c r="AL215" i="33" s="1"/>
  <c r="AI213" i="33"/>
  <c r="AL213" i="33" s="1"/>
  <c r="AI211" i="33"/>
  <c r="AL211" i="33" s="1"/>
  <c r="AI209" i="33"/>
  <c r="AL209" i="33" s="1"/>
  <c r="AI207" i="33"/>
  <c r="AL207" i="33" s="1"/>
  <c r="AC205" i="33"/>
  <c r="AG205" i="33" s="1"/>
  <c r="AC201" i="33"/>
  <c r="AG201" i="33" s="1"/>
  <c r="AC197" i="33"/>
  <c r="AG197" i="33" s="1"/>
  <c r="AC193" i="33"/>
  <c r="AG193" i="33" s="1"/>
  <c r="AC189" i="33"/>
  <c r="AG189" i="33" s="1"/>
  <c r="AC185" i="33"/>
  <c r="AG185" i="33" s="1"/>
  <c r="AC181" i="33"/>
  <c r="AG181" i="33" s="1"/>
  <c r="AC177" i="33"/>
  <c r="AG177" i="33" s="1"/>
  <c r="AC173" i="33"/>
  <c r="AG173" i="33" s="1"/>
  <c r="AC169" i="33"/>
  <c r="AG169" i="33" s="1"/>
  <c r="AC165" i="33"/>
  <c r="AG165" i="33" s="1"/>
  <c r="AC161" i="33"/>
  <c r="AG161" i="33" s="1"/>
  <c r="AC156" i="33"/>
  <c r="AG156" i="33" s="1"/>
  <c r="AI107" i="33"/>
  <c r="AL107" i="33" s="1"/>
  <c r="AC217" i="33"/>
  <c r="AG217" i="33" s="1"/>
  <c r="AC215" i="33"/>
  <c r="AG215" i="33" s="1"/>
  <c r="AC213" i="33"/>
  <c r="AG213" i="33" s="1"/>
  <c r="AC211" i="33"/>
  <c r="AG211" i="33" s="1"/>
  <c r="AC209" i="33"/>
  <c r="AG209" i="33" s="1"/>
  <c r="AC207" i="33"/>
  <c r="AG207" i="33" s="1"/>
  <c r="AI203" i="33"/>
  <c r="AL203" i="33" s="1"/>
  <c r="AI199" i="33"/>
  <c r="AL199" i="33" s="1"/>
  <c r="AI195" i="33"/>
  <c r="AL195" i="33" s="1"/>
  <c r="AI191" i="33"/>
  <c r="AL191" i="33" s="1"/>
  <c r="AI187" i="33"/>
  <c r="AL187" i="33" s="1"/>
  <c r="AI183" i="33"/>
  <c r="AL183" i="33" s="1"/>
  <c r="AI179" i="33"/>
  <c r="AL179" i="33" s="1"/>
  <c r="AI175" i="33"/>
  <c r="AL175" i="33" s="1"/>
  <c r="AI171" i="33"/>
  <c r="AL171" i="33" s="1"/>
  <c r="AI167" i="33"/>
  <c r="AL167" i="33" s="1"/>
  <c r="AI163" i="33"/>
  <c r="AL163" i="33" s="1"/>
  <c r="AI158" i="33"/>
  <c r="AL158" i="33" s="1"/>
  <c r="AI154" i="33"/>
  <c r="AL154" i="33" s="1"/>
  <c r="AC107" i="33"/>
  <c r="AG107" i="33" s="1"/>
  <c r="AI204" i="33"/>
  <c r="AL204" i="33" s="1"/>
  <c r="AI200" i="33"/>
  <c r="AL200" i="33" s="1"/>
  <c r="AI196" i="33"/>
  <c r="AL196" i="33" s="1"/>
  <c r="AI192" i="33"/>
  <c r="AL192" i="33" s="1"/>
  <c r="AI188" i="33"/>
  <c r="AL188" i="33" s="1"/>
  <c r="AI184" i="33"/>
  <c r="AL184" i="33" s="1"/>
  <c r="AI180" i="33"/>
  <c r="AL180" i="33" s="1"/>
  <c r="AI176" i="33"/>
  <c r="AL176" i="33" s="1"/>
  <c r="AI172" i="33"/>
  <c r="AL172" i="33" s="1"/>
  <c r="AI168" i="33"/>
  <c r="AL168" i="33" s="1"/>
  <c r="AI164" i="33"/>
  <c r="AL164" i="33" s="1"/>
  <c r="AI159" i="33"/>
  <c r="AL159" i="33" s="1"/>
  <c r="AI155" i="33"/>
  <c r="AL155" i="33" s="1"/>
  <c r="AI110" i="33"/>
  <c r="AL110" i="33" s="1"/>
  <c r="AI106" i="33"/>
  <c r="AL106" i="33" s="1"/>
  <c r="AI205" i="33"/>
  <c r="AL205" i="33" s="1"/>
  <c r="AI201" i="33"/>
  <c r="AL201" i="33" s="1"/>
  <c r="AI197" i="33"/>
  <c r="AL197" i="33" s="1"/>
  <c r="AI193" i="33"/>
  <c r="AL193" i="33" s="1"/>
  <c r="AI189" i="33"/>
  <c r="AL189" i="33" s="1"/>
  <c r="AI185" i="33"/>
  <c r="AL185" i="33" s="1"/>
  <c r="AI181" i="33"/>
  <c r="AL181" i="33" s="1"/>
  <c r="AI177" i="33"/>
  <c r="AL177" i="33" s="1"/>
  <c r="AI173" i="33"/>
  <c r="AL173" i="33" s="1"/>
  <c r="AI169" i="33"/>
  <c r="AL169" i="33" s="1"/>
  <c r="AI165" i="33"/>
  <c r="AL165" i="33" s="1"/>
  <c r="AI161" i="33"/>
  <c r="AL161" i="33" s="1"/>
  <c r="AI156" i="33"/>
  <c r="AL156" i="33" s="1"/>
  <c r="AC110" i="33"/>
  <c r="AG110" i="33" s="1"/>
  <c r="AC106" i="33"/>
  <c r="AG106" i="33" s="1"/>
  <c r="AI216" i="33"/>
  <c r="AL216" i="33" s="1"/>
  <c r="AI214" i="33"/>
  <c r="AL214" i="33" s="1"/>
  <c r="AI212" i="33"/>
  <c r="AL212" i="33" s="1"/>
  <c r="AI210" i="33"/>
  <c r="AL210" i="33" s="1"/>
  <c r="AI208" i="33"/>
  <c r="AL208" i="33" s="1"/>
  <c r="AI206" i="33"/>
  <c r="AL206" i="33" s="1"/>
  <c r="AI202" i="33"/>
  <c r="AL202" i="33" s="1"/>
  <c r="AI198" i="33"/>
  <c r="AL198" i="33" s="1"/>
  <c r="AI194" i="33"/>
  <c r="AL194" i="33" s="1"/>
  <c r="AI190" i="33"/>
  <c r="AL190" i="33" s="1"/>
  <c r="AI186" i="33"/>
  <c r="AL186" i="33" s="1"/>
  <c r="AI182" i="33"/>
  <c r="AL182" i="33" s="1"/>
  <c r="AI178" i="33"/>
  <c r="AL178" i="33" s="1"/>
  <c r="AI174" i="33"/>
  <c r="AL174" i="33" s="1"/>
  <c r="AI170" i="33"/>
  <c r="AL170" i="33" s="1"/>
  <c r="AI166" i="33"/>
  <c r="AL166" i="33" s="1"/>
  <c r="AI162" i="33"/>
  <c r="AL162" i="33" s="1"/>
  <c r="AI157" i="33"/>
  <c r="AL157" i="33" s="1"/>
  <c r="AI109" i="33"/>
  <c r="AL109" i="33" s="1"/>
  <c r="AI105" i="33"/>
  <c r="AL105" i="33" s="1"/>
  <c r="AC216" i="33"/>
  <c r="AG216" i="33" s="1"/>
  <c r="AC214" i="33"/>
  <c r="AG214" i="33" s="1"/>
  <c r="AC212" i="33"/>
  <c r="AG212" i="33" s="1"/>
  <c r="AC210" i="33"/>
  <c r="AG210" i="33" s="1"/>
  <c r="AC208" i="33"/>
  <c r="AG208" i="33" s="1"/>
  <c r="AC206" i="33"/>
  <c r="AG206" i="33" s="1"/>
  <c r="AC202" i="33"/>
  <c r="AG202" i="33" s="1"/>
  <c r="AC198" i="33"/>
  <c r="AG198" i="33" s="1"/>
  <c r="AC194" i="33"/>
  <c r="AG194" i="33" s="1"/>
  <c r="AC190" i="33"/>
  <c r="AG190" i="33" s="1"/>
  <c r="AC186" i="33"/>
  <c r="AG186" i="33" s="1"/>
  <c r="AC182" i="33"/>
  <c r="AG182" i="33" s="1"/>
  <c r="AC178" i="33"/>
  <c r="AG178" i="33" s="1"/>
  <c r="AC174" i="33"/>
  <c r="AG174" i="33" s="1"/>
  <c r="AC170" i="33"/>
  <c r="AG170" i="33" s="1"/>
  <c r="AC166" i="33"/>
  <c r="AG166" i="33" s="1"/>
  <c r="AC162" i="33"/>
  <c r="AG162" i="33" s="1"/>
  <c r="AC157" i="33"/>
  <c r="AG157" i="33" s="1"/>
  <c r="AC109" i="33"/>
  <c r="AG109" i="33" s="1"/>
  <c r="AC105" i="33"/>
  <c r="AG105" i="33" s="1"/>
  <c r="AC203" i="33"/>
  <c r="AG203" i="33" s="1"/>
  <c r="AC199" i="33"/>
  <c r="AG199" i="33" s="1"/>
  <c r="AC195" i="33"/>
  <c r="AG195" i="33" s="1"/>
  <c r="AC191" i="33"/>
  <c r="AG191" i="33" s="1"/>
  <c r="AC187" i="33"/>
  <c r="AG187" i="33" s="1"/>
  <c r="AC183" i="33"/>
  <c r="AG183" i="33" s="1"/>
  <c r="AC179" i="33"/>
  <c r="AG179" i="33" s="1"/>
  <c r="AC175" i="33"/>
  <c r="AG175" i="33" s="1"/>
  <c r="AC171" i="33"/>
  <c r="AG171" i="33" s="1"/>
  <c r="AC167" i="33"/>
  <c r="AG167" i="33" s="1"/>
  <c r="AC163" i="33"/>
  <c r="AG163" i="33" s="1"/>
  <c r="AC158" i="33"/>
  <c r="AG158" i="33" s="1"/>
  <c r="AC154" i="33"/>
  <c r="AG154" i="33" s="1"/>
  <c r="AI108" i="33"/>
  <c r="AL108" i="33" s="1"/>
  <c r="AI104" i="33"/>
  <c r="AL104" i="33" s="1"/>
  <c r="AC204" i="33"/>
  <c r="AG204" i="33" s="1"/>
  <c r="AC200" i="33"/>
  <c r="AG200" i="33" s="1"/>
  <c r="AC196" i="33"/>
  <c r="AG196" i="33" s="1"/>
  <c r="AC192" i="33"/>
  <c r="AG192" i="33" s="1"/>
  <c r="AC188" i="33"/>
  <c r="AG188" i="33" s="1"/>
  <c r="AC184" i="33"/>
  <c r="AG184" i="33" s="1"/>
  <c r="AC180" i="33"/>
  <c r="AG180" i="33" s="1"/>
  <c r="AC176" i="33"/>
  <c r="AG176" i="33" s="1"/>
  <c r="AC172" i="33"/>
  <c r="AG172" i="33" s="1"/>
  <c r="AC168" i="33"/>
  <c r="AG168" i="33" s="1"/>
  <c r="AC164" i="33"/>
  <c r="AG164" i="33" s="1"/>
  <c r="AC159" i="33"/>
  <c r="AG159" i="33" s="1"/>
  <c r="AC155" i="33"/>
  <c r="AG155" i="33" s="1"/>
  <c r="AC108" i="33"/>
  <c r="AG108" i="33" s="1"/>
  <c r="AC104" i="33"/>
  <c r="AG104" i="33" s="1"/>
  <c r="W1" i="39"/>
  <c r="Y741" i="22"/>
  <c r="Y741" i="39" s="1"/>
  <c r="U741" i="39"/>
  <c r="X713" i="22"/>
  <c r="X713" i="39" s="1"/>
  <c r="T713" i="39"/>
  <c r="L2" i="39"/>
  <c r="P2" i="39"/>
  <c r="Y545" i="22"/>
  <c r="Y545" i="39" s="1"/>
  <c r="U545" i="39"/>
  <c r="Y517" i="22"/>
  <c r="Y517" i="39" s="1"/>
  <c r="U517" i="39"/>
  <c r="Y125" i="22"/>
  <c r="Y125" i="39" s="1"/>
  <c r="U125" i="39"/>
  <c r="J1" i="39"/>
  <c r="N1" i="39"/>
  <c r="R1" i="39"/>
  <c r="X69" i="22"/>
  <c r="X69" i="39" s="1"/>
  <c r="T69" i="39"/>
  <c r="Y69" i="22"/>
  <c r="Y69" i="39" s="1"/>
  <c r="U69" i="39"/>
  <c r="M1" i="39"/>
  <c r="Q1" i="39"/>
  <c r="X41" i="22"/>
  <c r="X66" i="22" s="1"/>
  <c r="X66" i="39" s="1"/>
  <c r="T41" i="39"/>
  <c r="Y41" i="22"/>
  <c r="Y41" i="39" s="1"/>
  <c r="U41" i="39"/>
  <c r="AI137" i="33"/>
  <c r="AL137" i="33" s="1"/>
  <c r="T2" i="40"/>
  <c r="AT2" i="40" s="1"/>
  <c r="AC153" i="33"/>
  <c r="AG153" i="33" s="1"/>
  <c r="AC149" i="33"/>
  <c r="AG149" i="33" s="1"/>
  <c r="AC145" i="33"/>
  <c r="AG145" i="33" s="1"/>
  <c r="AC141" i="33"/>
  <c r="AG141" i="33" s="1"/>
  <c r="AC137" i="33"/>
  <c r="AG137" i="33" s="1"/>
  <c r="AI148" i="33"/>
  <c r="AL148" i="33" s="1"/>
  <c r="AI140" i="33"/>
  <c r="AL140" i="33" s="1"/>
  <c r="AI153" i="33"/>
  <c r="AL153" i="33" s="1"/>
  <c r="AI145" i="33"/>
  <c r="AL145" i="33" s="1"/>
  <c r="AI151" i="33"/>
  <c r="AL151" i="33" s="1"/>
  <c r="AI147" i="33"/>
  <c r="AL147" i="33" s="1"/>
  <c r="AI143" i="33"/>
  <c r="AL143" i="33" s="1"/>
  <c r="AI139" i="33"/>
  <c r="AL139" i="33" s="1"/>
  <c r="AI152" i="33"/>
  <c r="AL152" i="33" s="1"/>
  <c r="AC143" i="33"/>
  <c r="AG143" i="33" s="1"/>
  <c r="AC152" i="33"/>
  <c r="AG152" i="33" s="1"/>
  <c r="AC144" i="33"/>
  <c r="AG144" i="33" s="1"/>
  <c r="AC136" i="33"/>
  <c r="AG136" i="33" s="1"/>
  <c r="AI150" i="33"/>
  <c r="AL150" i="33" s="1"/>
  <c r="AI146" i="33"/>
  <c r="AL146" i="33" s="1"/>
  <c r="AI142" i="33"/>
  <c r="AL142" i="33" s="1"/>
  <c r="AI138" i="33"/>
  <c r="AL138" i="33" s="1"/>
  <c r="AC151" i="33"/>
  <c r="AG151" i="33" s="1"/>
  <c r="AI144" i="33"/>
  <c r="AL144" i="33" s="1"/>
  <c r="AI136" i="33"/>
  <c r="AL136" i="33" s="1"/>
  <c r="AC148" i="33"/>
  <c r="AG148" i="33" s="1"/>
  <c r="AI141" i="33"/>
  <c r="AL141" i="33" s="1"/>
  <c r="AC150" i="33"/>
  <c r="AG150" i="33" s="1"/>
  <c r="AC146" i="33"/>
  <c r="AG146" i="33" s="1"/>
  <c r="AC142" i="33"/>
  <c r="AG142" i="33" s="1"/>
  <c r="AC138" i="33"/>
  <c r="AG138" i="33" s="1"/>
  <c r="AC147" i="33"/>
  <c r="AG147" i="33" s="1"/>
  <c r="AC139" i="33"/>
  <c r="AG139" i="33" s="1"/>
  <c r="AI149" i="33"/>
  <c r="AL149" i="33" s="1"/>
  <c r="AC140" i="33"/>
  <c r="AG140" i="33" s="1"/>
  <c r="AI101" i="33"/>
  <c r="AL101" i="33" s="1"/>
  <c r="AI93" i="33"/>
  <c r="AL93" i="33" s="1"/>
  <c r="AI77" i="33"/>
  <c r="AL77" i="33" s="1"/>
  <c r="AI69" i="33"/>
  <c r="AL69" i="33" s="1"/>
  <c r="AI45" i="33"/>
  <c r="AL45" i="33" s="1"/>
  <c r="AI19" i="33"/>
  <c r="AL19" i="33" s="1"/>
  <c r="AC83" i="33"/>
  <c r="AG83" i="33" s="1"/>
  <c r="AC28" i="33"/>
  <c r="AG28" i="33" s="1"/>
  <c r="AI102" i="33"/>
  <c r="AL102" i="33" s="1"/>
  <c r="AI70" i="33"/>
  <c r="AL70" i="33" s="1"/>
  <c r="AI25" i="33"/>
  <c r="AL25" i="33" s="1"/>
  <c r="AC96" i="33"/>
  <c r="AG96" i="33" s="1"/>
  <c r="AC76" i="33"/>
  <c r="AG76" i="33" s="1"/>
  <c r="AC27" i="33"/>
  <c r="AG27" i="33" s="1"/>
  <c r="AC99" i="33"/>
  <c r="AG99" i="33" s="1"/>
  <c r="AC89" i="33"/>
  <c r="AG89" i="33" s="1"/>
  <c r="AC81" i="33"/>
  <c r="AG81" i="33" s="1"/>
  <c r="AC73" i="33"/>
  <c r="AG73" i="33" s="1"/>
  <c r="AC65" i="33"/>
  <c r="AG65" i="33" s="1"/>
  <c r="AC21" i="33"/>
  <c r="AG21" i="33" s="1"/>
  <c r="AI100" i="33"/>
  <c r="AL100" i="33" s="1"/>
  <c r="AI94" i="33"/>
  <c r="AL94" i="33" s="1"/>
  <c r="AI86" i="33"/>
  <c r="AL86" i="33" s="1"/>
  <c r="AI76" i="33"/>
  <c r="AL76" i="33" s="1"/>
  <c r="AI68" i="33"/>
  <c r="AL68" i="33" s="1"/>
  <c r="AI40" i="33"/>
  <c r="AL40" i="33" s="1"/>
  <c r="AI97" i="33"/>
  <c r="AL97" i="33" s="1"/>
  <c r="AI89" i="33"/>
  <c r="AL89" i="33" s="1"/>
  <c r="AI81" i="33"/>
  <c r="AL81" i="33" s="1"/>
  <c r="AI73" i="33"/>
  <c r="AL73" i="33" s="1"/>
  <c r="AI65" i="33"/>
  <c r="AL65" i="33" s="1"/>
  <c r="AI28" i="33"/>
  <c r="AL28" i="33" s="1"/>
  <c r="AI15" i="33"/>
  <c r="AL15" i="33" s="1"/>
  <c r="AC97" i="33"/>
  <c r="AG97" i="33" s="1"/>
  <c r="AC75" i="33"/>
  <c r="AG75" i="33" s="1"/>
  <c r="AC67" i="33"/>
  <c r="AG67" i="33" s="1"/>
  <c r="AC19" i="33"/>
  <c r="AG19" i="33" s="1"/>
  <c r="AI84" i="33"/>
  <c r="AL84" i="33" s="1"/>
  <c r="AI46" i="33"/>
  <c r="AL46" i="33" s="1"/>
  <c r="AI20" i="33"/>
  <c r="AL20" i="33" s="1"/>
  <c r="AC100" i="33"/>
  <c r="AG100" i="33" s="1"/>
  <c r="AC88" i="33"/>
  <c r="AG88" i="33" s="1"/>
  <c r="AC84" i="33"/>
  <c r="AG84" i="33" s="1"/>
  <c r="AC72" i="33"/>
  <c r="AG72" i="33" s="1"/>
  <c r="AC64" i="33"/>
  <c r="AG64" i="33" s="1"/>
  <c r="AC31" i="33"/>
  <c r="AG31" i="33" s="1"/>
  <c r="AC23" i="33"/>
  <c r="AG23" i="33" s="1"/>
  <c r="AI103" i="33"/>
  <c r="AL103" i="33" s="1"/>
  <c r="AI99" i="33"/>
  <c r="AL99" i="33" s="1"/>
  <c r="AI95" i="33"/>
  <c r="AL95" i="33" s="1"/>
  <c r="AI91" i="33"/>
  <c r="AL91" i="33" s="1"/>
  <c r="AI87" i="33"/>
  <c r="AL87" i="33" s="1"/>
  <c r="AI83" i="33"/>
  <c r="AL83" i="33" s="1"/>
  <c r="AI79" i="33"/>
  <c r="AL79" i="33" s="1"/>
  <c r="AI75" i="33"/>
  <c r="AL75" i="33" s="1"/>
  <c r="AI71" i="33"/>
  <c r="AL71" i="33" s="1"/>
  <c r="AI67" i="33"/>
  <c r="AL67" i="33" s="1"/>
  <c r="AI50" i="33"/>
  <c r="AL50" i="33" s="1"/>
  <c r="AI39" i="33"/>
  <c r="AL39" i="33" s="1"/>
  <c r="AI30" i="33"/>
  <c r="AL30" i="33" s="1"/>
  <c r="AI26" i="33"/>
  <c r="AL26" i="33" s="1"/>
  <c r="AI21" i="33"/>
  <c r="AL21" i="33" s="1"/>
  <c r="AC101" i="33"/>
  <c r="AG101" i="33" s="1"/>
  <c r="AC95" i="33"/>
  <c r="AG95" i="33" s="1"/>
  <c r="AC87" i="33"/>
  <c r="AG87" i="33" s="1"/>
  <c r="AC79" i="33"/>
  <c r="AG79" i="33" s="1"/>
  <c r="AC71" i="33"/>
  <c r="AG71" i="33" s="1"/>
  <c r="AC50" i="33"/>
  <c r="AG50" i="33" s="1"/>
  <c r="AC30" i="33"/>
  <c r="AG30" i="33" s="1"/>
  <c r="AC24" i="33"/>
  <c r="AG24" i="33" s="1"/>
  <c r="AC15" i="33"/>
  <c r="AG15" i="33" s="1"/>
  <c r="AI96" i="33"/>
  <c r="AL96" i="33" s="1"/>
  <c r="AI88" i="33"/>
  <c r="AL88" i="33" s="1"/>
  <c r="AI80" i="33"/>
  <c r="AL80" i="33" s="1"/>
  <c r="AI74" i="33"/>
  <c r="AL74" i="33" s="1"/>
  <c r="AI66" i="33"/>
  <c r="AL66" i="33" s="1"/>
  <c r="AI38" i="33"/>
  <c r="AL38" i="33" s="1"/>
  <c r="AI27" i="33"/>
  <c r="AL27" i="33" s="1"/>
  <c r="AI23" i="33"/>
  <c r="AL23" i="33" s="1"/>
  <c r="AC102" i="33"/>
  <c r="AG102" i="33" s="1"/>
  <c r="AC98" i="33"/>
  <c r="AG98" i="33" s="1"/>
  <c r="AC94" i="33"/>
  <c r="AG94" i="33" s="1"/>
  <c r="AC90" i="33"/>
  <c r="AG90" i="33" s="1"/>
  <c r="AC86" i="33"/>
  <c r="AG86" i="33" s="1"/>
  <c r="AC82" i="33"/>
  <c r="AG82" i="33" s="1"/>
  <c r="AC78" i="33"/>
  <c r="AG78" i="33" s="1"/>
  <c r="AC74" i="33"/>
  <c r="AG74" i="33" s="1"/>
  <c r="AC70" i="33"/>
  <c r="AG70" i="33" s="1"/>
  <c r="AC66" i="33"/>
  <c r="AG66" i="33" s="1"/>
  <c r="AC46" i="33"/>
  <c r="AG46" i="33" s="1"/>
  <c r="AC38" i="33"/>
  <c r="AG38" i="33" s="1"/>
  <c r="AC29" i="33"/>
  <c r="AG29" i="33" s="1"/>
  <c r="AC25" i="33"/>
  <c r="AG25" i="33" s="1"/>
  <c r="AC20" i="33"/>
  <c r="AG20" i="33" s="1"/>
  <c r="AI85" i="33"/>
  <c r="AL85" i="33" s="1"/>
  <c r="AI24" i="33"/>
  <c r="AL24" i="33" s="1"/>
  <c r="AC91" i="33"/>
  <c r="AG91" i="33" s="1"/>
  <c r="AC39" i="33"/>
  <c r="AG39" i="33" s="1"/>
  <c r="AI92" i="33"/>
  <c r="AL92" i="33" s="1"/>
  <c r="AI78" i="33"/>
  <c r="AL78" i="33" s="1"/>
  <c r="AI31" i="33"/>
  <c r="AL31" i="33" s="1"/>
  <c r="AI16" i="33"/>
  <c r="AL16" i="33" s="1"/>
  <c r="AC92" i="33"/>
  <c r="AG92" i="33" s="1"/>
  <c r="AC80" i="33"/>
  <c r="AG80" i="33" s="1"/>
  <c r="AC68" i="33"/>
  <c r="AG68" i="33" s="1"/>
  <c r="AC40" i="33"/>
  <c r="AG40" i="33" s="1"/>
  <c r="AC103" i="33"/>
  <c r="AG103" i="33" s="1"/>
  <c r="AC93" i="33"/>
  <c r="AG93" i="33" s="1"/>
  <c r="AC85" i="33"/>
  <c r="AG85" i="33" s="1"/>
  <c r="AC77" i="33"/>
  <c r="AG77" i="33" s="1"/>
  <c r="AC69" i="33"/>
  <c r="AG69" i="33" s="1"/>
  <c r="AC45" i="33"/>
  <c r="AG45" i="33" s="1"/>
  <c r="AC26" i="33"/>
  <c r="AG26" i="33" s="1"/>
  <c r="AI98" i="33"/>
  <c r="AL98" i="33" s="1"/>
  <c r="AI90" i="33"/>
  <c r="AL90" i="33" s="1"/>
  <c r="AI82" i="33"/>
  <c r="AL82" i="33" s="1"/>
  <c r="AI72" i="33"/>
  <c r="AL72" i="33" s="1"/>
  <c r="AI64" i="33"/>
  <c r="AL64" i="33" s="1"/>
  <c r="AI29" i="33"/>
  <c r="AL29" i="33" s="1"/>
  <c r="AC131" i="33"/>
  <c r="AG131" i="33" s="1"/>
  <c r="AC123" i="33"/>
  <c r="AG123" i="33" s="1"/>
  <c r="AC128" i="33"/>
  <c r="AG128" i="33" s="1"/>
  <c r="AC116" i="33"/>
  <c r="AG116" i="33" s="1"/>
  <c r="AC133" i="33"/>
  <c r="AG133" i="33" s="1"/>
  <c r="AC125" i="33"/>
  <c r="AG125" i="33" s="1"/>
  <c r="AC135" i="33"/>
  <c r="AG135" i="33" s="1"/>
  <c r="AC121" i="33"/>
  <c r="AG121" i="33" s="1"/>
  <c r="U2" i="40"/>
  <c r="AC127" i="33"/>
  <c r="AG127" i="33" s="1"/>
  <c r="AC115" i="33"/>
  <c r="AG115" i="33" s="1"/>
  <c r="X116" i="40"/>
  <c r="AC132" i="33"/>
  <c r="AG132" i="33" s="1"/>
  <c r="AC124" i="33"/>
  <c r="AG124" i="33" s="1"/>
  <c r="AC129" i="33"/>
  <c r="AG129" i="33" s="1"/>
  <c r="AC120" i="33"/>
  <c r="AG120" i="33" s="1"/>
  <c r="AC130" i="33"/>
  <c r="AG130" i="33" s="1"/>
  <c r="AC126" i="33"/>
  <c r="AG126" i="33" s="1"/>
  <c r="X2" i="33"/>
  <c r="AI132" i="33"/>
  <c r="AL132" i="33" s="1"/>
  <c r="AI128" i="33"/>
  <c r="AL128" i="33" s="1"/>
  <c r="AI124" i="33"/>
  <c r="AL124" i="33" s="1"/>
  <c r="AI116" i="33"/>
  <c r="AL116" i="33" s="1"/>
  <c r="AI133" i="33"/>
  <c r="AL133" i="33" s="1"/>
  <c r="AI129" i="33"/>
  <c r="AL129" i="33" s="1"/>
  <c r="AI125" i="33"/>
  <c r="AL125" i="33" s="1"/>
  <c r="AI120" i="33"/>
  <c r="AL120" i="33" s="1"/>
  <c r="AI135" i="33"/>
  <c r="AL135" i="33" s="1"/>
  <c r="AI130" i="33"/>
  <c r="AL130" i="33" s="1"/>
  <c r="AI126" i="33"/>
  <c r="AL126" i="33" s="1"/>
  <c r="AI121" i="33"/>
  <c r="AL121" i="33" s="1"/>
  <c r="AI131" i="33"/>
  <c r="AL131" i="33" s="1"/>
  <c r="AI127" i="33"/>
  <c r="AL127" i="33" s="1"/>
  <c r="AI123" i="33"/>
  <c r="AL123" i="33" s="1"/>
  <c r="AI115" i="33"/>
  <c r="AL115" i="33" s="1"/>
  <c r="Y116" i="40"/>
  <c r="V2" i="39"/>
  <c r="W2" i="39"/>
  <c r="X657" i="22"/>
  <c r="X657" i="39" s="1"/>
  <c r="T657" i="39"/>
  <c r="J2" i="39"/>
  <c r="N2" i="39"/>
  <c r="R2" i="39"/>
  <c r="X461" i="39"/>
  <c r="T461" i="39"/>
  <c r="Y2" i="33"/>
  <c r="AJ2" i="22"/>
  <c r="AD2" i="22"/>
  <c r="AK2" i="22"/>
  <c r="AE2" i="22"/>
  <c r="AF2" i="22"/>
  <c r="T598" i="22"/>
  <c r="T598" i="39" s="1"/>
  <c r="T542" i="22"/>
  <c r="T542" i="39" s="1"/>
  <c r="U710" i="22"/>
  <c r="U710" i="39" s="1"/>
  <c r="U794" i="22"/>
  <c r="U794" i="39" s="1"/>
  <c r="Y769" i="22"/>
  <c r="U66" i="22"/>
  <c r="U66" i="39" s="1"/>
  <c r="T486" i="22"/>
  <c r="T486" i="39" s="1"/>
  <c r="T514" i="22"/>
  <c r="T514" i="39" s="1"/>
  <c r="T570" i="22"/>
  <c r="T570" i="39" s="1"/>
  <c r="U486" i="22"/>
  <c r="U486" i="39" s="1"/>
  <c r="U514" i="22"/>
  <c r="U514" i="39" s="1"/>
  <c r="U626" i="22"/>
  <c r="U626" i="39" s="1"/>
  <c r="T766" i="22"/>
  <c r="T766" i="39" s="1"/>
  <c r="T878" i="22"/>
  <c r="T878" i="39" s="1"/>
  <c r="U598" i="22"/>
  <c r="U598" i="39" s="1"/>
  <c r="T654" i="22"/>
  <c r="T654" i="39" s="1"/>
  <c r="T682" i="22"/>
  <c r="T682" i="39" s="1"/>
  <c r="T738" i="22"/>
  <c r="T738" i="39" s="1"/>
  <c r="T822" i="22"/>
  <c r="T822" i="39" s="1"/>
  <c r="T850" i="22"/>
  <c r="T850" i="39" s="1"/>
  <c r="U878" i="22"/>
  <c r="U878" i="39" s="1"/>
  <c r="Y573" i="22"/>
  <c r="T626" i="22"/>
  <c r="T626" i="39" s="1"/>
  <c r="U654" i="22"/>
  <c r="U654" i="39" s="1"/>
  <c r="U682" i="22"/>
  <c r="U682" i="39" s="1"/>
  <c r="T710" i="22"/>
  <c r="T710" i="39" s="1"/>
  <c r="U738" i="22"/>
  <c r="U738" i="39" s="1"/>
  <c r="X741" i="22"/>
  <c r="T794" i="22"/>
  <c r="T794" i="39" s="1"/>
  <c r="U822" i="22"/>
  <c r="U822" i="39" s="1"/>
  <c r="U850" i="22"/>
  <c r="U850" i="39" s="1"/>
  <c r="U458" i="22"/>
  <c r="U458" i="39" s="1"/>
  <c r="T290" i="22"/>
  <c r="T290" i="39" s="1"/>
  <c r="T178" i="22"/>
  <c r="T178" i="39" s="1"/>
  <c r="T94" i="22"/>
  <c r="T94" i="39" s="1"/>
  <c r="T458" i="22"/>
  <c r="T458" i="39" s="1"/>
  <c r="T430" i="22"/>
  <c r="T430" i="39" s="1"/>
  <c r="U430" i="22"/>
  <c r="U430" i="39" s="1"/>
  <c r="T402" i="22"/>
  <c r="T402" i="39" s="1"/>
  <c r="T374" i="22"/>
  <c r="T374" i="39" s="1"/>
  <c r="U374" i="22"/>
  <c r="U374" i="39" s="1"/>
  <c r="T346" i="22"/>
  <c r="T346" i="39" s="1"/>
  <c r="U346" i="22"/>
  <c r="U346" i="39" s="1"/>
  <c r="U318" i="22"/>
  <c r="U318" i="39" s="1"/>
  <c r="T318" i="22"/>
  <c r="T318" i="39" s="1"/>
  <c r="U290" i="22"/>
  <c r="U290" i="39" s="1"/>
  <c r="AC16" i="33"/>
  <c r="AG16" i="33" s="1"/>
  <c r="U262" i="22"/>
  <c r="U262" i="39" s="1"/>
  <c r="T262" i="22"/>
  <c r="T262" i="39" s="1"/>
  <c r="U234" i="22"/>
  <c r="U234" i="39" s="1"/>
  <c r="T234" i="22"/>
  <c r="T234" i="39" s="1"/>
  <c r="U206" i="22"/>
  <c r="U206" i="39" s="1"/>
  <c r="T206" i="22"/>
  <c r="T206" i="39" s="1"/>
  <c r="U178" i="22"/>
  <c r="U178" i="39" s="1"/>
  <c r="X153" i="22"/>
  <c r="Y153" i="22"/>
  <c r="U122" i="22"/>
  <c r="U122" i="39" s="1"/>
  <c r="U94" i="22"/>
  <c r="U94" i="39" s="1"/>
  <c r="T66" i="22"/>
  <c r="T66" i="39" s="1"/>
  <c r="X853" i="22"/>
  <c r="X853" i="39" s="1"/>
  <c r="Y853" i="22"/>
  <c r="Y853" i="39" s="1"/>
  <c r="X825" i="22"/>
  <c r="X825" i="39" s="1"/>
  <c r="X797" i="22"/>
  <c r="X797" i="39" s="1"/>
  <c r="Y797" i="22"/>
  <c r="Y797" i="39" s="1"/>
  <c r="X769" i="22"/>
  <c r="X769" i="39" s="1"/>
  <c r="U766" i="22"/>
  <c r="U766" i="39" s="1"/>
  <c r="Y713" i="22"/>
  <c r="Y713" i="39" s="1"/>
  <c r="X685" i="22"/>
  <c r="X685" i="39" s="1"/>
  <c r="Y685" i="22"/>
  <c r="Y685" i="39" s="1"/>
  <c r="Y657" i="22"/>
  <c r="Y657" i="39" s="1"/>
  <c r="X629" i="22"/>
  <c r="X629" i="39" s="1"/>
  <c r="Y629" i="22"/>
  <c r="Y629" i="39" s="1"/>
  <c r="X601" i="22"/>
  <c r="X601" i="39" s="1"/>
  <c r="Y601" i="22"/>
  <c r="Y601" i="39" s="1"/>
  <c r="X573" i="22"/>
  <c r="X573" i="39" s="1"/>
  <c r="X545" i="22"/>
  <c r="X545" i="39" s="1"/>
  <c r="U570" i="22"/>
  <c r="U570" i="39" s="1"/>
  <c r="X517" i="22"/>
  <c r="X517" i="39" s="1"/>
  <c r="U542" i="22"/>
  <c r="U542" i="39" s="1"/>
  <c r="X489" i="22"/>
  <c r="X489" i="39" s="1"/>
  <c r="Y489" i="22"/>
  <c r="Y489" i="39" s="1"/>
  <c r="X433" i="22"/>
  <c r="X433" i="39" s="1"/>
  <c r="Y433" i="22"/>
  <c r="Y433" i="39" s="1"/>
  <c r="X405" i="22"/>
  <c r="X405" i="39" s="1"/>
  <c r="Y405" i="22"/>
  <c r="Y405" i="39" s="1"/>
  <c r="AI377" i="22"/>
  <c r="Y402" i="22"/>
  <c r="Y402" i="39" s="1"/>
  <c r="X377" i="22"/>
  <c r="X377" i="39" s="1"/>
  <c r="U402" i="22"/>
  <c r="U402" i="39" s="1"/>
  <c r="X349" i="22"/>
  <c r="X349" i="39" s="1"/>
  <c r="Y349" i="22"/>
  <c r="Y349" i="39" s="1"/>
  <c r="X321" i="22"/>
  <c r="X321" i="39" s="1"/>
  <c r="Y321" i="22"/>
  <c r="Y321" i="39" s="1"/>
  <c r="X293" i="22"/>
  <c r="X293" i="39" s="1"/>
  <c r="Y293" i="22"/>
  <c r="Y293" i="39" s="1"/>
  <c r="X265" i="22"/>
  <c r="X265" i="39" s="1"/>
  <c r="Y265" i="22"/>
  <c r="Y265" i="39" s="1"/>
  <c r="X237" i="22"/>
  <c r="X237" i="39" s="1"/>
  <c r="Y237" i="22"/>
  <c r="Y237" i="39" s="1"/>
  <c r="X209" i="22"/>
  <c r="X209" i="39" s="1"/>
  <c r="Y209" i="22"/>
  <c r="Y209" i="39" s="1"/>
  <c r="X181" i="22"/>
  <c r="X181" i="39" s="1"/>
  <c r="Y181" i="22"/>
  <c r="Y181" i="39" s="1"/>
  <c r="X125" i="22"/>
  <c r="X125" i="39" s="1"/>
  <c r="U150" i="22"/>
  <c r="U150" i="39" s="1"/>
  <c r="X97" i="22"/>
  <c r="X97" i="39" s="1"/>
  <c r="Y97" i="22"/>
  <c r="Y97" i="39" s="1"/>
  <c r="U18" i="33"/>
  <c r="T18" i="33"/>
  <c r="T17" i="33"/>
  <c r="D16" i="34"/>
  <c r="E15" i="34"/>
  <c r="D13" i="34"/>
  <c r="D12" i="34"/>
  <c r="V2" i="22"/>
  <c r="E12" i="34"/>
  <c r="AK1" i="22"/>
  <c r="AJ1" i="22"/>
  <c r="AF1" i="22"/>
  <c r="AE1" i="22"/>
  <c r="AD1" i="22"/>
  <c r="V1" i="22"/>
  <c r="T13" i="22"/>
  <c r="H37" i="22"/>
  <c r="H37" i="39" s="1"/>
  <c r="H31" i="22"/>
  <c r="H31" i="39" s="1"/>
  <c r="H29" i="22"/>
  <c r="H29" i="39" s="1"/>
  <c r="H23" i="22"/>
  <c r="H23" i="39" s="1"/>
  <c r="H17" i="22"/>
  <c r="H17" i="39" s="1"/>
  <c r="H15" i="22"/>
  <c r="H15" i="39" s="1"/>
  <c r="H14" i="22"/>
  <c r="H14" i="39" s="1"/>
  <c r="H13" i="22"/>
  <c r="H13" i="39" s="1"/>
  <c r="Q2" i="39" l="1"/>
  <c r="Q3" i="39" s="1"/>
  <c r="M2" i="39"/>
  <c r="M3" i="39" s="1"/>
  <c r="G17" i="33"/>
  <c r="X17" i="33"/>
  <c r="G18" i="33"/>
  <c r="X18" i="33"/>
  <c r="Y18" i="33"/>
  <c r="S2" i="39"/>
  <c r="O2" i="39"/>
  <c r="K2" i="39"/>
  <c r="K1" i="39"/>
  <c r="O1" i="39"/>
  <c r="S1" i="39"/>
  <c r="T13" i="40"/>
  <c r="X738" i="22"/>
  <c r="X738" i="39" s="1"/>
  <c r="AI741" i="22"/>
  <c r="AL741" i="22" s="1"/>
  <c r="AC657" i="22"/>
  <c r="AG657" i="22" s="1"/>
  <c r="Y570" i="22"/>
  <c r="Y570" i="39" s="1"/>
  <c r="AC713" i="22"/>
  <c r="AG713" i="22" s="1"/>
  <c r="AI545" i="22"/>
  <c r="AL545" i="22" s="1"/>
  <c r="X682" i="22"/>
  <c r="X682" i="39" s="1"/>
  <c r="AI517" i="22"/>
  <c r="AL517" i="22" s="1"/>
  <c r="V3" i="39"/>
  <c r="Y542" i="22"/>
  <c r="Y542" i="39" s="1"/>
  <c r="Y766" i="22"/>
  <c r="Y766" i="39" s="1"/>
  <c r="P3" i="39"/>
  <c r="L3" i="39"/>
  <c r="AC461" i="22"/>
  <c r="AC486" i="22" s="1"/>
  <c r="AV2" i="39"/>
  <c r="Y150" i="22"/>
  <c r="Y150" i="39" s="1"/>
  <c r="AV1" i="39"/>
  <c r="AI125" i="22"/>
  <c r="AL125" i="22" s="1"/>
  <c r="W3" i="39"/>
  <c r="AI41" i="22"/>
  <c r="AI66" i="22" s="1"/>
  <c r="J3" i="39"/>
  <c r="AC69" i="22"/>
  <c r="AG69" i="22" s="1"/>
  <c r="N3" i="39"/>
  <c r="AI825" i="22"/>
  <c r="Y825" i="39"/>
  <c r="X486" i="22"/>
  <c r="X486" i="39" s="1"/>
  <c r="X766" i="22"/>
  <c r="X766" i="39" s="1"/>
  <c r="X741" i="39"/>
  <c r="AI153" i="22"/>
  <c r="AL153" i="22" s="1"/>
  <c r="Y153" i="39"/>
  <c r="X178" i="22"/>
  <c r="X178" i="39" s="1"/>
  <c r="X153" i="39"/>
  <c r="R3" i="39"/>
  <c r="AI69" i="22"/>
  <c r="AI94" i="22" s="1"/>
  <c r="Y94" i="22"/>
  <c r="Y94" i="39" s="1"/>
  <c r="AC41" i="22"/>
  <c r="X41" i="39"/>
  <c r="T38" i="22"/>
  <c r="T38" i="39" s="1"/>
  <c r="T1" i="39" s="1"/>
  <c r="T13" i="39"/>
  <c r="AL2" i="33"/>
  <c r="X14" i="33"/>
  <c r="Y14" i="33"/>
  <c r="AG2" i="33"/>
  <c r="Y2" i="40"/>
  <c r="X2" i="40"/>
  <c r="AI2" i="33"/>
  <c r="AU2" i="40"/>
  <c r="AI769" i="22"/>
  <c r="AI794" i="22" s="1"/>
  <c r="Y769" i="39"/>
  <c r="AI573" i="22"/>
  <c r="AI598" i="22" s="1"/>
  <c r="Y573" i="39"/>
  <c r="T2" i="39"/>
  <c r="U2" i="39"/>
  <c r="AF3" i="22"/>
  <c r="AK3" i="22"/>
  <c r="AJ3" i="22"/>
  <c r="AD3" i="22"/>
  <c r="AE3" i="22"/>
  <c r="T2" i="22"/>
  <c r="Y598" i="22"/>
  <c r="Y598" i="39" s="1"/>
  <c r="AC741" i="22"/>
  <c r="AC766" i="22" s="1"/>
  <c r="Y794" i="22"/>
  <c r="Y794" i="39" s="1"/>
  <c r="X13" i="33"/>
  <c r="T1" i="33"/>
  <c r="T3" i="33" s="1"/>
  <c r="AC153" i="22"/>
  <c r="AC178" i="22" s="1"/>
  <c r="Y178" i="22"/>
  <c r="Y178" i="39" s="1"/>
  <c r="X94" i="22"/>
  <c r="X94" i="39" s="1"/>
  <c r="Y66" i="22"/>
  <c r="Y66" i="39" s="1"/>
  <c r="W3" i="33"/>
  <c r="AW3" i="40" s="1"/>
  <c r="N3" i="33"/>
  <c r="AN3" i="40" s="1"/>
  <c r="O3" i="33"/>
  <c r="AO3" i="40" s="1"/>
  <c r="V3" i="33"/>
  <c r="AV3" i="40" s="1"/>
  <c r="R3" i="33"/>
  <c r="AR3" i="40" s="1"/>
  <c r="Q3" i="33"/>
  <c r="AQ3" i="40" s="1"/>
  <c r="L3" i="33"/>
  <c r="AL3" i="40" s="1"/>
  <c r="P3" i="33"/>
  <c r="AP3" i="40" s="1"/>
  <c r="E16" i="34"/>
  <c r="S3" i="33"/>
  <c r="AS3" i="40" s="1"/>
  <c r="D14" i="34"/>
  <c r="D15" i="34"/>
  <c r="E13" i="34"/>
  <c r="E14" i="34"/>
  <c r="J3" i="33"/>
  <c r="AJ3" i="40" s="1"/>
  <c r="M3" i="33"/>
  <c r="AM3" i="40" s="1"/>
  <c r="K3" i="33"/>
  <c r="AK3" i="40" s="1"/>
  <c r="AI853" i="22"/>
  <c r="Y878" i="22"/>
  <c r="Y878" i="39" s="1"/>
  <c r="X878" i="22"/>
  <c r="X878" i="39" s="1"/>
  <c r="AC853" i="22"/>
  <c r="X850" i="22"/>
  <c r="X850" i="39" s="1"/>
  <c r="AC825" i="22"/>
  <c r="AI797" i="22"/>
  <c r="Y822" i="22"/>
  <c r="Y822" i="39" s="1"/>
  <c r="X822" i="22"/>
  <c r="X822" i="39" s="1"/>
  <c r="AC797" i="22"/>
  <c r="X794" i="22"/>
  <c r="X794" i="39" s="1"/>
  <c r="AC769" i="22"/>
  <c r="AI713" i="22"/>
  <c r="Y738" i="22"/>
  <c r="Y738" i="39" s="1"/>
  <c r="X710" i="22"/>
  <c r="X710" i="39" s="1"/>
  <c r="AC685" i="22"/>
  <c r="AI685" i="22"/>
  <c r="Y710" i="22"/>
  <c r="Y710" i="39" s="1"/>
  <c r="Y682" i="22"/>
  <c r="Y682" i="39" s="1"/>
  <c r="AI657" i="22"/>
  <c r="AI629" i="22"/>
  <c r="Y654" i="22"/>
  <c r="Y654" i="39" s="1"/>
  <c r="X654" i="22"/>
  <c r="X654" i="39" s="1"/>
  <c r="AC629" i="22"/>
  <c r="X626" i="22"/>
  <c r="X626" i="39" s="1"/>
  <c r="AC601" i="22"/>
  <c r="AI601" i="22"/>
  <c r="Y626" i="22"/>
  <c r="Y626" i="39" s="1"/>
  <c r="X598" i="22"/>
  <c r="X598" i="39" s="1"/>
  <c r="AC573" i="22"/>
  <c r="X570" i="22"/>
  <c r="X570" i="39" s="1"/>
  <c r="AC545" i="22"/>
  <c r="X542" i="22"/>
  <c r="X542" i="39" s="1"/>
  <c r="AC517" i="22"/>
  <c r="X514" i="22"/>
  <c r="X514" i="39" s="1"/>
  <c r="AC489" i="22"/>
  <c r="AI489" i="22"/>
  <c r="Y514" i="22"/>
  <c r="Y514" i="39" s="1"/>
  <c r="AI461" i="22"/>
  <c r="Y486" i="22"/>
  <c r="Y486" i="39" s="1"/>
  <c r="X458" i="22"/>
  <c r="X458" i="39" s="1"/>
  <c r="AC433" i="22"/>
  <c r="AI433" i="22"/>
  <c r="Y458" i="22"/>
  <c r="Y458" i="39" s="1"/>
  <c r="X430" i="22"/>
  <c r="X430" i="39" s="1"/>
  <c r="AC405" i="22"/>
  <c r="AI405" i="22"/>
  <c r="Y430" i="22"/>
  <c r="Y430" i="39" s="1"/>
  <c r="X402" i="22"/>
  <c r="X402" i="39" s="1"/>
  <c r="AC377" i="22"/>
  <c r="AL377" i="22"/>
  <c r="AI402" i="22"/>
  <c r="AI349" i="22"/>
  <c r="Y374" i="22"/>
  <c r="Y374" i="39" s="1"/>
  <c r="X374" i="22"/>
  <c r="X374" i="39" s="1"/>
  <c r="AC349" i="22"/>
  <c r="X346" i="22"/>
  <c r="X346" i="39" s="1"/>
  <c r="AC321" i="22"/>
  <c r="AI321" i="22"/>
  <c r="Y346" i="22"/>
  <c r="Y346" i="39" s="1"/>
  <c r="AI293" i="22"/>
  <c r="Y318" i="22"/>
  <c r="Y318" i="39" s="1"/>
  <c r="X318" i="22"/>
  <c r="X318" i="39" s="1"/>
  <c r="AC293" i="22"/>
  <c r="X290" i="22"/>
  <c r="X290" i="39" s="1"/>
  <c r="AC265" i="22"/>
  <c r="AI265" i="22"/>
  <c r="Y290" i="22"/>
  <c r="Y290" i="39" s="1"/>
  <c r="AI237" i="22"/>
  <c r="Y262" i="22"/>
  <c r="Y262" i="39" s="1"/>
  <c r="X262" i="22"/>
  <c r="X262" i="39" s="1"/>
  <c r="AC237" i="22"/>
  <c r="AC262" i="22" s="1"/>
  <c r="AI209" i="22"/>
  <c r="Y234" i="22"/>
  <c r="Y234" i="39" s="1"/>
  <c r="X234" i="22"/>
  <c r="X234" i="39" s="1"/>
  <c r="AC209" i="22"/>
  <c r="AI181" i="22"/>
  <c r="Y206" i="22"/>
  <c r="Y206" i="39" s="1"/>
  <c r="X206" i="22"/>
  <c r="X206" i="39" s="1"/>
  <c r="AC181" i="22"/>
  <c r="X150" i="22"/>
  <c r="X150" i="39" s="1"/>
  <c r="AC125" i="22"/>
  <c r="X122" i="22"/>
  <c r="X122" i="39" s="1"/>
  <c r="AC97" i="22"/>
  <c r="AI97" i="22"/>
  <c r="Y122" i="22"/>
  <c r="Y122" i="39" s="1"/>
  <c r="V3" i="22"/>
  <c r="X13" i="22"/>
  <c r="H18" i="33" l="1"/>
  <c r="AI18" i="33"/>
  <c r="AL18" i="33" s="1"/>
  <c r="AC18" i="33"/>
  <c r="AG18" i="33" s="1"/>
  <c r="AC17" i="33"/>
  <c r="AG17" i="33" s="1"/>
  <c r="S3" i="39"/>
  <c r="O3" i="39"/>
  <c r="K3" i="39"/>
  <c r="T1" i="40"/>
  <c r="T3" i="40" s="1"/>
  <c r="AT3" i="40" s="1"/>
  <c r="G13" i="40"/>
  <c r="H17" i="33"/>
  <c r="AI766" i="22"/>
  <c r="AC682" i="22"/>
  <c r="AI542" i="22"/>
  <c r="AV3" i="39"/>
  <c r="AI570" i="22"/>
  <c r="AC738" i="22"/>
  <c r="AG461" i="22"/>
  <c r="AL769" i="22"/>
  <c r="AI178" i="22"/>
  <c r="AL573" i="22"/>
  <c r="AI150" i="22"/>
  <c r="AL41" i="22"/>
  <c r="AC94" i="22"/>
  <c r="AL69" i="22"/>
  <c r="AL825" i="22"/>
  <c r="AI850" i="22"/>
  <c r="AT2" i="39"/>
  <c r="T3" i="39"/>
  <c r="AG41" i="22"/>
  <c r="AC66" i="22"/>
  <c r="X38" i="22"/>
  <c r="X38" i="39" s="1"/>
  <c r="X1" i="39" s="1"/>
  <c r="X13" i="39"/>
  <c r="T1" i="22"/>
  <c r="AT1" i="39" s="1"/>
  <c r="X1" i="33"/>
  <c r="X13" i="40"/>
  <c r="AI14" i="33"/>
  <c r="AL14" i="33" s="1"/>
  <c r="AC14" i="33"/>
  <c r="AG14" i="33" s="1"/>
  <c r="AY2" i="40"/>
  <c r="AX2" i="40"/>
  <c r="X2" i="39"/>
  <c r="Y2" i="39"/>
  <c r="AG153" i="22"/>
  <c r="AG741" i="22"/>
  <c r="AG853" i="22"/>
  <c r="AC878" i="22"/>
  <c r="AL853" i="22"/>
  <c r="AI878" i="22"/>
  <c r="AG825" i="22"/>
  <c r="AC850" i="22"/>
  <c r="AG797" i="22"/>
  <c r="AC822" i="22"/>
  <c r="AL797" i="22"/>
  <c r="AI822" i="22"/>
  <c r="AG769" i="22"/>
  <c r="AC794" i="22"/>
  <c r="AL713" i="22"/>
  <c r="AI738" i="22"/>
  <c r="AL685" i="22"/>
  <c r="AI710" i="22"/>
  <c r="AG685" i="22"/>
  <c r="AC710" i="22"/>
  <c r="AL657" i="22"/>
  <c r="AI682" i="22"/>
  <c r="AL629" i="22"/>
  <c r="AI654" i="22"/>
  <c r="AG629" i="22"/>
  <c r="AC654" i="22"/>
  <c r="AL601" i="22"/>
  <c r="AI626" i="22"/>
  <c r="AG601" i="22"/>
  <c r="AC626" i="22"/>
  <c r="AG573" i="22"/>
  <c r="AC598" i="22"/>
  <c r="AG545" i="22"/>
  <c r="AC570" i="22"/>
  <c r="AG517" i="22"/>
  <c r="AC542" i="22"/>
  <c r="AG489" i="22"/>
  <c r="AC514" i="22"/>
  <c r="AL489" i="22"/>
  <c r="AI514" i="22"/>
  <c r="AL461" i="22"/>
  <c r="AI486" i="22"/>
  <c r="AL433" i="22"/>
  <c r="AI458" i="22"/>
  <c r="AG433" i="22"/>
  <c r="AC458" i="22"/>
  <c r="AL405" i="22"/>
  <c r="AI430" i="22"/>
  <c r="AG405" i="22"/>
  <c r="AC430" i="22"/>
  <c r="AG377" i="22"/>
  <c r="AC402" i="22"/>
  <c r="AL349" i="22"/>
  <c r="AI374" i="22"/>
  <c r="AG349" i="22"/>
  <c r="AC374" i="22"/>
  <c r="AL321" i="22"/>
  <c r="AI346" i="22"/>
  <c r="AG321" i="22"/>
  <c r="AC346" i="22"/>
  <c r="AL293" i="22"/>
  <c r="AI318" i="22"/>
  <c r="AG293" i="22"/>
  <c r="AC318" i="22"/>
  <c r="AL265" i="22"/>
  <c r="AI290" i="22"/>
  <c r="AG265" i="22"/>
  <c r="AC290" i="22"/>
  <c r="AL237" i="22"/>
  <c r="AI262" i="22"/>
  <c r="AG237" i="22"/>
  <c r="AL209" i="22"/>
  <c r="AI234" i="22"/>
  <c r="AG209" i="22"/>
  <c r="AC234" i="22"/>
  <c r="AL181" i="22"/>
  <c r="AI206" i="22"/>
  <c r="AG181" i="22"/>
  <c r="AC206" i="22"/>
  <c r="AG125" i="22"/>
  <c r="AC150" i="22"/>
  <c r="AL97" i="22"/>
  <c r="AI122" i="22"/>
  <c r="AG97" i="22"/>
  <c r="AC122" i="22"/>
  <c r="AC13" i="22"/>
  <c r="AC38" i="22" s="1"/>
  <c r="H13" i="40" l="1"/>
  <c r="AT1" i="40"/>
  <c r="T3" i="22"/>
  <c r="AT3" i="39" s="1"/>
  <c r="X3" i="39"/>
  <c r="X1" i="40"/>
  <c r="AX1" i="40" s="1"/>
  <c r="AI2" i="22"/>
  <c r="AG13" i="22"/>
  <c r="X3" i="40" l="1"/>
  <c r="J26" i="34"/>
  <c r="I26" i="34"/>
  <c r="G18" i="34" l="1"/>
  <c r="E18" i="34"/>
  <c r="F18" i="34"/>
  <c r="D18" i="34"/>
  <c r="U17" i="33"/>
  <c r="Y17" i="33" l="1"/>
  <c r="U1" i="33"/>
  <c r="U13" i="40"/>
  <c r="U1" i="40" s="1"/>
  <c r="Y13" i="33"/>
  <c r="AI17" i="33" l="1"/>
  <c r="AL17" i="33" s="1"/>
  <c r="Y1" i="33"/>
  <c r="Y13" i="40"/>
  <c r="Y1" i="40" s="1"/>
  <c r="AU1" i="40"/>
  <c r="U3" i="40"/>
  <c r="AC13" i="33"/>
  <c r="AG13" i="33" s="1"/>
  <c r="AG1" i="33" s="1"/>
  <c r="AG3" i="33" s="1"/>
  <c r="AY1" i="40" l="1"/>
  <c r="Y3" i="40"/>
  <c r="U3" i="33"/>
  <c r="AU3" i="40" s="1"/>
  <c r="Y3" i="33" l="1"/>
  <c r="AY3" i="40" s="1"/>
  <c r="X3" i="33"/>
  <c r="AX3" i="40" s="1"/>
  <c r="AI13" i="33" l="1"/>
  <c r="AL13" i="33" l="1"/>
  <c r="AL1" i="33" s="1"/>
  <c r="AL3" i="33" s="1"/>
  <c r="AI1" i="33"/>
  <c r="AI3" i="33" s="1"/>
  <c r="U13" i="22" l="1"/>
  <c r="W2" i="22"/>
  <c r="AW2" i="39" s="1"/>
  <c r="Q2" i="22"/>
  <c r="P2" i="22"/>
  <c r="M2" i="22"/>
  <c r="L2" i="22"/>
  <c r="U38" i="22" l="1"/>
  <c r="U38" i="39" s="1"/>
  <c r="U1" i="39" s="1"/>
  <c r="U13" i="39"/>
  <c r="F6" i="34"/>
  <c r="F24" i="34" s="1"/>
  <c r="AQ2" i="39"/>
  <c r="G6" i="34"/>
  <c r="G24" i="34" s="1"/>
  <c r="AP2" i="39"/>
  <c r="G4" i="34"/>
  <c r="G22" i="34" s="1"/>
  <c r="AL2" i="39"/>
  <c r="F4" i="34"/>
  <c r="F22" i="34" s="1"/>
  <c r="AM2" i="39"/>
  <c r="O2" i="22"/>
  <c r="J2" i="22"/>
  <c r="R2" i="22"/>
  <c r="AR2" i="39" s="1"/>
  <c r="N2" i="22"/>
  <c r="K2" i="22"/>
  <c r="S2" i="22"/>
  <c r="AS2" i="39" s="1"/>
  <c r="O1" i="22"/>
  <c r="AO1" i="39" s="1"/>
  <c r="P1" i="22"/>
  <c r="L1" i="22"/>
  <c r="W1" i="22"/>
  <c r="AW1" i="39" s="1"/>
  <c r="N1" i="22"/>
  <c r="AN1" i="39" s="1"/>
  <c r="Q1" i="22"/>
  <c r="J1" i="22"/>
  <c r="R1" i="22"/>
  <c r="AR1" i="39" s="1"/>
  <c r="S1" i="22"/>
  <c r="M1" i="22"/>
  <c r="K1" i="22"/>
  <c r="AK1" i="39" s="1"/>
  <c r="Y13" i="22"/>
  <c r="U2" i="22"/>
  <c r="AU2" i="39" s="1"/>
  <c r="D4" i="34" l="1"/>
  <c r="D22" i="34" s="1"/>
  <c r="AM1" i="39"/>
  <c r="D7" i="34"/>
  <c r="D25" i="34" s="1"/>
  <c r="AS1" i="39"/>
  <c r="Y38" i="22"/>
  <c r="Y38" i="39" s="1"/>
  <c r="Y1" i="39" s="1"/>
  <c r="Y13" i="39"/>
  <c r="E3" i="34"/>
  <c r="E21" i="34" s="1"/>
  <c r="AJ1" i="39"/>
  <c r="L3" i="22"/>
  <c r="AL3" i="39" s="1"/>
  <c r="AL1" i="39"/>
  <c r="P3" i="22"/>
  <c r="AP3" i="39" s="1"/>
  <c r="AP1" i="39"/>
  <c r="Q3" i="22"/>
  <c r="AQ3" i="39" s="1"/>
  <c r="AQ1" i="39"/>
  <c r="U3" i="39"/>
  <c r="G5" i="34"/>
  <c r="G23" i="34" s="1"/>
  <c r="AN2" i="39"/>
  <c r="G3" i="34"/>
  <c r="G21" i="34" s="1"/>
  <c r="AJ2" i="39"/>
  <c r="F3" i="34"/>
  <c r="F21" i="34" s="1"/>
  <c r="AK2" i="39"/>
  <c r="F5" i="34"/>
  <c r="F23" i="34" s="1"/>
  <c r="AO2" i="39"/>
  <c r="G7" i="34"/>
  <c r="G25" i="34" s="1"/>
  <c r="F7" i="34"/>
  <c r="W3" i="22"/>
  <c r="AW3" i="39" s="1"/>
  <c r="O3" i="22"/>
  <c r="AO3" i="39" s="1"/>
  <c r="J3" i="22"/>
  <c r="AJ3" i="39" s="1"/>
  <c r="D6" i="34"/>
  <c r="D24" i="34" s="1"/>
  <c r="E4" i="34"/>
  <c r="E22" i="34" s="1"/>
  <c r="J22" i="34" s="1"/>
  <c r="K3" i="22"/>
  <c r="AK3" i="39" s="1"/>
  <c r="R3" i="22"/>
  <c r="AR3" i="39" s="1"/>
  <c r="N3" i="22"/>
  <c r="AN3" i="39" s="1"/>
  <c r="E6" i="34"/>
  <c r="E24" i="34" s="1"/>
  <c r="J24" i="34" s="1"/>
  <c r="D5" i="34"/>
  <c r="D23" i="34" s="1"/>
  <c r="E7" i="34"/>
  <c r="E25" i="34" s="1"/>
  <c r="M3" i="22"/>
  <c r="AM3" i="39" s="1"/>
  <c r="E5" i="34"/>
  <c r="E23" i="34" s="1"/>
  <c r="S3" i="22"/>
  <c r="AS3" i="39" s="1"/>
  <c r="D3" i="34"/>
  <c r="D21" i="34" s="1"/>
  <c r="U1" i="22"/>
  <c r="U3" i="22" s="1"/>
  <c r="AI13" i="22"/>
  <c r="AI38" i="22" s="1"/>
  <c r="I24" i="34" l="1"/>
  <c r="I22" i="34"/>
  <c r="J23" i="34"/>
  <c r="AU3" i="39"/>
  <c r="AU1" i="39"/>
  <c r="Y3" i="39"/>
  <c r="I23" i="34"/>
  <c r="D27" i="34"/>
  <c r="F25" i="34"/>
  <c r="G27" i="34"/>
  <c r="G9" i="34"/>
  <c r="F9" i="34"/>
  <c r="J25" i="34"/>
  <c r="X2" i="22"/>
  <c r="AX2" i="39" s="1"/>
  <c r="Y2" i="22"/>
  <c r="AY2" i="39" s="1"/>
  <c r="E9" i="34"/>
  <c r="D9" i="34"/>
  <c r="X1" i="22"/>
  <c r="AX1" i="39" s="1"/>
  <c r="Y1" i="22"/>
  <c r="AY1" i="39" s="1"/>
  <c r="AI1" i="22"/>
  <c r="AI3" i="22" s="1"/>
  <c r="AL13" i="22"/>
  <c r="J21" i="34"/>
  <c r="E27" i="34"/>
  <c r="I21" i="34"/>
  <c r="F27" i="34" l="1"/>
  <c r="I25" i="34"/>
  <c r="I27" i="34" s="1"/>
  <c r="J27" i="34"/>
  <c r="X3" i="22"/>
  <c r="AX3" i="39" s="1"/>
  <c r="Y3" i="22"/>
  <c r="AY3" i="39" s="1"/>
</calcChain>
</file>

<file path=xl/sharedStrings.xml><?xml version="1.0" encoding="utf-8"?>
<sst xmlns="http://schemas.openxmlformats.org/spreadsheetml/2006/main" count="2246" uniqueCount="88">
  <si>
    <t xml:space="preserve"> </t>
  </si>
  <si>
    <t>TOTAL</t>
  </si>
  <si>
    <t>NIT: 901 153 639 - 0</t>
  </si>
  <si>
    <t>Nombre Banco</t>
  </si>
  <si>
    <t>FECHA APLICACIÓN</t>
  </si>
  <si>
    <t>CONCILIACION DIARIA DE RECAUDO OPORTUNO</t>
  </si>
  <si>
    <t>CODIGO REMUNERACIÓN</t>
  </si>
  <si>
    <t>FECHA RECAUDO</t>
  </si>
  <si>
    <t>ASE 1
N° REGISTROS ARCHIVO</t>
  </si>
  <si>
    <t>ASE 2
N° REGISTROS ARCHIVO</t>
  </si>
  <si>
    <t>ASE 3
N° REGISTROS ARCHIVO</t>
  </si>
  <si>
    <t>ASE 4 
N° REGISTROS ARCHIVO</t>
  </si>
  <si>
    <t>ASE 5 
N° REGISTROS ARCHIVO</t>
  </si>
  <si>
    <t>N° CUENTA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</si>
  <si>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</si>
  <si>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</si>
  <si>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</si>
  <si>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</si>
  <si>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</si>
  <si>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</si>
  <si>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</si>
  <si>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</si>
  <si>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</si>
  <si>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</si>
  <si>
    <t>R2 - INFORME DE CONCILIACION DE RECAUDOS</t>
  </si>
  <si>
    <t>CONCILIACION DIARIA DE RECAUDO EXTEMPORANEO</t>
  </si>
  <si>
    <t>2.5.3. INFORMES DE RECAUDO</t>
  </si>
  <si>
    <t>Canal Recaudo</t>
  </si>
  <si>
    <t>Oficinas</t>
  </si>
  <si>
    <t>Código CR</t>
  </si>
  <si>
    <t>Código BC</t>
  </si>
  <si>
    <t>Cuenta Bancaria</t>
  </si>
  <si>
    <t>N° REGISTROS REPORTADOS POR BANCO</t>
  </si>
  <si>
    <t>DIFERENCIA VALOR</t>
  </si>
  <si>
    <t>DIFERENCIA REGISTROS</t>
  </si>
  <si>
    <t>VALOR REPORTADO POR BANCO</t>
  </si>
  <si>
    <t>ASE 1
VALOR ARCHIVO</t>
  </si>
  <si>
    <t>ASE 2
VALOR ARCHIVO</t>
  </si>
  <si>
    <t>ASE 3 
VALOR ARCHIVO</t>
  </si>
  <si>
    <t>ASE 4 
VALOR ARCHIVO</t>
  </si>
  <si>
    <t>ASE 5 
VALOR ARCHIVO</t>
  </si>
  <si>
    <t>TOTAL N° REGISTROS APLICADOS</t>
  </si>
  <si>
    <t>TOTAL VALOR APLICADO</t>
  </si>
  <si>
    <t>REGISTROS NO IDENTIFICADO - NI.</t>
  </si>
  <si>
    <t>REGISTROS CON VALOR EN $0</t>
  </si>
  <si>
    <t>REGISTROS ENVIADOS EAAB // SON CARTERA</t>
  </si>
  <si>
    <t>VALIDACION</t>
  </si>
  <si>
    <t>VALOR ENVIADOS EAAB // SON CARTERA</t>
  </si>
  <si>
    <t>VALOR NO IDENTIFICADO - NI.</t>
  </si>
  <si>
    <t>CÓDIGO BC</t>
  </si>
  <si>
    <t>NOMBRE BANCO</t>
  </si>
  <si>
    <t>CÓDIGO CR</t>
  </si>
  <si>
    <t>CANAL RECAUDO</t>
  </si>
  <si>
    <t>TOTAL RECAUDO</t>
  </si>
  <si>
    <t>GESTION DE RECAUDO</t>
  </si>
  <si>
    <t>CONCILIACION DIARIA DE RECAUDO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</si>
  <si>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</si>
  <si>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</si>
  <si>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</si>
  <si>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</si>
  <si>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</si>
  <si>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</si>
  <si>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</si>
  <si>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</si>
  <si>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</si>
  <si>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Cuenta Contrato-REVERSION</t>
  </si>
  <si>
    <t>Cuenta Contrato-NUEVA APLICACIÓN</t>
  </si>
  <si>
    <t>FECHA NUEVA APLICACIÓN</t>
  </si>
  <si>
    <t>Recaudo Oportuno de las cuentas bancarias de ENEL</t>
  </si>
  <si>
    <t>REVERSIONES -</t>
  </si>
  <si>
    <t>Bancolombia ENERBIT</t>
  </si>
  <si>
    <t>3/09/2026</t>
  </si>
  <si>
    <t>7/09/2026</t>
  </si>
  <si>
    <t>8/09/2026</t>
  </si>
  <si>
    <t>10/09/2026</t>
  </si>
  <si>
    <t>11/09/2026</t>
  </si>
  <si>
    <t>14/09/2026</t>
  </si>
  <si>
    <t>15/09/2026</t>
  </si>
  <si>
    <t>16/09/2026</t>
  </si>
  <si>
    <t>18/09/2026</t>
  </si>
  <si>
    <t>21/09/2026</t>
  </si>
  <si>
    <t>22/09/2026</t>
  </si>
  <si>
    <t>23/09/2026</t>
  </si>
  <si>
    <t>25/09/2026</t>
  </si>
  <si>
    <t>28/09/2026</t>
  </si>
  <si>
    <t>29/09/2026</t>
  </si>
  <si>
    <t>30/09/2026</t>
  </si>
  <si>
    <t>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</si>
</sst>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d/mm/yyyy"/>
    <numFmt numFmtId="169" formatCode="00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03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5" fillId="0" borderId="0" applyNumberFormat="0" applyFill="0" applyBorder="0" applyAlignment="0" applyProtection="0"/>
    <xf numFmtId="165" fontId="26" fillId="0" borderId="14" applyNumberFormat="0" applyFill="0" applyAlignment="0" applyProtection="0"/>
    <xf numFmtId="165" fontId="27" fillId="0" borderId="15" applyNumberFormat="0" applyFill="0" applyAlignment="0" applyProtection="0"/>
    <xf numFmtId="165" fontId="28" fillId="0" borderId="16" applyNumberFormat="0" applyFill="0" applyAlignment="0" applyProtection="0"/>
    <xf numFmtId="165" fontId="28" fillId="0" borderId="0" applyNumberFormat="0" applyFill="0" applyBorder="0" applyAlignment="0" applyProtection="0"/>
    <xf numFmtId="165" fontId="29" fillId="2" borderId="0" applyNumberFormat="0" applyBorder="0" applyAlignment="0" applyProtection="0"/>
    <xf numFmtId="165" fontId="30" fillId="3" borderId="0" applyNumberFormat="0" applyBorder="0" applyAlignment="0" applyProtection="0"/>
    <xf numFmtId="165" fontId="31" fillId="4" borderId="0" applyNumberFormat="0" applyBorder="0" applyAlignment="0" applyProtection="0"/>
    <xf numFmtId="165" fontId="32" fillId="5" borderId="17" applyNumberFormat="0" applyAlignment="0" applyProtection="0"/>
    <xf numFmtId="165" fontId="33" fillId="6" borderId="18" applyNumberFormat="0" applyAlignment="0" applyProtection="0"/>
    <xf numFmtId="165" fontId="34" fillId="6" borderId="17" applyNumberFormat="0" applyAlignment="0" applyProtection="0"/>
    <xf numFmtId="165" fontId="35" fillId="0" borderId="19" applyNumberFormat="0" applyFill="0" applyAlignment="0" applyProtection="0"/>
    <xf numFmtId="165" fontId="36" fillId="7" borderId="20" applyNumberFormat="0" applyAlignment="0" applyProtection="0"/>
    <xf numFmtId="165" fontId="37" fillId="0" borderId="0" applyNumberFormat="0" applyFill="0" applyBorder="0" applyAlignment="0" applyProtection="0"/>
    <xf numFmtId="165" fontId="38" fillId="0" borderId="0" applyNumberFormat="0" applyFill="0" applyBorder="0" applyAlignment="0" applyProtection="0"/>
    <xf numFmtId="165" fontId="39" fillId="0" borderId="22" applyNumberFormat="0" applyFill="0" applyAlignment="0" applyProtection="0"/>
    <xf numFmtId="165" fontId="40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40" fillId="12" borderId="0" applyNumberFormat="0" applyBorder="0" applyAlignment="0" applyProtection="0"/>
    <xf numFmtId="165" fontId="40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40" fillId="16" borderId="0" applyNumberFormat="0" applyBorder="0" applyAlignment="0" applyProtection="0"/>
    <xf numFmtId="165" fontId="40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40" fillId="20" borderId="0" applyNumberFormat="0" applyBorder="0" applyAlignment="0" applyProtection="0"/>
    <xf numFmtId="165" fontId="40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40" fillId="24" borderId="0" applyNumberFormat="0" applyBorder="0" applyAlignment="0" applyProtection="0"/>
    <xf numFmtId="165" fontId="40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40" fillId="28" borderId="0" applyNumberFormat="0" applyBorder="0" applyAlignment="0" applyProtection="0"/>
    <xf numFmtId="165" fontId="40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40" fillId="32" borderId="0" applyNumberFormat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43" fontId="41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43" fontId="41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21" applyNumberFormat="0" applyFont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7" applyNumberFormat="0" applyAlignment="0" applyProtection="0"/>
    <xf numFmtId="0" fontId="33" fillId="6" borderId="18" applyNumberFormat="0" applyAlignment="0" applyProtection="0"/>
    <xf numFmtId="0" fontId="34" fillId="6" borderId="17" applyNumberFormat="0" applyAlignment="0" applyProtection="0"/>
    <xf numFmtId="0" fontId="35" fillId="0" borderId="19" applyNumberFormat="0" applyFill="0" applyAlignment="0" applyProtection="0"/>
    <xf numFmtId="0" fontId="36" fillId="7" borderId="20" applyNumberFormat="0" applyAlignment="0" applyProtection="0"/>
    <xf numFmtId="0" fontId="37" fillId="0" borderId="0" applyNumberFormat="0" applyFill="0" applyBorder="0" applyAlignment="0" applyProtection="0"/>
    <xf numFmtId="0" fontId="3" fillId="8" borderId="21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22" applyNumberFormat="0" applyFill="0" applyAlignment="0" applyProtection="0"/>
    <xf numFmtId="0" fontId="4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40" fillId="32" borderId="0" applyNumberFormat="0" applyBorder="0" applyAlignment="0" applyProtection="0"/>
    <xf numFmtId="0" fontId="2" fillId="0" borderId="0"/>
    <xf numFmtId="0" fontId="2" fillId="8" borderId="21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243">
    <xf numFmtId="165" fontId="0" fillId="0" borderId="0" xfId="0"/>
    <xf numFmtId="165" fontId="23" fillId="0" borderId="0" xfId="0" applyFont="1"/>
    <xf numFmtId="165" fontId="20" fillId="0" borderId="0" xfId="0" applyFont="1"/>
    <xf numFmtId="165" fontId="20" fillId="0" borderId="1" xfId="0" applyFont="1" applyBorder="1"/>
    <xf numFmtId="14" fontId="20" fillId="0" borderId="1" xfId="0" applyNumberFormat="1" applyFont="1" applyBorder="1"/>
    <xf numFmtId="165" fontId="23" fillId="0" borderId="7" xfId="0" applyFont="1" applyBorder="1"/>
    <xf numFmtId="165" fontId="23" fillId="0" borderId="2" xfId="0" applyFont="1" applyBorder="1"/>
    <xf numFmtId="41" fontId="23" fillId="0" borderId="3" xfId="2604" applyFont="1" applyBorder="1"/>
    <xf numFmtId="41" fontId="23" fillId="0" borderId="0" xfId="2601" applyFont="1"/>
    <xf numFmtId="41" fontId="23" fillId="0" borderId="31" xfId="2601" applyFont="1" applyBorder="1"/>
    <xf numFmtId="41" fontId="23" fillId="0" borderId="27" xfId="2601" applyFont="1" applyBorder="1"/>
    <xf numFmtId="41" fontId="0" fillId="0" borderId="3" xfId="2601" applyFont="1" applyBorder="1"/>
    <xf numFmtId="165" fontId="20" fillId="0" borderId="9" xfId="0" applyFont="1" applyBorder="1" applyAlignment="1">
      <alignment horizontal="center" vertical="center" wrapText="1"/>
    </xf>
    <xf numFmtId="41" fontId="23" fillId="0" borderId="29" xfId="2601" applyFont="1" applyBorder="1"/>
    <xf numFmtId="41" fontId="0" fillId="0" borderId="3" xfId="2604" applyFont="1" applyBorder="1"/>
    <xf numFmtId="41" fontId="23" fillId="0" borderId="35" xfId="2604" applyFont="1" applyBorder="1"/>
    <xf numFmtId="41" fontId="23" fillId="0" borderId="29" xfId="2604" applyFont="1" applyBorder="1"/>
    <xf numFmtId="41" fontId="0" fillId="0" borderId="31" xfId="2604" applyFont="1" applyBorder="1"/>
    <xf numFmtId="41" fontId="23" fillId="0" borderId="23" xfId="2601" applyFont="1" applyBorder="1"/>
    <xf numFmtId="0" fontId="23" fillId="0" borderId="1" xfId="0" applyNumberFormat="1" applyFont="1" applyBorder="1"/>
    <xf numFmtId="0" fontId="23" fillId="0" borderId="0" xfId="0" applyNumberFormat="1" applyFont="1"/>
    <xf numFmtId="0" fontId="23" fillId="0" borderId="2" xfId="0" applyNumberFormat="1" applyFont="1" applyBorder="1"/>
    <xf numFmtId="41" fontId="23" fillId="0" borderId="2" xfId="2601" applyFont="1" applyBorder="1"/>
    <xf numFmtId="0" fontId="23" fillId="0" borderId="3" xfId="0" applyNumberFormat="1" applyFont="1" applyBorder="1"/>
    <xf numFmtId="0" fontId="23" fillId="0" borderId="23" xfId="0" applyNumberFormat="1" applyFont="1" applyBorder="1"/>
    <xf numFmtId="0" fontId="23" fillId="0" borderId="29" xfId="0" applyNumberFormat="1" applyFont="1" applyBorder="1"/>
    <xf numFmtId="0" fontId="23" fillId="0" borderId="1" xfId="0" applyNumberFormat="1" applyFont="1" applyBorder="1" applyAlignment="1">
      <alignment horizontal="center"/>
    </xf>
    <xf numFmtId="165" fontId="20" fillId="0" borderId="6" xfId="0" applyFont="1" applyBorder="1"/>
    <xf numFmtId="41" fontId="20" fillId="0" borderId="0" xfId="2604" applyFont="1"/>
    <xf numFmtId="49" fontId="23" fillId="0" borderId="7" xfId="0" applyNumberFormat="1" applyFont="1" applyBorder="1"/>
    <xf numFmtId="0" fontId="23" fillId="0" borderId="2" xfId="0" applyNumberFormat="1" applyFont="1" applyBorder="1" applyAlignment="1">
      <alignment horizontal="center"/>
    </xf>
    <xf numFmtId="41" fontId="23" fillId="0" borderId="2" xfId="2604" applyFont="1" applyBorder="1"/>
    <xf numFmtId="49" fontId="23" fillId="0" borderId="8" xfId="0" applyNumberFormat="1" applyFont="1" applyBorder="1"/>
    <xf numFmtId="49" fontId="23" fillId="0" borderId="3" xfId="0" applyNumberFormat="1" applyFont="1" applyBorder="1"/>
    <xf numFmtId="0" fontId="20" fillId="0" borderId="33" xfId="0" applyNumberFormat="1" applyFont="1" applyBorder="1" applyAlignment="1">
      <alignment horizontal="center" vertical="center" wrapText="1"/>
    </xf>
    <xf numFmtId="165" fontId="20" fillId="36" borderId="13" xfId="0" applyFont="1" applyFill="1" applyBorder="1" applyAlignment="1">
      <alignment horizontal="center" vertical="center" wrapText="1"/>
    </xf>
    <xf numFmtId="41" fontId="23" fillId="0" borderId="3" xfId="2601" applyFont="1" applyBorder="1"/>
    <xf numFmtId="1" fontId="19" fillId="0" borderId="3" xfId="0" applyNumberFormat="1" applyFont="1" applyBorder="1"/>
    <xf numFmtId="14" fontId="23" fillId="0" borderId="3" xfId="0" applyNumberFormat="1" applyFont="1" applyBorder="1"/>
    <xf numFmtId="41" fontId="23" fillId="0" borderId="41" xfId="2604" applyFont="1" applyBorder="1"/>
    <xf numFmtId="165" fontId="47" fillId="0" borderId="0" xfId="0" applyFont="1" applyAlignment="1">
      <alignment horizontal="center"/>
    </xf>
    <xf numFmtId="41" fontId="47" fillId="0" borderId="0" xfId="2604" applyFont="1" applyAlignment="1">
      <alignment horizontal="center"/>
    </xf>
    <xf numFmtId="41" fontId="0" fillId="0" borderId="0" xfId="2604" applyFont="1"/>
    <xf numFmtId="165" fontId="47" fillId="0" borderId="0" xfId="0" applyFont="1"/>
    <xf numFmtId="165" fontId="47" fillId="33" borderId="0" xfId="0" applyFont="1" applyFill="1"/>
    <xf numFmtId="41" fontId="0" fillId="0" borderId="41" xfId="2604" applyFont="1" applyBorder="1"/>
    <xf numFmtId="41" fontId="0" fillId="0" borderId="35" xfId="2604" applyFont="1" applyBorder="1"/>
    <xf numFmtId="41" fontId="0" fillId="0" borderId="30" xfId="2604" applyFont="1" applyBorder="1"/>
    <xf numFmtId="41" fontId="0" fillId="0" borderId="36" xfId="2604" applyFont="1" applyBorder="1"/>
    <xf numFmtId="41" fontId="0" fillId="0" borderId="37" xfId="2604" applyFont="1" applyBorder="1"/>
    <xf numFmtId="41" fontId="47" fillId="39" borderId="12" xfId="2604" applyFont="1" applyFill="1" applyBorder="1" applyAlignment="1">
      <alignment horizontal="center"/>
    </xf>
    <xf numFmtId="41" fontId="47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0" xfId="2604" applyFont="1" applyBorder="1"/>
    <xf numFmtId="41" fontId="47" fillId="39" borderId="12" xfId="2604" applyFont="1" applyFill="1" applyBorder="1"/>
    <xf numFmtId="41" fontId="47" fillId="39" borderId="24" xfId="2604" applyFont="1" applyFill="1" applyBorder="1"/>
    <xf numFmtId="41" fontId="23" fillId="0" borderId="3" xfId="2601" applyFont="1" applyFill="1" applyBorder="1"/>
    <xf numFmtId="41" fontId="23" fillId="0" borderId="3" xfId="2601" applyFont="1" applyFill="1" applyBorder="1" applyAlignment="1">
      <alignment horizontal="center" vertical="center" wrapText="1"/>
    </xf>
    <xf numFmtId="165" fontId="0" fillId="0" borderId="3" xfId="0" applyBorder="1"/>
    <xf numFmtId="41" fontId="20" fillId="0" borderId="1" xfId="2601" applyFont="1" applyBorder="1"/>
    <xf numFmtId="41" fontId="23" fillId="0" borderId="0" xfId="2601" applyFont="1" applyAlignment="1">
      <alignment horizontal="left"/>
    </xf>
    <xf numFmtId="41" fontId="20" fillId="0" borderId="1" xfId="2601" applyFont="1" applyBorder="1" applyAlignment="1">
      <alignment horizontal="left"/>
    </xf>
    <xf numFmtId="41" fontId="23" fillId="0" borderId="2" xfId="2601" applyFont="1" applyBorder="1" applyAlignment="1">
      <alignment horizontal="left"/>
    </xf>
    <xf numFmtId="165" fontId="0" fillId="0" borderId="0" xfId="0" applyAlignment="1">
      <alignment horizontal="right"/>
    </xf>
    <xf numFmtId="165" fontId="20" fillId="35" borderId="24" xfId="0" applyFont="1" applyFill="1" applyBorder="1" applyAlignment="1">
      <alignment horizontal="center" vertical="center" wrapText="1"/>
    </xf>
    <xf numFmtId="41" fontId="23" fillId="34" borderId="0" xfId="2601" applyFont="1" applyFill="1"/>
    <xf numFmtId="165" fontId="23" fillId="34" borderId="0" xfId="0" applyFont="1" applyFill="1"/>
    <xf numFmtId="165" fontId="20" fillId="36" borderId="43" xfId="0" applyFont="1" applyFill="1" applyBorder="1" applyAlignment="1">
      <alignment horizontal="center" vertical="center" wrapText="1"/>
    </xf>
    <xf numFmtId="165" fontId="20" fillId="0" borderId="42" xfId="0" applyFont="1" applyBorder="1" applyAlignment="1">
      <alignment horizontal="center" vertical="center" wrapText="1"/>
    </xf>
    <xf numFmtId="41" fontId="23" fillId="38" borderId="3" xfId="2604" applyFont="1" applyFill="1" applyBorder="1"/>
    <xf numFmtId="41" fontId="23" fillId="38" borderId="38" xfId="2604" applyFont="1" applyFill="1" applyBorder="1"/>
    <xf numFmtId="41" fontId="23" fillId="38" borderId="45" xfId="2604" applyFont="1" applyFill="1" applyBorder="1"/>
    <xf numFmtId="165" fontId="23" fillId="37" borderId="0" xfId="0" applyFont="1" applyFill="1"/>
    <xf numFmtId="49" fontId="23" fillId="0" borderId="29" xfId="0" applyNumberFormat="1" applyFont="1" applyBorder="1"/>
    <xf numFmtId="49" fontId="23" fillId="37" borderId="0" xfId="0" applyNumberFormat="1" applyFont="1" applyFill="1"/>
    <xf numFmtId="0" fontId="23" fillId="37" borderId="0" xfId="0" applyNumberFormat="1" applyFont="1" applyFill="1"/>
    <xf numFmtId="1" fontId="19" fillId="37" borderId="0" xfId="0" applyNumberFormat="1" applyFont="1" applyFill="1"/>
    <xf numFmtId="49" fontId="23" fillId="37" borderId="0" xfId="0" applyNumberFormat="1" applyFont="1" applyFill="1" applyAlignment="1">
      <alignment horizontal="right"/>
    </xf>
    <xf numFmtId="41" fontId="23" fillId="37" borderId="0" xfId="2601" applyFont="1" applyFill="1" applyBorder="1"/>
    <xf numFmtId="41" fontId="23" fillId="37" borderId="0" xfId="2604" applyFont="1" applyFill="1" applyBorder="1"/>
    <xf numFmtId="165" fontId="23" fillId="38" borderId="3" xfId="0" applyFont="1" applyFill="1" applyBorder="1"/>
    <xf numFmtId="0" fontId="19" fillId="38" borderId="3" xfId="0" applyNumberFormat="1" applyFont="1" applyFill="1" applyBorder="1"/>
    <xf numFmtId="41" fontId="23" fillId="38" borderId="3" xfId="2601" applyFont="1" applyFill="1" applyBorder="1" applyAlignment="1">
      <alignment horizontal="center" vertical="center" wrapText="1"/>
    </xf>
    <xf numFmtId="41" fontId="23" fillId="38" borderId="3" xfId="2601" applyFont="1" applyFill="1" applyBorder="1"/>
    <xf numFmtId="41" fontId="23" fillId="38" borderId="29" xfId="2601" applyFont="1" applyFill="1" applyBorder="1"/>
    <xf numFmtId="165" fontId="23" fillId="38" borderId="29" xfId="0" applyFont="1" applyFill="1" applyBorder="1"/>
    <xf numFmtId="165" fontId="19" fillId="0" borderId="3" xfId="0" applyFont="1" applyBorder="1"/>
    <xf numFmtId="165" fontId="20" fillId="0" borderId="12" xfId="0" applyFont="1" applyBorder="1" applyAlignment="1">
      <alignment horizontal="center" vertical="center" wrapText="1"/>
    </xf>
    <xf numFmtId="165" fontId="20" fillId="0" borderId="24" xfId="0" applyFont="1" applyBorder="1" applyAlignment="1">
      <alignment horizontal="center" vertical="center" wrapText="1"/>
    </xf>
    <xf numFmtId="0" fontId="23" fillId="0" borderId="26" xfId="2601" applyNumberFormat="1" applyFont="1" applyBorder="1"/>
    <xf numFmtId="165" fontId="23" fillId="38" borderId="23" xfId="0" applyFont="1" applyFill="1" applyBorder="1"/>
    <xf numFmtId="0" fontId="23" fillId="0" borderId="30" xfId="2601" applyNumberFormat="1" applyFont="1" applyBorder="1"/>
    <xf numFmtId="0" fontId="20" fillId="0" borderId="10" xfId="2601" applyNumberFormat="1" applyFont="1" applyBorder="1"/>
    <xf numFmtId="165" fontId="23" fillId="38" borderId="11" xfId="0" applyFont="1" applyFill="1" applyBorder="1"/>
    <xf numFmtId="41" fontId="20" fillId="0" borderId="11" xfId="2601" applyFont="1" applyBorder="1"/>
    <xf numFmtId="41" fontId="20" fillId="0" borderId="25" xfId="2601" applyFont="1" applyBorder="1"/>
    <xf numFmtId="165" fontId="23" fillId="0" borderId="5" xfId="0" applyFont="1" applyBorder="1"/>
    <xf numFmtId="165" fontId="23" fillId="0" borderId="4" xfId="0" applyFont="1" applyBorder="1"/>
    <xf numFmtId="0" fontId="23" fillId="0" borderId="0" xfId="0" applyNumberFormat="1" applyFont="1" applyAlignment="1">
      <alignment horizontal="center"/>
    </xf>
    <xf numFmtId="41" fontId="20" fillId="0" borderId="0" xfId="2601" applyFont="1" applyBorder="1" applyAlignment="1">
      <alignment horizontal="left"/>
    </xf>
    <xf numFmtId="41" fontId="23" fillId="0" borderId="0" xfId="2601" applyFont="1" applyBorder="1"/>
    <xf numFmtId="165" fontId="22" fillId="0" borderId="0" xfId="0" applyFont="1"/>
    <xf numFmtId="41" fontId="23" fillId="0" borderId="0" xfId="2604" applyFont="1" applyBorder="1"/>
    <xf numFmtId="165" fontId="46" fillId="0" borderId="0" xfId="0" applyFont="1"/>
    <xf numFmtId="41" fontId="21" fillId="0" borderId="0" xfId="2601" applyFont="1" applyBorder="1" applyAlignment="1">
      <alignment horizontal="left"/>
    </xf>
    <xf numFmtId="165" fontId="21" fillId="0" borderId="0" xfId="0" applyFont="1"/>
    <xf numFmtId="41" fontId="21" fillId="0" borderId="0" xfId="2601" applyFont="1" applyBorder="1"/>
    <xf numFmtId="14" fontId="20" fillId="0" borderId="0" xfId="0" applyNumberFormat="1" applyFont="1"/>
    <xf numFmtId="41" fontId="20" fillId="0" borderId="0" xfId="2604" applyFont="1" applyBorder="1"/>
    <xf numFmtId="41" fontId="23" fillId="0" borderId="0" xfId="2601" applyFont="1" applyBorder="1" applyAlignment="1">
      <alignment horizontal="left"/>
    </xf>
    <xf numFmtId="17" fontId="22" fillId="33" borderId="0" xfId="0" applyNumberFormat="1" applyFont="1" applyFill="1"/>
    <xf numFmtId="165" fontId="23" fillId="0" borderId="28" xfId="0" applyFont="1" applyBorder="1"/>
    <xf numFmtId="168" fontId="20" fillId="0" borderId="12" xfId="0" applyNumberFormat="1" applyFont="1" applyBorder="1" applyAlignment="1">
      <alignment horizontal="center" vertical="center" wrapText="1"/>
    </xf>
    <xf numFmtId="41" fontId="23" fillId="38" borderId="29" xfId="2604" applyFont="1" applyFill="1" applyBorder="1"/>
    <xf numFmtId="41" fontId="23" fillId="0" borderId="47" xfId="2604" applyFont="1" applyBorder="1"/>
    <xf numFmtId="41" fontId="23" fillId="0" borderId="48" xfId="2604" applyFont="1" applyBorder="1"/>
    <xf numFmtId="41" fontId="23" fillId="0" borderId="38" xfId="2604" applyFont="1" applyBorder="1"/>
    <xf numFmtId="41" fontId="23" fillId="0" borderId="45" xfId="2604" applyFont="1" applyBorder="1"/>
    <xf numFmtId="49" fontId="23" fillId="0" borderId="26" xfId="0" applyNumberFormat="1" applyFont="1" applyBorder="1"/>
    <xf numFmtId="49" fontId="23" fillId="0" borderId="30" xfId="0" applyNumberFormat="1" applyFont="1" applyBorder="1"/>
    <xf numFmtId="165" fontId="20" fillId="0" borderId="33" xfId="0" applyFont="1" applyBorder="1"/>
    <xf numFmtId="165" fontId="20" fillId="0" borderId="44" xfId="0" applyFont="1" applyBorder="1"/>
    <xf numFmtId="41" fontId="20" fillId="40" borderId="12" xfId="2601" applyFont="1" applyFill="1" applyBorder="1"/>
    <xf numFmtId="41" fontId="20" fillId="40" borderId="9" xfId="2601" applyFont="1" applyFill="1" applyBorder="1"/>
    <xf numFmtId="41" fontId="23" fillId="38" borderId="39" xfId="2604" applyFont="1" applyFill="1" applyBorder="1"/>
    <xf numFmtId="165" fontId="23" fillId="40" borderId="23" xfId="0" applyFont="1" applyFill="1" applyBorder="1"/>
    <xf numFmtId="165" fontId="23" fillId="40" borderId="3" xfId="0" applyFont="1" applyFill="1" applyBorder="1"/>
    <xf numFmtId="41" fontId="23" fillId="40" borderId="23" xfId="2601" applyFont="1" applyFill="1" applyBorder="1" applyAlignment="1">
      <alignment horizontal="left"/>
    </xf>
    <xf numFmtId="41" fontId="23" fillId="40" borderId="3" xfId="2601" applyFont="1" applyFill="1" applyBorder="1" applyAlignment="1">
      <alignment horizontal="left"/>
    </xf>
    <xf numFmtId="49" fontId="23" fillId="40" borderId="23" xfId="0" applyNumberFormat="1" applyFont="1" applyFill="1" applyBorder="1" applyAlignment="1">
      <alignment horizontal="right"/>
    </xf>
    <xf numFmtId="49" fontId="23" fillId="40" borderId="3" xfId="0" applyNumberFormat="1" applyFont="1" applyFill="1" applyBorder="1" applyAlignment="1">
      <alignment horizontal="right"/>
    </xf>
    <xf numFmtId="41" fontId="23" fillId="0" borderId="0" xfId="2604" applyFont="1" applyFill="1" applyBorder="1"/>
    <xf numFmtId="49" fontId="23" fillId="0" borderId="0" xfId="0" applyNumberFormat="1" applyFont="1"/>
    <xf numFmtId="1" fontId="19" fillId="0" borderId="0" xfId="0" applyNumberFormat="1" applyFont="1"/>
    <xf numFmtId="0" fontId="19" fillId="0" borderId="0" xfId="0" applyNumberFormat="1" applyFont="1"/>
    <xf numFmtId="41" fontId="23" fillId="0" borderId="0" xfId="2601" applyFont="1" applyFill="1" applyBorder="1"/>
    <xf numFmtId="41" fontId="23" fillId="0" borderId="0" xfId="260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right"/>
    </xf>
    <xf numFmtId="0" fontId="19" fillId="0" borderId="29" xfId="0" applyNumberFormat="1" applyFont="1" applyBorder="1"/>
    <xf numFmtId="0" fontId="19" fillId="38" borderId="29" xfId="0" applyNumberFormat="1" applyFont="1" applyFill="1" applyBorder="1"/>
    <xf numFmtId="41" fontId="23" fillId="0" borderId="29" xfId="2601" applyFont="1" applyBorder="1" applyAlignment="1">
      <alignment horizontal="center" vertical="center" wrapText="1"/>
    </xf>
    <xf numFmtId="41" fontId="23" fillId="38" borderId="29" xfId="2601" applyFont="1" applyFill="1" applyBorder="1" applyAlignment="1">
      <alignment horizontal="center" vertical="center" wrapText="1"/>
    </xf>
    <xf numFmtId="41" fontId="23" fillId="0" borderId="0" xfId="2601" applyFont="1" applyFill="1"/>
    <xf numFmtId="0" fontId="23" fillId="34" borderId="0" xfId="0" applyNumberFormat="1" applyFont="1" applyFill="1"/>
    <xf numFmtId="41" fontId="23" fillId="34" borderId="0" xfId="2601" applyFont="1" applyFill="1" applyAlignment="1">
      <alignment horizontal="left"/>
    </xf>
    <xf numFmtId="41" fontId="47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5" fontId="47" fillId="38" borderId="12" xfId="0" applyFont="1" applyFill="1" applyBorder="1" applyAlignment="1">
      <alignment horizontal="center"/>
    </xf>
    <xf numFmtId="41" fontId="47" fillId="38" borderId="49" xfId="2604" applyFont="1" applyFill="1" applyBorder="1" applyAlignment="1">
      <alignment horizontal="center"/>
    </xf>
    <xf numFmtId="41" fontId="47" fillId="38" borderId="13" xfId="2604" applyFont="1" applyFill="1" applyBorder="1" applyAlignment="1">
      <alignment horizontal="center"/>
    </xf>
    <xf numFmtId="41" fontId="47" fillId="38" borderId="24" xfId="2604" applyFont="1" applyFill="1" applyBorder="1" applyAlignment="1">
      <alignment horizontal="center"/>
    </xf>
    <xf numFmtId="41" fontId="0" fillId="0" borderId="38" xfId="2601" applyFont="1" applyBorder="1"/>
    <xf numFmtId="41" fontId="0" fillId="0" borderId="45" xfId="2601" applyFont="1" applyBorder="1"/>
    <xf numFmtId="41" fontId="0" fillId="0" borderId="46" xfId="2601" applyFont="1" applyBorder="1" applyAlignment="1">
      <alignment horizontal="right"/>
    </xf>
    <xf numFmtId="0" fontId="20" fillId="0" borderId="44" xfId="0" applyNumberFormat="1" applyFont="1" applyBorder="1" applyAlignment="1">
      <alignment horizontal="center" vertical="center" wrapText="1"/>
    </xf>
    <xf numFmtId="0" fontId="23" fillId="0" borderId="50" xfId="0" applyNumberFormat="1" applyFont="1" applyBorder="1"/>
    <xf numFmtId="0" fontId="23" fillId="0" borderId="41" xfId="0" applyNumberFormat="1" applyFont="1" applyBorder="1"/>
    <xf numFmtId="169" fontId="0" fillId="0" borderId="30" xfId="0" applyNumberFormat="1" applyBorder="1"/>
    <xf numFmtId="41" fontId="0" fillId="0" borderId="30" xfId="2601" applyFont="1" applyBorder="1"/>
    <xf numFmtId="41" fontId="0" fillId="0" borderId="30" xfId="2601" applyFont="1" applyFill="1" applyBorder="1"/>
    <xf numFmtId="49" fontId="23" fillId="0" borderId="31" xfId="0" applyNumberFormat="1" applyFont="1" applyBorder="1" applyAlignment="1">
      <alignment horizontal="right"/>
    </xf>
    <xf numFmtId="165" fontId="0" fillId="0" borderId="31" xfId="0" applyBorder="1" applyAlignment="1">
      <alignment horizontal="right"/>
    </xf>
    <xf numFmtId="41" fontId="19" fillId="0" borderId="30" xfId="2601" applyFont="1" applyBorder="1" applyAlignment="1">
      <alignment horizontal="right"/>
    </xf>
    <xf numFmtId="165" fontId="0" fillId="0" borderId="25" xfId="0" applyBorder="1" applyAlignment="1">
      <alignment horizontal="right"/>
    </xf>
    <xf numFmtId="41" fontId="0" fillId="0" borderId="36" xfId="2601" applyFont="1" applyFill="1" applyBorder="1"/>
    <xf numFmtId="49" fontId="23" fillId="0" borderId="37" xfId="0" applyNumberFormat="1" applyFont="1" applyBorder="1" applyAlignment="1">
      <alignment horizontal="right"/>
    </xf>
    <xf numFmtId="165" fontId="20" fillId="41" borderId="12" xfId="0" applyFont="1" applyFill="1" applyBorder="1" applyAlignment="1">
      <alignment horizontal="left" vertical="center" wrapText="1"/>
    </xf>
    <xf numFmtId="165" fontId="20" fillId="41" borderId="13" xfId="0" applyFont="1" applyFill="1" applyBorder="1" applyAlignment="1">
      <alignment horizontal="center" vertical="center" wrapText="1"/>
    </xf>
    <xf numFmtId="165" fontId="20" fillId="41" borderId="24" xfId="0" applyFont="1" applyFill="1" applyBorder="1" applyAlignment="1">
      <alignment horizontal="right" vertical="center" wrapText="1"/>
    </xf>
    <xf numFmtId="165" fontId="20" fillId="41" borderId="3" xfId="0" applyFont="1" applyFill="1" applyBorder="1" applyAlignment="1">
      <alignment horizontal="left" vertical="center" wrapText="1"/>
    </xf>
    <xf numFmtId="165" fontId="20" fillId="41" borderId="3" xfId="0" applyFont="1" applyFill="1" applyBorder="1" applyAlignment="1">
      <alignment horizontal="center" vertical="center" wrapText="1"/>
    </xf>
    <xf numFmtId="41" fontId="23" fillId="0" borderId="3" xfId="2604" applyFont="1" applyFill="1" applyBorder="1"/>
    <xf numFmtId="165" fontId="23" fillId="42" borderId="0" xfId="0" applyFont="1" applyFill="1"/>
    <xf numFmtId="165" fontId="20" fillId="0" borderId="5" xfId="0" applyFont="1" applyBorder="1"/>
    <xf numFmtId="165" fontId="20" fillId="0" borderId="4" xfId="0" applyFont="1" applyBorder="1"/>
    <xf numFmtId="165" fontId="23" fillId="33" borderId="0" xfId="0" applyFont="1" applyFill="1"/>
    <xf numFmtId="165" fontId="20" fillId="0" borderId="13" xfId="0" applyFont="1" applyBorder="1" applyAlignment="1">
      <alignment horizontal="center" vertical="center" wrapText="1"/>
    </xf>
    <xf numFmtId="0" fontId="20" fillId="0" borderId="12" xfId="0" applyNumberFormat="1" applyFont="1" applyBorder="1" applyAlignment="1">
      <alignment horizontal="center" vertical="center" wrapText="1"/>
    </xf>
    <xf numFmtId="0" fontId="20" fillId="0" borderId="24" xfId="0" applyNumberFormat="1" applyFont="1" applyBorder="1" applyAlignment="1">
      <alignment horizontal="center" vertical="center" wrapText="1"/>
    </xf>
    <xf numFmtId="14" fontId="23" fillId="0" borderId="36" xfId="0" applyNumberFormat="1" applyFont="1" applyBorder="1"/>
    <xf numFmtId="14" fontId="23" fillId="0" borderId="29" xfId="0" applyNumberFormat="1" applyFont="1" applyBorder="1"/>
    <xf numFmtId="41" fontId="23" fillId="0" borderId="29" xfId="2604" applyFont="1" applyFill="1" applyBorder="1"/>
    <xf numFmtId="1" fontId="23" fillId="0" borderId="37" xfId="2604" applyNumberFormat="1" applyFont="1" applyFill="1" applyBorder="1"/>
    <xf numFmtId="14" fontId="23" fillId="0" borderId="30" xfId="0" applyNumberFormat="1" applyFont="1" applyBorder="1"/>
    <xf numFmtId="1" fontId="23" fillId="0" borderId="31" xfId="2604" applyNumberFormat="1" applyFont="1" applyFill="1" applyBorder="1"/>
    <xf numFmtId="165" fontId="23" fillId="0" borderId="0" xfId="0" applyFont="1" applyAlignment="1">
      <alignment horizontal="left" vertical="top"/>
    </xf>
    <xf numFmtId="1" fontId="23" fillId="0" borderId="31" xfId="2604" applyNumberFormat="1" applyFont="1" applyBorder="1"/>
    <xf numFmtId="14" fontId="23" fillId="0" borderId="32" xfId="0" applyNumberFormat="1" applyFont="1" applyBorder="1"/>
    <xf numFmtId="14" fontId="23" fillId="0" borderId="51" xfId="0" applyNumberFormat="1" applyFont="1" applyBorder="1"/>
    <xf numFmtId="49" fontId="23" fillId="0" borderId="51" xfId="0" applyNumberFormat="1" applyFont="1" applyBorder="1"/>
    <xf numFmtId="41" fontId="23" fillId="0" borderId="51" xfId="2604" applyFont="1" applyBorder="1"/>
    <xf numFmtId="14" fontId="23" fillId="0" borderId="12" xfId="0" applyNumberFormat="1" applyFont="1" applyBorder="1"/>
    <xf numFmtId="14" fontId="23" fillId="0" borderId="13" xfId="0" applyNumberFormat="1" applyFont="1" applyBorder="1"/>
    <xf numFmtId="49" fontId="20" fillId="0" borderId="13" xfId="0" applyNumberFormat="1" applyFont="1" applyBorder="1" applyAlignment="1">
      <alignment horizontal="right"/>
    </xf>
    <xf numFmtId="41" fontId="20" fillId="0" borderId="13" xfId="2604" applyFont="1" applyBorder="1"/>
    <xf numFmtId="1" fontId="23" fillId="0" borderId="24" xfId="2604" applyNumberFormat="1" applyFont="1" applyBorder="1"/>
    <xf numFmtId="14" fontId="23" fillId="0" borderId="0" xfId="0" applyNumberFormat="1" applyFont="1"/>
    <xf numFmtId="41" fontId="20" fillId="0" borderId="0" xfId="0" applyNumberFormat="1" applyFont="1"/>
    <xf numFmtId="1" fontId="23" fillId="0" borderId="0" xfId="0" applyNumberFormat="1" applyFont="1"/>
    <xf numFmtId="41" fontId="23" fillId="0" borderId="0" xfId="2604" applyFont="1"/>
    <xf numFmtId="14" fontId="23" fillId="0" borderId="53" xfId="0" applyNumberFormat="1" applyFont="1" applyBorder="1"/>
    <xf numFmtId="14" fontId="23" fillId="0" borderId="52" xfId="0" applyNumberFormat="1" applyFont="1" applyBorder="1"/>
    <xf numFmtId="0" fontId="23" fillId="0" borderId="52" xfId="0" applyNumberFormat="1" applyFont="1" applyBorder="1" applyAlignment="1">
      <alignment horizontal="center"/>
    </xf>
    <xf numFmtId="14" fontId="23" fillId="0" borderId="52" xfId="0" applyNumberFormat="1" applyFont="1" applyBorder="1" applyAlignment="1">
      <alignment horizontal="center"/>
    </xf>
    <xf numFmtId="0" fontId="23" fillId="0" borderId="54" xfId="0" applyNumberFormat="1" applyFont="1" applyBorder="1" applyAlignment="1">
      <alignment horizontal="center"/>
    </xf>
    <xf numFmtId="0" fontId="23" fillId="0" borderId="38" xfId="0" applyNumberFormat="1" applyFont="1" applyBorder="1" applyAlignment="1">
      <alignment horizontal="center"/>
    </xf>
    <xf numFmtId="0" fontId="23" fillId="0" borderId="39" xfId="0" applyNumberFormat="1" applyFont="1" applyBorder="1" applyAlignment="1">
      <alignment horizontal="center"/>
    </xf>
    <xf numFmtId="0" fontId="23" fillId="0" borderId="45" xfId="0" applyNumberFormat="1" applyFont="1" applyBorder="1" applyAlignment="1">
      <alignment horizontal="center"/>
    </xf>
    <xf numFmtId="0" fontId="23" fillId="0" borderId="46" xfId="0" applyNumberFormat="1" applyFont="1" applyBorder="1" applyAlignment="1">
      <alignment horizontal="center"/>
    </xf>
    <xf numFmtId="41" fontId="23" fillId="0" borderId="29" xfId="2601" applyFont="1" applyFill="1" applyBorder="1"/>
    <xf numFmtId="41" fontId="23" fillId="0" borderId="23" xfId="2604" applyFont="1" applyFill="1" applyBorder="1"/>
    <xf numFmtId="41" fontId="23" fillId="0" borderId="34" xfId="2604" applyFont="1" applyFill="1" applyBorder="1"/>
    <xf numFmtId="41" fontId="23" fillId="0" borderId="35" xfId="2604" applyFont="1" applyFill="1" applyBorder="1"/>
    <xf numFmtId="14" fontId="23" fillId="0" borderId="3" xfId="0" applyNumberFormat="1" applyFont="1" applyBorder="1" applyAlignment="1">
      <alignment horizontal="left"/>
    </xf>
    <xf numFmtId="49" fontId="23" fillId="0" borderId="30" xfId="0" quotePrefix="1" applyNumberFormat="1" applyFont="1" applyBorder="1"/>
    <xf numFmtId="165" fontId="23" fillId="38" borderId="23" xfId="0" applyFont="1" applyFill="1" applyBorder="1" applyAlignment="1">
      <alignment horizontal="left"/>
    </xf>
    <xf numFmtId="165" fontId="23" fillId="38" borderId="3" xfId="0" applyFont="1" applyFill="1" applyBorder="1" applyAlignment="1">
      <alignment horizontal="left"/>
    </xf>
    <xf numFmtId="165" fontId="23" fillId="38" borderId="11" xfId="0" applyFont="1" applyFill="1" applyBorder="1" applyAlignment="1">
      <alignment horizontal="left"/>
    </xf>
    <xf numFmtId="165" fontId="23" fillId="0" borderId="0" xfId="0" applyFont="1" applyAlignment="1">
      <alignment horizontal="left"/>
    </xf>
    <xf numFmtId="0" fontId="23" fillId="0" borderId="1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3" fillId="0" borderId="2" xfId="0" applyNumberFormat="1" applyFont="1" applyBorder="1" applyAlignment="1">
      <alignment horizontal="left"/>
    </xf>
    <xf numFmtId="0" fontId="20" fillId="0" borderId="33" xfId="0" applyNumberFormat="1" applyFont="1" applyBorder="1" applyAlignment="1">
      <alignment horizontal="left" vertical="center" wrapText="1"/>
    </xf>
    <xf numFmtId="14" fontId="23" fillId="0" borderId="29" xfId="0" applyNumberFormat="1" applyFont="1" applyBorder="1" applyAlignment="1">
      <alignment horizontal="left"/>
    </xf>
    <xf numFmtId="14" fontId="23" fillId="0" borderId="0" xfId="0" applyNumberFormat="1" applyFont="1" applyAlignment="1">
      <alignment horizontal="left"/>
    </xf>
    <xf numFmtId="14" fontId="23" fillId="37" borderId="0" xfId="0" applyNumberFormat="1" applyFont="1" applyFill="1" applyAlignment="1">
      <alignment horizontal="left"/>
    </xf>
    <xf numFmtId="165" fontId="23" fillId="34" borderId="0" xfId="0" applyFont="1" applyFill="1" applyAlignment="1">
      <alignment horizontal="left"/>
    </xf>
    <xf numFmtId="41" fontId="0" fillId="0" borderId="3" xfId="2601" applyFont="1" applyFill="1" applyBorder="1"/>
    <xf numFmtId="165" fontId="20" fillId="37" borderId="9" xfId="0" applyFont="1" applyFill="1" applyBorder="1" applyAlignment="1">
      <alignment horizontal="center" vertical="center" wrapText="1"/>
    </xf>
    <xf numFmtId="165" fontId="20" fillId="37" borderId="12" xfId="0" applyFont="1" applyFill="1" applyBorder="1" applyAlignment="1">
      <alignment horizontal="center" vertical="center" wrapText="1"/>
    </xf>
    <xf numFmtId="165" fontId="20" fillId="37" borderId="24" xfId="0" applyFont="1" applyFill="1" applyBorder="1" applyAlignment="1">
      <alignment horizontal="center" vertical="center" wrapText="1"/>
    </xf>
    <xf numFmtId="41" fontId="19" fillId="0" borderId="0" xfId="2604" applyFont="1"/>
    <xf numFmtId="41" fontId="23" fillId="0" borderId="29" xfId="2601" applyFont="1" applyFill="1" applyBorder="1" applyAlignment="1">
      <alignment horizontal="center" vertical="center" wrapText="1"/>
    </xf>
    <xf numFmtId="165" fontId="19" fillId="0" borderId="11" xfId="0" applyFont="1" applyBorder="1"/>
    <xf numFmtId="14" fontId="23" fillId="0" borderId="4" xfId="0" applyNumberFormat="1" applyFont="1" applyBorder="1"/>
    <xf numFmtId="165" fontId="22" fillId="0" borderId="28" xfId="0" applyFont="1" applyBorder="1"/>
    <xf numFmtId="165" fontId="23" fillId="0" borderId="8" xfId="0" applyFont="1" applyBorder="1"/>
    <xf numFmtId="41" fontId="0" fillId="0" borderId="10" xfId="2604" applyFont="1" applyFill="1" applyBorder="1"/>
    <xf numFmtId="3" fontId="0" fillId="0" borderId="0" xfId="0" applyNumberFormat="1"/>
    <xf numFmtId="165" fontId="19" fillId="0" borderId="29" xfId="0" applyFont="1" applyBorder="1"/>
  </cellXfs>
  <cellStyles count="520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497417</xdr:colOff>
      <xdr:row>5</xdr:row>
      <xdr:rowOff>84666</xdr:rowOff>
    </xdr:from>
    <xdr:to>
      <xdr:col>3</xdr:col>
      <xdr:colOff>134408</xdr:colOff>
      <xdr:row>10</xdr:row>
      <xdr:rowOff>45011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7" y="878416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66675</xdr:rowOff>
    </xdr:from>
    <xdr:to>
      <xdr:col>2</xdr:col>
      <xdr:colOff>714375</xdr:colOff>
      <xdr:row>6</xdr:row>
      <xdr:rowOff>118037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860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455084</xdr:colOff>
      <xdr:row>4</xdr:row>
      <xdr:rowOff>116417</xdr:rowOff>
    </xdr:from>
    <xdr:to>
      <xdr:col>3</xdr:col>
      <xdr:colOff>151342</xdr:colOff>
      <xdr:row>9</xdr:row>
      <xdr:rowOff>93696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84" y="751417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  <pageSetUpPr fitToPage="1"/>
  </sheetPr>
  <dimension ref="A1:WWA880"/>
  <sheetViews>
    <sheetView zoomScale="90" zoomScaleNormal="90" workbookViewId="0">
      <selection activeCell="H1" sqref="H1"/>
    </sheetView>
  </sheetViews>
  <sheetFormatPr baseColWidth="10" defaultRowHeight="12.5"/>
  <cols>
    <col min="1" max="1" width="4.54296875" style="1" customWidth="1"/>
    <col min="2" max="2" width="12.453125" style="1" customWidth="1"/>
    <col min="3" max="3" width="15.453125" style="1" customWidth="1"/>
    <col min="4" max="4" width="10" style="20" bestFit="1" customWidth="1"/>
    <col min="5" max="5" width="8.453125" style="60" customWidth="1"/>
    <col min="6" max="6" width="22.54296875" style="1" customWidth="1"/>
    <col min="7" max="7" width="7.453125" style="8" customWidth="1"/>
    <col min="8" max="8" width="22.54296875" style="8" customWidth="1"/>
    <col min="9" max="9" width="13" style="1" customWidth="1"/>
    <col min="10" max="10" width="13.54296875" style="1" hidden="1" customWidth="1"/>
    <col min="11" max="11" width="14.453125" style="1" hidden="1" customWidth="1"/>
    <col min="12" max="14" width="13.54296875" style="1" hidden="1" customWidth="1"/>
    <col min="15" max="15" width="14.453125" style="1" hidden="1" customWidth="1"/>
    <col min="16" max="17" width="13.54296875" style="1" hidden="1" customWidth="1"/>
    <col min="18" max="18" width="13.54296875" style="1" customWidth="1"/>
    <col min="19" max="19" width="14.453125" style="1" bestFit="1" customWidth="1"/>
    <col min="20" max="20" width="13.54296875" style="1" customWidth="1"/>
    <col min="21" max="21" width="14.453125" style="1" customWidth="1"/>
    <col min="22" max="22" width="13.54296875" style="1" customWidth="1"/>
    <col min="23" max="23" width="14.453125" style="1" customWidth="1"/>
    <col min="24" max="24" width="11.453125" style="1" customWidth="1"/>
    <col min="25" max="25" width="11.81640625" style="1" customWidth="1"/>
    <col min="26" max="26" width="3.54296875" style="1" customWidth="1"/>
    <col min="27" max="27" width="2.54296875" style="142" customWidth="1"/>
    <col min="28" max="28" width="3.453125" style="1" customWidth="1"/>
    <col min="29" max="29" width="11.453125" style="1" bestFit="1" customWidth="1"/>
    <col min="30" max="30" width="14.54296875" style="1" bestFit="1" customWidth="1"/>
    <col min="31" max="31" width="14" style="1" bestFit="1" customWidth="1"/>
    <col min="32" max="32" width="13.453125" style="1" bestFit="1" customWidth="1"/>
    <col min="33" max="33" width="12.81640625" style="1" bestFit="1" customWidth="1"/>
    <col min="34" max="34" width="4.453125" style="1" customWidth="1"/>
    <col min="35" max="35" width="12" style="1" bestFit="1" customWidth="1"/>
    <col min="36" max="36" width="14.54296875" style="1" bestFit="1" customWidth="1"/>
    <col min="37" max="37" width="13.1796875" style="1" bestFit="1" customWidth="1"/>
    <col min="38" max="38" width="12.81640625" style="1" bestFit="1" customWidth="1"/>
    <col min="39" max="39" width="2.54296875" style="1" customWidth="1"/>
    <col min="40" max="40" width="2.54296875" style="142" customWidth="1"/>
    <col min="41" max="16127" width="11.453125" style="1"/>
    <col min="16130" max="16384" width="11.453125" style="1"/>
  </cols>
  <sheetData>
    <row r="1" spans="2:40 16128:16147" ht="13" customHeight="1">
      <c r="C1" s="89">
        <f>VALUE(C3&amp;1)</f>
        <v>2026091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3020</v>
      </c>
      <c r="S1" s="18">
        <f t="shared" si="0"/>
        <v>137371512</v>
      </c>
      <c r="T1" s="18">
        <f t="shared" si="0"/>
        <v>3020</v>
      </c>
      <c r="U1" s="18">
        <f t="shared" si="0"/>
        <v>137371512</v>
      </c>
      <c r="V1" s="18">
        <f t="shared" si="0"/>
        <v>3020</v>
      </c>
      <c r="W1" s="18">
        <f t="shared" si="0"/>
        <v>137371512</v>
      </c>
      <c r="X1" s="18">
        <f t="shared" si="0"/>
        <v>0</v>
      </c>
      <c r="Y1" s="10">
        <f t="shared" si="0"/>
        <v>0</v>
      </c>
      <c r="AA1" s="66"/>
      <c r="AD1" s="18">
        <f>AD38+AD66+AD94+AD122+AD150+AD178+AD206+AD234+AD262+AD290+AD318+AD346+AD374+AD402+AD430</f>
        <v>0</v>
      </c>
      <c r="AE1" s="18">
        <f>AE38+AE66+AE94+AE122+AE150+AE178+AE206+AE234+AE262+AE290+AE318+AE346+AE374+AE402+AE430</f>
        <v>0</v>
      </c>
      <c r="AF1" s="18">
        <f>AF38+AF66+AF94+AF122+AF150+AF178+AF206+AF234+AF262+AF290+AF318+AF346+AF374+AF402+AF430</f>
        <v>0</v>
      </c>
      <c r="AG1" s="10">
        <f>AG38+AG66+AG94+AG122+AG150+AG178+AG206+AG234+AG262+AG290+AG318+AG346+AG374+AG402+AG430</f>
        <v>0</v>
      </c>
      <c r="AI1" s="18">
        <f>AI38+AI66+AI94+AI122+AI150+AI178+AI206+AI234+AI262+AI290+AI318+AI346+AI374+AI402+AI430</f>
        <v>0</v>
      </c>
      <c r="AJ1" s="18">
        <f>AJ38+AJ66+AJ94+AJ122+AJ150+AJ178+AJ206+AJ234+AJ262+AJ290+AJ318+AJ346+AJ374+AJ402+AJ430</f>
        <v>0</v>
      </c>
      <c r="AK1" s="18">
        <f>AK38+AK66+AK94+AK122+AK150+AK178+AK206+AK234+AK262+AK290+AK318+AK346+AK374+AK402+AK430</f>
        <v>0</v>
      </c>
      <c r="AL1" s="10">
        <f>AL38+AL66+AL94+AL122+AL150+AL178+AL206+AL234+AL262+AL290+AL318+AL346+AL374+AL402+AL430</f>
        <v>0</v>
      </c>
      <c r="AN1" s="66"/>
      <c r="WVH1" s="1"/>
      <c r="WVI1" s="1"/>
    </row>
    <row r="2" spans="2:40 16128:16147" ht="13" customHeight="1">
      <c r="C2" s="91">
        <f>VALUE(C3&amp;2)</f>
        <v>2026092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521</v>
      </c>
      <c r="S2" s="36">
        <f t="shared" si="1"/>
        <v>33627704</v>
      </c>
      <c r="T2" s="36">
        <f t="shared" si="1"/>
        <v>521</v>
      </c>
      <c r="U2" s="36">
        <f t="shared" si="1"/>
        <v>33627704</v>
      </c>
      <c r="V2" s="36">
        <f t="shared" si="1"/>
        <v>521</v>
      </c>
      <c r="W2" s="36">
        <f t="shared" si="1"/>
        <v>33627704</v>
      </c>
      <c r="X2" s="36">
        <f t="shared" si="1"/>
        <v>0</v>
      </c>
      <c r="Y2" s="9">
        <f t="shared" si="1"/>
        <v>0</v>
      </c>
      <c r="AA2" s="66"/>
      <c r="AD2" s="36">
        <f>AD458+AD486+AD514+AD542+AD570+AD598+AD626+AD654+AD682+AD710+AD738+AD766+AD794+AD822+AD850+AD878</f>
        <v>0</v>
      </c>
      <c r="AE2" s="36">
        <f>AE458+AE486+AE514+AE542+AE570+AE598+AE626+AE654+AE682+AE710+AE738+AE766+AE794+AE822+AE850+AE878</f>
        <v>0</v>
      </c>
      <c r="AF2" s="36">
        <f>AF458+AF486+AF514+AF542+AF570+AF598+AF626+AF654+AF682+AF710+AF738+AF766+AF794+AF822+AF850+AF878</f>
        <v>0</v>
      </c>
      <c r="AG2" s="9">
        <f>AG458+AG486+AG514+AG542+AG570+AG598+AG626+AG654+AG682+AG710+AG738+AG766+AG794+AG822+AG850+AG878</f>
        <v>0</v>
      </c>
      <c r="AI2" s="36">
        <f>AI458+AI486+AI514+AI542+AI570+AI598+AI626+AI654+AI682+AI710+AI738+AI766+AI794+AI822+AI850+AI878</f>
        <v>0</v>
      </c>
      <c r="AJ2" s="36">
        <f>AJ458+AJ486+AJ514+AJ542+AJ570+AJ598+AJ626+AJ654+AJ682+AJ710+AJ738+AJ766+AJ794+AJ822+AJ850+AJ878</f>
        <v>0</v>
      </c>
      <c r="AK2" s="36">
        <f>AK458+AK486+AK514+AK542+AK570+AK598+AK626+AK654+AK682+AK710+AK738+AK766+AK794+AK822+AK850+AK878</f>
        <v>0</v>
      </c>
      <c r="AL2" s="9">
        <f>AL458+AL486+AL514+AL542+AL570+AL598+AL626+AL654+AL682+AL710+AL738+AL766+AL794+AL822+AL850+AL878</f>
        <v>0</v>
      </c>
      <c r="AN2" s="66"/>
      <c r="WVH2" s="1"/>
      <c r="WVI2" s="1"/>
    </row>
    <row r="3" spans="2:40 16128:16147" ht="13" customHeight="1" thickBot="1">
      <c r="C3" s="92">
        <v>202609</v>
      </c>
      <c r="D3" s="93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3541</v>
      </c>
      <c r="S3" s="94">
        <f t="shared" si="2"/>
        <v>170999216</v>
      </c>
      <c r="T3" s="94">
        <f t="shared" si="2"/>
        <v>3541</v>
      </c>
      <c r="U3" s="94">
        <f t="shared" si="2"/>
        <v>170999216</v>
      </c>
      <c r="V3" s="94">
        <f t="shared" si="2"/>
        <v>3541</v>
      </c>
      <c r="W3" s="94">
        <f t="shared" si="2"/>
        <v>170999216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  <c r="WVH3" s="1"/>
      <c r="WVI3" s="1"/>
    </row>
    <row r="4" spans="2:40 16128:16147" ht="13" customHeight="1" thickBot="1">
      <c r="AA4" s="65"/>
      <c r="AN4" s="65"/>
    </row>
    <row r="5" spans="2:40 16128:16147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N5" s="66"/>
      <c r="WVH5" s="1"/>
      <c r="WVI5" s="1"/>
      <c r="WVZ5"/>
      <c r="WWA5"/>
    </row>
    <row r="6" spans="2:40 16128:16147" ht="15.5">
      <c r="B6" s="97"/>
      <c r="C6" s="20"/>
      <c r="D6" s="98"/>
      <c r="E6" s="99"/>
      <c r="G6" s="100"/>
      <c r="H6" s="101" t="s">
        <v>26</v>
      </c>
      <c r="W6" s="102"/>
      <c r="Y6" s="5"/>
      <c r="AA6" s="66"/>
      <c r="AN6" s="66"/>
      <c r="WVH6" s="1"/>
      <c r="WVI6" s="1"/>
      <c r="WVZ6"/>
      <c r="WWA6"/>
    </row>
    <row r="7" spans="2:40 16128:16147" ht="15.5">
      <c r="B7" s="97"/>
      <c r="C7" s="20"/>
      <c r="D7" s="98"/>
      <c r="E7" s="99"/>
      <c r="G7" s="100"/>
      <c r="H7" s="101" t="s">
        <v>24</v>
      </c>
      <c r="Y7" s="5"/>
      <c r="AA7" s="66"/>
      <c r="AN7" s="66"/>
      <c r="WVH7" s="1"/>
      <c r="WVI7" s="1"/>
      <c r="WVZ7"/>
      <c r="WWA7"/>
    </row>
    <row r="8" spans="2:40 16128:16147" ht="15.5">
      <c r="B8" s="97"/>
      <c r="C8" s="20"/>
      <c r="D8" s="98"/>
      <c r="E8" s="99"/>
      <c r="G8" s="100"/>
      <c r="H8" s="103" t="s">
        <v>5</v>
      </c>
      <c r="Y8" s="5"/>
      <c r="AA8" s="66"/>
      <c r="AN8" s="66"/>
      <c r="WVH8" s="1"/>
      <c r="WVI8" s="1"/>
      <c r="WVZ8"/>
      <c r="WWA8"/>
    </row>
    <row r="9" spans="2:40 16128:16147" ht="13.5" customHeight="1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H9" s="1"/>
      <c r="WVI9" s="1"/>
      <c r="WVZ9"/>
      <c r="WWA9"/>
    </row>
    <row r="10" spans="2:40 16128:16147" ht="13.5" customHeight="1">
      <c r="B10" s="97"/>
      <c r="C10" s="20"/>
      <c r="D10" s="98"/>
      <c r="E10" s="109"/>
      <c r="G10" s="100"/>
      <c r="H10" s="110" t="str">
        <f>SUBSTITUTE(UPPER(TEXT(DATE(LEFT(C3,4),RIGHT(C3,2),1),"MMMM YYYY"))," ","_")</f>
        <v>SEPTIEMBRE_2026</v>
      </c>
      <c r="I10" s="102"/>
      <c r="J10" s="1" t="s">
        <v>68</v>
      </c>
      <c r="M10" s="102"/>
      <c r="O10" s="102"/>
      <c r="Q10" s="102"/>
      <c r="S10" s="102"/>
      <c r="T10" s="102"/>
      <c r="U10" s="102"/>
      <c r="V10" s="102"/>
      <c r="Y10" s="29"/>
      <c r="AA10" s="66"/>
      <c r="AN10" s="66"/>
      <c r="WVH10" s="1"/>
      <c r="WVI10" s="1"/>
      <c r="WVZ10"/>
      <c r="WWA10"/>
    </row>
    <row r="11" spans="2:40 16128:16147" ht="13.5" customHeight="1" thickBot="1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H11" s="1"/>
      <c r="WVI11" s="1"/>
      <c r="WVZ11"/>
      <c r="WWA11"/>
    </row>
    <row r="12" spans="2:40 16128:16147" ht="41.25" customHeight="1" thickBot="1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12" t="s">
        <v>8</v>
      </c>
      <c r="K12" s="12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87" t="s">
        <v>12</v>
      </c>
      <c r="S12" s="88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AC12" s="12" t="s">
        <v>34</v>
      </c>
      <c r="AD12" s="12" t="s">
        <v>45</v>
      </c>
      <c r="AE12" s="12" t="s">
        <v>43</v>
      </c>
      <c r="AF12" s="12" t="s">
        <v>44</v>
      </c>
      <c r="AG12" s="12" t="s">
        <v>46</v>
      </c>
      <c r="AI12" s="12" t="s">
        <v>33</v>
      </c>
      <c r="AJ12" s="12" t="s">
        <v>47</v>
      </c>
      <c r="AK12" s="12" t="s">
        <v>48</v>
      </c>
      <c r="AL12" s="12" t="s">
        <v>46</v>
      </c>
      <c r="AN12" s="66"/>
      <c r="WVH12" s="1"/>
      <c r="WVI12" s="1"/>
      <c r="WVZ12"/>
      <c r="WWA12"/>
    </row>
    <row r="13" spans="2:40 16128:16147" ht="12.75" customHeight="1">
      <c r="B13" s="119" t="s">
        <v>71</v>
      </c>
      <c r="C13" s="24">
        <f>IF(D13&lt;=15,$C$1,$C$2)</f>
        <v>2026091</v>
      </c>
      <c r="D13" s="24">
        <v>1</v>
      </c>
      <c r="E13" s="127">
        <v>20</v>
      </c>
      <c r="F13" s="125" t="str">
        <f>VLOOKUP(E13,'Códigos bancos'!$B$4:$C$29,2,0)</f>
        <v>Bancolombia ENERBIT</v>
      </c>
      <c r="G13" s="18">
        <v>1</v>
      </c>
      <c r="H13" s="125" t="str">
        <f>VLOOKUP(G13,'Códigos bancos'!$F$4:$G$14,2,0)</f>
        <v>Oficinas</v>
      </c>
      <c r="I13" s="129"/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144</v>
      </c>
      <c r="S13" s="214">
        <v>6520660</v>
      </c>
      <c r="T13" s="70">
        <f>J13+L13+N13+P13+R13</f>
        <v>144</v>
      </c>
      <c r="U13" s="70">
        <f>K13+M13+O13+Q13+S13</f>
        <v>6520660</v>
      </c>
      <c r="V13" s="116">
        <v>144</v>
      </c>
      <c r="W13" s="116">
        <v>6520660</v>
      </c>
      <c r="X13" s="70">
        <f>V13-T13</f>
        <v>0</v>
      </c>
      <c r="Y13" s="70">
        <f>W13-U13</f>
        <v>0</v>
      </c>
      <c r="AA13" s="65"/>
      <c r="AC13" s="124">
        <f>X13</f>
        <v>0</v>
      </c>
      <c r="AD13" s="115"/>
      <c r="AE13" s="16"/>
      <c r="AF13" s="114"/>
      <c r="AG13" s="124" t="b">
        <f>AC13=(AD13+AE13+AF13)</f>
        <v>1</v>
      </c>
      <c r="AI13" s="70">
        <f>Y13</f>
        <v>0</v>
      </c>
      <c r="AJ13" s="115"/>
      <c r="AK13" s="114"/>
      <c r="AL13" s="70" t="b">
        <f>AI13=(AJ13+AK13)</f>
        <v>1</v>
      </c>
      <c r="AN13" s="65"/>
    </row>
    <row r="14" spans="2:40 16128:16147" ht="12.75" customHeight="1">
      <c r="B14" s="119"/>
      <c r="C14" s="23">
        <f t="shared" ref="C14:C37" si="3">IF(D14&lt;=15,$C$1,$C$2)</f>
        <v>2026091</v>
      </c>
      <c r="D14" s="23">
        <v>1</v>
      </c>
      <c r="E14" s="128">
        <v>0</v>
      </c>
      <c r="F14" s="126" t="e">
        <f>VLOOKUP(E14,'Códigos bancos'!$B$4:$C$29,2,0)</f>
        <v>#N/A</v>
      </c>
      <c r="G14" s="36">
        <v>1</v>
      </c>
      <c r="H14" s="126" t="str">
        <f>VLOOKUP(G14,'Códigos bancos'!$F$4:$G$14,2,0)</f>
        <v>Oficinas</v>
      </c>
      <c r="I14" s="130"/>
      <c r="J14" s="174">
        <v>0</v>
      </c>
      <c r="K14" s="174">
        <v>0</v>
      </c>
      <c r="L14" s="174">
        <v>0</v>
      </c>
      <c r="M14" s="174">
        <v>0</v>
      </c>
      <c r="N14" s="174">
        <v>0</v>
      </c>
      <c r="O14" s="174">
        <v>0</v>
      </c>
      <c r="P14" s="174">
        <v>0</v>
      </c>
      <c r="Q14" s="174">
        <v>0</v>
      </c>
      <c r="R14" s="174">
        <v>0</v>
      </c>
      <c r="S14" s="215"/>
      <c r="T14" s="71">
        <f t="shared" ref="T14:T37" si="4">J14+L14+N14+P14+R14</f>
        <v>0</v>
      </c>
      <c r="U14" s="71">
        <f t="shared" ref="U14:U37" si="5">K14+M14+O14+Q14+S14</f>
        <v>0</v>
      </c>
      <c r="V14" s="117">
        <v>0</v>
      </c>
      <c r="W14" s="117"/>
      <c r="X14" s="71">
        <f t="shared" ref="X14:X37" si="6">V14-T14</f>
        <v>0</v>
      </c>
      <c r="Y14" s="71">
        <f t="shared" ref="Y14:Y37" si="7">W14-U14</f>
        <v>0</v>
      </c>
      <c r="AA14" s="65"/>
      <c r="AC14" s="71">
        <f t="shared" ref="AC14:AC37" si="8">X14</f>
        <v>0</v>
      </c>
      <c r="AD14" s="39"/>
      <c r="AE14" s="7"/>
      <c r="AF14" s="15"/>
      <c r="AG14" s="71" t="b">
        <f t="shared" ref="AG14:AG37" si="9">AC14=(AD14+AE14+AF14)</f>
        <v>1</v>
      </c>
      <c r="AI14" s="71">
        <f t="shared" ref="AI14:AI37" si="10">Y14</f>
        <v>0</v>
      </c>
      <c r="AJ14" s="39"/>
      <c r="AK14" s="15"/>
      <c r="AL14" s="71" t="b">
        <f t="shared" ref="AL14:AL37" si="11">AI14=(AJ14+AK14)</f>
        <v>1</v>
      </c>
      <c r="AN14" s="65"/>
    </row>
    <row r="15" spans="2:40 16128:16147" ht="13" customHeight="1">
      <c r="B15" s="119"/>
      <c r="C15" s="23">
        <f t="shared" si="3"/>
        <v>2026091</v>
      </c>
      <c r="D15" s="23">
        <v>1</v>
      </c>
      <c r="E15" s="128">
        <v>0</v>
      </c>
      <c r="F15" s="126" t="e">
        <f>VLOOKUP(E15,'Códigos bancos'!$B$4:$C$29,2,0)</f>
        <v>#N/A</v>
      </c>
      <c r="G15" s="36">
        <v>1</v>
      </c>
      <c r="H15" s="126" t="str">
        <f>VLOOKUP(G15,'Códigos bancos'!$F$4:$G$14,2,0)</f>
        <v>Oficinas</v>
      </c>
      <c r="I15" s="130"/>
      <c r="J15" s="174">
        <v>0</v>
      </c>
      <c r="K15" s="174">
        <v>0</v>
      </c>
      <c r="L15" s="174">
        <v>0</v>
      </c>
      <c r="M15" s="174">
        <v>0</v>
      </c>
      <c r="N15" s="174">
        <v>0</v>
      </c>
      <c r="O15" s="174">
        <v>0</v>
      </c>
      <c r="P15" s="174">
        <v>0</v>
      </c>
      <c r="Q15" s="174">
        <v>0</v>
      </c>
      <c r="R15" s="174">
        <v>0</v>
      </c>
      <c r="S15" s="215">
        <v>0</v>
      </c>
      <c r="T15" s="71">
        <f t="shared" si="4"/>
        <v>0</v>
      </c>
      <c r="U15" s="71">
        <f t="shared" si="5"/>
        <v>0</v>
      </c>
      <c r="V15" s="117">
        <v>0</v>
      </c>
      <c r="W15" s="117">
        <v>0</v>
      </c>
      <c r="X15" s="71">
        <f t="shared" si="6"/>
        <v>0</v>
      </c>
      <c r="Y15" s="71">
        <f t="shared" si="7"/>
        <v>0</v>
      </c>
      <c r="AA15" s="65"/>
      <c r="AC15" s="71">
        <f t="shared" si="8"/>
        <v>0</v>
      </c>
      <c r="AD15" s="39"/>
      <c r="AE15" s="7"/>
      <c r="AF15" s="15"/>
      <c r="AG15" s="71" t="b">
        <f t="shared" si="9"/>
        <v>1</v>
      </c>
      <c r="AI15" s="71">
        <f t="shared" si="10"/>
        <v>0</v>
      </c>
      <c r="AJ15" s="39"/>
      <c r="AK15" s="15"/>
      <c r="AL15" s="71" t="b">
        <f t="shared" si="11"/>
        <v>1</v>
      </c>
      <c r="AN15" s="65"/>
    </row>
    <row r="16" spans="2:40 16128:16147" ht="13" customHeight="1">
      <c r="B16" s="119"/>
      <c r="C16" s="23">
        <f t="shared" si="3"/>
        <v>2026091</v>
      </c>
      <c r="D16" s="23">
        <v>1</v>
      </c>
      <c r="E16" s="128">
        <v>0</v>
      </c>
      <c r="F16" s="126" t="e">
        <f>VLOOKUP(E16,'Códigos bancos'!$B$4:$C$29,2,0)</f>
        <v>#N/A</v>
      </c>
      <c r="G16" s="36">
        <v>1</v>
      </c>
      <c r="H16" s="126" t="str">
        <f>VLOOKUP(G16,'Códigos bancos'!$F$4:$G$14,2,0)</f>
        <v>Oficinas</v>
      </c>
      <c r="I16" s="130"/>
      <c r="J16" s="174">
        <v>0</v>
      </c>
      <c r="K16" s="174">
        <v>0</v>
      </c>
      <c r="L16" s="174">
        <v>0</v>
      </c>
      <c r="M16" s="174">
        <v>0</v>
      </c>
      <c r="N16" s="174">
        <v>0</v>
      </c>
      <c r="O16" s="174">
        <v>0</v>
      </c>
      <c r="P16" s="174">
        <v>0</v>
      </c>
      <c r="Q16" s="174">
        <v>0</v>
      </c>
      <c r="R16" s="174">
        <v>0</v>
      </c>
      <c r="S16" s="215">
        <v>0</v>
      </c>
      <c r="T16" s="71">
        <f t="shared" si="4"/>
        <v>0</v>
      </c>
      <c r="U16" s="71">
        <f t="shared" si="5"/>
        <v>0</v>
      </c>
      <c r="V16" s="117">
        <v>0</v>
      </c>
      <c r="W16" s="117">
        <v>0</v>
      </c>
      <c r="X16" s="71">
        <f t="shared" si="6"/>
        <v>0</v>
      </c>
      <c r="Y16" s="71">
        <f t="shared" si="7"/>
        <v>0</v>
      </c>
      <c r="AA16" s="65"/>
      <c r="AC16" s="71">
        <f t="shared" si="8"/>
        <v>0</v>
      </c>
      <c r="AD16" s="39"/>
      <c r="AE16" s="7"/>
      <c r="AF16" s="15"/>
      <c r="AG16" s="71" t="b">
        <f t="shared" si="9"/>
        <v>1</v>
      </c>
      <c r="AI16" s="71">
        <f t="shared" si="10"/>
        <v>0</v>
      </c>
      <c r="AJ16" s="39"/>
      <c r="AK16" s="15"/>
      <c r="AL16" s="71" t="b">
        <f t="shared" si="11"/>
        <v>1</v>
      </c>
      <c r="AN16" s="65"/>
    </row>
    <row r="17" spans="2:40" ht="13" customHeight="1">
      <c r="B17" s="119"/>
      <c r="C17" s="23">
        <f t="shared" si="3"/>
        <v>2026091</v>
      </c>
      <c r="D17" s="23">
        <v>1</v>
      </c>
      <c r="E17" s="128">
        <v>0</v>
      </c>
      <c r="F17" s="126" t="e">
        <f>VLOOKUP(E17,'Códigos bancos'!$B$4:$C$29,2,0)</f>
        <v>#N/A</v>
      </c>
      <c r="G17" s="36">
        <v>1</v>
      </c>
      <c r="H17" s="126" t="str">
        <f>VLOOKUP(G17,'Códigos bancos'!$F$4:$G$14,2,0)</f>
        <v>Oficinas</v>
      </c>
      <c r="I17" s="130"/>
      <c r="J17" s="174">
        <v>0</v>
      </c>
      <c r="K17" s="174">
        <v>0</v>
      </c>
      <c r="L17" s="174">
        <v>0</v>
      </c>
      <c r="M17" s="174">
        <v>0</v>
      </c>
      <c r="N17" s="174">
        <v>0</v>
      </c>
      <c r="O17" s="174">
        <v>0</v>
      </c>
      <c r="P17" s="174">
        <v>0</v>
      </c>
      <c r="Q17" s="174">
        <v>0</v>
      </c>
      <c r="R17" s="174">
        <v>0</v>
      </c>
      <c r="S17" s="215">
        <v>0</v>
      </c>
      <c r="T17" s="71">
        <f t="shared" si="4"/>
        <v>0</v>
      </c>
      <c r="U17" s="71">
        <f t="shared" si="5"/>
        <v>0</v>
      </c>
      <c r="V17" s="117">
        <v>0</v>
      </c>
      <c r="W17" s="117">
        <v>0</v>
      </c>
      <c r="X17" s="71">
        <f t="shared" si="6"/>
        <v>0</v>
      </c>
      <c r="Y17" s="71">
        <f t="shared" si="7"/>
        <v>0</v>
      </c>
      <c r="AA17" s="65"/>
      <c r="AC17" s="71">
        <f t="shared" si="8"/>
        <v>0</v>
      </c>
      <c r="AD17" s="39"/>
      <c r="AE17" s="7"/>
      <c r="AF17" s="15"/>
      <c r="AG17" s="71" t="b">
        <f t="shared" si="9"/>
        <v>1</v>
      </c>
      <c r="AI17" s="71">
        <f t="shared" si="10"/>
        <v>0</v>
      </c>
      <c r="AJ17" s="39"/>
      <c r="AK17" s="15"/>
      <c r="AL17" s="71" t="b">
        <f t="shared" si="11"/>
        <v>1</v>
      </c>
      <c r="AN17" s="65"/>
    </row>
    <row r="18" spans="2:40" ht="13" customHeight="1">
      <c r="B18" s="119"/>
      <c r="C18" s="23">
        <f t="shared" si="3"/>
        <v>2026091</v>
      </c>
      <c r="D18" s="23">
        <v>1</v>
      </c>
      <c r="E18" s="128">
        <v>0</v>
      </c>
      <c r="F18" s="126" t="e">
        <f>VLOOKUP(E18,'Códigos bancos'!$B$4:$C$29,2,0)</f>
        <v>#N/A</v>
      </c>
      <c r="G18" s="36">
        <v>1</v>
      </c>
      <c r="H18" s="126" t="str">
        <f>VLOOKUP(G18,'Códigos bancos'!$F$4:$G$14,2,0)</f>
        <v>Oficinas</v>
      </c>
      <c r="I18" s="130"/>
      <c r="J18" s="174">
        <v>0</v>
      </c>
      <c r="K18" s="174">
        <v>0</v>
      </c>
      <c r="L18" s="174">
        <v>0</v>
      </c>
      <c r="M18" s="174">
        <v>0</v>
      </c>
      <c r="N18" s="174">
        <v>0</v>
      </c>
      <c r="O18" s="174">
        <v>0</v>
      </c>
      <c r="P18" s="174">
        <v>0</v>
      </c>
      <c r="Q18" s="174">
        <v>0</v>
      </c>
      <c r="R18" s="174">
        <v>0</v>
      </c>
      <c r="S18" s="215">
        <v>0</v>
      </c>
      <c r="T18" s="71">
        <f t="shared" si="4"/>
        <v>0</v>
      </c>
      <c r="U18" s="71">
        <f t="shared" si="5"/>
        <v>0</v>
      </c>
      <c r="V18" s="117">
        <v>0</v>
      </c>
      <c r="W18" s="117">
        <v>0</v>
      </c>
      <c r="X18" s="71">
        <f t="shared" si="6"/>
        <v>0</v>
      </c>
      <c r="Y18" s="71">
        <f t="shared" si="7"/>
        <v>0</v>
      </c>
      <c r="AA18" s="65"/>
      <c r="AC18" s="71">
        <f t="shared" si="8"/>
        <v>0</v>
      </c>
      <c r="AD18" s="39"/>
      <c r="AE18" s="7"/>
      <c r="AF18" s="15"/>
      <c r="AG18" s="71" t="b">
        <f t="shared" si="9"/>
        <v>1</v>
      </c>
      <c r="AI18" s="71">
        <f t="shared" si="10"/>
        <v>0</v>
      </c>
      <c r="AJ18" s="39"/>
      <c r="AK18" s="15"/>
      <c r="AL18" s="71" t="b">
        <f t="shared" si="11"/>
        <v>1</v>
      </c>
      <c r="AN18" s="65"/>
    </row>
    <row r="19" spans="2:40" ht="13" customHeight="1">
      <c r="B19" s="119"/>
      <c r="C19" s="23">
        <f t="shared" si="3"/>
        <v>2026091</v>
      </c>
      <c r="D19" s="23">
        <v>1</v>
      </c>
      <c r="E19" s="128">
        <v>0</v>
      </c>
      <c r="F19" s="126" t="e">
        <f>VLOOKUP(E19,'Códigos bancos'!$B$4:$C$29,2,0)</f>
        <v>#N/A</v>
      </c>
      <c r="G19" s="36">
        <v>1</v>
      </c>
      <c r="H19" s="126" t="str">
        <f>VLOOKUP(G19,'Códigos bancos'!$F$4:$G$14,2,0)</f>
        <v>Oficinas</v>
      </c>
      <c r="I19" s="130"/>
      <c r="J19" s="174">
        <v>0</v>
      </c>
      <c r="K19" s="174">
        <v>0</v>
      </c>
      <c r="L19" s="174">
        <v>0</v>
      </c>
      <c r="M19" s="174">
        <v>0</v>
      </c>
      <c r="N19" s="174">
        <v>0</v>
      </c>
      <c r="O19" s="174">
        <v>0</v>
      </c>
      <c r="P19" s="174">
        <v>0</v>
      </c>
      <c r="Q19" s="174">
        <v>0</v>
      </c>
      <c r="R19" s="174">
        <v>0</v>
      </c>
      <c r="S19" s="215">
        <v>0</v>
      </c>
      <c r="T19" s="71">
        <f t="shared" si="4"/>
        <v>0</v>
      </c>
      <c r="U19" s="71">
        <f t="shared" si="5"/>
        <v>0</v>
      </c>
      <c r="V19" s="117">
        <v>0</v>
      </c>
      <c r="W19" s="117">
        <v>0</v>
      </c>
      <c r="X19" s="71">
        <f t="shared" si="6"/>
        <v>0</v>
      </c>
      <c r="Y19" s="71">
        <f t="shared" si="7"/>
        <v>0</v>
      </c>
      <c r="AA19" s="65"/>
      <c r="AC19" s="71">
        <f t="shared" si="8"/>
        <v>0</v>
      </c>
      <c r="AD19" s="39"/>
      <c r="AE19" s="7"/>
      <c r="AF19" s="15"/>
      <c r="AG19" s="71" t="b">
        <f t="shared" si="9"/>
        <v>1</v>
      </c>
      <c r="AI19" s="71">
        <f t="shared" si="10"/>
        <v>0</v>
      </c>
      <c r="AJ19" s="39"/>
      <c r="AK19" s="15"/>
      <c r="AL19" s="71" t="b">
        <f t="shared" si="11"/>
        <v>1</v>
      </c>
      <c r="AN19" s="65"/>
    </row>
    <row r="20" spans="2:40" ht="13" customHeight="1">
      <c r="B20" s="119"/>
      <c r="C20" s="23">
        <f t="shared" si="3"/>
        <v>2026091</v>
      </c>
      <c r="D20" s="23">
        <v>1</v>
      </c>
      <c r="E20" s="128">
        <v>0</v>
      </c>
      <c r="F20" s="126" t="e">
        <f>VLOOKUP(E20,'Códigos bancos'!$B$4:$C$29,2,0)</f>
        <v>#N/A</v>
      </c>
      <c r="G20" s="36">
        <v>1</v>
      </c>
      <c r="H20" s="126" t="str">
        <f>VLOOKUP(G20,'Códigos bancos'!$F$4:$G$14,2,0)</f>
        <v>Oficinas</v>
      </c>
      <c r="I20" s="130"/>
      <c r="J20" s="174">
        <v>0</v>
      </c>
      <c r="K20" s="174">
        <v>0</v>
      </c>
      <c r="L20" s="174">
        <v>0</v>
      </c>
      <c r="M20" s="174">
        <v>0</v>
      </c>
      <c r="N20" s="174">
        <v>0</v>
      </c>
      <c r="O20" s="174">
        <v>0</v>
      </c>
      <c r="P20" s="174">
        <v>0</v>
      </c>
      <c r="Q20" s="174">
        <v>0</v>
      </c>
      <c r="R20" s="174">
        <v>0</v>
      </c>
      <c r="S20" s="215">
        <v>0</v>
      </c>
      <c r="T20" s="71">
        <f t="shared" si="4"/>
        <v>0</v>
      </c>
      <c r="U20" s="71">
        <f t="shared" si="5"/>
        <v>0</v>
      </c>
      <c r="V20" s="117">
        <v>0</v>
      </c>
      <c r="W20" s="117">
        <v>0</v>
      </c>
      <c r="X20" s="71">
        <f t="shared" si="6"/>
        <v>0</v>
      </c>
      <c r="Y20" s="71">
        <f t="shared" si="7"/>
        <v>0</v>
      </c>
      <c r="AA20" s="65"/>
      <c r="AC20" s="71">
        <f t="shared" si="8"/>
        <v>0</v>
      </c>
      <c r="AD20" s="39"/>
      <c r="AE20" s="7"/>
      <c r="AF20" s="15"/>
      <c r="AG20" s="71" t="b">
        <f t="shared" si="9"/>
        <v>1</v>
      </c>
      <c r="AI20" s="71">
        <f t="shared" si="10"/>
        <v>0</v>
      </c>
      <c r="AJ20" s="39"/>
      <c r="AK20" s="15"/>
      <c r="AL20" s="71" t="b">
        <f t="shared" si="11"/>
        <v>1</v>
      </c>
      <c r="AN20" s="65"/>
    </row>
    <row r="21" spans="2:40" ht="13" customHeight="1">
      <c r="B21" s="119"/>
      <c r="C21" s="23">
        <f t="shared" si="3"/>
        <v>2026091</v>
      </c>
      <c r="D21" s="23">
        <v>1</v>
      </c>
      <c r="E21" s="128">
        <v>0</v>
      </c>
      <c r="F21" s="126" t="e">
        <f>VLOOKUP(E21,'Códigos bancos'!$B$4:$C$29,2,0)</f>
        <v>#N/A</v>
      </c>
      <c r="G21" s="36">
        <v>1</v>
      </c>
      <c r="H21" s="126" t="str">
        <f>VLOOKUP(G21,'Códigos bancos'!$F$4:$G$14,2,0)</f>
        <v>Oficinas</v>
      </c>
      <c r="I21" s="130"/>
      <c r="J21" s="174">
        <v>0</v>
      </c>
      <c r="K21" s="174">
        <v>0</v>
      </c>
      <c r="L21" s="174">
        <v>0</v>
      </c>
      <c r="M21" s="174">
        <v>0</v>
      </c>
      <c r="N21" s="174">
        <v>0</v>
      </c>
      <c r="O21" s="174">
        <v>0</v>
      </c>
      <c r="P21" s="174">
        <v>0</v>
      </c>
      <c r="Q21" s="174">
        <v>0</v>
      </c>
      <c r="R21" s="174">
        <v>0</v>
      </c>
      <c r="S21" s="215">
        <v>0</v>
      </c>
      <c r="T21" s="71">
        <f t="shared" si="4"/>
        <v>0</v>
      </c>
      <c r="U21" s="71">
        <f t="shared" si="5"/>
        <v>0</v>
      </c>
      <c r="V21" s="117">
        <v>0</v>
      </c>
      <c r="W21" s="117">
        <v>0</v>
      </c>
      <c r="X21" s="71">
        <f t="shared" si="6"/>
        <v>0</v>
      </c>
      <c r="Y21" s="71">
        <f t="shared" si="7"/>
        <v>0</v>
      </c>
      <c r="AA21" s="65"/>
      <c r="AC21" s="71">
        <f t="shared" si="8"/>
        <v>0</v>
      </c>
      <c r="AD21" s="39"/>
      <c r="AE21" s="7"/>
      <c r="AF21" s="15"/>
      <c r="AG21" s="71" t="b">
        <f t="shared" si="9"/>
        <v>1</v>
      </c>
      <c r="AI21" s="71">
        <f t="shared" si="10"/>
        <v>0</v>
      </c>
      <c r="AJ21" s="39"/>
      <c r="AK21" s="15"/>
      <c r="AL21" s="71" t="b">
        <f t="shared" si="11"/>
        <v>1</v>
      </c>
      <c r="AN21" s="65"/>
    </row>
    <row r="22" spans="2:40" ht="13" customHeight="1">
      <c r="B22" s="119"/>
      <c r="C22" s="23">
        <f t="shared" si="3"/>
        <v>2026091</v>
      </c>
      <c r="D22" s="23">
        <v>1</v>
      </c>
      <c r="E22" s="128">
        <v>0</v>
      </c>
      <c r="F22" s="126" t="e">
        <f>VLOOKUP(E22,'Códigos bancos'!$B$4:$C$29,2,0)</f>
        <v>#N/A</v>
      </c>
      <c r="G22" s="36">
        <v>1</v>
      </c>
      <c r="H22" s="126" t="str">
        <f>VLOOKUP(G22,'Códigos bancos'!$F$4:$G$14,2,0)</f>
        <v>Oficinas</v>
      </c>
      <c r="I22" s="130"/>
      <c r="J22" s="174">
        <v>0</v>
      </c>
      <c r="K22" s="174">
        <v>0</v>
      </c>
      <c r="L22" s="174">
        <v>0</v>
      </c>
      <c r="M22" s="174">
        <v>0</v>
      </c>
      <c r="N22" s="174">
        <v>0</v>
      </c>
      <c r="O22" s="174">
        <v>0</v>
      </c>
      <c r="P22" s="174">
        <v>0</v>
      </c>
      <c r="Q22" s="174">
        <v>0</v>
      </c>
      <c r="R22" s="174">
        <v>0</v>
      </c>
      <c r="S22" s="215">
        <v>0</v>
      </c>
      <c r="T22" s="71">
        <f t="shared" si="4"/>
        <v>0</v>
      </c>
      <c r="U22" s="71">
        <f t="shared" si="5"/>
        <v>0</v>
      </c>
      <c r="V22" s="117">
        <v>0</v>
      </c>
      <c r="W22" s="117">
        <v>0</v>
      </c>
      <c r="X22" s="71">
        <f t="shared" si="6"/>
        <v>0</v>
      </c>
      <c r="Y22" s="71">
        <f t="shared" si="7"/>
        <v>0</v>
      </c>
      <c r="AA22" s="65"/>
      <c r="AC22" s="71">
        <f t="shared" si="8"/>
        <v>0</v>
      </c>
      <c r="AD22" s="39"/>
      <c r="AE22" s="7"/>
      <c r="AF22" s="15"/>
      <c r="AG22" s="71" t="b">
        <f t="shared" si="9"/>
        <v>1</v>
      </c>
      <c r="AI22" s="71">
        <f t="shared" si="10"/>
        <v>0</v>
      </c>
      <c r="AJ22" s="39"/>
      <c r="AK22" s="15"/>
      <c r="AL22" s="71" t="b">
        <f t="shared" si="11"/>
        <v>1</v>
      </c>
      <c r="AN22" s="65"/>
    </row>
    <row r="23" spans="2:40" ht="13" customHeight="1">
      <c r="B23" s="119"/>
      <c r="C23" s="23">
        <f t="shared" si="3"/>
        <v>2026091</v>
      </c>
      <c r="D23" s="23">
        <v>1</v>
      </c>
      <c r="E23" s="128">
        <v>0</v>
      </c>
      <c r="F23" s="126" t="e">
        <f>VLOOKUP(E23,'Códigos bancos'!$B$4:$C$29,2,0)</f>
        <v>#N/A</v>
      </c>
      <c r="G23" s="36">
        <v>1</v>
      </c>
      <c r="H23" s="126" t="str">
        <f>VLOOKUP(G23,'Códigos bancos'!$F$4:$G$14,2,0)</f>
        <v>Oficinas</v>
      </c>
      <c r="I23" s="130"/>
      <c r="J23" s="174">
        <v>0</v>
      </c>
      <c r="K23" s="174">
        <v>0</v>
      </c>
      <c r="L23" s="174">
        <v>0</v>
      </c>
      <c r="M23" s="174">
        <v>0</v>
      </c>
      <c r="N23" s="174">
        <v>0</v>
      </c>
      <c r="O23" s="174">
        <v>0</v>
      </c>
      <c r="P23" s="174">
        <v>0</v>
      </c>
      <c r="Q23" s="174">
        <v>0</v>
      </c>
      <c r="R23" s="174">
        <v>0</v>
      </c>
      <c r="S23" s="215">
        <v>0</v>
      </c>
      <c r="T23" s="71">
        <f t="shared" si="4"/>
        <v>0</v>
      </c>
      <c r="U23" s="71">
        <f t="shared" si="5"/>
        <v>0</v>
      </c>
      <c r="V23" s="117">
        <v>0</v>
      </c>
      <c r="W23" s="117">
        <v>0</v>
      </c>
      <c r="X23" s="71">
        <f t="shared" si="6"/>
        <v>0</v>
      </c>
      <c r="Y23" s="71">
        <f t="shared" si="7"/>
        <v>0</v>
      </c>
      <c r="AA23" s="65"/>
      <c r="AC23" s="71">
        <f t="shared" si="8"/>
        <v>0</v>
      </c>
      <c r="AD23" s="39"/>
      <c r="AE23" s="7"/>
      <c r="AF23" s="15"/>
      <c r="AG23" s="71" t="b">
        <f t="shared" si="9"/>
        <v>1</v>
      </c>
      <c r="AI23" s="71">
        <f t="shared" si="10"/>
        <v>0</v>
      </c>
      <c r="AJ23" s="39"/>
      <c r="AK23" s="15"/>
      <c r="AL23" s="71" t="b">
        <f t="shared" si="11"/>
        <v>1</v>
      </c>
      <c r="AN23" s="65"/>
    </row>
    <row r="24" spans="2:40" ht="13" customHeight="1">
      <c r="B24" s="119"/>
      <c r="C24" s="23">
        <f t="shared" si="3"/>
        <v>2026091</v>
      </c>
      <c r="D24" s="23">
        <v>1</v>
      </c>
      <c r="E24" s="128">
        <v>0</v>
      </c>
      <c r="F24" s="126" t="e">
        <f>VLOOKUP(E24,'Códigos bancos'!$B$4:$C$29,2,0)</f>
        <v>#N/A</v>
      </c>
      <c r="G24" s="36">
        <v>1</v>
      </c>
      <c r="H24" s="126" t="str">
        <f>VLOOKUP(G24,'Códigos bancos'!$F$4:$G$14,2,0)</f>
        <v>Oficinas</v>
      </c>
      <c r="I24" s="130"/>
      <c r="J24" s="174">
        <v>0</v>
      </c>
      <c r="K24" s="174">
        <v>0</v>
      </c>
      <c r="L24" s="174">
        <v>0</v>
      </c>
      <c r="M24" s="174">
        <v>0</v>
      </c>
      <c r="N24" s="174">
        <v>0</v>
      </c>
      <c r="O24" s="174">
        <v>0</v>
      </c>
      <c r="P24" s="174">
        <v>0</v>
      </c>
      <c r="Q24" s="174">
        <v>0</v>
      </c>
      <c r="R24" s="174">
        <v>0</v>
      </c>
      <c r="S24" s="215">
        <v>0</v>
      </c>
      <c r="T24" s="71">
        <f t="shared" si="4"/>
        <v>0</v>
      </c>
      <c r="U24" s="71">
        <f t="shared" si="5"/>
        <v>0</v>
      </c>
      <c r="V24" s="117">
        <v>0</v>
      </c>
      <c r="W24" s="117">
        <v>0</v>
      </c>
      <c r="X24" s="71">
        <f t="shared" si="6"/>
        <v>0</v>
      </c>
      <c r="Y24" s="71">
        <f t="shared" si="7"/>
        <v>0</v>
      </c>
      <c r="AA24" s="65"/>
      <c r="AC24" s="71">
        <f t="shared" si="8"/>
        <v>0</v>
      </c>
      <c r="AD24" s="39"/>
      <c r="AE24" s="7"/>
      <c r="AF24" s="15"/>
      <c r="AG24" s="71" t="b">
        <f t="shared" si="9"/>
        <v>1</v>
      </c>
      <c r="AI24" s="71">
        <f t="shared" si="10"/>
        <v>0</v>
      </c>
      <c r="AJ24" s="39"/>
      <c r="AK24" s="15"/>
      <c r="AL24" s="71" t="b">
        <f t="shared" si="11"/>
        <v>1</v>
      </c>
      <c r="AN24" s="65"/>
    </row>
    <row r="25" spans="2:40" ht="13" customHeight="1">
      <c r="B25" s="119"/>
      <c r="C25" s="23">
        <f t="shared" si="3"/>
        <v>2026091</v>
      </c>
      <c r="D25" s="23">
        <v>1</v>
      </c>
      <c r="E25" s="128">
        <v>0</v>
      </c>
      <c r="F25" s="126" t="e">
        <f>VLOOKUP(E25,'Códigos bancos'!$B$4:$C$29,2,0)</f>
        <v>#N/A</v>
      </c>
      <c r="G25" s="36">
        <v>1</v>
      </c>
      <c r="H25" s="126" t="str">
        <f>VLOOKUP(G25,'Códigos bancos'!$F$4:$G$14,2,0)</f>
        <v>Oficinas</v>
      </c>
      <c r="I25" s="130"/>
      <c r="J25" s="174">
        <v>0</v>
      </c>
      <c r="K25" s="174">
        <v>0</v>
      </c>
      <c r="L25" s="174">
        <v>0</v>
      </c>
      <c r="M25" s="174">
        <v>0</v>
      </c>
      <c r="N25" s="174">
        <v>0</v>
      </c>
      <c r="O25" s="174">
        <v>0</v>
      </c>
      <c r="P25" s="174">
        <v>0</v>
      </c>
      <c r="Q25" s="174">
        <v>0</v>
      </c>
      <c r="R25" s="174">
        <v>0</v>
      </c>
      <c r="S25" s="215">
        <v>0</v>
      </c>
      <c r="T25" s="71">
        <f t="shared" si="4"/>
        <v>0</v>
      </c>
      <c r="U25" s="71">
        <f t="shared" si="5"/>
        <v>0</v>
      </c>
      <c r="V25" s="117">
        <v>0</v>
      </c>
      <c r="W25" s="117">
        <v>0</v>
      </c>
      <c r="X25" s="71">
        <f t="shared" si="6"/>
        <v>0</v>
      </c>
      <c r="Y25" s="71">
        <f t="shared" si="7"/>
        <v>0</v>
      </c>
      <c r="AA25" s="65"/>
      <c r="AC25" s="71">
        <f t="shared" si="8"/>
        <v>0</v>
      </c>
      <c r="AD25" s="39"/>
      <c r="AE25" s="7"/>
      <c r="AF25" s="15"/>
      <c r="AG25" s="71" t="b">
        <f t="shared" si="9"/>
        <v>1</v>
      </c>
      <c r="AI25" s="71">
        <f t="shared" si="10"/>
        <v>0</v>
      </c>
      <c r="AJ25" s="39"/>
      <c r="AK25" s="15"/>
      <c r="AL25" s="71" t="b">
        <f t="shared" si="11"/>
        <v>1</v>
      </c>
      <c r="AN25" s="65"/>
    </row>
    <row r="26" spans="2:40" ht="13" customHeight="1">
      <c r="B26" s="119"/>
      <c r="C26" s="23">
        <f t="shared" si="3"/>
        <v>2026091</v>
      </c>
      <c r="D26" s="23">
        <v>1</v>
      </c>
      <c r="E26" s="128">
        <v>0</v>
      </c>
      <c r="F26" s="126" t="e">
        <f>VLOOKUP(E26,'Códigos bancos'!$B$4:$C$29,2,0)</f>
        <v>#N/A</v>
      </c>
      <c r="G26" s="36">
        <v>1</v>
      </c>
      <c r="H26" s="126" t="str">
        <f>VLOOKUP(G26,'Códigos bancos'!$F$4:$G$14,2,0)</f>
        <v>Oficinas</v>
      </c>
      <c r="I26" s="130"/>
      <c r="J26" s="174">
        <v>0</v>
      </c>
      <c r="K26" s="174">
        <v>0</v>
      </c>
      <c r="L26" s="174">
        <v>0</v>
      </c>
      <c r="M26" s="174">
        <v>0</v>
      </c>
      <c r="N26" s="174">
        <v>0</v>
      </c>
      <c r="O26" s="174">
        <v>0</v>
      </c>
      <c r="P26" s="174">
        <v>0</v>
      </c>
      <c r="Q26" s="174">
        <v>0</v>
      </c>
      <c r="R26" s="174">
        <v>0</v>
      </c>
      <c r="S26" s="215">
        <v>0</v>
      </c>
      <c r="T26" s="71">
        <f t="shared" si="4"/>
        <v>0</v>
      </c>
      <c r="U26" s="71">
        <f t="shared" si="5"/>
        <v>0</v>
      </c>
      <c r="V26" s="117">
        <v>0</v>
      </c>
      <c r="W26" s="117">
        <v>0</v>
      </c>
      <c r="X26" s="71">
        <f t="shared" si="6"/>
        <v>0</v>
      </c>
      <c r="Y26" s="71">
        <f t="shared" si="7"/>
        <v>0</v>
      </c>
      <c r="AA26" s="65"/>
      <c r="AC26" s="71">
        <f t="shared" si="8"/>
        <v>0</v>
      </c>
      <c r="AD26" s="39"/>
      <c r="AE26" s="7"/>
      <c r="AF26" s="15"/>
      <c r="AG26" s="71" t="b">
        <f t="shared" si="9"/>
        <v>1</v>
      </c>
      <c r="AI26" s="71">
        <f t="shared" si="10"/>
        <v>0</v>
      </c>
      <c r="AJ26" s="39"/>
      <c r="AK26" s="15"/>
      <c r="AL26" s="71" t="b">
        <f t="shared" si="11"/>
        <v>1</v>
      </c>
      <c r="AN26" s="65"/>
    </row>
    <row r="27" spans="2:40" ht="13" customHeight="1">
      <c r="B27" s="119"/>
      <c r="C27" s="23">
        <f t="shared" si="3"/>
        <v>2026091</v>
      </c>
      <c r="D27" s="23">
        <v>1</v>
      </c>
      <c r="E27" s="128">
        <v>0</v>
      </c>
      <c r="F27" s="126" t="e">
        <f>VLOOKUP(E27,'Códigos bancos'!$B$4:$C$29,2,0)</f>
        <v>#N/A</v>
      </c>
      <c r="G27" s="36">
        <v>1</v>
      </c>
      <c r="H27" s="126" t="str">
        <f>VLOOKUP(G27,'Códigos bancos'!$F$4:$G$14,2,0)</f>
        <v>Oficinas</v>
      </c>
      <c r="I27" s="130"/>
      <c r="J27" s="174">
        <v>0</v>
      </c>
      <c r="K27" s="174">
        <v>0</v>
      </c>
      <c r="L27" s="174">
        <v>0</v>
      </c>
      <c r="M27" s="174">
        <v>0</v>
      </c>
      <c r="N27" s="174">
        <v>0</v>
      </c>
      <c r="O27" s="174">
        <v>0</v>
      </c>
      <c r="P27" s="174">
        <v>0</v>
      </c>
      <c r="Q27" s="174">
        <v>0</v>
      </c>
      <c r="R27" s="174">
        <v>0</v>
      </c>
      <c r="S27" s="215">
        <v>0</v>
      </c>
      <c r="T27" s="71">
        <f t="shared" si="4"/>
        <v>0</v>
      </c>
      <c r="U27" s="71">
        <f t="shared" si="5"/>
        <v>0</v>
      </c>
      <c r="V27" s="117">
        <v>0</v>
      </c>
      <c r="W27" s="117">
        <v>0</v>
      </c>
      <c r="X27" s="71">
        <f t="shared" si="6"/>
        <v>0</v>
      </c>
      <c r="Y27" s="71">
        <f t="shared" si="7"/>
        <v>0</v>
      </c>
      <c r="AA27" s="65"/>
      <c r="AC27" s="71">
        <f t="shared" si="8"/>
        <v>0</v>
      </c>
      <c r="AD27" s="39"/>
      <c r="AE27" s="7"/>
      <c r="AF27" s="15"/>
      <c r="AG27" s="71" t="b">
        <f t="shared" si="9"/>
        <v>1</v>
      </c>
      <c r="AI27" s="71">
        <f t="shared" si="10"/>
        <v>0</v>
      </c>
      <c r="AJ27" s="39"/>
      <c r="AK27" s="15"/>
      <c r="AL27" s="71" t="b">
        <f t="shared" si="11"/>
        <v>1</v>
      </c>
      <c r="AN27" s="65"/>
    </row>
    <row r="28" spans="2:40" ht="13" customHeight="1">
      <c r="B28" s="119"/>
      <c r="C28" s="23">
        <f t="shared" si="3"/>
        <v>2026091</v>
      </c>
      <c r="D28" s="23">
        <v>1</v>
      </c>
      <c r="E28" s="128">
        <v>0</v>
      </c>
      <c r="F28" s="126" t="e">
        <f>VLOOKUP(E28,'Códigos bancos'!$B$4:$C$29,2,0)</f>
        <v>#N/A</v>
      </c>
      <c r="G28" s="36">
        <v>1</v>
      </c>
      <c r="H28" s="126" t="str">
        <f>VLOOKUP(G28,'Códigos bancos'!$F$4:$G$14,2,0)</f>
        <v>Oficinas</v>
      </c>
      <c r="I28" s="130"/>
      <c r="J28" s="174">
        <v>0</v>
      </c>
      <c r="K28" s="174">
        <v>0</v>
      </c>
      <c r="L28" s="174">
        <v>0</v>
      </c>
      <c r="M28" s="174">
        <v>0</v>
      </c>
      <c r="N28" s="174">
        <v>0</v>
      </c>
      <c r="O28" s="174">
        <v>0</v>
      </c>
      <c r="P28" s="174">
        <v>0</v>
      </c>
      <c r="Q28" s="174">
        <v>0</v>
      </c>
      <c r="R28" s="174">
        <v>0</v>
      </c>
      <c r="S28" s="215">
        <v>0</v>
      </c>
      <c r="T28" s="71">
        <f t="shared" si="4"/>
        <v>0</v>
      </c>
      <c r="U28" s="71">
        <f t="shared" si="5"/>
        <v>0</v>
      </c>
      <c r="V28" s="117">
        <v>0</v>
      </c>
      <c r="W28" s="117">
        <v>0</v>
      </c>
      <c r="X28" s="71">
        <f t="shared" si="6"/>
        <v>0</v>
      </c>
      <c r="Y28" s="71">
        <f t="shared" si="7"/>
        <v>0</v>
      </c>
      <c r="AA28" s="65"/>
      <c r="AC28" s="71">
        <f t="shared" si="8"/>
        <v>0</v>
      </c>
      <c r="AD28" s="39"/>
      <c r="AE28" s="7"/>
      <c r="AF28" s="15"/>
      <c r="AG28" s="71" t="b">
        <f t="shared" si="9"/>
        <v>1</v>
      </c>
      <c r="AI28" s="71">
        <f t="shared" si="10"/>
        <v>0</v>
      </c>
      <c r="AJ28" s="39"/>
      <c r="AK28" s="15"/>
      <c r="AL28" s="71" t="b">
        <f t="shared" si="11"/>
        <v>1</v>
      </c>
      <c r="AN28" s="65"/>
    </row>
    <row r="29" spans="2:40" ht="13" customHeight="1">
      <c r="B29" s="119"/>
      <c r="C29" s="23">
        <f t="shared" si="3"/>
        <v>2026091</v>
      </c>
      <c r="D29" s="23">
        <v>1</v>
      </c>
      <c r="E29" s="128">
        <v>0</v>
      </c>
      <c r="F29" s="126" t="e">
        <f>VLOOKUP(E29,'Códigos bancos'!$B$4:$C$29,2,0)</f>
        <v>#N/A</v>
      </c>
      <c r="G29" s="36">
        <v>1</v>
      </c>
      <c r="H29" s="126" t="str">
        <f>VLOOKUP(G29,'Códigos bancos'!$F$4:$G$14,2,0)</f>
        <v>Oficinas</v>
      </c>
      <c r="I29" s="130"/>
      <c r="J29" s="174">
        <v>0</v>
      </c>
      <c r="K29" s="174">
        <v>0</v>
      </c>
      <c r="L29" s="174">
        <v>0</v>
      </c>
      <c r="M29" s="174">
        <v>0</v>
      </c>
      <c r="N29" s="174">
        <v>0</v>
      </c>
      <c r="O29" s="174">
        <v>0</v>
      </c>
      <c r="P29" s="174">
        <v>0</v>
      </c>
      <c r="Q29" s="174">
        <v>0</v>
      </c>
      <c r="R29" s="174">
        <v>0</v>
      </c>
      <c r="S29" s="215">
        <v>0</v>
      </c>
      <c r="T29" s="71">
        <f t="shared" si="4"/>
        <v>0</v>
      </c>
      <c r="U29" s="71">
        <f t="shared" si="5"/>
        <v>0</v>
      </c>
      <c r="V29" s="117">
        <v>0</v>
      </c>
      <c r="W29" s="117">
        <v>0</v>
      </c>
      <c r="X29" s="71">
        <f t="shared" si="6"/>
        <v>0</v>
      </c>
      <c r="Y29" s="71">
        <f t="shared" si="7"/>
        <v>0</v>
      </c>
      <c r="AA29" s="65"/>
      <c r="AC29" s="71">
        <f t="shared" si="8"/>
        <v>0</v>
      </c>
      <c r="AD29" s="39"/>
      <c r="AE29" s="7"/>
      <c r="AF29" s="15"/>
      <c r="AG29" s="71" t="b">
        <f t="shared" si="9"/>
        <v>1</v>
      </c>
      <c r="AI29" s="71">
        <f t="shared" si="10"/>
        <v>0</v>
      </c>
      <c r="AJ29" s="39"/>
      <c r="AK29" s="15">
        <v>0</v>
      </c>
      <c r="AL29" s="71" t="b">
        <f t="shared" si="11"/>
        <v>1</v>
      </c>
      <c r="AN29" s="65"/>
    </row>
    <row r="30" spans="2:40" ht="13" customHeight="1">
      <c r="B30" s="119"/>
      <c r="C30" s="23">
        <f t="shared" si="3"/>
        <v>2026091</v>
      </c>
      <c r="D30" s="23">
        <v>1</v>
      </c>
      <c r="E30" s="128">
        <v>0</v>
      </c>
      <c r="F30" s="126" t="e">
        <f>VLOOKUP(E30,'Códigos bancos'!$B$4:$C$29,2,0)</f>
        <v>#N/A</v>
      </c>
      <c r="G30" s="36">
        <v>1</v>
      </c>
      <c r="H30" s="126" t="str">
        <f>VLOOKUP(G30,'Códigos bancos'!$F$4:$G$14,2,0)</f>
        <v>Oficinas</v>
      </c>
      <c r="I30" s="130"/>
      <c r="J30" s="174">
        <v>0</v>
      </c>
      <c r="K30" s="174">
        <v>0</v>
      </c>
      <c r="L30" s="174">
        <v>0</v>
      </c>
      <c r="M30" s="174">
        <v>0</v>
      </c>
      <c r="N30" s="174">
        <v>0</v>
      </c>
      <c r="O30" s="174">
        <v>0</v>
      </c>
      <c r="P30" s="174">
        <v>0</v>
      </c>
      <c r="Q30" s="174">
        <v>0</v>
      </c>
      <c r="R30" s="174">
        <v>0</v>
      </c>
      <c r="S30" s="215">
        <v>0</v>
      </c>
      <c r="T30" s="71">
        <f t="shared" si="4"/>
        <v>0</v>
      </c>
      <c r="U30" s="71">
        <f t="shared" si="5"/>
        <v>0</v>
      </c>
      <c r="V30" s="117">
        <v>0</v>
      </c>
      <c r="W30" s="117">
        <v>0</v>
      </c>
      <c r="X30" s="71">
        <f t="shared" si="6"/>
        <v>0</v>
      </c>
      <c r="Y30" s="71">
        <f t="shared" si="7"/>
        <v>0</v>
      </c>
      <c r="AA30" s="65"/>
      <c r="AC30" s="71">
        <f t="shared" si="8"/>
        <v>0</v>
      </c>
      <c r="AD30" s="39"/>
      <c r="AE30" s="7"/>
      <c r="AF30" s="15"/>
      <c r="AG30" s="71" t="b">
        <f t="shared" si="9"/>
        <v>1</v>
      </c>
      <c r="AI30" s="71">
        <f t="shared" si="10"/>
        <v>0</v>
      </c>
      <c r="AJ30" s="39"/>
      <c r="AK30" s="15">
        <v>0</v>
      </c>
      <c r="AL30" s="71" t="b">
        <f t="shared" si="11"/>
        <v>1</v>
      </c>
      <c r="AN30" s="65"/>
    </row>
    <row r="31" spans="2:40" ht="13" customHeight="1">
      <c r="B31" s="119"/>
      <c r="C31" s="23">
        <f t="shared" si="3"/>
        <v>2026091</v>
      </c>
      <c r="D31" s="23">
        <v>1</v>
      </c>
      <c r="E31" s="128">
        <v>0</v>
      </c>
      <c r="F31" s="126" t="e">
        <f>VLOOKUP(E31,'Códigos bancos'!$B$4:$C$29,2,0)</f>
        <v>#N/A</v>
      </c>
      <c r="G31" s="36">
        <v>1</v>
      </c>
      <c r="H31" s="126" t="str">
        <f>VLOOKUP(G31,'Códigos bancos'!$F$4:$G$14,2,0)</f>
        <v>Oficinas</v>
      </c>
      <c r="I31" s="130"/>
      <c r="J31" s="174">
        <v>0</v>
      </c>
      <c r="K31" s="174">
        <v>0</v>
      </c>
      <c r="L31" s="174">
        <v>0</v>
      </c>
      <c r="M31" s="174">
        <v>0</v>
      </c>
      <c r="N31" s="174">
        <v>0</v>
      </c>
      <c r="O31" s="174">
        <v>0</v>
      </c>
      <c r="P31" s="174">
        <v>0</v>
      </c>
      <c r="Q31" s="174">
        <v>0</v>
      </c>
      <c r="R31" s="174">
        <v>0</v>
      </c>
      <c r="S31" s="215">
        <v>0</v>
      </c>
      <c r="T31" s="71">
        <f t="shared" si="4"/>
        <v>0</v>
      </c>
      <c r="U31" s="71">
        <f t="shared" si="5"/>
        <v>0</v>
      </c>
      <c r="V31" s="117">
        <v>0</v>
      </c>
      <c r="W31" s="117">
        <v>0</v>
      </c>
      <c r="X31" s="71">
        <f t="shared" si="6"/>
        <v>0</v>
      </c>
      <c r="Y31" s="71">
        <f t="shared" si="7"/>
        <v>0</v>
      </c>
      <c r="AA31" s="65"/>
      <c r="AC31" s="71">
        <f t="shared" si="8"/>
        <v>0</v>
      </c>
      <c r="AD31" s="39"/>
      <c r="AE31" s="7"/>
      <c r="AF31" s="15"/>
      <c r="AG31" s="71" t="b">
        <f t="shared" si="9"/>
        <v>1</v>
      </c>
      <c r="AI31" s="71">
        <f t="shared" si="10"/>
        <v>0</v>
      </c>
      <c r="AJ31" s="39"/>
      <c r="AK31" s="15"/>
      <c r="AL31" s="71" t="b">
        <f t="shared" si="11"/>
        <v>1</v>
      </c>
      <c r="AN31" s="65"/>
    </row>
    <row r="32" spans="2:40" ht="13" customHeight="1">
      <c r="B32" s="119"/>
      <c r="C32" s="23">
        <f t="shared" ref="C32" si="12">IF(D32&lt;=15,$C$1,$C$2)</f>
        <v>2026091</v>
      </c>
      <c r="D32" s="23">
        <v>1</v>
      </c>
      <c r="E32" s="128">
        <v>0</v>
      </c>
      <c r="F32" s="126" t="e">
        <f>VLOOKUP(E32,'Códigos bancos'!$B$4:$C$29,2,0)</f>
        <v>#N/A</v>
      </c>
      <c r="G32" s="36">
        <v>1</v>
      </c>
      <c r="H32" s="126" t="str">
        <f>VLOOKUP(G32,'Códigos bancos'!$F$4:$G$14,2,0)</f>
        <v>Oficinas</v>
      </c>
      <c r="I32" s="130"/>
      <c r="J32" s="174">
        <v>0</v>
      </c>
      <c r="K32" s="174">
        <v>0</v>
      </c>
      <c r="L32" s="174">
        <v>0</v>
      </c>
      <c r="M32" s="174">
        <v>0</v>
      </c>
      <c r="N32" s="174">
        <v>0</v>
      </c>
      <c r="O32" s="174">
        <v>0</v>
      </c>
      <c r="P32" s="174">
        <v>0</v>
      </c>
      <c r="Q32" s="174">
        <v>0</v>
      </c>
      <c r="R32" s="174">
        <v>0</v>
      </c>
      <c r="S32" s="215">
        <v>0</v>
      </c>
      <c r="T32" s="71">
        <f t="shared" ref="T32" si="13">J32+L32+N32+P32+R32</f>
        <v>0</v>
      </c>
      <c r="U32" s="71">
        <f t="shared" ref="U32" si="14">K32+M32+O32+Q32+S32</f>
        <v>0</v>
      </c>
      <c r="V32" s="117">
        <v>0</v>
      </c>
      <c r="W32" s="117">
        <v>0</v>
      </c>
      <c r="X32" s="71">
        <f t="shared" ref="X32" si="15">V32-T32</f>
        <v>0</v>
      </c>
      <c r="Y32" s="71">
        <f t="shared" ref="Y32" si="16">W32-U32</f>
        <v>0</v>
      </c>
      <c r="AA32" s="65"/>
      <c r="AC32" s="71">
        <f t="shared" ref="AC32" si="17">X32</f>
        <v>0</v>
      </c>
      <c r="AD32" s="39"/>
      <c r="AE32" s="7"/>
      <c r="AF32" s="15"/>
      <c r="AG32" s="71" t="b">
        <f t="shared" ref="AG32" si="18">AC32=(AD32+AE32+AF32)</f>
        <v>1</v>
      </c>
      <c r="AI32" s="71">
        <f t="shared" ref="AI32" si="19">Y32</f>
        <v>0</v>
      </c>
      <c r="AJ32" s="39"/>
      <c r="AK32" s="15"/>
      <c r="AL32" s="71" t="b">
        <f t="shared" ref="AL32" si="20">AI32=(AJ32+AK32)</f>
        <v>1</v>
      </c>
      <c r="AN32" s="65"/>
    </row>
    <row r="33" spans="2:40 16128:16147" ht="13" customHeight="1">
      <c r="B33" s="119"/>
      <c r="C33" s="23">
        <f t="shared" si="3"/>
        <v>2026091</v>
      </c>
      <c r="D33" s="23">
        <v>1</v>
      </c>
      <c r="E33" s="128">
        <v>0</v>
      </c>
      <c r="F33" s="126" t="e">
        <f>VLOOKUP(E33,'Códigos bancos'!$B$4:$C$29,2,0)</f>
        <v>#N/A</v>
      </c>
      <c r="G33" s="36">
        <v>1</v>
      </c>
      <c r="H33" s="126" t="str">
        <f>VLOOKUP(G33,'Códigos bancos'!$F$4:$G$14,2,0)</f>
        <v>Oficinas</v>
      </c>
      <c r="I33" s="130"/>
      <c r="J33" s="174">
        <v>0</v>
      </c>
      <c r="K33" s="174">
        <v>0</v>
      </c>
      <c r="L33" s="174">
        <v>0</v>
      </c>
      <c r="M33" s="174">
        <v>0</v>
      </c>
      <c r="N33" s="174">
        <v>0</v>
      </c>
      <c r="O33" s="174">
        <v>0</v>
      </c>
      <c r="P33" s="174">
        <v>0</v>
      </c>
      <c r="Q33" s="174">
        <v>0</v>
      </c>
      <c r="R33" s="174">
        <v>0</v>
      </c>
      <c r="S33" s="215">
        <v>0</v>
      </c>
      <c r="T33" s="71">
        <f t="shared" si="4"/>
        <v>0</v>
      </c>
      <c r="U33" s="71">
        <f t="shared" si="5"/>
        <v>0</v>
      </c>
      <c r="V33" s="117">
        <v>0</v>
      </c>
      <c r="W33" s="117">
        <v>0</v>
      </c>
      <c r="X33" s="71">
        <f t="shared" si="6"/>
        <v>0</v>
      </c>
      <c r="Y33" s="71">
        <f t="shared" si="7"/>
        <v>0</v>
      </c>
      <c r="AA33" s="65"/>
      <c r="AC33" s="71">
        <f t="shared" si="8"/>
        <v>0</v>
      </c>
      <c r="AD33" s="39"/>
      <c r="AE33" s="7"/>
      <c r="AF33" s="15"/>
      <c r="AG33" s="71" t="b">
        <f t="shared" si="9"/>
        <v>1</v>
      </c>
      <c r="AI33" s="71">
        <f t="shared" si="10"/>
        <v>0</v>
      </c>
      <c r="AJ33" s="39"/>
      <c r="AK33" s="15"/>
      <c r="AL33" s="71" t="b">
        <f t="shared" si="11"/>
        <v>1</v>
      </c>
      <c r="AN33" s="65"/>
    </row>
    <row r="34" spans="2:40 16128:16147" ht="13" customHeight="1">
      <c r="B34" s="119"/>
      <c r="C34" s="23">
        <f t="shared" si="3"/>
        <v>2026091</v>
      </c>
      <c r="D34" s="23">
        <v>1</v>
      </c>
      <c r="E34" s="128">
        <v>0</v>
      </c>
      <c r="F34" s="126" t="e">
        <f>VLOOKUP(E34,'Códigos bancos'!$B$4:$C$29,2,0)</f>
        <v>#N/A</v>
      </c>
      <c r="G34" s="36">
        <v>1</v>
      </c>
      <c r="H34" s="126" t="str">
        <f>VLOOKUP(G34,'Códigos bancos'!$F$4:$G$14,2,0)</f>
        <v>Oficinas</v>
      </c>
      <c r="I34" s="130"/>
      <c r="J34" s="174">
        <v>0</v>
      </c>
      <c r="K34" s="174">
        <v>0</v>
      </c>
      <c r="L34" s="174">
        <v>0</v>
      </c>
      <c r="M34" s="174">
        <v>0</v>
      </c>
      <c r="N34" s="174">
        <v>0</v>
      </c>
      <c r="O34" s="174">
        <v>0</v>
      </c>
      <c r="P34" s="174">
        <v>0</v>
      </c>
      <c r="Q34" s="174">
        <v>0</v>
      </c>
      <c r="R34" s="174">
        <v>0</v>
      </c>
      <c r="S34" s="215">
        <v>0</v>
      </c>
      <c r="T34" s="71">
        <f t="shared" ref="T34:U36" si="21">J34+L34+N34+P34+R34</f>
        <v>0</v>
      </c>
      <c r="U34" s="71">
        <f t="shared" si="21"/>
        <v>0</v>
      </c>
      <c r="V34" s="117">
        <v>0</v>
      </c>
      <c r="W34" s="117">
        <v>0</v>
      </c>
      <c r="X34" s="71">
        <f t="shared" si="6"/>
        <v>0</v>
      </c>
      <c r="Y34" s="71">
        <f t="shared" si="7"/>
        <v>0</v>
      </c>
      <c r="AA34" s="65"/>
      <c r="AC34" s="71">
        <f t="shared" si="8"/>
        <v>0</v>
      </c>
      <c r="AD34" s="39"/>
      <c r="AE34" s="7"/>
      <c r="AF34" s="15"/>
      <c r="AG34" s="71" t="b">
        <f t="shared" si="9"/>
        <v>1</v>
      </c>
      <c r="AI34" s="71">
        <f t="shared" si="10"/>
        <v>0</v>
      </c>
      <c r="AJ34" s="39"/>
      <c r="AK34" s="15"/>
      <c r="AL34" s="71" t="b">
        <f t="shared" si="11"/>
        <v>1</v>
      </c>
      <c r="AN34" s="65"/>
    </row>
    <row r="35" spans="2:40 16128:16147" ht="13" customHeight="1">
      <c r="B35" s="119"/>
      <c r="C35" s="23">
        <f t="shared" si="3"/>
        <v>2026091</v>
      </c>
      <c r="D35" s="23">
        <v>1</v>
      </c>
      <c r="E35" s="128">
        <v>0</v>
      </c>
      <c r="F35" s="126" t="e">
        <f>VLOOKUP(E35,'Códigos bancos'!$B$4:$C$29,2,0)</f>
        <v>#N/A</v>
      </c>
      <c r="G35" s="36">
        <v>1</v>
      </c>
      <c r="H35" s="126" t="str">
        <f>VLOOKUP(G35,'Códigos bancos'!$F$4:$G$14,2,0)</f>
        <v>Oficinas</v>
      </c>
      <c r="I35" s="130"/>
      <c r="J35" s="174">
        <v>0</v>
      </c>
      <c r="K35" s="174">
        <v>0</v>
      </c>
      <c r="L35" s="174">
        <v>0</v>
      </c>
      <c r="M35" s="174">
        <v>0</v>
      </c>
      <c r="N35" s="174">
        <v>0</v>
      </c>
      <c r="O35" s="174">
        <v>0</v>
      </c>
      <c r="P35" s="174">
        <v>0</v>
      </c>
      <c r="Q35" s="174">
        <v>0</v>
      </c>
      <c r="R35" s="174">
        <v>0</v>
      </c>
      <c r="S35" s="215">
        <v>0</v>
      </c>
      <c r="T35" s="71">
        <f t="shared" si="21"/>
        <v>0</v>
      </c>
      <c r="U35" s="71">
        <f t="shared" si="21"/>
        <v>0</v>
      </c>
      <c r="V35" s="117">
        <v>0</v>
      </c>
      <c r="W35" s="117">
        <v>0</v>
      </c>
      <c r="X35" s="71">
        <f>V35-T35</f>
        <v>0</v>
      </c>
      <c r="Y35" s="71">
        <f>W35-U35</f>
        <v>0</v>
      </c>
      <c r="AA35" s="65"/>
      <c r="AC35" s="71">
        <f t="shared" si="8"/>
        <v>0</v>
      </c>
      <c r="AD35" s="39"/>
      <c r="AE35" s="7"/>
      <c r="AF35" s="15"/>
      <c r="AG35" s="71" t="b">
        <f t="shared" si="9"/>
        <v>1</v>
      </c>
      <c r="AI35" s="71"/>
      <c r="AJ35" s="39"/>
      <c r="AK35" s="15"/>
      <c r="AL35" s="71" t="b">
        <f t="shared" si="11"/>
        <v>1</v>
      </c>
      <c r="AN35" s="65"/>
    </row>
    <row r="36" spans="2:40 16128:16147" ht="13" customHeight="1">
      <c r="B36" s="119"/>
      <c r="C36" s="23">
        <f t="shared" si="3"/>
        <v>2026091</v>
      </c>
      <c r="D36" s="23">
        <v>1</v>
      </c>
      <c r="E36" s="128">
        <v>0</v>
      </c>
      <c r="F36" s="126" t="e">
        <f>VLOOKUP(E36,'Códigos bancos'!$B$4:$C$29,2,0)</f>
        <v>#N/A</v>
      </c>
      <c r="G36" s="36">
        <v>1</v>
      </c>
      <c r="H36" s="126" t="str">
        <f>VLOOKUP(G36,'Códigos bancos'!$F$4:$G$14,2,0)</f>
        <v>Oficinas</v>
      </c>
      <c r="I36" s="130"/>
      <c r="J36" s="174">
        <v>0</v>
      </c>
      <c r="K36" s="174">
        <v>0</v>
      </c>
      <c r="L36" s="174">
        <v>0</v>
      </c>
      <c r="M36" s="174">
        <v>0</v>
      </c>
      <c r="N36" s="174">
        <v>0</v>
      </c>
      <c r="O36" s="174">
        <v>0</v>
      </c>
      <c r="P36" s="174">
        <v>0</v>
      </c>
      <c r="Q36" s="174">
        <v>0</v>
      </c>
      <c r="R36" s="174">
        <v>0</v>
      </c>
      <c r="S36" s="215">
        <v>0</v>
      </c>
      <c r="T36" s="71">
        <f t="shared" si="21"/>
        <v>0</v>
      </c>
      <c r="U36" s="71">
        <f t="shared" si="21"/>
        <v>0</v>
      </c>
      <c r="V36" s="117">
        <v>0</v>
      </c>
      <c r="W36" s="117">
        <v>0</v>
      </c>
      <c r="X36" s="71">
        <f>V36-T36</f>
        <v>0</v>
      </c>
      <c r="Y36" s="71">
        <f>W36-U36</f>
        <v>0</v>
      </c>
      <c r="AA36" s="65"/>
      <c r="AC36" s="71">
        <f t="shared" si="8"/>
        <v>0</v>
      </c>
      <c r="AD36" s="39"/>
      <c r="AE36" s="7"/>
      <c r="AF36" s="15"/>
      <c r="AG36" s="71" t="b">
        <f t="shared" si="9"/>
        <v>1</v>
      </c>
      <c r="AI36" s="71">
        <f>Y36</f>
        <v>0</v>
      </c>
      <c r="AJ36" s="39"/>
      <c r="AK36" s="15"/>
      <c r="AL36" s="71" t="b">
        <f t="shared" si="11"/>
        <v>1</v>
      </c>
      <c r="AN36" s="65"/>
    </row>
    <row r="37" spans="2:40 16128:16147" ht="13" customHeight="1" thickBot="1">
      <c r="B37" s="119"/>
      <c r="C37" s="23">
        <f t="shared" si="3"/>
        <v>2026091</v>
      </c>
      <c r="D37" s="23">
        <v>1</v>
      </c>
      <c r="E37" s="128">
        <v>0</v>
      </c>
      <c r="F37" s="126" t="e">
        <f>VLOOKUP(E37,'Códigos bancos'!$B$4:$C$29,2,0)</f>
        <v>#N/A</v>
      </c>
      <c r="G37" s="36">
        <v>1</v>
      </c>
      <c r="H37" s="126" t="str">
        <f>VLOOKUP(G37,'Códigos bancos'!$F$4:$G$14,2,0)</f>
        <v>Oficinas</v>
      </c>
      <c r="I37" s="130"/>
      <c r="J37" s="174">
        <v>0</v>
      </c>
      <c r="K37" s="174">
        <v>0</v>
      </c>
      <c r="L37" s="174">
        <v>0</v>
      </c>
      <c r="M37" s="174">
        <v>0</v>
      </c>
      <c r="N37" s="174">
        <v>0</v>
      </c>
      <c r="O37" s="174">
        <v>0</v>
      </c>
      <c r="P37" s="174">
        <v>0</v>
      </c>
      <c r="Q37" s="174">
        <v>0</v>
      </c>
      <c r="R37" s="174">
        <v>0</v>
      </c>
      <c r="S37" s="215">
        <v>0</v>
      </c>
      <c r="T37" s="71">
        <f t="shared" si="4"/>
        <v>0</v>
      </c>
      <c r="U37" s="71">
        <f t="shared" si="5"/>
        <v>0</v>
      </c>
      <c r="V37" s="117">
        <v>0</v>
      </c>
      <c r="W37" s="117">
        <v>0</v>
      </c>
      <c r="X37" s="71">
        <f t="shared" si="6"/>
        <v>0</v>
      </c>
      <c r="Y37" s="71">
        <f t="shared" si="7"/>
        <v>0</v>
      </c>
      <c r="AA37" s="65"/>
      <c r="AC37" s="71">
        <f t="shared" si="8"/>
        <v>0</v>
      </c>
      <c r="AD37" s="39"/>
      <c r="AE37" s="7"/>
      <c r="AF37" s="15"/>
      <c r="AG37" s="71" t="b">
        <f t="shared" si="9"/>
        <v>1</v>
      </c>
      <c r="AI37" s="71">
        <f t="shared" si="10"/>
        <v>0</v>
      </c>
      <c r="AJ37" s="39"/>
      <c r="AK37" s="15"/>
      <c r="AL37" s="71" t="b">
        <f t="shared" si="11"/>
        <v>1</v>
      </c>
      <c r="AN37" s="65"/>
    </row>
    <row r="38" spans="2:40 16128:16147" ht="13" customHeight="1" thickBot="1">
      <c r="E38" s="120" t="s">
        <v>0</v>
      </c>
      <c r="F38" s="121" t="s">
        <v>53</v>
      </c>
      <c r="G38" s="121"/>
      <c r="H38" s="121"/>
      <c r="I38" s="121"/>
      <c r="J38" s="122">
        <f t="shared" ref="J38:Y38" si="22">SUM(J13:J37)</f>
        <v>0</v>
      </c>
      <c r="K38" s="122">
        <f t="shared" si="22"/>
        <v>0</v>
      </c>
      <c r="L38" s="122">
        <f t="shared" si="22"/>
        <v>0</v>
      </c>
      <c r="M38" s="122">
        <f t="shared" si="22"/>
        <v>0</v>
      </c>
      <c r="N38" s="122">
        <f t="shared" si="22"/>
        <v>0</v>
      </c>
      <c r="O38" s="122">
        <f t="shared" si="22"/>
        <v>0</v>
      </c>
      <c r="P38" s="122">
        <f t="shared" si="22"/>
        <v>0</v>
      </c>
      <c r="Q38" s="122">
        <f t="shared" si="22"/>
        <v>0</v>
      </c>
      <c r="R38" s="122">
        <f t="shared" si="22"/>
        <v>144</v>
      </c>
      <c r="S38" s="122">
        <f t="shared" si="22"/>
        <v>6520660</v>
      </c>
      <c r="T38" s="122">
        <f t="shared" si="22"/>
        <v>144</v>
      </c>
      <c r="U38" s="122">
        <f t="shared" si="22"/>
        <v>6520660</v>
      </c>
      <c r="V38" s="123">
        <f t="shared" si="22"/>
        <v>144</v>
      </c>
      <c r="W38" s="123">
        <f t="shared" si="22"/>
        <v>6520660</v>
      </c>
      <c r="X38" s="122">
        <f t="shared" si="22"/>
        <v>0</v>
      </c>
      <c r="Y38" s="123">
        <f t="shared" si="22"/>
        <v>0</v>
      </c>
      <c r="AA38" s="65"/>
      <c r="AC38" s="122">
        <f>SUM(AC13:AC37)</f>
        <v>0</v>
      </c>
      <c r="AD38" s="122">
        <f>SUM(AD13:AD37)</f>
        <v>0</v>
      </c>
      <c r="AE38" s="122">
        <f>SUM(AE13:AE37)</f>
        <v>0</v>
      </c>
      <c r="AF38" s="123">
        <f>SUM(AF13:AF37)</f>
        <v>0</v>
      </c>
      <c r="AG38" s="100"/>
      <c r="AI38" s="122">
        <f>SUM(AI13:AI37)</f>
        <v>0</v>
      </c>
      <c r="AJ38" s="122">
        <f>SUM(AJ13:AJ37)</f>
        <v>0</v>
      </c>
      <c r="AK38" s="123">
        <f>SUM(AK13:AK37)</f>
        <v>0</v>
      </c>
      <c r="AL38" s="100"/>
      <c r="AN38" s="65"/>
    </row>
    <row r="39" spans="2:40 16128:16147" ht="13" customHeight="1" thickBot="1">
      <c r="AA39" s="65"/>
      <c r="AN39" s="65"/>
    </row>
    <row r="40" spans="2:40 16128:16147" ht="41.25" customHeight="1" thickBot="1">
      <c r="B40" s="112" t="s">
        <v>4</v>
      </c>
      <c r="C40" s="34" t="s">
        <v>6</v>
      </c>
      <c r="D40" s="34" t="s">
        <v>7</v>
      </c>
      <c r="E40" s="34" t="s">
        <v>49</v>
      </c>
      <c r="F40" s="34" t="s">
        <v>50</v>
      </c>
      <c r="G40" s="34" t="s">
        <v>51</v>
      </c>
      <c r="H40" s="34" t="s">
        <v>52</v>
      </c>
      <c r="I40" s="34" t="s">
        <v>13</v>
      </c>
      <c r="J40" s="12" t="s">
        <v>8</v>
      </c>
      <c r="K40" s="12" t="s">
        <v>36</v>
      </c>
      <c r="L40" s="12" t="s">
        <v>9</v>
      </c>
      <c r="M40" s="12" t="s">
        <v>37</v>
      </c>
      <c r="N40" s="87" t="s">
        <v>10</v>
      </c>
      <c r="O40" s="88" t="s">
        <v>38</v>
      </c>
      <c r="P40" s="87" t="s">
        <v>11</v>
      </c>
      <c r="Q40" s="88" t="s">
        <v>39</v>
      </c>
      <c r="R40" s="87" t="s">
        <v>12</v>
      </c>
      <c r="S40" s="88" t="s">
        <v>40</v>
      </c>
      <c r="T40" s="64" t="s">
        <v>41</v>
      </c>
      <c r="U40" s="64" t="s">
        <v>42</v>
      </c>
      <c r="V40" s="35" t="s">
        <v>32</v>
      </c>
      <c r="W40" s="67" t="s">
        <v>35</v>
      </c>
      <c r="X40" s="12" t="s">
        <v>34</v>
      </c>
      <c r="Y40" s="68" t="s">
        <v>33</v>
      </c>
      <c r="AA40" s="66"/>
      <c r="AC40" s="12" t="s">
        <v>34</v>
      </c>
      <c r="AD40" s="12" t="s">
        <v>45</v>
      </c>
      <c r="AE40" s="12" t="s">
        <v>43</v>
      </c>
      <c r="AF40" s="12" t="s">
        <v>44</v>
      </c>
      <c r="AG40" s="12" t="s">
        <v>46</v>
      </c>
      <c r="AI40" s="12" t="s">
        <v>33</v>
      </c>
      <c r="AJ40" s="12" t="s">
        <v>47</v>
      </c>
      <c r="AK40" s="12" t="s">
        <v>48</v>
      </c>
      <c r="AL40" s="12" t="s">
        <v>46</v>
      </c>
      <c r="AN40" s="66"/>
      <c r="WVH40" s="1"/>
      <c r="WVI40" s="1"/>
      <c r="WVZ40"/>
      <c r="WWA40"/>
    </row>
    <row r="41" spans="2:40 16128:16147" ht="13" customHeight="1">
      <c r="B41" s="119" t="s">
        <v>71</v>
      </c>
      <c r="C41" s="24">
        <f>IF(D41&lt;=15,$C$1,$C$2)</f>
        <v>2026091</v>
      </c>
      <c r="D41" s="24">
        <v>2</v>
      </c>
      <c r="E41" s="127">
        <v>20</v>
      </c>
      <c r="F41" s="125" t="str">
        <f>VLOOKUP(E41,'Códigos bancos'!$B$4:$C$29,2,0)</f>
        <v>Bancolombia ENERBIT</v>
      </c>
      <c r="G41" s="18">
        <v>1</v>
      </c>
      <c r="H41" s="125" t="str">
        <f>VLOOKUP(G41,'Códigos bancos'!$F$4:$G$14,2,0)</f>
        <v>Oficinas</v>
      </c>
      <c r="I41" s="129"/>
      <c r="J41" s="213">
        <v>0</v>
      </c>
      <c r="K41" s="213">
        <v>0</v>
      </c>
      <c r="L41" s="213">
        <v>0</v>
      </c>
      <c r="M41" s="213">
        <v>0</v>
      </c>
      <c r="N41" s="213">
        <v>0</v>
      </c>
      <c r="O41" s="213">
        <v>0</v>
      </c>
      <c r="P41" s="213">
        <v>0</v>
      </c>
      <c r="Q41" s="213">
        <v>0</v>
      </c>
      <c r="R41" s="116">
        <v>515</v>
      </c>
      <c r="S41" s="116">
        <v>22706710</v>
      </c>
      <c r="T41" s="70">
        <f>J41+L41+N41+P41+R41</f>
        <v>515</v>
      </c>
      <c r="U41" s="70">
        <f>K41+M41+O41+Q41+S41</f>
        <v>22706710</v>
      </c>
      <c r="V41" s="116">
        <v>515</v>
      </c>
      <c r="W41" s="116">
        <v>22706710</v>
      </c>
      <c r="X41" s="70">
        <f>V41-T41</f>
        <v>0</v>
      </c>
      <c r="Y41" s="70">
        <f>W41-U41</f>
        <v>0</v>
      </c>
      <c r="AA41" s="65"/>
      <c r="AC41" s="124">
        <f>X41</f>
        <v>0</v>
      </c>
      <c r="AD41" s="115"/>
      <c r="AE41" s="16"/>
      <c r="AF41" s="114"/>
      <c r="AG41" s="124" t="b">
        <f>AC41=(AD41+AE41+AF41)</f>
        <v>1</v>
      </c>
      <c r="AI41" s="70">
        <f>Y41</f>
        <v>0</v>
      </c>
      <c r="AJ41" s="115"/>
      <c r="AK41" s="114"/>
      <c r="AL41" s="70" t="b">
        <f>AI41=(AJ41+AK41)</f>
        <v>1</v>
      </c>
      <c r="AN41" s="65"/>
    </row>
    <row r="42" spans="2:40 16128:16147" ht="13" customHeight="1">
      <c r="B42" s="119"/>
      <c r="C42" s="23">
        <f t="shared" ref="C42:C65" si="23">IF(D42&lt;=15,$C$1,$C$2)</f>
        <v>2026091</v>
      </c>
      <c r="D42" s="23">
        <v>2</v>
      </c>
      <c r="E42" s="128">
        <v>0</v>
      </c>
      <c r="F42" s="126" t="e">
        <f>VLOOKUP(E42,'Códigos bancos'!$B$4:$C$29,2,0)</f>
        <v>#N/A</v>
      </c>
      <c r="G42" s="36">
        <v>1</v>
      </c>
      <c r="H42" s="126" t="str">
        <f>VLOOKUP(G42,'Códigos bancos'!$F$4:$G$14,2,0)</f>
        <v>Oficinas</v>
      </c>
      <c r="I42" s="130"/>
      <c r="J42" s="174">
        <v>0</v>
      </c>
      <c r="K42" s="174">
        <v>0</v>
      </c>
      <c r="L42" s="174">
        <v>0</v>
      </c>
      <c r="M42" s="174">
        <v>0</v>
      </c>
      <c r="N42" s="174">
        <v>0</v>
      </c>
      <c r="O42" s="174">
        <v>0</v>
      </c>
      <c r="P42" s="174">
        <v>0</v>
      </c>
      <c r="Q42" s="174">
        <v>0</v>
      </c>
      <c r="R42" s="174">
        <v>0</v>
      </c>
      <c r="S42" s="215">
        <v>0</v>
      </c>
      <c r="T42" s="71">
        <f t="shared" ref="T42:T65" si="24">J42+L42+N42+P42+R42</f>
        <v>0</v>
      </c>
      <c r="U42" s="71">
        <f t="shared" ref="U42:U65" si="25">K42+M42+O42+Q42+S42</f>
        <v>0</v>
      </c>
      <c r="V42" s="117">
        <v>0</v>
      </c>
      <c r="W42" s="117">
        <v>0</v>
      </c>
      <c r="X42" s="71">
        <f t="shared" ref="X42:X65" si="26">V42-T42</f>
        <v>0</v>
      </c>
      <c r="Y42" s="71">
        <f t="shared" ref="Y42:Y65" si="27">W42-U42</f>
        <v>0</v>
      </c>
      <c r="AA42" s="65"/>
      <c r="AC42" s="71">
        <f t="shared" ref="AC42:AC65" si="28">X42</f>
        <v>0</v>
      </c>
      <c r="AD42" s="39"/>
      <c r="AE42" s="7"/>
      <c r="AF42" s="15"/>
      <c r="AG42" s="71" t="b">
        <f t="shared" ref="AG42:AG65" si="29">AC42=(AD42+AE42+AF42)</f>
        <v>1</v>
      </c>
      <c r="AI42" s="71">
        <f t="shared" ref="AI42:AI65" si="30">Y42</f>
        <v>0</v>
      </c>
      <c r="AJ42" s="39"/>
      <c r="AK42" s="15"/>
      <c r="AL42" s="71" t="b">
        <f t="shared" ref="AL42:AL65" si="31">AI42=(AJ42+AK42)</f>
        <v>1</v>
      </c>
      <c r="AN42" s="65"/>
    </row>
    <row r="43" spans="2:40 16128:16147" ht="13" customHeight="1">
      <c r="B43" s="119"/>
      <c r="C43" s="23">
        <f t="shared" si="23"/>
        <v>2026091</v>
      </c>
      <c r="D43" s="23">
        <v>2</v>
      </c>
      <c r="E43" s="128">
        <v>0</v>
      </c>
      <c r="F43" s="126" t="e">
        <f>VLOOKUP(E43,'Códigos bancos'!$B$4:$C$29,2,0)</f>
        <v>#N/A</v>
      </c>
      <c r="G43" s="36">
        <v>1</v>
      </c>
      <c r="H43" s="126" t="str">
        <f>VLOOKUP(G43,'Códigos bancos'!$F$4:$G$14,2,0)</f>
        <v>Oficinas</v>
      </c>
      <c r="I43" s="130"/>
      <c r="J43" s="174">
        <v>0</v>
      </c>
      <c r="K43" s="174">
        <v>0</v>
      </c>
      <c r="L43" s="174">
        <v>0</v>
      </c>
      <c r="M43" s="174">
        <v>0</v>
      </c>
      <c r="N43" s="174">
        <v>0</v>
      </c>
      <c r="O43" s="174">
        <v>0</v>
      </c>
      <c r="P43" s="174">
        <v>0</v>
      </c>
      <c r="Q43" s="174">
        <v>0</v>
      </c>
      <c r="R43" s="174">
        <v>0</v>
      </c>
      <c r="S43" s="215">
        <v>0</v>
      </c>
      <c r="T43" s="71">
        <f t="shared" si="24"/>
        <v>0</v>
      </c>
      <c r="U43" s="71">
        <f t="shared" si="25"/>
        <v>0</v>
      </c>
      <c r="V43" s="117">
        <v>0</v>
      </c>
      <c r="W43" s="117">
        <v>0</v>
      </c>
      <c r="X43" s="71">
        <f t="shared" si="26"/>
        <v>0</v>
      </c>
      <c r="Y43" s="71">
        <f t="shared" si="27"/>
        <v>0</v>
      </c>
      <c r="AA43" s="65"/>
      <c r="AC43" s="71">
        <f t="shared" si="28"/>
        <v>0</v>
      </c>
      <c r="AD43" s="45"/>
      <c r="AE43" s="14"/>
      <c r="AF43" s="46"/>
      <c r="AG43" s="71" t="b">
        <f t="shared" si="29"/>
        <v>1</v>
      </c>
      <c r="AI43" s="71">
        <f t="shared" si="30"/>
        <v>0</v>
      </c>
      <c r="AJ43" s="45"/>
      <c r="AK43" s="46"/>
      <c r="AL43" s="71" t="b">
        <f t="shared" si="31"/>
        <v>1</v>
      </c>
      <c r="AN43" s="65"/>
    </row>
    <row r="44" spans="2:40 16128:16147" ht="13" customHeight="1">
      <c r="B44" s="119"/>
      <c r="C44" s="23">
        <f t="shared" si="23"/>
        <v>2026091</v>
      </c>
      <c r="D44" s="23">
        <v>2</v>
      </c>
      <c r="E44" s="128">
        <v>0</v>
      </c>
      <c r="F44" s="126" t="e">
        <f>VLOOKUP(E44,'Códigos bancos'!$B$4:$C$29,2,0)</f>
        <v>#N/A</v>
      </c>
      <c r="G44" s="36">
        <v>1</v>
      </c>
      <c r="H44" s="126" t="str">
        <f>VLOOKUP(G44,'Códigos bancos'!$F$4:$G$14,2,0)</f>
        <v>Oficinas</v>
      </c>
      <c r="I44" s="130"/>
      <c r="J44" s="174">
        <v>0</v>
      </c>
      <c r="K44" s="174">
        <v>0</v>
      </c>
      <c r="L44" s="174">
        <v>0</v>
      </c>
      <c r="M44" s="174">
        <v>0</v>
      </c>
      <c r="N44" s="174">
        <v>0</v>
      </c>
      <c r="O44" s="174">
        <v>0</v>
      </c>
      <c r="P44" s="174">
        <v>0</v>
      </c>
      <c r="Q44" s="174">
        <v>0</v>
      </c>
      <c r="R44" s="174">
        <v>0</v>
      </c>
      <c r="S44" s="215">
        <v>0</v>
      </c>
      <c r="T44" s="71">
        <f t="shared" si="24"/>
        <v>0</v>
      </c>
      <c r="U44" s="71">
        <f t="shared" si="25"/>
        <v>0</v>
      </c>
      <c r="V44" s="117">
        <v>0</v>
      </c>
      <c r="W44" s="117">
        <v>0</v>
      </c>
      <c r="X44" s="71">
        <f t="shared" si="26"/>
        <v>0</v>
      </c>
      <c r="Y44" s="71">
        <f t="shared" si="27"/>
        <v>0</v>
      </c>
      <c r="AA44" s="65"/>
      <c r="AC44" s="71">
        <f t="shared" si="28"/>
        <v>0</v>
      </c>
      <c r="AD44" s="39"/>
      <c r="AE44" s="7"/>
      <c r="AF44" s="15"/>
      <c r="AG44" s="71" t="b">
        <f t="shared" si="29"/>
        <v>1</v>
      </c>
      <c r="AI44" s="71">
        <f t="shared" si="30"/>
        <v>0</v>
      </c>
      <c r="AJ44" s="39"/>
      <c r="AK44" s="15"/>
      <c r="AL44" s="71" t="b">
        <f t="shared" si="31"/>
        <v>1</v>
      </c>
      <c r="AN44" s="65"/>
    </row>
    <row r="45" spans="2:40 16128:16147" ht="13" customHeight="1">
      <c r="B45" s="119"/>
      <c r="C45" s="23">
        <f t="shared" si="23"/>
        <v>2026091</v>
      </c>
      <c r="D45" s="23">
        <v>2</v>
      </c>
      <c r="E45" s="128">
        <v>0</v>
      </c>
      <c r="F45" s="126" t="e">
        <f>VLOOKUP(E45,'Códigos bancos'!$B$4:$C$29,2,0)</f>
        <v>#N/A</v>
      </c>
      <c r="G45" s="36">
        <v>1</v>
      </c>
      <c r="H45" s="126" t="str">
        <f>VLOOKUP(G45,'Códigos bancos'!$F$4:$G$14,2,0)</f>
        <v>Oficinas</v>
      </c>
      <c r="I45" s="130"/>
      <c r="J45" s="174">
        <v>0</v>
      </c>
      <c r="K45" s="174">
        <v>0</v>
      </c>
      <c r="L45" s="174">
        <v>0</v>
      </c>
      <c r="M45" s="174">
        <v>0</v>
      </c>
      <c r="N45" s="174">
        <v>0</v>
      </c>
      <c r="O45" s="174">
        <v>0</v>
      </c>
      <c r="P45" s="174">
        <v>0</v>
      </c>
      <c r="Q45" s="174">
        <v>0</v>
      </c>
      <c r="R45" s="174">
        <v>0</v>
      </c>
      <c r="S45" s="215">
        <v>0</v>
      </c>
      <c r="T45" s="71">
        <f t="shared" si="24"/>
        <v>0</v>
      </c>
      <c r="U45" s="71">
        <f t="shared" si="25"/>
        <v>0</v>
      </c>
      <c r="V45" s="117">
        <v>0</v>
      </c>
      <c r="W45" s="117">
        <v>0</v>
      </c>
      <c r="X45" s="71">
        <f t="shared" si="26"/>
        <v>0</v>
      </c>
      <c r="Y45" s="71">
        <f t="shared" si="27"/>
        <v>0</v>
      </c>
      <c r="AA45" s="65"/>
      <c r="AC45" s="71">
        <f t="shared" si="28"/>
        <v>0</v>
      </c>
      <c r="AD45" s="39"/>
      <c r="AE45" s="7"/>
      <c r="AF45" s="15"/>
      <c r="AG45" s="71" t="b">
        <f t="shared" si="29"/>
        <v>1</v>
      </c>
      <c r="AI45" s="71">
        <f t="shared" si="30"/>
        <v>0</v>
      </c>
      <c r="AJ45" s="39"/>
      <c r="AK45" s="15"/>
      <c r="AL45" s="71" t="b">
        <f t="shared" si="31"/>
        <v>1</v>
      </c>
      <c r="AN45" s="65"/>
    </row>
    <row r="46" spans="2:40 16128:16147" ht="13" customHeight="1">
      <c r="B46" s="119"/>
      <c r="C46" s="23">
        <f t="shared" si="23"/>
        <v>2026091</v>
      </c>
      <c r="D46" s="23">
        <v>2</v>
      </c>
      <c r="E46" s="128">
        <v>0</v>
      </c>
      <c r="F46" s="126" t="e">
        <f>VLOOKUP(E46,'Códigos bancos'!$B$4:$C$29,2,0)</f>
        <v>#N/A</v>
      </c>
      <c r="G46" s="36">
        <v>1</v>
      </c>
      <c r="H46" s="126" t="str">
        <f>VLOOKUP(G46,'Códigos bancos'!$F$4:$G$14,2,0)</f>
        <v>Oficinas</v>
      </c>
      <c r="I46" s="130"/>
      <c r="J46" s="174">
        <v>0</v>
      </c>
      <c r="K46" s="174">
        <v>0</v>
      </c>
      <c r="L46" s="174">
        <v>0</v>
      </c>
      <c r="M46" s="174">
        <v>0</v>
      </c>
      <c r="N46" s="174">
        <v>0</v>
      </c>
      <c r="O46" s="174">
        <v>0</v>
      </c>
      <c r="P46" s="174">
        <v>0</v>
      </c>
      <c r="Q46" s="174">
        <v>0</v>
      </c>
      <c r="R46" s="174">
        <v>0</v>
      </c>
      <c r="S46" s="215">
        <v>0</v>
      </c>
      <c r="T46" s="71">
        <f t="shared" si="24"/>
        <v>0</v>
      </c>
      <c r="U46" s="71">
        <f t="shared" si="25"/>
        <v>0</v>
      </c>
      <c r="V46" s="117">
        <v>0</v>
      </c>
      <c r="W46" s="117">
        <v>0</v>
      </c>
      <c r="X46" s="71">
        <f t="shared" si="26"/>
        <v>0</v>
      </c>
      <c r="Y46" s="71">
        <f t="shared" si="27"/>
        <v>0</v>
      </c>
      <c r="AA46" s="65"/>
      <c r="AC46" s="71">
        <f t="shared" si="28"/>
        <v>0</v>
      </c>
      <c r="AD46" s="39"/>
      <c r="AE46" s="7"/>
      <c r="AF46" s="15"/>
      <c r="AG46" s="71" t="b">
        <f t="shared" si="29"/>
        <v>1</v>
      </c>
      <c r="AI46" s="71">
        <f t="shared" si="30"/>
        <v>0</v>
      </c>
      <c r="AJ46" s="39"/>
      <c r="AK46" s="15"/>
      <c r="AL46" s="71" t="b">
        <f t="shared" si="31"/>
        <v>1</v>
      </c>
      <c r="AN46" s="65"/>
    </row>
    <row r="47" spans="2:40 16128:16147" ht="13" customHeight="1">
      <c r="B47" s="119"/>
      <c r="C47" s="23">
        <f t="shared" si="23"/>
        <v>2026091</v>
      </c>
      <c r="D47" s="23">
        <v>2</v>
      </c>
      <c r="E47" s="128">
        <v>0</v>
      </c>
      <c r="F47" s="126" t="e">
        <f>VLOOKUP(E47,'Códigos bancos'!$B$4:$C$29,2,0)</f>
        <v>#N/A</v>
      </c>
      <c r="G47" s="36">
        <v>1</v>
      </c>
      <c r="H47" s="126" t="str">
        <f>VLOOKUP(G47,'Códigos bancos'!$F$4:$G$14,2,0)</f>
        <v>Oficinas</v>
      </c>
      <c r="I47" s="130"/>
      <c r="J47" s="174">
        <v>0</v>
      </c>
      <c r="K47" s="174">
        <v>0</v>
      </c>
      <c r="L47" s="174">
        <v>0</v>
      </c>
      <c r="M47" s="174">
        <v>0</v>
      </c>
      <c r="N47" s="174">
        <v>0</v>
      </c>
      <c r="O47" s="174">
        <v>0</v>
      </c>
      <c r="P47" s="174">
        <v>0</v>
      </c>
      <c r="Q47" s="174">
        <v>0</v>
      </c>
      <c r="R47" s="174">
        <v>0</v>
      </c>
      <c r="S47" s="215">
        <v>0</v>
      </c>
      <c r="T47" s="71">
        <f t="shared" si="24"/>
        <v>0</v>
      </c>
      <c r="U47" s="71">
        <f t="shared" si="25"/>
        <v>0</v>
      </c>
      <c r="V47" s="117">
        <v>0</v>
      </c>
      <c r="W47" s="117">
        <v>0</v>
      </c>
      <c r="X47" s="71">
        <f t="shared" si="26"/>
        <v>0</v>
      </c>
      <c r="Y47" s="71">
        <f t="shared" si="27"/>
        <v>0</v>
      </c>
      <c r="AA47" s="65"/>
      <c r="AC47" s="71">
        <f t="shared" si="28"/>
        <v>0</v>
      </c>
      <c r="AD47" s="39"/>
      <c r="AE47" s="7"/>
      <c r="AF47" s="15"/>
      <c r="AG47" s="71" t="b">
        <f t="shared" si="29"/>
        <v>1</v>
      </c>
      <c r="AI47" s="71">
        <f t="shared" si="30"/>
        <v>0</v>
      </c>
      <c r="AJ47" s="39"/>
      <c r="AK47" s="15"/>
      <c r="AL47" s="71" t="b">
        <f t="shared" si="31"/>
        <v>1</v>
      </c>
      <c r="AN47" s="65"/>
    </row>
    <row r="48" spans="2:40 16128:16147" ht="13" customHeight="1">
      <c r="B48" s="119"/>
      <c r="C48" s="23">
        <f t="shared" si="23"/>
        <v>2026091</v>
      </c>
      <c r="D48" s="23">
        <v>2</v>
      </c>
      <c r="E48" s="128">
        <v>0</v>
      </c>
      <c r="F48" s="126" t="e">
        <f>VLOOKUP(E48,'Códigos bancos'!$B$4:$C$29,2,0)</f>
        <v>#N/A</v>
      </c>
      <c r="G48" s="36">
        <v>1</v>
      </c>
      <c r="H48" s="126" t="str">
        <f>VLOOKUP(G48,'Códigos bancos'!$F$4:$G$14,2,0)</f>
        <v>Oficinas</v>
      </c>
      <c r="I48" s="130"/>
      <c r="J48" s="174">
        <v>0</v>
      </c>
      <c r="K48" s="174">
        <v>0</v>
      </c>
      <c r="L48" s="174">
        <v>0</v>
      </c>
      <c r="M48" s="174">
        <v>0</v>
      </c>
      <c r="N48" s="174">
        <v>0</v>
      </c>
      <c r="O48" s="174">
        <v>0</v>
      </c>
      <c r="P48" s="174">
        <v>0</v>
      </c>
      <c r="Q48" s="174">
        <v>0</v>
      </c>
      <c r="R48" s="174">
        <v>0</v>
      </c>
      <c r="S48" s="215">
        <v>0</v>
      </c>
      <c r="T48" s="71">
        <f t="shared" si="24"/>
        <v>0</v>
      </c>
      <c r="U48" s="71">
        <f t="shared" si="25"/>
        <v>0</v>
      </c>
      <c r="V48" s="117">
        <v>0</v>
      </c>
      <c r="W48" s="117">
        <v>0</v>
      </c>
      <c r="X48" s="71">
        <f t="shared" si="26"/>
        <v>0</v>
      </c>
      <c r="Y48" s="71">
        <f t="shared" si="27"/>
        <v>0</v>
      </c>
      <c r="AA48" s="65"/>
      <c r="AC48" s="71">
        <f t="shared" si="28"/>
        <v>0</v>
      </c>
      <c r="AD48" s="39"/>
      <c r="AE48" s="7"/>
      <c r="AF48" s="15"/>
      <c r="AG48" s="71" t="b">
        <f t="shared" si="29"/>
        <v>1</v>
      </c>
      <c r="AI48" s="71">
        <f t="shared" si="30"/>
        <v>0</v>
      </c>
      <c r="AJ48" s="39"/>
      <c r="AK48" s="15"/>
      <c r="AL48" s="71" t="b">
        <f t="shared" si="31"/>
        <v>1</v>
      </c>
      <c r="AN48" s="65"/>
    </row>
    <row r="49" spans="2:40" ht="13" customHeight="1">
      <c r="B49" s="119"/>
      <c r="C49" s="23">
        <f t="shared" si="23"/>
        <v>2026091</v>
      </c>
      <c r="D49" s="23">
        <v>2</v>
      </c>
      <c r="E49" s="128">
        <v>0</v>
      </c>
      <c r="F49" s="126" t="e">
        <f>VLOOKUP(E49,'Códigos bancos'!$B$4:$C$29,2,0)</f>
        <v>#N/A</v>
      </c>
      <c r="G49" s="36">
        <v>1</v>
      </c>
      <c r="H49" s="126" t="str">
        <f>VLOOKUP(G49,'Códigos bancos'!$F$4:$G$14,2,0)</f>
        <v>Oficinas</v>
      </c>
      <c r="I49" s="130"/>
      <c r="J49" s="174">
        <v>0</v>
      </c>
      <c r="K49" s="174">
        <v>0</v>
      </c>
      <c r="L49" s="174">
        <v>0</v>
      </c>
      <c r="M49" s="174">
        <v>0</v>
      </c>
      <c r="N49" s="174">
        <v>0</v>
      </c>
      <c r="O49" s="174">
        <v>0</v>
      </c>
      <c r="P49" s="174">
        <v>0</v>
      </c>
      <c r="Q49" s="174">
        <v>0</v>
      </c>
      <c r="R49" s="174">
        <v>0</v>
      </c>
      <c r="S49" s="215">
        <v>0</v>
      </c>
      <c r="T49" s="71">
        <f t="shared" si="24"/>
        <v>0</v>
      </c>
      <c r="U49" s="71">
        <f t="shared" si="25"/>
        <v>0</v>
      </c>
      <c r="V49" s="117">
        <v>0</v>
      </c>
      <c r="W49" s="117">
        <v>0</v>
      </c>
      <c r="X49" s="71">
        <f t="shared" si="26"/>
        <v>0</v>
      </c>
      <c r="Y49" s="71">
        <f t="shared" si="27"/>
        <v>0</v>
      </c>
      <c r="AA49" s="65"/>
      <c r="AC49" s="71">
        <f t="shared" si="28"/>
        <v>0</v>
      </c>
      <c r="AD49" s="39"/>
      <c r="AE49" s="7"/>
      <c r="AF49" s="15"/>
      <c r="AG49" s="71" t="b">
        <f t="shared" si="29"/>
        <v>1</v>
      </c>
      <c r="AI49" s="71">
        <f t="shared" si="30"/>
        <v>0</v>
      </c>
      <c r="AJ49" s="39"/>
      <c r="AK49" s="15"/>
      <c r="AL49" s="71" t="b">
        <f t="shared" si="31"/>
        <v>1</v>
      </c>
      <c r="AN49" s="65"/>
    </row>
    <row r="50" spans="2:40" ht="13" customHeight="1">
      <c r="B50" s="119"/>
      <c r="C50" s="23">
        <f t="shared" si="23"/>
        <v>2026091</v>
      </c>
      <c r="D50" s="23">
        <v>2</v>
      </c>
      <c r="E50" s="128">
        <v>0</v>
      </c>
      <c r="F50" s="126" t="e">
        <f>VLOOKUP(E50,'Códigos bancos'!$B$4:$C$29,2,0)</f>
        <v>#N/A</v>
      </c>
      <c r="G50" s="36">
        <v>1</v>
      </c>
      <c r="H50" s="126" t="str">
        <f>VLOOKUP(G50,'Códigos bancos'!$F$4:$G$14,2,0)</f>
        <v>Oficinas</v>
      </c>
      <c r="I50" s="130"/>
      <c r="J50" s="174">
        <v>0</v>
      </c>
      <c r="K50" s="174">
        <v>0</v>
      </c>
      <c r="L50" s="174">
        <v>0</v>
      </c>
      <c r="M50" s="174">
        <v>0</v>
      </c>
      <c r="N50" s="174">
        <v>0</v>
      </c>
      <c r="O50" s="174">
        <v>0</v>
      </c>
      <c r="P50" s="174">
        <v>0</v>
      </c>
      <c r="Q50" s="174">
        <v>0</v>
      </c>
      <c r="R50" s="174">
        <v>0</v>
      </c>
      <c r="S50" s="215">
        <v>0</v>
      </c>
      <c r="T50" s="71">
        <f t="shared" si="24"/>
        <v>0</v>
      </c>
      <c r="U50" s="71">
        <f t="shared" si="25"/>
        <v>0</v>
      </c>
      <c r="V50" s="117">
        <v>0</v>
      </c>
      <c r="W50" s="117">
        <v>0</v>
      </c>
      <c r="X50" s="71">
        <f t="shared" si="26"/>
        <v>0</v>
      </c>
      <c r="Y50" s="71">
        <f t="shared" si="27"/>
        <v>0</v>
      </c>
      <c r="AA50" s="65"/>
      <c r="AC50" s="71">
        <f t="shared" si="28"/>
        <v>0</v>
      </c>
      <c r="AD50" s="39"/>
      <c r="AE50" s="7"/>
      <c r="AF50" s="15"/>
      <c r="AG50" s="71" t="b">
        <f t="shared" si="29"/>
        <v>1</v>
      </c>
      <c r="AI50" s="71">
        <f t="shared" si="30"/>
        <v>0</v>
      </c>
      <c r="AJ50" s="39"/>
      <c r="AK50" s="15"/>
      <c r="AL50" s="71" t="b">
        <f t="shared" si="31"/>
        <v>1</v>
      </c>
      <c r="AN50" s="65"/>
    </row>
    <row r="51" spans="2:40" ht="13" customHeight="1">
      <c r="B51" s="119"/>
      <c r="C51" s="23">
        <f t="shared" si="23"/>
        <v>2026091</v>
      </c>
      <c r="D51" s="23">
        <v>2</v>
      </c>
      <c r="E51" s="128">
        <v>0</v>
      </c>
      <c r="F51" s="126" t="e">
        <f>VLOOKUP(E51,'Códigos bancos'!$B$4:$C$29,2,0)</f>
        <v>#N/A</v>
      </c>
      <c r="G51" s="36">
        <v>1</v>
      </c>
      <c r="H51" s="126" t="str">
        <f>VLOOKUP(G51,'Códigos bancos'!$F$4:$G$14,2,0)</f>
        <v>Oficinas</v>
      </c>
      <c r="I51" s="130"/>
      <c r="J51" s="174">
        <v>0</v>
      </c>
      <c r="K51" s="174">
        <v>0</v>
      </c>
      <c r="L51" s="174">
        <v>0</v>
      </c>
      <c r="M51" s="174">
        <v>0</v>
      </c>
      <c r="N51" s="174">
        <v>0</v>
      </c>
      <c r="O51" s="174">
        <v>0</v>
      </c>
      <c r="P51" s="174">
        <v>0</v>
      </c>
      <c r="Q51" s="174">
        <v>0</v>
      </c>
      <c r="R51" s="174">
        <v>0</v>
      </c>
      <c r="S51" s="215">
        <v>0</v>
      </c>
      <c r="T51" s="71">
        <f t="shared" si="24"/>
        <v>0</v>
      </c>
      <c r="U51" s="71">
        <f t="shared" si="25"/>
        <v>0</v>
      </c>
      <c r="V51" s="117">
        <v>0</v>
      </c>
      <c r="W51" s="117">
        <v>0</v>
      </c>
      <c r="X51" s="71">
        <f t="shared" si="26"/>
        <v>0</v>
      </c>
      <c r="Y51" s="71">
        <f t="shared" si="27"/>
        <v>0</v>
      </c>
      <c r="AA51" s="65"/>
      <c r="AC51" s="71">
        <f t="shared" si="28"/>
        <v>0</v>
      </c>
      <c r="AD51" s="39"/>
      <c r="AE51" s="7"/>
      <c r="AF51" s="15"/>
      <c r="AG51" s="71" t="b">
        <f t="shared" si="29"/>
        <v>1</v>
      </c>
      <c r="AI51" s="71">
        <f t="shared" si="30"/>
        <v>0</v>
      </c>
      <c r="AJ51" s="39"/>
      <c r="AK51" s="15"/>
      <c r="AL51" s="71" t="b">
        <f t="shared" si="31"/>
        <v>1</v>
      </c>
      <c r="AN51" s="65"/>
    </row>
    <row r="52" spans="2:40" ht="13" customHeight="1">
      <c r="B52" s="119"/>
      <c r="C52" s="23">
        <f t="shared" si="23"/>
        <v>2026091</v>
      </c>
      <c r="D52" s="23">
        <v>2</v>
      </c>
      <c r="E52" s="128">
        <v>0</v>
      </c>
      <c r="F52" s="126" t="e">
        <f>VLOOKUP(E52,'Códigos bancos'!$B$4:$C$29,2,0)</f>
        <v>#N/A</v>
      </c>
      <c r="G52" s="36">
        <v>1</v>
      </c>
      <c r="H52" s="126" t="str">
        <f>VLOOKUP(G52,'Códigos bancos'!$F$4:$G$14,2,0)</f>
        <v>Oficinas</v>
      </c>
      <c r="I52" s="130"/>
      <c r="J52" s="174">
        <v>0</v>
      </c>
      <c r="K52" s="174">
        <v>0</v>
      </c>
      <c r="L52" s="174">
        <v>0</v>
      </c>
      <c r="M52" s="174">
        <v>0</v>
      </c>
      <c r="N52" s="174">
        <v>0</v>
      </c>
      <c r="O52" s="174">
        <v>0</v>
      </c>
      <c r="P52" s="174">
        <v>0</v>
      </c>
      <c r="Q52" s="174">
        <v>0</v>
      </c>
      <c r="R52" s="174">
        <v>0</v>
      </c>
      <c r="S52" s="215">
        <v>0</v>
      </c>
      <c r="T52" s="71">
        <f t="shared" si="24"/>
        <v>0</v>
      </c>
      <c r="U52" s="71">
        <f t="shared" si="25"/>
        <v>0</v>
      </c>
      <c r="V52" s="117">
        <v>0</v>
      </c>
      <c r="W52" s="117">
        <v>0</v>
      </c>
      <c r="X52" s="71">
        <f t="shared" si="26"/>
        <v>0</v>
      </c>
      <c r="Y52" s="71">
        <f t="shared" si="27"/>
        <v>0</v>
      </c>
      <c r="AA52" s="65"/>
      <c r="AC52" s="71">
        <f t="shared" si="28"/>
        <v>0</v>
      </c>
      <c r="AD52" s="39"/>
      <c r="AE52" s="7"/>
      <c r="AF52" s="15"/>
      <c r="AG52" s="71" t="b">
        <f t="shared" si="29"/>
        <v>1</v>
      </c>
      <c r="AI52" s="71">
        <f t="shared" si="30"/>
        <v>0</v>
      </c>
      <c r="AJ52" s="39"/>
      <c r="AK52" s="15"/>
      <c r="AL52" s="71" t="b">
        <f t="shared" si="31"/>
        <v>1</v>
      </c>
      <c r="AN52" s="65"/>
    </row>
    <row r="53" spans="2:40" ht="13" customHeight="1">
      <c r="B53" s="119"/>
      <c r="C53" s="23">
        <f t="shared" si="23"/>
        <v>2026091</v>
      </c>
      <c r="D53" s="23">
        <v>2</v>
      </c>
      <c r="E53" s="128">
        <v>0</v>
      </c>
      <c r="F53" s="126" t="e">
        <f>VLOOKUP(E53,'Códigos bancos'!$B$4:$C$29,2,0)</f>
        <v>#N/A</v>
      </c>
      <c r="G53" s="36">
        <v>1</v>
      </c>
      <c r="H53" s="126" t="str">
        <f>VLOOKUP(G53,'Códigos bancos'!$F$4:$G$14,2,0)</f>
        <v>Oficinas</v>
      </c>
      <c r="I53" s="130"/>
      <c r="J53" s="174">
        <v>0</v>
      </c>
      <c r="K53" s="174">
        <v>0</v>
      </c>
      <c r="L53" s="174">
        <v>0</v>
      </c>
      <c r="M53" s="174">
        <v>0</v>
      </c>
      <c r="N53" s="174">
        <v>0</v>
      </c>
      <c r="O53" s="174">
        <v>0</v>
      </c>
      <c r="P53" s="174">
        <v>0</v>
      </c>
      <c r="Q53" s="174">
        <v>0</v>
      </c>
      <c r="R53" s="174">
        <v>0</v>
      </c>
      <c r="S53" s="215">
        <v>0</v>
      </c>
      <c r="T53" s="71">
        <f t="shared" si="24"/>
        <v>0</v>
      </c>
      <c r="U53" s="71">
        <f t="shared" si="25"/>
        <v>0</v>
      </c>
      <c r="V53" s="117">
        <v>0</v>
      </c>
      <c r="W53" s="117">
        <v>0</v>
      </c>
      <c r="X53" s="71">
        <f t="shared" si="26"/>
        <v>0</v>
      </c>
      <c r="Y53" s="71">
        <f t="shared" si="27"/>
        <v>0</v>
      </c>
      <c r="AA53" s="65"/>
      <c r="AC53" s="71">
        <f t="shared" si="28"/>
        <v>0</v>
      </c>
      <c r="AD53" s="39"/>
      <c r="AE53" s="7"/>
      <c r="AF53" s="15"/>
      <c r="AG53" s="71" t="b">
        <f t="shared" si="29"/>
        <v>1</v>
      </c>
      <c r="AI53" s="71">
        <f t="shared" si="30"/>
        <v>0</v>
      </c>
      <c r="AJ53" s="39"/>
      <c r="AK53" s="15"/>
      <c r="AL53" s="71" t="b">
        <f t="shared" si="31"/>
        <v>1</v>
      </c>
      <c r="AN53" s="65"/>
    </row>
    <row r="54" spans="2:40" ht="13" customHeight="1">
      <c r="B54" s="119"/>
      <c r="C54" s="23">
        <f t="shared" si="23"/>
        <v>2026091</v>
      </c>
      <c r="D54" s="23">
        <v>2</v>
      </c>
      <c r="E54" s="128">
        <v>0</v>
      </c>
      <c r="F54" s="126" t="e">
        <f>VLOOKUP(E54,'Códigos bancos'!$B$4:$C$29,2,0)</f>
        <v>#N/A</v>
      </c>
      <c r="G54" s="36">
        <v>1</v>
      </c>
      <c r="H54" s="126" t="str">
        <f>VLOOKUP(G54,'Códigos bancos'!$F$4:$G$14,2,0)</f>
        <v>Oficinas</v>
      </c>
      <c r="I54" s="130"/>
      <c r="J54" s="174">
        <v>0</v>
      </c>
      <c r="K54" s="174">
        <v>0</v>
      </c>
      <c r="L54" s="174">
        <v>0</v>
      </c>
      <c r="M54" s="174">
        <v>0</v>
      </c>
      <c r="N54" s="174">
        <v>0</v>
      </c>
      <c r="O54" s="174">
        <v>0</v>
      </c>
      <c r="P54" s="174">
        <v>0</v>
      </c>
      <c r="Q54" s="174">
        <v>0</v>
      </c>
      <c r="R54" s="174">
        <v>0</v>
      </c>
      <c r="S54" s="215">
        <v>0</v>
      </c>
      <c r="T54" s="71">
        <f t="shared" si="24"/>
        <v>0</v>
      </c>
      <c r="U54" s="71">
        <f t="shared" si="25"/>
        <v>0</v>
      </c>
      <c r="V54" s="117">
        <v>0</v>
      </c>
      <c r="W54" s="117">
        <v>0</v>
      </c>
      <c r="X54" s="71">
        <f t="shared" si="26"/>
        <v>0</v>
      </c>
      <c r="Y54" s="71">
        <f t="shared" si="27"/>
        <v>0</v>
      </c>
      <c r="AA54" s="65"/>
      <c r="AC54" s="71">
        <f t="shared" si="28"/>
        <v>0</v>
      </c>
      <c r="AD54" s="39"/>
      <c r="AE54" s="7"/>
      <c r="AF54" s="15"/>
      <c r="AG54" s="71" t="b">
        <f t="shared" si="29"/>
        <v>1</v>
      </c>
      <c r="AI54" s="71">
        <f t="shared" si="30"/>
        <v>0</v>
      </c>
      <c r="AJ54" s="39"/>
      <c r="AK54" s="15"/>
      <c r="AL54" s="71" t="b">
        <f t="shared" si="31"/>
        <v>1</v>
      </c>
      <c r="AN54" s="65"/>
    </row>
    <row r="55" spans="2:40" ht="13" customHeight="1">
      <c r="B55" s="119"/>
      <c r="C55" s="23">
        <f t="shared" si="23"/>
        <v>2026091</v>
      </c>
      <c r="D55" s="23">
        <v>2</v>
      </c>
      <c r="E55" s="128">
        <v>0</v>
      </c>
      <c r="F55" s="126" t="e">
        <f>VLOOKUP(E55,'Códigos bancos'!$B$4:$C$29,2,0)</f>
        <v>#N/A</v>
      </c>
      <c r="G55" s="36">
        <v>1</v>
      </c>
      <c r="H55" s="126" t="str">
        <f>VLOOKUP(G55,'Códigos bancos'!$F$4:$G$14,2,0)</f>
        <v>Oficinas</v>
      </c>
      <c r="I55" s="130"/>
      <c r="J55" s="174">
        <v>0</v>
      </c>
      <c r="K55" s="174">
        <v>0</v>
      </c>
      <c r="L55" s="174">
        <v>0</v>
      </c>
      <c r="M55" s="174">
        <v>0</v>
      </c>
      <c r="N55" s="174">
        <v>0</v>
      </c>
      <c r="O55" s="174">
        <v>0</v>
      </c>
      <c r="P55" s="174">
        <v>0</v>
      </c>
      <c r="Q55" s="174">
        <v>0</v>
      </c>
      <c r="R55" s="174">
        <v>0</v>
      </c>
      <c r="S55" s="215">
        <v>0</v>
      </c>
      <c r="T55" s="71">
        <f t="shared" si="24"/>
        <v>0</v>
      </c>
      <c r="U55" s="71">
        <f t="shared" si="25"/>
        <v>0</v>
      </c>
      <c r="V55" s="117">
        <v>0</v>
      </c>
      <c r="W55" s="117">
        <v>0</v>
      </c>
      <c r="X55" s="71">
        <f t="shared" si="26"/>
        <v>0</v>
      </c>
      <c r="Y55" s="71">
        <f t="shared" si="27"/>
        <v>0</v>
      </c>
      <c r="AA55" s="65"/>
      <c r="AC55" s="71">
        <f t="shared" si="28"/>
        <v>0</v>
      </c>
      <c r="AD55" s="39"/>
      <c r="AE55" s="7"/>
      <c r="AF55" s="15"/>
      <c r="AG55" s="71" t="b">
        <f t="shared" si="29"/>
        <v>1</v>
      </c>
      <c r="AI55" s="71">
        <f t="shared" si="30"/>
        <v>0</v>
      </c>
      <c r="AJ55" s="39"/>
      <c r="AK55" s="15"/>
      <c r="AL55" s="71" t="b">
        <f t="shared" si="31"/>
        <v>1</v>
      </c>
      <c r="AN55" s="65"/>
    </row>
    <row r="56" spans="2:40" ht="12" customHeight="1">
      <c r="B56" s="119"/>
      <c r="C56" s="23">
        <f t="shared" si="23"/>
        <v>2026091</v>
      </c>
      <c r="D56" s="23">
        <v>2</v>
      </c>
      <c r="E56" s="128">
        <v>0</v>
      </c>
      <c r="F56" s="126" t="e">
        <f>VLOOKUP(E56,'Códigos bancos'!$B$4:$C$29,2,0)</f>
        <v>#N/A</v>
      </c>
      <c r="G56" s="36">
        <v>1</v>
      </c>
      <c r="H56" s="126" t="str">
        <f>VLOOKUP(G56,'Códigos bancos'!$F$4:$G$14,2,0)</f>
        <v>Oficinas</v>
      </c>
      <c r="I56" s="130"/>
      <c r="J56" s="174">
        <v>0</v>
      </c>
      <c r="K56" s="174">
        <v>0</v>
      </c>
      <c r="L56" s="174">
        <v>0</v>
      </c>
      <c r="M56" s="174">
        <v>0</v>
      </c>
      <c r="N56" s="174">
        <v>0</v>
      </c>
      <c r="O56" s="174">
        <v>0</v>
      </c>
      <c r="P56" s="174">
        <v>0</v>
      </c>
      <c r="Q56" s="174">
        <v>0</v>
      </c>
      <c r="R56" s="174">
        <v>0</v>
      </c>
      <c r="S56" s="215">
        <v>0</v>
      </c>
      <c r="T56" s="71">
        <f t="shared" si="24"/>
        <v>0</v>
      </c>
      <c r="U56" s="71">
        <f t="shared" si="25"/>
        <v>0</v>
      </c>
      <c r="V56" s="117">
        <v>0</v>
      </c>
      <c r="W56" s="117">
        <v>0</v>
      </c>
      <c r="X56" s="71">
        <f t="shared" si="26"/>
        <v>0</v>
      </c>
      <c r="Y56" s="71">
        <f t="shared" si="27"/>
        <v>0</v>
      </c>
      <c r="AA56" s="65"/>
      <c r="AC56" s="71">
        <f t="shared" si="28"/>
        <v>0</v>
      </c>
      <c r="AD56" s="39"/>
      <c r="AE56" s="7"/>
      <c r="AF56" s="15"/>
      <c r="AG56" s="71" t="b">
        <f t="shared" si="29"/>
        <v>1</v>
      </c>
      <c r="AI56" s="71">
        <f t="shared" si="30"/>
        <v>0</v>
      </c>
      <c r="AJ56" s="39"/>
      <c r="AK56" s="15"/>
      <c r="AL56" s="71" t="b">
        <f t="shared" si="31"/>
        <v>1</v>
      </c>
      <c r="AN56" s="65"/>
    </row>
    <row r="57" spans="2:40" ht="13" customHeight="1">
      <c r="B57" s="119"/>
      <c r="C57" s="23">
        <f t="shared" si="23"/>
        <v>2026091</v>
      </c>
      <c r="D57" s="23">
        <v>2</v>
      </c>
      <c r="E57" s="128">
        <v>0</v>
      </c>
      <c r="F57" s="126" t="e">
        <f>VLOOKUP(E57,'Códigos bancos'!$B$4:$C$29,2,0)</f>
        <v>#N/A</v>
      </c>
      <c r="G57" s="36">
        <v>1</v>
      </c>
      <c r="H57" s="126" t="str">
        <f>VLOOKUP(G57,'Códigos bancos'!$F$4:$G$14,2,0)</f>
        <v>Oficinas</v>
      </c>
      <c r="I57" s="130"/>
      <c r="J57" s="174">
        <v>0</v>
      </c>
      <c r="K57" s="174">
        <v>0</v>
      </c>
      <c r="L57" s="174">
        <v>0</v>
      </c>
      <c r="M57" s="174">
        <v>0</v>
      </c>
      <c r="N57" s="174">
        <v>0</v>
      </c>
      <c r="O57" s="174">
        <v>0</v>
      </c>
      <c r="P57" s="174">
        <v>0</v>
      </c>
      <c r="Q57" s="174">
        <v>0</v>
      </c>
      <c r="R57" s="174">
        <v>0</v>
      </c>
      <c r="S57" s="215">
        <v>0</v>
      </c>
      <c r="T57" s="71">
        <f t="shared" si="24"/>
        <v>0</v>
      </c>
      <c r="U57" s="71">
        <f t="shared" si="25"/>
        <v>0</v>
      </c>
      <c r="V57" s="117">
        <v>0</v>
      </c>
      <c r="W57" s="117">
        <v>0</v>
      </c>
      <c r="X57" s="71">
        <f t="shared" si="26"/>
        <v>0</v>
      </c>
      <c r="Y57" s="71">
        <f t="shared" si="27"/>
        <v>0</v>
      </c>
      <c r="AA57" s="65"/>
      <c r="AC57" s="71">
        <f t="shared" si="28"/>
        <v>0</v>
      </c>
      <c r="AD57" s="39"/>
      <c r="AE57" s="7"/>
      <c r="AF57" s="15"/>
      <c r="AG57" s="71" t="b">
        <f t="shared" si="29"/>
        <v>1</v>
      </c>
      <c r="AI57" s="71">
        <f t="shared" si="30"/>
        <v>0</v>
      </c>
      <c r="AJ57" s="39"/>
      <c r="AK57" s="15"/>
      <c r="AL57" s="71" t="b">
        <f t="shared" si="31"/>
        <v>1</v>
      </c>
      <c r="AN57" s="65"/>
    </row>
    <row r="58" spans="2:40" ht="13" customHeight="1">
      <c r="B58" s="119"/>
      <c r="C58" s="23">
        <f t="shared" si="23"/>
        <v>2026091</v>
      </c>
      <c r="D58" s="23">
        <v>2</v>
      </c>
      <c r="E58" s="128">
        <v>0</v>
      </c>
      <c r="F58" s="126" t="e">
        <f>VLOOKUP(E58,'Códigos bancos'!$B$4:$C$29,2,0)</f>
        <v>#N/A</v>
      </c>
      <c r="G58" s="36">
        <v>1</v>
      </c>
      <c r="H58" s="126" t="str">
        <f>VLOOKUP(G58,'Códigos bancos'!$F$4:$G$14,2,0)</f>
        <v>Oficinas</v>
      </c>
      <c r="I58" s="130"/>
      <c r="J58" s="174">
        <v>0</v>
      </c>
      <c r="K58" s="174">
        <v>0</v>
      </c>
      <c r="L58" s="174">
        <v>0</v>
      </c>
      <c r="M58" s="174">
        <v>0</v>
      </c>
      <c r="N58" s="174">
        <v>0</v>
      </c>
      <c r="O58" s="174">
        <v>0</v>
      </c>
      <c r="P58" s="174">
        <v>0</v>
      </c>
      <c r="Q58" s="174">
        <v>0</v>
      </c>
      <c r="R58" s="174">
        <v>0</v>
      </c>
      <c r="S58" s="215">
        <v>0</v>
      </c>
      <c r="T58" s="71">
        <f t="shared" si="24"/>
        <v>0</v>
      </c>
      <c r="U58" s="71">
        <f t="shared" si="25"/>
        <v>0</v>
      </c>
      <c r="V58" s="117">
        <v>0</v>
      </c>
      <c r="W58" s="117">
        <v>0</v>
      </c>
      <c r="X58" s="71">
        <f t="shared" si="26"/>
        <v>0</v>
      </c>
      <c r="Y58" s="71">
        <f t="shared" si="27"/>
        <v>0</v>
      </c>
      <c r="AA58" s="65"/>
      <c r="AC58" s="71">
        <f t="shared" si="28"/>
        <v>0</v>
      </c>
      <c r="AD58" s="39"/>
      <c r="AE58" s="7"/>
      <c r="AF58" s="15"/>
      <c r="AG58" s="71" t="b">
        <f t="shared" si="29"/>
        <v>1</v>
      </c>
      <c r="AI58" s="71">
        <f t="shared" si="30"/>
        <v>0</v>
      </c>
      <c r="AJ58" s="39"/>
      <c r="AK58" s="15"/>
      <c r="AL58" s="71" t="b">
        <f t="shared" si="31"/>
        <v>1</v>
      </c>
      <c r="AN58" s="65"/>
    </row>
    <row r="59" spans="2:40" ht="13" customHeight="1">
      <c r="B59" s="119"/>
      <c r="C59" s="23">
        <f t="shared" si="23"/>
        <v>2026091</v>
      </c>
      <c r="D59" s="23">
        <v>2</v>
      </c>
      <c r="E59" s="128">
        <v>0</v>
      </c>
      <c r="F59" s="126" t="e">
        <f>VLOOKUP(E59,'Códigos bancos'!$B$4:$C$29,2,0)</f>
        <v>#N/A</v>
      </c>
      <c r="G59" s="36">
        <v>1</v>
      </c>
      <c r="H59" s="126" t="str">
        <f>VLOOKUP(G59,'Códigos bancos'!$F$4:$G$14,2,0)</f>
        <v>Oficinas</v>
      </c>
      <c r="I59" s="130"/>
      <c r="J59" s="174">
        <v>0</v>
      </c>
      <c r="K59" s="174">
        <v>0</v>
      </c>
      <c r="L59" s="174">
        <v>0</v>
      </c>
      <c r="M59" s="174">
        <v>0</v>
      </c>
      <c r="N59" s="174">
        <v>0</v>
      </c>
      <c r="O59" s="174">
        <v>0</v>
      </c>
      <c r="P59" s="174">
        <v>0</v>
      </c>
      <c r="Q59" s="174">
        <v>0</v>
      </c>
      <c r="R59" s="174">
        <v>0</v>
      </c>
      <c r="S59" s="215">
        <v>0</v>
      </c>
      <c r="T59" s="71">
        <f t="shared" si="24"/>
        <v>0</v>
      </c>
      <c r="U59" s="71">
        <f t="shared" si="25"/>
        <v>0</v>
      </c>
      <c r="V59" s="117">
        <v>0</v>
      </c>
      <c r="W59" s="117">
        <v>0</v>
      </c>
      <c r="X59" s="71">
        <f t="shared" si="26"/>
        <v>0</v>
      </c>
      <c r="Y59" s="71">
        <f t="shared" si="27"/>
        <v>0</v>
      </c>
      <c r="AA59" s="65"/>
      <c r="AC59" s="71">
        <f t="shared" si="28"/>
        <v>0</v>
      </c>
      <c r="AD59" s="39"/>
      <c r="AE59" s="7"/>
      <c r="AF59" s="15"/>
      <c r="AG59" s="71" t="b">
        <f t="shared" si="29"/>
        <v>1</v>
      </c>
      <c r="AI59" s="71">
        <f t="shared" si="30"/>
        <v>0</v>
      </c>
      <c r="AJ59" s="39"/>
      <c r="AK59" s="15"/>
      <c r="AL59" s="71" t="b">
        <f t="shared" si="31"/>
        <v>1</v>
      </c>
      <c r="AN59" s="65"/>
    </row>
    <row r="60" spans="2:40" ht="13" customHeight="1">
      <c r="B60" s="119"/>
      <c r="C60" s="23">
        <f t="shared" si="23"/>
        <v>2026091</v>
      </c>
      <c r="D60" s="23">
        <v>2</v>
      </c>
      <c r="E60" s="128">
        <v>0</v>
      </c>
      <c r="F60" s="126" t="e">
        <f>VLOOKUP(E60,'Códigos bancos'!$B$4:$C$29,2,0)</f>
        <v>#N/A</v>
      </c>
      <c r="G60" s="36">
        <v>1</v>
      </c>
      <c r="H60" s="126" t="str">
        <f>VLOOKUP(G60,'Códigos bancos'!$F$4:$G$14,2,0)</f>
        <v>Oficinas</v>
      </c>
      <c r="I60" s="130"/>
      <c r="J60" s="174">
        <v>0</v>
      </c>
      <c r="K60" s="174">
        <v>0</v>
      </c>
      <c r="L60" s="174">
        <v>0</v>
      </c>
      <c r="M60" s="174">
        <v>0</v>
      </c>
      <c r="N60" s="174">
        <v>0</v>
      </c>
      <c r="O60" s="174">
        <v>0</v>
      </c>
      <c r="P60" s="174">
        <v>0</v>
      </c>
      <c r="Q60" s="174">
        <v>0</v>
      </c>
      <c r="R60" s="174">
        <v>0</v>
      </c>
      <c r="S60" s="215">
        <v>0</v>
      </c>
      <c r="T60" s="71">
        <f t="shared" si="24"/>
        <v>0</v>
      </c>
      <c r="U60" s="71">
        <f t="shared" si="25"/>
        <v>0</v>
      </c>
      <c r="V60" s="117">
        <v>0</v>
      </c>
      <c r="W60" s="117">
        <v>0</v>
      </c>
      <c r="X60" s="71">
        <f t="shared" si="26"/>
        <v>0</v>
      </c>
      <c r="Y60" s="71">
        <f t="shared" si="27"/>
        <v>0</v>
      </c>
      <c r="AA60" s="65"/>
      <c r="AC60" s="71">
        <f t="shared" si="28"/>
        <v>0</v>
      </c>
      <c r="AD60" s="39"/>
      <c r="AE60" s="7"/>
      <c r="AF60" s="15"/>
      <c r="AG60" s="71" t="b">
        <f t="shared" si="29"/>
        <v>1</v>
      </c>
      <c r="AI60" s="71">
        <f t="shared" si="30"/>
        <v>0</v>
      </c>
      <c r="AJ60" s="39"/>
      <c r="AK60" s="15"/>
      <c r="AL60" s="71" t="b">
        <f t="shared" si="31"/>
        <v>1</v>
      </c>
      <c r="AN60" s="65"/>
    </row>
    <row r="61" spans="2:40" ht="13" customHeight="1">
      <c r="B61" s="119"/>
      <c r="C61" s="23">
        <f t="shared" si="23"/>
        <v>2026091</v>
      </c>
      <c r="D61" s="23">
        <v>2</v>
      </c>
      <c r="E61" s="128">
        <v>0</v>
      </c>
      <c r="F61" s="126" t="e">
        <f>VLOOKUP(E61,'Códigos bancos'!$B$4:$C$29,2,0)</f>
        <v>#N/A</v>
      </c>
      <c r="G61" s="36">
        <v>1</v>
      </c>
      <c r="H61" s="126" t="str">
        <f>VLOOKUP(G61,'Códigos bancos'!$F$4:$G$14,2,0)</f>
        <v>Oficinas</v>
      </c>
      <c r="I61" s="130"/>
      <c r="J61" s="174">
        <v>0</v>
      </c>
      <c r="K61" s="174">
        <v>0</v>
      </c>
      <c r="L61" s="174">
        <v>0</v>
      </c>
      <c r="M61" s="174">
        <v>0</v>
      </c>
      <c r="N61" s="174">
        <v>0</v>
      </c>
      <c r="O61" s="174">
        <v>0</v>
      </c>
      <c r="P61" s="174">
        <v>0</v>
      </c>
      <c r="Q61" s="174">
        <v>0</v>
      </c>
      <c r="R61" s="174">
        <v>0</v>
      </c>
      <c r="S61" s="215">
        <v>0</v>
      </c>
      <c r="T61" s="71">
        <f t="shared" si="24"/>
        <v>0</v>
      </c>
      <c r="U61" s="71">
        <f t="shared" si="25"/>
        <v>0</v>
      </c>
      <c r="V61" s="117">
        <v>0</v>
      </c>
      <c r="W61" s="117">
        <v>0</v>
      </c>
      <c r="X61" s="71">
        <f t="shared" si="26"/>
        <v>0</v>
      </c>
      <c r="Y61" s="71">
        <f t="shared" si="27"/>
        <v>0</v>
      </c>
      <c r="AA61" s="65"/>
      <c r="AC61" s="71">
        <f t="shared" si="28"/>
        <v>0</v>
      </c>
      <c r="AD61" s="39"/>
      <c r="AE61" s="7"/>
      <c r="AF61" s="15"/>
      <c r="AG61" s="71" t="b">
        <f t="shared" si="29"/>
        <v>1</v>
      </c>
      <c r="AI61" s="71">
        <f t="shared" si="30"/>
        <v>0</v>
      </c>
      <c r="AJ61" s="39"/>
      <c r="AK61" s="15"/>
      <c r="AL61" s="71" t="b">
        <f t="shared" si="31"/>
        <v>1</v>
      </c>
      <c r="AN61" s="65"/>
    </row>
    <row r="62" spans="2:40" ht="13" customHeight="1">
      <c r="B62" s="119"/>
      <c r="C62" s="23">
        <f t="shared" si="23"/>
        <v>2026091</v>
      </c>
      <c r="D62" s="23">
        <v>2</v>
      </c>
      <c r="E62" s="128">
        <v>0</v>
      </c>
      <c r="F62" s="126" t="e">
        <f>VLOOKUP(E62,'Códigos bancos'!$B$4:$C$29,2,0)</f>
        <v>#N/A</v>
      </c>
      <c r="G62" s="36">
        <v>1</v>
      </c>
      <c r="H62" s="126" t="str">
        <f>VLOOKUP(G62,'Códigos bancos'!$F$4:$G$14,2,0)</f>
        <v>Oficinas</v>
      </c>
      <c r="I62" s="130"/>
      <c r="J62" s="174">
        <v>0</v>
      </c>
      <c r="K62" s="174">
        <v>0</v>
      </c>
      <c r="L62" s="174">
        <v>0</v>
      </c>
      <c r="M62" s="174">
        <v>0</v>
      </c>
      <c r="N62" s="174">
        <v>0</v>
      </c>
      <c r="O62" s="174">
        <v>0</v>
      </c>
      <c r="P62" s="174">
        <v>0</v>
      </c>
      <c r="Q62" s="174">
        <v>0</v>
      </c>
      <c r="R62" s="174">
        <v>0</v>
      </c>
      <c r="S62" s="215">
        <v>0</v>
      </c>
      <c r="T62" s="71">
        <f t="shared" si="24"/>
        <v>0</v>
      </c>
      <c r="U62" s="71">
        <f t="shared" si="25"/>
        <v>0</v>
      </c>
      <c r="V62" s="117">
        <v>0</v>
      </c>
      <c r="W62" s="117">
        <v>0</v>
      </c>
      <c r="X62" s="71">
        <f t="shared" si="26"/>
        <v>0</v>
      </c>
      <c r="Y62" s="71">
        <f t="shared" si="27"/>
        <v>0</v>
      </c>
      <c r="AA62" s="65"/>
      <c r="AC62" s="71">
        <f t="shared" si="28"/>
        <v>0</v>
      </c>
      <c r="AD62" s="39"/>
      <c r="AE62" s="7"/>
      <c r="AF62" s="15"/>
      <c r="AG62" s="71" t="b">
        <f t="shared" si="29"/>
        <v>1</v>
      </c>
      <c r="AI62" s="71">
        <f t="shared" si="30"/>
        <v>0</v>
      </c>
      <c r="AJ62" s="39"/>
      <c r="AK62" s="15"/>
      <c r="AL62" s="71" t="b">
        <f t="shared" si="31"/>
        <v>1</v>
      </c>
      <c r="AN62" s="65"/>
    </row>
    <row r="63" spans="2:40" ht="13" customHeight="1">
      <c r="B63" s="119"/>
      <c r="C63" s="23">
        <f t="shared" si="23"/>
        <v>2026091</v>
      </c>
      <c r="D63" s="23">
        <v>2</v>
      </c>
      <c r="E63" s="128">
        <v>0</v>
      </c>
      <c r="F63" s="126" t="e">
        <f>VLOOKUP(E63,'Códigos bancos'!$B$4:$C$29,2,0)</f>
        <v>#N/A</v>
      </c>
      <c r="G63" s="36">
        <v>1</v>
      </c>
      <c r="H63" s="126" t="str">
        <f>VLOOKUP(G63,'Códigos bancos'!$F$4:$G$14,2,0)</f>
        <v>Oficinas</v>
      </c>
      <c r="I63" s="130"/>
      <c r="J63" s="174">
        <v>0</v>
      </c>
      <c r="K63" s="174">
        <v>0</v>
      </c>
      <c r="L63" s="174">
        <v>0</v>
      </c>
      <c r="M63" s="174">
        <v>0</v>
      </c>
      <c r="N63" s="174">
        <v>0</v>
      </c>
      <c r="O63" s="174">
        <v>0</v>
      </c>
      <c r="P63" s="174">
        <v>0</v>
      </c>
      <c r="Q63" s="174">
        <v>0</v>
      </c>
      <c r="R63" s="174">
        <v>0</v>
      </c>
      <c r="S63" s="215">
        <v>0</v>
      </c>
      <c r="T63" s="71">
        <f t="shared" si="24"/>
        <v>0</v>
      </c>
      <c r="U63" s="71">
        <f t="shared" si="25"/>
        <v>0</v>
      </c>
      <c r="V63" s="117">
        <v>0</v>
      </c>
      <c r="W63" s="117">
        <v>0</v>
      </c>
      <c r="X63" s="71">
        <f t="shared" si="26"/>
        <v>0</v>
      </c>
      <c r="Y63" s="71">
        <f t="shared" si="27"/>
        <v>0</v>
      </c>
      <c r="AA63" s="65"/>
      <c r="AC63" s="71">
        <f t="shared" si="28"/>
        <v>0</v>
      </c>
      <c r="AD63" s="39"/>
      <c r="AE63" s="7"/>
      <c r="AF63" s="15"/>
      <c r="AG63" s="71" t="b">
        <f t="shared" si="29"/>
        <v>1</v>
      </c>
      <c r="AI63" s="71"/>
      <c r="AJ63" s="39"/>
      <c r="AK63" s="15"/>
      <c r="AL63" s="71" t="b">
        <f t="shared" si="31"/>
        <v>1</v>
      </c>
      <c r="AN63" s="65"/>
    </row>
    <row r="64" spans="2:40" ht="13" customHeight="1">
      <c r="B64" s="119"/>
      <c r="C64" s="23">
        <f t="shared" si="23"/>
        <v>2026091</v>
      </c>
      <c r="D64" s="23">
        <v>2</v>
      </c>
      <c r="E64" s="128">
        <v>0</v>
      </c>
      <c r="F64" s="126" t="e">
        <f>VLOOKUP(E64,'Códigos bancos'!$B$4:$C$29,2,0)</f>
        <v>#N/A</v>
      </c>
      <c r="G64" s="36">
        <v>1</v>
      </c>
      <c r="H64" s="126" t="str">
        <f>VLOOKUP(G64,'Códigos bancos'!$F$4:$G$14,2,0)</f>
        <v>Oficinas</v>
      </c>
      <c r="I64" s="130"/>
      <c r="J64" s="174">
        <v>0</v>
      </c>
      <c r="K64" s="174">
        <v>0</v>
      </c>
      <c r="L64" s="174">
        <v>0</v>
      </c>
      <c r="M64" s="174">
        <v>0</v>
      </c>
      <c r="N64" s="174">
        <v>0</v>
      </c>
      <c r="O64" s="174">
        <v>0</v>
      </c>
      <c r="P64" s="174">
        <v>0</v>
      </c>
      <c r="Q64" s="174">
        <v>0</v>
      </c>
      <c r="R64" s="174">
        <v>0</v>
      </c>
      <c r="S64" s="215">
        <v>0</v>
      </c>
      <c r="T64" s="71">
        <f t="shared" si="24"/>
        <v>0</v>
      </c>
      <c r="U64" s="71">
        <f t="shared" si="25"/>
        <v>0</v>
      </c>
      <c r="V64" s="117">
        <v>0</v>
      </c>
      <c r="W64" s="117">
        <v>0</v>
      </c>
      <c r="X64" s="71">
        <f t="shared" si="26"/>
        <v>0</v>
      </c>
      <c r="Y64" s="71">
        <f t="shared" si="27"/>
        <v>0</v>
      </c>
      <c r="AA64" s="65"/>
      <c r="AC64" s="71">
        <f t="shared" si="28"/>
        <v>0</v>
      </c>
      <c r="AD64" s="39"/>
      <c r="AE64" s="7"/>
      <c r="AF64" s="15"/>
      <c r="AG64" s="71" t="b">
        <f t="shared" si="29"/>
        <v>1</v>
      </c>
      <c r="AI64" s="71">
        <f>Y64</f>
        <v>0</v>
      </c>
      <c r="AJ64" s="39"/>
      <c r="AK64" s="15"/>
      <c r="AL64" s="71" t="b">
        <f t="shared" si="31"/>
        <v>1</v>
      </c>
      <c r="AN64" s="65"/>
    </row>
    <row r="65" spans="2:40 16128:16147" ht="13" customHeight="1" thickBot="1">
      <c r="B65" s="119"/>
      <c r="C65" s="23">
        <f t="shared" si="23"/>
        <v>2026091</v>
      </c>
      <c r="D65" s="23">
        <v>2</v>
      </c>
      <c r="E65" s="128">
        <v>0</v>
      </c>
      <c r="F65" s="126" t="e">
        <f>VLOOKUP(E65,'Códigos bancos'!$B$4:$C$29,2,0)</f>
        <v>#N/A</v>
      </c>
      <c r="G65" s="36">
        <v>1</v>
      </c>
      <c r="H65" s="126" t="str">
        <f>VLOOKUP(G65,'Códigos bancos'!$F$4:$G$14,2,0)</f>
        <v>Oficinas</v>
      </c>
      <c r="I65" s="130"/>
      <c r="J65" s="174">
        <v>0</v>
      </c>
      <c r="K65" s="174">
        <v>0</v>
      </c>
      <c r="L65" s="174">
        <v>0</v>
      </c>
      <c r="M65" s="174">
        <v>0</v>
      </c>
      <c r="N65" s="174">
        <v>0</v>
      </c>
      <c r="O65" s="174">
        <v>0</v>
      </c>
      <c r="P65" s="174">
        <v>0</v>
      </c>
      <c r="Q65" s="174">
        <v>0</v>
      </c>
      <c r="R65" s="174">
        <v>0</v>
      </c>
      <c r="S65" s="215">
        <v>0</v>
      </c>
      <c r="T65" s="71">
        <f t="shared" si="24"/>
        <v>0</v>
      </c>
      <c r="U65" s="71">
        <f t="shared" si="25"/>
        <v>0</v>
      </c>
      <c r="V65" s="117">
        <v>0</v>
      </c>
      <c r="W65" s="117">
        <v>0</v>
      </c>
      <c r="X65" s="71">
        <f t="shared" si="26"/>
        <v>0</v>
      </c>
      <c r="Y65" s="71">
        <f t="shared" si="27"/>
        <v>0</v>
      </c>
      <c r="AA65" s="65"/>
      <c r="AC65" s="71">
        <f t="shared" si="28"/>
        <v>0</v>
      </c>
      <c r="AD65" s="39"/>
      <c r="AE65" s="7"/>
      <c r="AF65" s="15"/>
      <c r="AG65" s="71" t="b">
        <f t="shared" si="29"/>
        <v>1</v>
      </c>
      <c r="AI65" s="71">
        <f t="shared" si="30"/>
        <v>0</v>
      </c>
      <c r="AJ65" s="39"/>
      <c r="AK65" s="15"/>
      <c r="AL65" s="71" t="b">
        <f t="shared" si="31"/>
        <v>1</v>
      </c>
      <c r="AN65" s="65"/>
    </row>
    <row r="66" spans="2:40 16128:16147" ht="13" customHeight="1" thickBot="1">
      <c r="E66" s="120" t="s">
        <v>0</v>
      </c>
      <c r="F66" s="121" t="s">
        <v>53</v>
      </c>
      <c r="G66" s="121"/>
      <c r="H66" s="121"/>
      <c r="I66" s="121"/>
      <c r="J66" s="122">
        <f t="shared" ref="J66:Y66" si="32">SUM(J41:J65)</f>
        <v>0</v>
      </c>
      <c r="K66" s="122">
        <f t="shared" si="32"/>
        <v>0</v>
      </c>
      <c r="L66" s="122">
        <f t="shared" si="32"/>
        <v>0</v>
      </c>
      <c r="M66" s="122">
        <f t="shared" si="32"/>
        <v>0</v>
      </c>
      <c r="N66" s="122">
        <f t="shared" si="32"/>
        <v>0</v>
      </c>
      <c r="O66" s="122">
        <f t="shared" si="32"/>
        <v>0</v>
      </c>
      <c r="P66" s="122">
        <f t="shared" si="32"/>
        <v>0</v>
      </c>
      <c r="Q66" s="122">
        <f t="shared" si="32"/>
        <v>0</v>
      </c>
      <c r="R66" s="122">
        <f t="shared" si="32"/>
        <v>515</v>
      </c>
      <c r="S66" s="122">
        <f t="shared" si="32"/>
        <v>22706710</v>
      </c>
      <c r="T66" s="122">
        <f t="shared" si="32"/>
        <v>515</v>
      </c>
      <c r="U66" s="122">
        <f t="shared" si="32"/>
        <v>22706710</v>
      </c>
      <c r="V66" s="123">
        <f t="shared" si="32"/>
        <v>515</v>
      </c>
      <c r="W66" s="123">
        <f t="shared" si="32"/>
        <v>22706710</v>
      </c>
      <c r="X66" s="122">
        <f t="shared" si="32"/>
        <v>0</v>
      </c>
      <c r="Y66" s="123">
        <f t="shared" si="32"/>
        <v>0</v>
      </c>
      <c r="AA66" s="65"/>
      <c r="AC66" s="122">
        <f>SUM(AC41:AC65)</f>
        <v>0</v>
      </c>
      <c r="AD66" s="122">
        <f>SUM(AD41:AD65)</f>
        <v>0</v>
      </c>
      <c r="AE66" s="122">
        <f>SUM(AE41:AE65)</f>
        <v>0</v>
      </c>
      <c r="AF66" s="123">
        <f>SUM(AF41:AF65)</f>
        <v>0</v>
      </c>
      <c r="AG66" s="100"/>
      <c r="AI66" s="122">
        <f>SUM(AI41:AI65)</f>
        <v>0</v>
      </c>
      <c r="AJ66" s="122">
        <f>SUM(AJ41:AJ65)</f>
        <v>0</v>
      </c>
      <c r="AK66" s="123">
        <f>SUM(AK41:AK65)</f>
        <v>0</v>
      </c>
      <c r="AL66" s="100"/>
      <c r="AN66" s="65"/>
    </row>
    <row r="67" spans="2:40 16128:16147" ht="13" thickBot="1">
      <c r="AA67" s="65"/>
      <c r="AN67" s="65"/>
    </row>
    <row r="68" spans="2:40 16128:16147" ht="41.25" customHeight="1" thickBot="1">
      <c r="B68" s="112" t="s">
        <v>4</v>
      </c>
      <c r="C68" s="34" t="s">
        <v>6</v>
      </c>
      <c r="D68" s="34" t="s">
        <v>7</v>
      </c>
      <c r="E68" s="34" t="s">
        <v>49</v>
      </c>
      <c r="F68" s="34" t="s">
        <v>50</v>
      </c>
      <c r="G68" s="34" t="s">
        <v>51</v>
      </c>
      <c r="H68" s="34" t="s">
        <v>52</v>
      </c>
      <c r="I68" s="34" t="s">
        <v>13</v>
      </c>
      <c r="J68" s="12" t="s">
        <v>8</v>
      </c>
      <c r="K68" s="12" t="s">
        <v>36</v>
      </c>
      <c r="L68" s="12" t="s">
        <v>9</v>
      </c>
      <c r="M68" s="12" t="s">
        <v>37</v>
      </c>
      <c r="N68" s="87" t="s">
        <v>10</v>
      </c>
      <c r="O68" s="88" t="s">
        <v>38</v>
      </c>
      <c r="P68" s="87" t="s">
        <v>11</v>
      </c>
      <c r="Q68" s="88" t="s">
        <v>39</v>
      </c>
      <c r="R68" s="87" t="s">
        <v>12</v>
      </c>
      <c r="S68" s="88" t="s">
        <v>40</v>
      </c>
      <c r="T68" s="64" t="s">
        <v>41</v>
      </c>
      <c r="U68" s="64" t="s">
        <v>42</v>
      </c>
      <c r="V68" s="35" t="s">
        <v>32</v>
      </c>
      <c r="W68" s="67" t="s">
        <v>35</v>
      </c>
      <c r="X68" s="12" t="s">
        <v>34</v>
      </c>
      <c r="Y68" s="68" t="s">
        <v>33</v>
      </c>
      <c r="AA68" s="66"/>
      <c r="AC68" s="12" t="s">
        <v>34</v>
      </c>
      <c r="AD68" s="12" t="s">
        <v>45</v>
      </c>
      <c r="AE68" s="12" t="s">
        <v>43</v>
      </c>
      <c r="AF68" s="12" t="s">
        <v>44</v>
      </c>
      <c r="AG68" s="12" t="s">
        <v>46</v>
      </c>
      <c r="AI68" s="12" t="s">
        <v>33</v>
      </c>
      <c r="AJ68" s="12"/>
      <c r="AK68" s="12" t="s">
        <v>48</v>
      </c>
      <c r="AL68" s="12" t="s">
        <v>46</v>
      </c>
      <c r="AN68" s="66"/>
      <c r="WVH68" s="1"/>
      <c r="WVI68" s="1"/>
      <c r="WVZ68"/>
      <c r="WWA68"/>
    </row>
    <row r="69" spans="2:40 16128:16147" ht="13" customHeight="1">
      <c r="B69" s="119" t="s">
        <v>71</v>
      </c>
      <c r="C69" s="24">
        <f>IF(D69&lt;=15,$C$1,$C$2)</f>
        <v>2026091</v>
      </c>
      <c r="D69" s="24">
        <v>3</v>
      </c>
      <c r="E69" s="127">
        <v>20</v>
      </c>
      <c r="F69" s="125" t="str">
        <f>VLOOKUP(E69,'Códigos bancos'!$B$4:$C$29,2,0)</f>
        <v>Bancolombia ENERBIT</v>
      </c>
      <c r="G69" s="18">
        <v>1</v>
      </c>
      <c r="H69" s="125" t="str">
        <f>VLOOKUP(G69,'Códigos bancos'!$F$4:$G$14,2,0)</f>
        <v>Oficinas</v>
      </c>
      <c r="I69" s="129"/>
      <c r="J69" s="213">
        <v>0</v>
      </c>
      <c r="K69" s="213">
        <v>0</v>
      </c>
      <c r="L69" s="213">
        <v>0</v>
      </c>
      <c r="M69" s="213">
        <v>0</v>
      </c>
      <c r="N69" s="213">
        <v>0</v>
      </c>
      <c r="O69" s="213">
        <v>0</v>
      </c>
      <c r="P69" s="213">
        <v>0</v>
      </c>
      <c r="Q69" s="213">
        <v>0</v>
      </c>
      <c r="R69" s="174">
        <v>330</v>
      </c>
      <c r="S69" s="215">
        <v>14638040</v>
      </c>
      <c r="T69" s="70">
        <f>J69+L69+N69+P69+R69</f>
        <v>330</v>
      </c>
      <c r="U69" s="70">
        <f>K69+M69+O69+Q69+S69</f>
        <v>14638040</v>
      </c>
      <c r="V69" s="174">
        <v>330</v>
      </c>
      <c r="W69" s="215">
        <v>14638040</v>
      </c>
      <c r="X69" s="70">
        <f>V69-T69</f>
        <v>0</v>
      </c>
      <c r="Y69" s="70">
        <f>W69-U69</f>
        <v>0</v>
      </c>
      <c r="AA69" s="65"/>
      <c r="AC69" s="124">
        <f>X69</f>
        <v>0</v>
      </c>
      <c r="AD69" s="115"/>
      <c r="AE69" s="16"/>
      <c r="AF69" s="114"/>
      <c r="AG69" s="124" t="b">
        <f>AC69=(AD69+AE69+AF69)</f>
        <v>1</v>
      </c>
      <c r="AI69" s="70">
        <f>Y69</f>
        <v>0</v>
      </c>
      <c r="AJ69" s="115"/>
      <c r="AK69" s="114"/>
      <c r="AL69" s="70" t="b">
        <f>AI69=(AJ69+AK69)</f>
        <v>1</v>
      </c>
      <c r="AN69" s="65"/>
    </row>
    <row r="70" spans="2:40 16128:16147" ht="13" customHeight="1">
      <c r="B70" s="119"/>
      <c r="C70" s="23">
        <f t="shared" ref="C70:C93" si="33">IF(D70&lt;=15,$C$1,$C$2)</f>
        <v>2026091</v>
      </c>
      <c r="D70" s="23">
        <v>3</v>
      </c>
      <c r="E70" s="128">
        <v>0</v>
      </c>
      <c r="F70" s="126" t="e">
        <f>VLOOKUP(E70,'Códigos bancos'!$B$4:$C$29,2,0)</f>
        <v>#N/A</v>
      </c>
      <c r="G70" s="36">
        <v>1</v>
      </c>
      <c r="H70" s="126" t="str">
        <f>VLOOKUP(G70,'Códigos bancos'!$F$4:$G$14,2,0)</f>
        <v>Oficinas</v>
      </c>
      <c r="I70" s="130"/>
      <c r="J70" s="174">
        <v>0</v>
      </c>
      <c r="K70" s="174">
        <v>0</v>
      </c>
      <c r="L70" s="174">
        <v>0</v>
      </c>
      <c r="M70" s="174">
        <v>0</v>
      </c>
      <c r="N70" s="174">
        <v>0</v>
      </c>
      <c r="O70" s="174">
        <v>0</v>
      </c>
      <c r="P70" s="174">
        <v>0</v>
      </c>
      <c r="Q70" s="174">
        <v>0</v>
      </c>
      <c r="R70" s="174">
        <v>0</v>
      </c>
      <c r="S70" s="215">
        <v>0</v>
      </c>
      <c r="T70" s="71">
        <f t="shared" ref="T70:T93" si="34">J70+L70+N70+P70+R70</f>
        <v>0</v>
      </c>
      <c r="U70" s="71">
        <f t="shared" ref="U70:U93" si="35">K70+M70+O70+Q70+S70</f>
        <v>0</v>
      </c>
      <c r="V70" s="117">
        <v>0</v>
      </c>
      <c r="W70" s="117">
        <v>0</v>
      </c>
      <c r="X70" s="71">
        <f t="shared" ref="X70:X93" si="36">V70-T70</f>
        <v>0</v>
      </c>
      <c r="Y70" s="71">
        <f t="shared" ref="Y70:Y93" si="37">W70-U70</f>
        <v>0</v>
      </c>
      <c r="AA70" s="65"/>
      <c r="AC70" s="71">
        <f t="shared" ref="AC70:AC93" si="38">X70</f>
        <v>0</v>
      </c>
      <c r="AD70" s="39"/>
      <c r="AE70" s="7"/>
      <c r="AF70" s="15"/>
      <c r="AG70" s="71" t="b">
        <f t="shared" ref="AG70:AG93" si="39">AC70=(AD70+AE70+AF70)</f>
        <v>1</v>
      </c>
      <c r="AI70" s="71">
        <f t="shared" ref="AI70:AI93" si="40">Y70</f>
        <v>0</v>
      </c>
      <c r="AJ70" s="39"/>
      <c r="AK70" s="15"/>
      <c r="AL70" s="71" t="b">
        <f t="shared" ref="AL70:AL93" si="41">AI70=(AJ70+AK70)</f>
        <v>1</v>
      </c>
      <c r="AN70" s="65"/>
    </row>
    <row r="71" spans="2:40 16128:16147" ht="13" customHeight="1">
      <c r="B71" s="119"/>
      <c r="C71" s="23">
        <f t="shared" si="33"/>
        <v>2026091</v>
      </c>
      <c r="D71" s="23">
        <v>3</v>
      </c>
      <c r="E71" s="128">
        <v>0</v>
      </c>
      <c r="F71" s="126" t="e">
        <f>VLOOKUP(E71,'Códigos bancos'!$B$4:$C$29,2,0)</f>
        <v>#N/A</v>
      </c>
      <c r="G71" s="36">
        <v>1</v>
      </c>
      <c r="H71" s="126" t="str">
        <f>VLOOKUP(G71,'Códigos bancos'!$F$4:$G$14,2,0)</f>
        <v>Oficinas</v>
      </c>
      <c r="I71" s="130"/>
      <c r="J71" s="174">
        <v>0</v>
      </c>
      <c r="K71" s="174">
        <v>0</v>
      </c>
      <c r="L71" s="174">
        <v>0</v>
      </c>
      <c r="M71" s="174">
        <v>0</v>
      </c>
      <c r="N71" s="174">
        <v>0</v>
      </c>
      <c r="O71" s="174">
        <v>0</v>
      </c>
      <c r="P71" s="174">
        <v>0</v>
      </c>
      <c r="Q71" s="174">
        <v>0</v>
      </c>
      <c r="R71" s="174">
        <v>0</v>
      </c>
      <c r="S71" s="215">
        <v>0</v>
      </c>
      <c r="T71" s="71">
        <f t="shared" si="34"/>
        <v>0</v>
      </c>
      <c r="U71" s="71">
        <f t="shared" si="35"/>
        <v>0</v>
      </c>
      <c r="V71" s="117">
        <v>0</v>
      </c>
      <c r="W71" s="117">
        <v>0</v>
      </c>
      <c r="X71" s="71">
        <f t="shared" si="36"/>
        <v>0</v>
      </c>
      <c r="Y71" s="71">
        <f t="shared" si="37"/>
        <v>0</v>
      </c>
      <c r="AA71" s="65"/>
      <c r="AC71" s="71">
        <f t="shared" si="38"/>
        <v>0</v>
      </c>
      <c r="AD71" s="45"/>
      <c r="AE71" s="14"/>
      <c r="AF71" s="46"/>
      <c r="AG71" s="71" t="b">
        <f t="shared" si="39"/>
        <v>1</v>
      </c>
      <c r="AI71" s="71">
        <f t="shared" si="40"/>
        <v>0</v>
      </c>
      <c r="AJ71" s="45"/>
      <c r="AK71" s="46"/>
      <c r="AL71" s="71" t="b">
        <f t="shared" si="41"/>
        <v>1</v>
      </c>
      <c r="AN71" s="65"/>
    </row>
    <row r="72" spans="2:40 16128:16147" ht="13" customHeight="1">
      <c r="B72" s="119"/>
      <c r="C72" s="23">
        <f t="shared" si="33"/>
        <v>2026091</v>
      </c>
      <c r="D72" s="23">
        <v>3</v>
      </c>
      <c r="E72" s="128">
        <v>0</v>
      </c>
      <c r="F72" s="126" t="e">
        <f>VLOOKUP(E72,'Códigos bancos'!$B$4:$C$29,2,0)</f>
        <v>#N/A</v>
      </c>
      <c r="G72" s="36">
        <v>1</v>
      </c>
      <c r="H72" s="126" t="str">
        <f>VLOOKUP(G72,'Códigos bancos'!$F$4:$G$14,2,0)</f>
        <v>Oficinas</v>
      </c>
      <c r="I72" s="130"/>
      <c r="J72" s="174">
        <v>0</v>
      </c>
      <c r="K72" s="174">
        <v>0</v>
      </c>
      <c r="L72" s="174">
        <v>0</v>
      </c>
      <c r="M72" s="174">
        <v>0</v>
      </c>
      <c r="N72" s="174">
        <v>0</v>
      </c>
      <c r="O72" s="174">
        <v>0</v>
      </c>
      <c r="P72" s="174">
        <v>0</v>
      </c>
      <c r="Q72" s="174">
        <v>0</v>
      </c>
      <c r="R72" s="174">
        <v>0</v>
      </c>
      <c r="S72" s="215">
        <v>0</v>
      </c>
      <c r="T72" s="71">
        <f t="shared" si="34"/>
        <v>0</v>
      </c>
      <c r="U72" s="71">
        <f t="shared" si="35"/>
        <v>0</v>
      </c>
      <c r="V72" s="117">
        <v>0</v>
      </c>
      <c r="W72" s="117">
        <v>0</v>
      </c>
      <c r="X72" s="71">
        <f t="shared" si="36"/>
        <v>0</v>
      </c>
      <c r="Y72" s="71">
        <f t="shared" si="37"/>
        <v>0</v>
      </c>
      <c r="AA72" s="65"/>
      <c r="AC72" s="71">
        <f t="shared" si="38"/>
        <v>0</v>
      </c>
      <c r="AD72" s="39"/>
      <c r="AE72" s="7"/>
      <c r="AF72" s="15"/>
      <c r="AG72" s="71" t="b">
        <f t="shared" si="39"/>
        <v>1</v>
      </c>
      <c r="AI72" s="71">
        <f t="shared" si="40"/>
        <v>0</v>
      </c>
      <c r="AJ72" s="39"/>
      <c r="AK72" s="15"/>
      <c r="AL72" s="71" t="b">
        <f t="shared" si="41"/>
        <v>1</v>
      </c>
      <c r="AN72" s="65"/>
    </row>
    <row r="73" spans="2:40 16128:16147" ht="12.75" customHeight="1">
      <c r="B73" s="119"/>
      <c r="C73" s="23">
        <f t="shared" si="33"/>
        <v>2026091</v>
      </c>
      <c r="D73" s="23">
        <v>3</v>
      </c>
      <c r="E73" s="128">
        <v>0</v>
      </c>
      <c r="F73" s="126" t="e">
        <f>VLOOKUP(E73,'Códigos bancos'!$B$4:$C$29,2,0)</f>
        <v>#N/A</v>
      </c>
      <c r="G73" s="36">
        <v>1</v>
      </c>
      <c r="H73" s="126" t="str">
        <f>VLOOKUP(G73,'Códigos bancos'!$F$4:$G$14,2,0)</f>
        <v>Oficinas</v>
      </c>
      <c r="I73" s="130"/>
      <c r="J73" s="174">
        <v>0</v>
      </c>
      <c r="K73" s="174">
        <v>0</v>
      </c>
      <c r="L73" s="174">
        <v>0</v>
      </c>
      <c r="M73" s="174">
        <v>0</v>
      </c>
      <c r="N73" s="174">
        <v>0</v>
      </c>
      <c r="O73" s="174">
        <v>0</v>
      </c>
      <c r="P73" s="174">
        <v>0</v>
      </c>
      <c r="Q73" s="174">
        <v>0</v>
      </c>
      <c r="R73" s="174">
        <v>0</v>
      </c>
      <c r="S73" s="215">
        <v>0</v>
      </c>
      <c r="T73" s="71">
        <f t="shared" si="34"/>
        <v>0</v>
      </c>
      <c r="U73" s="71">
        <f t="shared" si="35"/>
        <v>0</v>
      </c>
      <c r="V73" s="117">
        <v>0</v>
      </c>
      <c r="W73" s="117">
        <v>0</v>
      </c>
      <c r="X73" s="71">
        <f t="shared" si="36"/>
        <v>0</v>
      </c>
      <c r="Y73" s="71">
        <f t="shared" si="37"/>
        <v>0</v>
      </c>
      <c r="AA73" s="65"/>
      <c r="AC73" s="71">
        <f t="shared" si="38"/>
        <v>0</v>
      </c>
      <c r="AD73" s="39"/>
      <c r="AE73" s="7"/>
      <c r="AF73" s="15"/>
      <c r="AG73" s="71" t="b">
        <f t="shared" si="39"/>
        <v>1</v>
      </c>
      <c r="AI73" s="71">
        <f t="shared" si="40"/>
        <v>0</v>
      </c>
      <c r="AJ73" s="39"/>
      <c r="AK73" s="15"/>
      <c r="AL73" s="71" t="b">
        <f t="shared" si="41"/>
        <v>1</v>
      </c>
      <c r="AN73" s="65"/>
    </row>
    <row r="74" spans="2:40 16128:16147" ht="13" customHeight="1">
      <c r="B74" s="119"/>
      <c r="C74" s="23">
        <f t="shared" si="33"/>
        <v>2026091</v>
      </c>
      <c r="D74" s="23">
        <v>3</v>
      </c>
      <c r="E74" s="128">
        <v>0</v>
      </c>
      <c r="F74" s="126" t="e">
        <f>VLOOKUP(E74,'Códigos bancos'!$B$4:$C$29,2,0)</f>
        <v>#N/A</v>
      </c>
      <c r="G74" s="36">
        <v>1</v>
      </c>
      <c r="H74" s="126" t="str">
        <f>VLOOKUP(G74,'Códigos bancos'!$F$4:$G$14,2,0)</f>
        <v>Oficinas</v>
      </c>
      <c r="I74" s="130"/>
      <c r="J74" s="174">
        <v>0</v>
      </c>
      <c r="K74" s="174">
        <v>0</v>
      </c>
      <c r="L74" s="174">
        <v>0</v>
      </c>
      <c r="M74" s="174">
        <v>0</v>
      </c>
      <c r="N74" s="174">
        <v>0</v>
      </c>
      <c r="O74" s="174">
        <v>0</v>
      </c>
      <c r="P74" s="174">
        <v>0</v>
      </c>
      <c r="Q74" s="174">
        <v>0</v>
      </c>
      <c r="R74" s="174">
        <v>0</v>
      </c>
      <c r="S74" s="215">
        <v>0</v>
      </c>
      <c r="T74" s="71">
        <f t="shared" si="34"/>
        <v>0</v>
      </c>
      <c r="U74" s="71">
        <f t="shared" si="35"/>
        <v>0</v>
      </c>
      <c r="V74" s="117">
        <v>0</v>
      </c>
      <c r="W74" s="117">
        <v>0</v>
      </c>
      <c r="X74" s="71">
        <f t="shared" si="36"/>
        <v>0</v>
      </c>
      <c r="Y74" s="71">
        <f t="shared" si="37"/>
        <v>0</v>
      </c>
      <c r="AA74" s="65"/>
      <c r="AC74" s="71">
        <f t="shared" si="38"/>
        <v>0</v>
      </c>
      <c r="AD74" s="39"/>
      <c r="AE74" s="7"/>
      <c r="AF74" s="15"/>
      <c r="AG74" s="71" t="b">
        <f t="shared" si="39"/>
        <v>1</v>
      </c>
      <c r="AI74" s="71">
        <f t="shared" si="40"/>
        <v>0</v>
      </c>
      <c r="AJ74" s="39"/>
      <c r="AK74" s="15"/>
      <c r="AL74" s="71" t="b">
        <f t="shared" si="41"/>
        <v>1</v>
      </c>
      <c r="AN74" s="65"/>
    </row>
    <row r="75" spans="2:40 16128:16147" ht="13" customHeight="1">
      <c r="B75" s="119"/>
      <c r="C75" s="23">
        <f t="shared" si="33"/>
        <v>2026091</v>
      </c>
      <c r="D75" s="23">
        <v>3</v>
      </c>
      <c r="E75" s="128">
        <v>0</v>
      </c>
      <c r="F75" s="126" t="e">
        <f>VLOOKUP(E75,'Códigos bancos'!$B$4:$C$29,2,0)</f>
        <v>#N/A</v>
      </c>
      <c r="G75" s="36">
        <v>1</v>
      </c>
      <c r="H75" s="126" t="str">
        <f>VLOOKUP(G75,'Códigos bancos'!$F$4:$G$14,2,0)</f>
        <v>Oficinas</v>
      </c>
      <c r="I75" s="130"/>
      <c r="J75" s="174">
        <v>0</v>
      </c>
      <c r="K75" s="174">
        <v>0</v>
      </c>
      <c r="L75" s="174">
        <v>0</v>
      </c>
      <c r="M75" s="174">
        <v>0</v>
      </c>
      <c r="N75" s="174">
        <v>0</v>
      </c>
      <c r="O75" s="174">
        <v>0</v>
      </c>
      <c r="P75" s="174">
        <v>0</v>
      </c>
      <c r="Q75" s="174">
        <v>0</v>
      </c>
      <c r="R75" s="174">
        <v>0</v>
      </c>
      <c r="S75" s="215">
        <v>0</v>
      </c>
      <c r="T75" s="71">
        <f t="shared" si="34"/>
        <v>0</v>
      </c>
      <c r="U75" s="71">
        <f t="shared" si="35"/>
        <v>0</v>
      </c>
      <c r="V75" s="117">
        <v>0</v>
      </c>
      <c r="W75" s="117">
        <v>0</v>
      </c>
      <c r="X75" s="71">
        <f t="shared" si="36"/>
        <v>0</v>
      </c>
      <c r="Y75" s="71">
        <f t="shared" si="37"/>
        <v>0</v>
      </c>
      <c r="AA75" s="65"/>
      <c r="AC75" s="71">
        <f t="shared" si="38"/>
        <v>0</v>
      </c>
      <c r="AD75" s="39"/>
      <c r="AE75" s="7"/>
      <c r="AF75" s="15"/>
      <c r="AG75" s="71" t="b">
        <f t="shared" si="39"/>
        <v>1</v>
      </c>
      <c r="AI75" s="71">
        <f t="shared" si="40"/>
        <v>0</v>
      </c>
      <c r="AJ75" s="39"/>
      <c r="AK75" s="15"/>
      <c r="AL75" s="71" t="b">
        <f t="shared" si="41"/>
        <v>1</v>
      </c>
      <c r="AN75" s="65"/>
    </row>
    <row r="76" spans="2:40 16128:16147" ht="13" customHeight="1">
      <c r="B76" s="119"/>
      <c r="C76" s="23">
        <f t="shared" si="33"/>
        <v>2026091</v>
      </c>
      <c r="D76" s="23">
        <v>3</v>
      </c>
      <c r="E76" s="128">
        <v>0</v>
      </c>
      <c r="F76" s="126" t="e">
        <f>VLOOKUP(E76,'Códigos bancos'!$B$4:$C$29,2,0)</f>
        <v>#N/A</v>
      </c>
      <c r="G76" s="36">
        <v>1</v>
      </c>
      <c r="H76" s="126" t="str">
        <f>VLOOKUP(G76,'Códigos bancos'!$F$4:$G$14,2,0)</f>
        <v>Oficinas</v>
      </c>
      <c r="I76" s="130"/>
      <c r="J76" s="174">
        <v>0</v>
      </c>
      <c r="K76" s="174">
        <v>0</v>
      </c>
      <c r="L76" s="174">
        <v>0</v>
      </c>
      <c r="M76" s="174">
        <v>0</v>
      </c>
      <c r="N76" s="174">
        <v>0</v>
      </c>
      <c r="O76" s="174">
        <v>0</v>
      </c>
      <c r="P76" s="174">
        <v>0</v>
      </c>
      <c r="Q76" s="174">
        <v>0</v>
      </c>
      <c r="R76" s="174">
        <v>0</v>
      </c>
      <c r="S76" s="215">
        <v>0</v>
      </c>
      <c r="T76" s="71">
        <f t="shared" si="34"/>
        <v>0</v>
      </c>
      <c r="U76" s="71">
        <f t="shared" si="35"/>
        <v>0</v>
      </c>
      <c r="V76" s="117">
        <v>0</v>
      </c>
      <c r="W76" s="117">
        <v>0</v>
      </c>
      <c r="X76" s="71">
        <f t="shared" si="36"/>
        <v>0</v>
      </c>
      <c r="Y76" s="71">
        <f t="shared" si="37"/>
        <v>0</v>
      </c>
      <c r="AA76" s="65"/>
      <c r="AC76" s="71">
        <f t="shared" si="38"/>
        <v>0</v>
      </c>
      <c r="AD76" s="39"/>
      <c r="AE76" s="7"/>
      <c r="AF76" s="15"/>
      <c r="AG76" s="71" t="b">
        <f t="shared" si="39"/>
        <v>1</v>
      </c>
      <c r="AI76" s="71">
        <f t="shared" si="40"/>
        <v>0</v>
      </c>
      <c r="AJ76" s="39"/>
      <c r="AK76" s="15"/>
      <c r="AL76" s="71" t="b">
        <f t="shared" si="41"/>
        <v>1</v>
      </c>
      <c r="AN76" s="65"/>
    </row>
    <row r="77" spans="2:40 16128:16147" ht="13" customHeight="1">
      <c r="B77" s="119"/>
      <c r="C77" s="23">
        <f t="shared" si="33"/>
        <v>2026091</v>
      </c>
      <c r="D77" s="23">
        <v>3</v>
      </c>
      <c r="E77" s="128">
        <v>0</v>
      </c>
      <c r="F77" s="126" t="e">
        <f>VLOOKUP(E77,'Códigos bancos'!$B$4:$C$29,2,0)</f>
        <v>#N/A</v>
      </c>
      <c r="G77" s="36">
        <v>1</v>
      </c>
      <c r="H77" s="126" t="str">
        <f>VLOOKUP(G77,'Códigos bancos'!$F$4:$G$14,2,0)</f>
        <v>Oficinas</v>
      </c>
      <c r="I77" s="130"/>
      <c r="J77" s="174">
        <v>0</v>
      </c>
      <c r="K77" s="174">
        <v>0</v>
      </c>
      <c r="L77" s="174">
        <v>0</v>
      </c>
      <c r="M77" s="174">
        <v>0</v>
      </c>
      <c r="N77" s="174">
        <v>0</v>
      </c>
      <c r="O77" s="174">
        <v>0</v>
      </c>
      <c r="P77" s="174">
        <v>0</v>
      </c>
      <c r="Q77" s="174">
        <v>0</v>
      </c>
      <c r="R77" s="174">
        <v>0</v>
      </c>
      <c r="S77" s="215">
        <v>0</v>
      </c>
      <c r="T77" s="71">
        <f t="shared" si="34"/>
        <v>0</v>
      </c>
      <c r="U77" s="71">
        <f t="shared" si="35"/>
        <v>0</v>
      </c>
      <c r="V77" s="117">
        <v>0</v>
      </c>
      <c r="W77" s="117">
        <v>0</v>
      </c>
      <c r="X77" s="71">
        <f t="shared" si="36"/>
        <v>0</v>
      </c>
      <c r="Y77" s="71">
        <f t="shared" si="37"/>
        <v>0</v>
      </c>
      <c r="AA77" s="65"/>
      <c r="AC77" s="71">
        <f t="shared" si="38"/>
        <v>0</v>
      </c>
      <c r="AD77" s="39"/>
      <c r="AE77" s="7"/>
      <c r="AF77" s="15"/>
      <c r="AG77" s="71" t="b">
        <f t="shared" si="39"/>
        <v>1</v>
      </c>
      <c r="AI77" s="71">
        <f t="shared" si="40"/>
        <v>0</v>
      </c>
      <c r="AJ77" s="39"/>
      <c r="AK77" s="15"/>
      <c r="AL77" s="71" t="b">
        <f t="shared" si="41"/>
        <v>1</v>
      </c>
      <c r="AN77" s="65"/>
    </row>
    <row r="78" spans="2:40 16128:16147" ht="13" customHeight="1">
      <c r="B78" s="119"/>
      <c r="C78" s="23">
        <f t="shared" si="33"/>
        <v>2026091</v>
      </c>
      <c r="D78" s="23">
        <v>3</v>
      </c>
      <c r="E78" s="128">
        <v>0</v>
      </c>
      <c r="F78" s="126" t="e">
        <f>VLOOKUP(E78,'Códigos bancos'!$B$4:$C$29,2,0)</f>
        <v>#N/A</v>
      </c>
      <c r="G78" s="36">
        <v>1</v>
      </c>
      <c r="H78" s="126" t="str">
        <f>VLOOKUP(G78,'Códigos bancos'!$F$4:$G$14,2,0)</f>
        <v>Oficinas</v>
      </c>
      <c r="I78" s="130"/>
      <c r="J78" s="174">
        <v>0</v>
      </c>
      <c r="K78" s="174">
        <v>0</v>
      </c>
      <c r="L78" s="174">
        <v>0</v>
      </c>
      <c r="M78" s="174">
        <v>0</v>
      </c>
      <c r="N78" s="174">
        <v>0</v>
      </c>
      <c r="O78" s="174">
        <v>0</v>
      </c>
      <c r="P78" s="174">
        <v>0</v>
      </c>
      <c r="Q78" s="174">
        <v>0</v>
      </c>
      <c r="R78" s="174">
        <v>0</v>
      </c>
      <c r="S78" s="215">
        <v>0</v>
      </c>
      <c r="T78" s="71">
        <f t="shared" si="34"/>
        <v>0</v>
      </c>
      <c r="U78" s="71">
        <f t="shared" si="35"/>
        <v>0</v>
      </c>
      <c r="V78" s="117">
        <v>0</v>
      </c>
      <c r="W78" s="117">
        <v>0</v>
      </c>
      <c r="X78" s="71">
        <f t="shared" si="36"/>
        <v>0</v>
      </c>
      <c r="Y78" s="71">
        <f t="shared" si="37"/>
        <v>0</v>
      </c>
      <c r="AA78" s="65"/>
      <c r="AC78" s="71">
        <f t="shared" si="38"/>
        <v>0</v>
      </c>
      <c r="AD78" s="39"/>
      <c r="AE78" s="7"/>
      <c r="AF78" s="15"/>
      <c r="AG78" s="71" t="b">
        <f t="shared" si="39"/>
        <v>1</v>
      </c>
      <c r="AI78" s="71">
        <f t="shared" si="40"/>
        <v>0</v>
      </c>
      <c r="AJ78" s="39"/>
      <c r="AK78" s="15"/>
      <c r="AL78" s="71" t="b">
        <f t="shared" si="41"/>
        <v>1</v>
      </c>
      <c r="AN78" s="65"/>
    </row>
    <row r="79" spans="2:40 16128:16147" ht="13" customHeight="1">
      <c r="B79" s="119"/>
      <c r="C79" s="23">
        <f t="shared" si="33"/>
        <v>2026091</v>
      </c>
      <c r="D79" s="23">
        <v>3</v>
      </c>
      <c r="E79" s="128">
        <v>0</v>
      </c>
      <c r="F79" s="126" t="e">
        <f>VLOOKUP(E79,'Códigos bancos'!$B$4:$C$29,2,0)</f>
        <v>#N/A</v>
      </c>
      <c r="G79" s="36">
        <v>1</v>
      </c>
      <c r="H79" s="126" t="str">
        <f>VLOOKUP(G79,'Códigos bancos'!$F$4:$G$14,2,0)</f>
        <v>Oficinas</v>
      </c>
      <c r="I79" s="130"/>
      <c r="J79" s="174">
        <v>0</v>
      </c>
      <c r="K79" s="174">
        <v>0</v>
      </c>
      <c r="L79" s="174">
        <v>0</v>
      </c>
      <c r="M79" s="174">
        <v>0</v>
      </c>
      <c r="N79" s="174">
        <v>0</v>
      </c>
      <c r="O79" s="174">
        <v>0</v>
      </c>
      <c r="P79" s="174">
        <v>0</v>
      </c>
      <c r="Q79" s="174">
        <v>0</v>
      </c>
      <c r="R79" s="174">
        <v>0</v>
      </c>
      <c r="S79" s="215">
        <v>0</v>
      </c>
      <c r="T79" s="71">
        <f t="shared" si="34"/>
        <v>0</v>
      </c>
      <c r="U79" s="71">
        <f t="shared" si="35"/>
        <v>0</v>
      </c>
      <c r="V79" s="117">
        <v>0</v>
      </c>
      <c r="W79" s="117">
        <v>0</v>
      </c>
      <c r="X79" s="71">
        <f t="shared" si="36"/>
        <v>0</v>
      </c>
      <c r="Y79" s="71">
        <f t="shared" si="37"/>
        <v>0</v>
      </c>
      <c r="AA79" s="65"/>
      <c r="AC79" s="71">
        <f t="shared" si="38"/>
        <v>0</v>
      </c>
      <c r="AD79" s="39"/>
      <c r="AE79" s="7"/>
      <c r="AF79" s="15"/>
      <c r="AG79" s="71" t="b">
        <f t="shared" si="39"/>
        <v>1</v>
      </c>
      <c r="AI79" s="71">
        <f t="shared" si="40"/>
        <v>0</v>
      </c>
      <c r="AJ79" s="39"/>
      <c r="AK79" s="15"/>
      <c r="AL79" s="71" t="b">
        <f t="shared" si="41"/>
        <v>1</v>
      </c>
      <c r="AN79" s="65"/>
    </row>
    <row r="80" spans="2:40 16128:16147" ht="13" customHeight="1">
      <c r="B80" s="119"/>
      <c r="C80" s="23">
        <f t="shared" si="33"/>
        <v>2026091</v>
      </c>
      <c r="D80" s="23">
        <v>3</v>
      </c>
      <c r="E80" s="128">
        <v>0</v>
      </c>
      <c r="F80" s="126" t="e">
        <f>VLOOKUP(E80,'Códigos bancos'!$B$4:$C$29,2,0)</f>
        <v>#N/A</v>
      </c>
      <c r="G80" s="36">
        <v>1</v>
      </c>
      <c r="H80" s="126" t="str">
        <f>VLOOKUP(G80,'Códigos bancos'!$F$4:$G$14,2,0)</f>
        <v>Oficinas</v>
      </c>
      <c r="I80" s="130"/>
      <c r="J80" s="174">
        <v>0</v>
      </c>
      <c r="K80" s="174">
        <v>0</v>
      </c>
      <c r="L80" s="174">
        <v>0</v>
      </c>
      <c r="M80" s="174">
        <v>0</v>
      </c>
      <c r="N80" s="174">
        <v>0</v>
      </c>
      <c r="O80" s="174">
        <v>0</v>
      </c>
      <c r="P80" s="174">
        <v>0</v>
      </c>
      <c r="Q80" s="174">
        <v>0</v>
      </c>
      <c r="R80" s="174">
        <v>0</v>
      </c>
      <c r="S80" s="215">
        <v>0</v>
      </c>
      <c r="T80" s="71">
        <f t="shared" si="34"/>
        <v>0</v>
      </c>
      <c r="U80" s="71">
        <f t="shared" si="35"/>
        <v>0</v>
      </c>
      <c r="V80" s="117">
        <v>0</v>
      </c>
      <c r="W80" s="117">
        <v>0</v>
      </c>
      <c r="X80" s="71">
        <f t="shared" si="36"/>
        <v>0</v>
      </c>
      <c r="Y80" s="71">
        <f t="shared" si="37"/>
        <v>0</v>
      </c>
      <c r="AA80" s="65"/>
      <c r="AC80" s="71">
        <f t="shared" si="38"/>
        <v>0</v>
      </c>
      <c r="AD80" s="39"/>
      <c r="AE80" s="7"/>
      <c r="AF80" s="15"/>
      <c r="AG80" s="71" t="b">
        <f t="shared" si="39"/>
        <v>1</v>
      </c>
      <c r="AI80" s="71">
        <f t="shared" si="40"/>
        <v>0</v>
      </c>
      <c r="AJ80" s="39"/>
      <c r="AK80" s="15"/>
      <c r="AL80" s="71" t="b">
        <f t="shared" si="41"/>
        <v>1</v>
      </c>
      <c r="AN80" s="65"/>
    </row>
    <row r="81" spans="2:40 16128:16147" ht="13" customHeight="1">
      <c r="B81" s="119"/>
      <c r="C81" s="23">
        <f t="shared" si="33"/>
        <v>2026091</v>
      </c>
      <c r="D81" s="23">
        <v>3</v>
      </c>
      <c r="E81" s="128">
        <v>0</v>
      </c>
      <c r="F81" s="126" t="e">
        <f>VLOOKUP(E81,'Códigos bancos'!$B$4:$C$29,2,0)</f>
        <v>#N/A</v>
      </c>
      <c r="G81" s="36">
        <v>1</v>
      </c>
      <c r="H81" s="126" t="str">
        <f>VLOOKUP(G81,'Códigos bancos'!$F$4:$G$14,2,0)</f>
        <v>Oficinas</v>
      </c>
      <c r="I81" s="130"/>
      <c r="J81" s="174">
        <v>0</v>
      </c>
      <c r="K81" s="174">
        <v>0</v>
      </c>
      <c r="L81" s="174">
        <v>0</v>
      </c>
      <c r="M81" s="174">
        <v>0</v>
      </c>
      <c r="N81" s="174">
        <v>0</v>
      </c>
      <c r="O81" s="174">
        <v>0</v>
      </c>
      <c r="P81" s="174">
        <v>0</v>
      </c>
      <c r="Q81" s="174">
        <v>0</v>
      </c>
      <c r="R81" s="174">
        <v>0</v>
      </c>
      <c r="S81" s="215">
        <v>0</v>
      </c>
      <c r="T81" s="71">
        <f t="shared" si="34"/>
        <v>0</v>
      </c>
      <c r="U81" s="71">
        <f t="shared" si="35"/>
        <v>0</v>
      </c>
      <c r="V81" s="117">
        <v>0</v>
      </c>
      <c r="W81" s="117">
        <v>0</v>
      </c>
      <c r="X81" s="71">
        <f t="shared" si="36"/>
        <v>0</v>
      </c>
      <c r="Y81" s="71">
        <f t="shared" si="37"/>
        <v>0</v>
      </c>
      <c r="AA81" s="65"/>
      <c r="AC81" s="71">
        <f t="shared" si="38"/>
        <v>0</v>
      </c>
      <c r="AD81" s="39"/>
      <c r="AE81" s="7"/>
      <c r="AF81" s="15"/>
      <c r="AG81" s="71" t="b">
        <f t="shared" si="39"/>
        <v>1</v>
      </c>
      <c r="AI81" s="71">
        <f t="shared" si="40"/>
        <v>0</v>
      </c>
      <c r="AJ81" s="39"/>
      <c r="AK81" s="15"/>
      <c r="AL81" s="71" t="b">
        <f t="shared" si="41"/>
        <v>1</v>
      </c>
      <c r="AN81" s="65"/>
    </row>
    <row r="82" spans="2:40 16128:16147" ht="13" customHeight="1">
      <c r="B82" s="119"/>
      <c r="C82" s="23">
        <f t="shared" si="33"/>
        <v>2026091</v>
      </c>
      <c r="D82" s="23">
        <v>3</v>
      </c>
      <c r="E82" s="128">
        <v>0</v>
      </c>
      <c r="F82" s="126" t="e">
        <f>VLOOKUP(E82,'Códigos bancos'!$B$4:$C$29,2,0)</f>
        <v>#N/A</v>
      </c>
      <c r="G82" s="36">
        <v>1</v>
      </c>
      <c r="H82" s="126" t="str">
        <f>VLOOKUP(G82,'Códigos bancos'!$F$4:$G$14,2,0)</f>
        <v>Oficinas</v>
      </c>
      <c r="I82" s="130"/>
      <c r="J82" s="174">
        <v>0</v>
      </c>
      <c r="K82" s="174">
        <v>0</v>
      </c>
      <c r="L82" s="174">
        <v>0</v>
      </c>
      <c r="M82" s="174">
        <v>0</v>
      </c>
      <c r="N82" s="174">
        <v>0</v>
      </c>
      <c r="O82" s="174">
        <v>0</v>
      </c>
      <c r="P82" s="174">
        <v>0</v>
      </c>
      <c r="Q82" s="174">
        <v>0</v>
      </c>
      <c r="R82" s="174">
        <v>0</v>
      </c>
      <c r="S82" s="215">
        <v>0</v>
      </c>
      <c r="T82" s="71">
        <f t="shared" si="34"/>
        <v>0</v>
      </c>
      <c r="U82" s="71">
        <f t="shared" si="35"/>
        <v>0</v>
      </c>
      <c r="V82" s="117">
        <v>0</v>
      </c>
      <c r="W82" s="117">
        <v>0</v>
      </c>
      <c r="X82" s="71">
        <f t="shared" si="36"/>
        <v>0</v>
      </c>
      <c r="Y82" s="71">
        <f t="shared" si="37"/>
        <v>0</v>
      </c>
      <c r="AA82" s="65"/>
      <c r="AC82" s="71">
        <f t="shared" si="38"/>
        <v>0</v>
      </c>
      <c r="AD82" s="39"/>
      <c r="AE82" s="7"/>
      <c r="AF82" s="15"/>
      <c r="AG82" s="71" t="b">
        <f t="shared" si="39"/>
        <v>1</v>
      </c>
      <c r="AI82" s="71">
        <f t="shared" si="40"/>
        <v>0</v>
      </c>
      <c r="AJ82" s="39"/>
      <c r="AK82" s="15"/>
      <c r="AL82" s="71" t="b">
        <f t="shared" si="41"/>
        <v>1</v>
      </c>
      <c r="AN82" s="65"/>
    </row>
    <row r="83" spans="2:40 16128:16147" ht="13" customHeight="1">
      <c r="B83" s="119"/>
      <c r="C83" s="23">
        <f t="shared" si="33"/>
        <v>2026091</v>
      </c>
      <c r="D83" s="23">
        <v>3</v>
      </c>
      <c r="E83" s="128">
        <v>0</v>
      </c>
      <c r="F83" s="126" t="e">
        <f>VLOOKUP(E83,'Códigos bancos'!$B$4:$C$29,2,0)</f>
        <v>#N/A</v>
      </c>
      <c r="G83" s="36">
        <v>1</v>
      </c>
      <c r="H83" s="126" t="str">
        <f>VLOOKUP(G83,'Códigos bancos'!$F$4:$G$14,2,0)</f>
        <v>Oficinas</v>
      </c>
      <c r="I83" s="130"/>
      <c r="J83" s="174">
        <v>0</v>
      </c>
      <c r="K83" s="174">
        <v>0</v>
      </c>
      <c r="L83" s="174">
        <v>0</v>
      </c>
      <c r="M83" s="174">
        <v>0</v>
      </c>
      <c r="N83" s="174">
        <v>0</v>
      </c>
      <c r="O83" s="174">
        <v>0</v>
      </c>
      <c r="P83" s="174">
        <v>0</v>
      </c>
      <c r="Q83" s="174">
        <v>0</v>
      </c>
      <c r="R83" s="174">
        <v>0</v>
      </c>
      <c r="S83" s="215">
        <v>0</v>
      </c>
      <c r="T83" s="71">
        <f t="shared" si="34"/>
        <v>0</v>
      </c>
      <c r="U83" s="71">
        <f t="shared" si="35"/>
        <v>0</v>
      </c>
      <c r="V83" s="117">
        <v>0</v>
      </c>
      <c r="W83" s="117">
        <v>0</v>
      </c>
      <c r="X83" s="71">
        <f t="shared" si="36"/>
        <v>0</v>
      </c>
      <c r="Y83" s="71">
        <f t="shared" si="37"/>
        <v>0</v>
      </c>
      <c r="AA83" s="65"/>
      <c r="AC83" s="71">
        <f t="shared" si="38"/>
        <v>0</v>
      </c>
      <c r="AD83" s="39"/>
      <c r="AE83" s="7"/>
      <c r="AF83" s="15"/>
      <c r="AG83" s="71" t="b">
        <f t="shared" si="39"/>
        <v>1</v>
      </c>
      <c r="AI83" s="71">
        <f t="shared" si="40"/>
        <v>0</v>
      </c>
      <c r="AJ83" s="39"/>
      <c r="AK83" s="15"/>
      <c r="AL83" s="71" t="b">
        <f t="shared" si="41"/>
        <v>1</v>
      </c>
      <c r="AN83" s="65"/>
    </row>
    <row r="84" spans="2:40 16128:16147" ht="13" customHeight="1">
      <c r="B84" s="119"/>
      <c r="C84" s="23">
        <f t="shared" si="33"/>
        <v>2026091</v>
      </c>
      <c r="D84" s="23">
        <v>3</v>
      </c>
      <c r="E84" s="128">
        <v>0</v>
      </c>
      <c r="F84" s="126" t="e">
        <f>VLOOKUP(E84,'Códigos bancos'!$B$4:$C$29,2,0)</f>
        <v>#N/A</v>
      </c>
      <c r="G84" s="36">
        <v>1</v>
      </c>
      <c r="H84" s="126" t="str">
        <f>VLOOKUP(G84,'Códigos bancos'!$F$4:$G$14,2,0)</f>
        <v>Oficinas</v>
      </c>
      <c r="I84" s="130"/>
      <c r="J84" s="174">
        <v>0</v>
      </c>
      <c r="K84" s="174">
        <v>0</v>
      </c>
      <c r="L84" s="174">
        <v>0</v>
      </c>
      <c r="M84" s="174">
        <v>0</v>
      </c>
      <c r="N84" s="174">
        <v>0</v>
      </c>
      <c r="O84" s="174">
        <v>0</v>
      </c>
      <c r="P84" s="174">
        <v>0</v>
      </c>
      <c r="Q84" s="174">
        <v>0</v>
      </c>
      <c r="R84" s="174">
        <v>0</v>
      </c>
      <c r="S84" s="215">
        <v>0</v>
      </c>
      <c r="T84" s="71">
        <f t="shared" si="34"/>
        <v>0</v>
      </c>
      <c r="U84" s="71">
        <f t="shared" si="35"/>
        <v>0</v>
      </c>
      <c r="V84" s="117">
        <v>0</v>
      </c>
      <c r="W84" s="117">
        <v>0</v>
      </c>
      <c r="X84" s="71">
        <f t="shared" si="36"/>
        <v>0</v>
      </c>
      <c r="Y84" s="71">
        <f t="shared" si="37"/>
        <v>0</v>
      </c>
      <c r="AA84" s="65"/>
      <c r="AC84" s="71">
        <f t="shared" si="38"/>
        <v>0</v>
      </c>
      <c r="AD84" s="39"/>
      <c r="AE84" s="7"/>
      <c r="AF84" s="15"/>
      <c r="AG84" s="71" t="b">
        <f t="shared" si="39"/>
        <v>1</v>
      </c>
      <c r="AI84" s="71">
        <f t="shared" si="40"/>
        <v>0</v>
      </c>
      <c r="AJ84" s="39"/>
      <c r="AK84" s="15"/>
      <c r="AL84" s="71" t="b">
        <f t="shared" si="41"/>
        <v>1</v>
      </c>
      <c r="AN84" s="65"/>
    </row>
    <row r="85" spans="2:40 16128:16147" ht="13" customHeight="1">
      <c r="B85" s="119"/>
      <c r="C85" s="23">
        <f t="shared" si="33"/>
        <v>2026091</v>
      </c>
      <c r="D85" s="23">
        <v>3</v>
      </c>
      <c r="E85" s="128">
        <v>0</v>
      </c>
      <c r="F85" s="126" t="e">
        <f>VLOOKUP(E85,'Códigos bancos'!$B$4:$C$29,2,0)</f>
        <v>#N/A</v>
      </c>
      <c r="G85" s="36">
        <v>1</v>
      </c>
      <c r="H85" s="126" t="str">
        <f>VLOOKUP(G85,'Códigos bancos'!$F$4:$G$14,2,0)</f>
        <v>Oficinas</v>
      </c>
      <c r="I85" s="130"/>
      <c r="J85" s="174">
        <v>0</v>
      </c>
      <c r="K85" s="174">
        <v>0</v>
      </c>
      <c r="L85" s="174">
        <v>0</v>
      </c>
      <c r="M85" s="174">
        <v>0</v>
      </c>
      <c r="N85" s="174">
        <v>0</v>
      </c>
      <c r="O85" s="174">
        <v>0</v>
      </c>
      <c r="P85" s="174">
        <v>0</v>
      </c>
      <c r="Q85" s="174">
        <v>0</v>
      </c>
      <c r="R85" s="174">
        <v>0</v>
      </c>
      <c r="S85" s="215">
        <v>0</v>
      </c>
      <c r="T85" s="71">
        <f t="shared" si="34"/>
        <v>0</v>
      </c>
      <c r="U85" s="71">
        <f t="shared" si="35"/>
        <v>0</v>
      </c>
      <c r="V85" s="117">
        <v>0</v>
      </c>
      <c r="W85" s="117">
        <v>0</v>
      </c>
      <c r="X85" s="71">
        <f t="shared" si="36"/>
        <v>0</v>
      </c>
      <c r="Y85" s="71">
        <f t="shared" si="37"/>
        <v>0</v>
      </c>
      <c r="AA85" s="65"/>
      <c r="AC85" s="71">
        <f t="shared" si="38"/>
        <v>0</v>
      </c>
      <c r="AD85" s="39"/>
      <c r="AE85" s="7"/>
      <c r="AF85" s="15"/>
      <c r="AG85" s="71" t="b">
        <f t="shared" si="39"/>
        <v>1</v>
      </c>
      <c r="AI85" s="71">
        <f t="shared" si="40"/>
        <v>0</v>
      </c>
      <c r="AJ85" s="39"/>
      <c r="AK85" s="15"/>
      <c r="AL85" s="71" t="b">
        <f t="shared" si="41"/>
        <v>1</v>
      </c>
      <c r="AN85" s="65"/>
    </row>
    <row r="86" spans="2:40 16128:16147" ht="12" customHeight="1">
      <c r="B86" s="119"/>
      <c r="C86" s="23">
        <f t="shared" si="33"/>
        <v>2026091</v>
      </c>
      <c r="D86" s="23">
        <v>3</v>
      </c>
      <c r="E86" s="128">
        <v>0</v>
      </c>
      <c r="F86" s="126" t="e">
        <f>VLOOKUP(E86,'Códigos bancos'!$B$4:$C$29,2,0)</f>
        <v>#N/A</v>
      </c>
      <c r="G86" s="36">
        <v>1</v>
      </c>
      <c r="H86" s="126" t="str">
        <f>VLOOKUP(G86,'Códigos bancos'!$F$4:$G$14,2,0)</f>
        <v>Oficinas</v>
      </c>
      <c r="I86" s="130"/>
      <c r="J86" s="174">
        <v>0</v>
      </c>
      <c r="K86" s="174">
        <v>0</v>
      </c>
      <c r="L86" s="174">
        <v>0</v>
      </c>
      <c r="M86" s="174">
        <v>0</v>
      </c>
      <c r="N86" s="174">
        <v>0</v>
      </c>
      <c r="O86" s="174">
        <v>0</v>
      </c>
      <c r="P86" s="174">
        <v>0</v>
      </c>
      <c r="Q86" s="174">
        <v>0</v>
      </c>
      <c r="R86" s="174">
        <v>0</v>
      </c>
      <c r="S86" s="215">
        <v>0</v>
      </c>
      <c r="T86" s="71">
        <f t="shared" si="34"/>
        <v>0</v>
      </c>
      <c r="U86" s="71">
        <f t="shared" si="35"/>
        <v>0</v>
      </c>
      <c r="V86" s="117">
        <v>0</v>
      </c>
      <c r="W86" s="117">
        <v>0</v>
      </c>
      <c r="X86" s="71">
        <f t="shared" si="36"/>
        <v>0</v>
      </c>
      <c r="Y86" s="71">
        <f t="shared" si="37"/>
        <v>0</v>
      </c>
      <c r="AA86" s="65"/>
      <c r="AC86" s="71">
        <f t="shared" si="38"/>
        <v>0</v>
      </c>
      <c r="AD86" s="39"/>
      <c r="AE86" s="7"/>
      <c r="AF86" s="15"/>
      <c r="AG86" s="71" t="b">
        <f t="shared" si="39"/>
        <v>1</v>
      </c>
      <c r="AI86" s="71">
        <f t="shared" si="40"/>
        <v>0</v>
      </c>
      <c r="AJ86" s="39"/>
      <c r="AK86" s="15"/>
      <c r="AL86" s="71" t="b">
        <f t="shared" si="41"/>
        <v>1</v>
      </c>
      <c r="AN86" s="65"/>
    </row>
    <row r="87" spans="2:40 16128:16147" ht="13" customHeight="1">
      <c r="B87" s="119"/>
      <c r="C87" s="23">
        <f t="shared" si="33"/>
        <v>2026091</v>
      </c>
      <c r="D87" s="23">
        <v>3</v>
      </c>
      <c r="E87" s="128">
        <v>0</v>
      </c>
      <c r="F87" s="126" t="e">
        <f>VLOOKUP(E87,'Códigos bancos'!$B$4:$C$29,2,0)</f>
        <v>#N/A</v>
      </c>
      <c r="G87" s="36">
        <v>1</v>
      </c>
      <c r="H87" s="126" t="str">
        <f>VLOOKUP(G87,'Códigos bancos'!$F$4:$G$14,2,0)</f>
        <v>Oficinas</v>
      </c>
      <c r="I87" s="130"/>
      <c r="J87" s="174">
        <v>0</v>
      </c>
      <c r="K87" s="174">
        <v>0</v>
      </c>
      <c r="L87" s="174">
        <v>0</v>
      </c>
      <c r="M87" s="174">
        <v>0</v>
      </c>
      <c r="N87" s="174">
        <v>0</v>
      </c>
      <c r="O87" s="174">
        <v>0</v>
      </c>
      <c r="P87" s="174">
        <v>0</v>
      </c>
      <c r="Q87" s="174">
        <v>0</v>
      </c>
      <c r="R87" s="174">
        <v>0</v>
      </c>
      <c r="S87" s="215">
        <v>0</v>
      </c>
      <c r="T87" s="71">
        <f t="shared" si="34"/>
        <v>0</v>
      </c>
      <c r="U87" s="71">
        <f t="shared" si="35"/>
        <v>0</v>
      </c>
      <c r="V87" s="117">
        <v>0</v>
      </c>
      <c r="W87" s="117">
        <v>0</v>
      </c>
      <c r="X87" s="71">
        <f t="shared" si="36"/>
        <v>0</v>
      </c>
      <c r="Y87" s="71">
        <f t="shared" si="37"/>
        <v>0</v>
      </c>
      <c r="AA87" s="65"/>
      <c r="AC87" s="71">
        <f t="shared" si="38"/>
        <v>0</v>
      </c>
      <c r="AD87" s="39"/>
      <c r="AE87" s="7"/>
      <c r="AF87" s="15"/>
      <c r="AG87" s="71" t="b">
        <f t="shared" si="39"/>
        <v>1</v>
      </c>
      <c r="AI87" s="71">
        <f t="shared" si="40"/>
        <v>0</v>
      </c>
      <c r="AJ87" s="39"/>
      <c r="AK87" s="15"/>
      <c r="AL87" s="71" t="b">
        <f t="shared" si="41"/>
        <v>1</v>
      </c>
      <c r="AN87" s="65"/>
    </row>
    <row r="88" spans="2:40 16128:16147" ht="13" customHeight="1">
      <c r="B88" s="119"/>
      <c r="C88" s="23">
        <f t="shared" ref="C88" si="42">IF(D88&lt;=15,$C$1,$C$2)</f>
        <v>2026091</v>
      </c>
      <c r="D88" s="23">
        <v>3</v>
      </c>
      <c r="E88" s="128">
        <v>0</v>
      </c>
      <c r="F88" s="126" t="e">
        <f>VLOOKUP(E88,'Códigos bancos'!$B$4:$C$29,2,0)</f>
        <v>#N/A</v>
      </c>
      <c r="G88" s="36">
        <v>1</v>
      </c>
      <c r="H88" s="126" t="str">
        <f>VLOOKUP(G88,'Códigos bancos'!$F$4:$G$14,2,0)</f>
        <v>Oficinas</v>
      </c>
      <c r="I88" s="130"/>
      <c r="J88" s="174">
        <v>0</v>
      </c>
      <c r="K88" s="174">
        <v>0</v>
      </c>
      <c r="L88" s="174">
        <v>0</v>
      </c>
      <c r="M88" s="174">
        <v>0</v>
      </c>
      <c r="N88" s="174">
        <v>0</v>
      </c>
      <c r="O88" s="174">
        <v>0</v>
      </c>
      <c r="P88" s="174">
        <v>0</v>
      </c>
      <c r="Q88" s="174">
        <v>0</v>
      </c>
      <c r="R88" s="174">
        <v>0</v>
      </c>
      <c r="S88" s="215">
        <v>0</v>
      </c>
      <c r="T88" s="71">
        <f t="shared" ref="T88" si="43">J88+L88+N88+P88+R88</f>
        <v>0</v>
      </c>
      <c r="U88" s="71">
        <f t="shared" ref="U88" si="44">K88+M88+O88+Q88+S88</f>
        <v>0</v>
      </c>
      <c r="V88" s="117">
        <v>0</v>
      </c>
      <c r="W88" s="117">
        <v>0</v>
      </c>
      <c r="X88" s="71">
        <f t="shared" ref="X88" si="45">V88-T88</f>
        <v>0</v>
      </c>
      <c r="Y88" s="71">
        <f t="shared" ref="Y88" si="46">W88-U88</f>
        <v>0</v>
      </c>
      <c r="AA88" s="65"/>
      <c r="AC88" s="71">
        <f t="shared" ref="AC88" si="47">X88</f>
        <v>0</v>
      </c>
      <c r="AD88" s="39"/>
      <c r="AE88" s="7"/>
      <c r="AF88" s="15"/>
      <c r="AG88" s="71" t="b">
        <f t="shared" ref="AG88" si="48">AC88=(AD88+AE88+AF88)</f>
        <v>1</v>
      </c>
      <c r="AI88" s="71">
        <f t="shared" ref="AI88" si="49">Y88</f>
        <v>0</v>
      </c>
      <c r="AJ88" s="39"/>
      <c r="AK88" s="15"/>
      <c r="AL88" s="71" t="b">
        <f t="shared" ref="AL88" si="50">AI88=(AJ88+AK88)</f>
        <v>1</v>
      </c>
      <c r="AN88" s="65"/>
    </row>
    <row r="89" spans="2:40 16128:16147" ht="13" customHeight="1">
      <c r="B89" s="119"/>
      <c r="C89" s="23">
        <f t="shared" si="33"/>
        <v>2026091</v>
      </c>
      <c r="D89" s="23">
        <v>3</v>
      </c>
      <c r="E89" s="128">
        <v>0</v>
      </c>
      <c r="F89" s="126" t="e">
        <f>VLOOKUP(E89,'Códigos bancos'!$B$4:$C$29,2,0)</f>
        <v>#N/A</v>
      </c>
      <c r="G89" s="36">
        <v>1</v>
      </c>
      <c r="H89" s="126" t="str">
        <f>VLOOKUP(G89,'Códigos bancos'!$F$4:$G$14,2,0)</f>
        <v>Oficinas</v>
      </c>
      <c r="I89" s="130"/>
      <c r="J89" s="174">
        <v>0</v>
      </c>
      <c r="K89" s="174">
        <v>0</v>
      </c>
      <c r="L89" s="174">
        <v>0</v>
      </c>
      <c r="M89" s="174">
        <v>0</v>
      </c>
      <c r="N89" s="174">
        <v>0</v>
      </c>
      <c r="O89" s="174">
        <v>0</v>
      </c>
      <c r="P89" s="174">
        <v>0</v>
      </c>
      <c r="Q89" s="174">
        <v>0</v>
      </c>
      <c r="R89" s="174">
        <v>0</v>
      </c>
      <c r="S89" s="215">
        <v>0</v>
      </c>
      <c r="T89" s="71">
        <f t="shared" si="34"/>
        <v>0</v>
      </c>
      <c r="U89" s="71">
        <f t="shared" si="35"/>
        <v>0</v>
      </c>
      <c r="V89" s="117">
        <v>0</v>
      </c>
      <c r="W89" s="117">
        <v>0</v>
      </c>
      <c r="X89" s="71">
        <f t="shared" si="36"/>
        <v>0</v>
      </c>
      <c r="Y89" s="71">
        <f t="shared" si="37"/>
        <v>0</v>
      </c>
      <c r="AA89" s="65"/>
      <c r="AC89" s="71">
        <f t="shared" si="38"/>
        <v>0</v>
      </c>
      <c r="AD89" s="39"/>
      <c r="AE89" s="7"/>
      <c r="AF89" s="15"/>
      <c r="AG89" s="71" t="b">
        <f t="shared" si="39"/>
        <v>1</v>
      </c>
      <c r="AI89" s="71">
        <f t="shared" si="40"/>
        <v>0</v>
      </c>
      <c r="AJ89" s="39"/>
      <c r="AK89" s="15"/>
      <c r="AL89" s="71" t="b">
        <f t="shared" si="41"/>
        <v>1</v>
      </c>
      <c r="AN89" s="65"/>
    </row>
    <row r="90" spans="2:40 16128:16147" ht="13" customHeight="1">
      <c r="B90" s="119"/>
      <c r="C90" s="23">
        <f t="shared" si="33"/>
        <v>2026091</v>
      </c>
      <c r="D90" s="23">
        <v>3</v>
      </c>
      <c r="E90" s="128">
        <v>0</v>
      </c>
      <c r="F90" s="126" t="e">
        <f>VLOOKUP(E90,'Códigos bancos'!$B$4:$C$29,2,0)</f>
        <v>#N/A</v>
      </c>
      <c r="G90" s="36">
        <v>1</v>
      </c>
      <c r="H90" s="126" t="str">
        <f>VLOOKUP(G90,'Códigos bancos'!$F$4:$G$14,2,0)</f>
        <v>Oficinas</v>
      </c>
      <c r="I90" s="130"/>
      <c r="J90" s="174">
        <v>0</v>
      </c>
      <c r="K90" s="174">
        <v>0</v>
      </c>
      <c r="L90" s="174">
        <v>0</v>
      </c>
      <c r="M90" s="174">
        <v>0</v>
      </c>
      <c r="N90" s="174">
        <v>0</v>
      </c>
      <c r="O90" s="174">
        <v>0</v>
      </c>
      <c r="P90" s="174">
        <v>0</v>
      </c>
      <c r="Q90" s="174">
        <v>0</v>
      </c>
      <c r="R90" s="174">
        <v>0</v>
      </c>
      <c r="S90" s="215">
        <v>0</v>
      </c>
      <c r="T90" s="71">
        <f t="shared" si="34"/>
        <v>0</v>
      </c>
      <c r="U90" s="71">
        <f t="shared" si="35"/>
        <v>0</v>
      </c>
      <c r="V90" s="117">
        <v>0</v>
      </c>
      <c r="W90" s="117">
        <v>0</v>
      </c>
      <c r="X90" s="71">
        <f t="shared" si="36"/>
        <v>0</v>
      </c>
      <c r="Y90" s="71">
        <f t="shared" si="37"/>
        <v>0</v>
      </c>
      <c r="AA90" s="65"/>
      <c r="AC90" s="71">
        <f t="shared" si="38"/>
        <v>0</v>
      </c>
      <c r="AD90" s="39"/>
      <c r="AE90" s="7"/>
      <c r="AF90" s="15"/>
      <c r="AG90" s="71" t="b">
        <f t="shared" si="39"/>
        <v>1</v>
      </c>
      <c r="AI90" s="71">
        <f t="shared" si="40"/>
        <v>0</v>
      </c>
      <c r="AJ90" s="39"/>
      <c r="AK90" s="15"/>
      <c r="AL90" s="71" t="b">
        <f t="shared" si="41"/>
        <v>1</v>
      </c>
      <c r="AN90" s="65"/>
    </row>
    <row r="91" spans="2:40 16128:16147" ht="13" customHeight="1">
      <c r="B91" s="119"/>
      <c r="C91" s="23">
        <f t="shared" si="33"/>
        <v>2026091</v>
      </c>
      <c r="D91" s="23">
        <v>3</v>
      </c>
      <c r="E91" s="128">
        <v>0</v>
      </c>
      <c r="F91" s="126" t="e">
        <f>VLOOKUP(E91,'Códigos bancos'!$B$4:$C$29,2,0)</f>
        <v>#N/A</v>
      </c>
      <c r="G91" s="36">
        <v>1</v>
      </c>
      <c r="H91" s="126" t="str">
        <f>VLOOKUP(G91,'Códigos bancos'!$F$4:$G$14,2,0)</f>
        <v>Oficinas</v>
      </c>
      <c r="I91" s="130"/>
      <c r="J91" s="174">
        <v>0</v>
      </c>
      <c r="K91" s="174">
        <v>0</v>
      </c>
      <c r="L91" s="174">
        <v>0</v>
      </c>
      <c r="M91" s="174">
        <v>0</v>
      </c>
      <c r="N91" s="174">
        <v>0</v>
      </c>
      <c r="O91" s="174">
        <v>0</v>
      </c>
      <c r="P91" s="174">
        <v>0</v>
      </c>
      <c r="Q91" s="174">
        <v>0</v>
      </c>
      <c r="R91" s="174">
        <v>0</v>
      </c>
      <c r="S91" s="215">
        <v>0</v>
      </c>
      <c r="T91" s="71">
        <f t="shared" si="34"/>
        <v>0</v>
      </c>
      <c r="U91" s="71">
        <f t="shared" si="35"/>
        <v>0</v>
      </c>
      <c r="V91" s="117">
        <v>0</v>
      </c>
      <c r="W91" s="117">
        <v>0</v>
      </c>
      <c r="X91" s="71">
        <f t="shared" si="36"/>
        <v>0</v>
      </c>
      <c r="Y91" s="71">
        <f t="shared" si="37"/>
        <v>0</v>
      </c>
      <c r="AA91" s="65"/>
      <c r="AC91" s="71">
        <f t="shared" si="38"/>
        <v>0</v>
      </c>
      <c r="AD91" s="39"/>
      <c r="AE91" s="7"/>
      <c r="AF91" s="15"/>
      <c r="AG91" s="71" t="b">
        <f t="shared" si="39"/>
        <v>1</v>
      </c>
      <c r="AI91" s="71"/>
      <c r="AJ91" s="39"/>
      <c r="AK91" s="15"/>
      <c r="AL91" s="71" t="b">
        <f t="shared" si="41"/>
        <v>1</v>
      </c>
      <c r="AN91" s="65"/>
    </row>
    <row r="92" spans="2:40 16128:16147" ht="13" customHeight="1">
      <c r="B92" s="119"/>
      <c r="C92" s="23">
        <f t="shared" si="33"/>
        <v>2026091</v>
      </c>
      <c r="D92" s="23">
        <v>3</v>
      </c>
      <c r="E92" s="128">
        <v>0</v>
      </c>
      <c r="F92" s="126" t="e">
        <f>VLOOKUP(E92,'Códigos bancos'!$B$4:$C$29,2,0)</f>
        <v>#N/A</v>
      </c>
      <c r="G92" s="36">
        <v>1</v>
      </c>
      <c r="H92" s="126" t="str">
        <f>VLOOKUP(G92,'Códigos bancos'!$F$4:$G$14,2,0)</f>
        <v>Oficinas</v>
      </c>
      <c r="I92" s="130"/>
      <c r="J92" s="174">
        <v>0</v>
      </c>
      <c r="K92" s="174">
        <v>0</v>
      </c>
      <c r="L92" s="174">
        <v>0</v>
      </c>
      <c r="M92" s="174">
        <v>0</v>
      </c>
      <c r="N92" s="174">
        <v>0</v>
      </c>
      <c r="O92" s="174">
        <v>0</v>
      </c>
      <c r="P92" s="174">
        <v>0</v>
      </c>
      <c r="Q92" s="174">
        <v>0</v>
      </c>
      <c r="R92" s="174">
        <v>0</v>
      </c>
      <c r="S92" s="215">
        <v>0</v>
      </c>
      <c r="T92" s="71">
        <f t="shared" si="34"/>
        <v>0</v>
      </c>
      <c r="U92" s="71">
        <f t="shared" si="35"/>
        <v>0</v>
      </c>
      <c r="V92" s="117">
        <v>0</v>
      </c>
      <c r="W92" s="117">
        <v>0</v>
      </c>
      <c r="X92" s="71">
        <f t="shared" si="36"/>
        <v>0</v>
      </c>
      <c r="Y92" s="71">
        <f t="shared" si="37"/>
        <v>0</v>
      </c>
      <c r="AA92" s="65"/>
      <c r="AC92" s="71">
        <f t="shared" si="38"/>
        <v>0</v>
      </c>
      <c r="AD92" s="39"/>
      <c r="AE92" s="7"/>
      <c r="AF92" s="15"/>
      <c r="AG92" s="71" t="b">
        <f t="shared" si="39"/>
        <v>1</v>
      </c>
      <c r="AI92" s="71">
        <f>Y92</f>
        <v>0</v>
      </c>
      <c r="AJ92" s="39"/>
      <c r="AK92" s="15"/>
      <c r="AL92" s="71" t="b">
        <f t="shared" si="41"/>
        <v>1</v>
      </c>
      <c r="AN92" s="65"/>
    </row>
    <row r="93" spans="2:40 16128:16147" ht="13" customHeight="1" thickBot="1">
      <c r="B93" s="119"/>
      <c r="C93" s="23">
        <f t="shared" si="33"/>
        <v>2026091</v>
      </c>
      <c r="D93" s="23">
        <v>3</v>
      </c>
      <c r="E93" s="128">
        <v>0</v>
      </c>
      <c r="F93" s="126" t="e">
        <f>VLOOKUP(E93,'Códigos bancos'!$B$4:$C$29,2,0)</f>
        <v>#N/A</v>
      </c>
      <c r="G93" s="36">
        <v>1</v>
      </c>
      <c r="H93" s="126" t="str">
        <f>VLOOKUP(G93,'Códigos bancos'!$F$4:$G$14,2,0)</f>
        <v>Oficinas</v>
      </c>
      <c r="I93" s="130"/>
      <c r="J93" s="174">
        <v>0</v>
      </c>
      <c r="K93" s="174">
        <v>0</v>
      </c>
      <c r="L93" s="174">
        <v>0</v>
      </c>
      <c r="M93" s="174">
        <v>0</v>
      </c>
      <c r="N93" s="174">
        <v>0</v>
      </c>
      <c r="O93" s="174">
        <v>0</v>
      </c>
      <c r="P93" s="174">
        <v>0</v>
      </c>
      <c r="Q93" s="174">
        <v>0</v>
      </c>
      <c r="R93" s="174">
        <v>0</v>
      </c>
      <c r="S93" s="215">
        <v>0</v>
      </c>
      <c r="T93" s="71">
        <f t="shared" si="34"/>
        <v>0</v>
      </c>
      <c r="U93" s="71">
        <f t="shared" si="35"/>
        <v>0</v>
      </c>
      <c r="V93" s="117">
        <v>0</v>
      </c>
      <c r="W93" s="117">
        <v>0</v>
      </c>
      <c r="X93" s="71">
        <f t="shared" si="36"/>
        <v>0</v>
      </c>
      <c r="Y93" s="71">
        <f t="shared" si="37"/>
        <v>0</v>
      </c>
      <c r="AA93" s="65"/>
      <c r="AC93" s="71">
        <f t="shared" si="38"/>
        <v>0</v>
      </c>
      <c r="AD93" s="39"/>
      <c r="AE93" s="7"/>
      <c r="AF93" s="15"/>
      <c r="AG93" s="71" t="b">
        <f t="shared" si="39"/>
        <v>1</v>
      </c>
      <c r="AI93" s="71">
        <f t="shared" si="40"/>
        <v>0</v>
      </c>
      <c r="AJ93" s="39"/>
      <c r="AK93" s="15"/>
      <c r="AL93" s="71" t="b">
        <f t="shared" si="41"/>
        <v>1</v>
      </c>
      <c r="AN93" s="65"/>
    </row>
    <row r="94" spans="2:40 16128:16147" ht="13" customHeight="1" thickBot="1">
      <c r="E94" s="120" t="s">
        <v>0</v>
      </c>
      <c r="F94" s="121" t="s">
        <v>53</v>
      </c>
      <c r="G94" s="121"/>
      <c r="H94" s="121"/>
      <c r="I94" s="121"/>
      <c r="J94" s="122">
        <f t="shared" ref="J94:Y94" si="51">SUM(J69:J93)</f>
        <v>0</v>
      </c>
      <c r="K94" s="122">
        <f t="shared" si="51"/>
        <v>0</v>
      </c>
      <c r="L94" s="122">
        <f t="shared" si="51"/>
        <v>0</v>
      </c>
      <c r="M94" s="122">
        <f t="shared" si="51"/>
        <v>0</v>
      </c>
      <c r="N94" s="122">
        <f>SUM(N69:N93)</f>
        <v>0</v>
      </c>
      <c r="O94" s="122">
        <f t="shared" si="51"/>
        <v>0</v>
      </c>
      <c r="P94" s="122">
        <f t="shared" si="51"/>
        <v>0</v>
      </c>
      <c r="Q94" s="122">
        <f t="shared" si="51"/>
        <v>0</v>
      </c>
      <c r="R94" s="122">
        <f t="shared" si="51"/>
        <v>330</v>
      </c>
      <c r="S94" s="122">
        <f t="shared" si="51"/>
        <v>14638040</v>
      </c>
      <c r="T94" s="122">
        <f t="shared" si="51"/>
        <v>330</v>
      </c>
      <c r="U94" s="122">
        <f t="shared" si="51"/>
        <v>14638040</v>
      </c>
      <c r="V94" s="123">
        <f t="shared" si="51"/>
        <v>330</v>
      </c>
      <c r="W94" s="123">
        <f t="shared" si="51"/>
        <v>14638040</v>
      </c>
      <c r="X94" s="122">
        <f t="shared" si="51"/>
        <v>0</v>
      </c>
      <c r="Y94" s="123">
        <f t="shared" si="51"/>
        <v>0</v>
      </c>
      <c r="AA94" s="65"/>
      <c r="AC94" s="122">
        <f>SUM(AC69:AC93)</f>
        <v>0</v>
      </c>
      <c r="AD94" s="122">
        <f>SUM(AD69:AD93)</f>
        <v>0</v>
      </c>
      <c r="AE94" s="122">
        <f>SUM(AE69:AE93)</f>
        <v>0</v>
      </c>
      <c r="AF94" s="123">
        <f>SUM(AF69:AF93)</f>
        <v>0</v>
      </c>
      <c r="AG94" s="100"/>
      <c r="AI94" s="122">
        <f>SUM(AI69:AI93)</f>
        <v>0</v>
      </c>
      <c r="AJ94" s="122">
        <f>SUM(AJ69:AJ93)</f>
        <v>0</v>
      </c>
      <c r="AK94" s="123">
        <f>SUM(AK69:AK93)</f>
        <v>0</v>
      </c>
      <c r="AL94" s="100"/>
      <c r="AN94" s="65"/>
    </row>
    <row r="95" spans="2:40 16128:16147" ht="13" thickBot="1">
      <c r="AA95" s="65"/>
      <c r="AN95" s="65"/>
    </row>
    <row r="96" spans="2:40 16128:16147" ht="41.25" customHeight="1" thickBot="1">
      <c r="B96" s="112" t="s">
        <v>4</v>
      </c>
      <c r="C96" s="34" t="s">
        <v>6</v>
      </c>
      <c r="D96" s="34" t="s">
        <v>7</v>
      </c>
      <c r="E96" s="34" t="s">
        <v>49</v>
      </c>
      <c r="F96" s="34" t="s">
        <v>50</v>
      </c>
      <c r="G96" s="34" t="s">
        <v>51</v>
      </c>
      <c r="H96" s="34" t="s">
        <v>52</v>
      </c>
      <c r="I96" s="34" t="s">
        <v>13</v>
      </c>
      <c r="J96" s="12" t="s">
        <v>8</v>
      </c>
      <c r="K96" s="12" t="s">
        <v>36</v>
      </c>
      <c r="L96" s="12" t="s">
        <v>9</v>
      </c>
      <c r="M96" s="12" t="s">
        <v>37</v>
      </c>
      <c r="N96" s="87" t="s">
        <v>10</v>
      </c>
      <c r="O96" s="88" t="s">
        <v>38</v>
      </c>
      <c r="P96" s="87" t="s">
        <v>11</v>
      </c>
      <c r="Q96" s="88" t="s">
        <v>39</v>
      </c>
      <c r="R96" s="87" t="s">
        <v>12</v>
      </c>
      <c r="S96" s="88" t="s">
        <v>40</v>
      </c>
      <c r="T96" s="64" t="s">
        <v>41</v>
      </c>
      <c r="U96" s="64" t="s">
        <v>42</v>
      </c>
      <c r="V96" s="35" t="s">
        <v>32</v>
      </c>
      <c r="W96" s="67" t="s">
        <v>35</v>
      </c>
      <c r="X96" s="12" t="s">
        <v>34</v>
      </c>
      <c r="Y96" s="68" t="s">
        <v>33</v>
      </c>
      <c r="AA96" s="66"/>
      <c r="AC96" s="12" t="s">
        <v>34</v>
      </c>
      <c r="AD96" s="12" t="s">
        <v>45</v>
      </c>
      <c r="AE96" s="12" t="s">
        <v>43</v>
      </c>
      <c r="AF96" s="12" t="s">
        <v>44</v>
      </c>
      <c r="AG96" s="12" t="s">
        <v>46</v>
      </c>
      <c r="AI96" s="12" t="s">
        <v>33</v>
      </c>
      <c r="AJ96" s="12" t="s">
        <v>47</v>
      </c>
      <c r="AK96" s="12" t="s">
        <v>48</v>
      </c>
      <c r="AL96" s="12" t="s">
        <v>46</v>
      </c>
      <c r="AN96" s="66"/>
      <c r="WVH96" s="1"/>
      <c r="WVI96" s="1"/>
      <c r="WVZ96"/>
      <c r="WWA96"/>
    </row>
    <row r="97" spans="2:40" ht="13" customHeight="1">
      <c r="B97" s="119" t="s">
        <v>72</v>
      </c>
      <c r="C97" s="24">
        <f>IF(D97&lt;=15,$C$1,$C$2)</f>
        <v>2026091</v>
      </c>
      <c r="D97" s="24">
        <v>4</v>
      </c>
      <c r="E97" s="127">
        <v>20</v>
      </c>
      <c r="F97" s="125" t="str">
        <f>VLOOKUP(E97,'Códigos bancos'!$B$4:$C$29,2,0)</f>
        <v>Bancolombia ENERBIT</v>
      </c>
      <c r="G97" s="18">
        <v>1</v>
      </c>
      <c r="H97" s="125" t="str">
        <f>VLOOKUP(G97,'Códigos bancos'!$F$4:$G$14,2,0)</f>
        <v>Oficinas</v>
      </c>
      <c r="I97" s="129"/>
      <c r="J97" s="213">
        <v>0</v>
      </c>
      <c r="K97" s="213">
        <v>0</v>
      </c>
      <c r="L97" s="213">
        <v>0</v>
      </c>
      <c r="M97" s="213">
        <v>0</v>
      </c>
      <c r="N97" s="213">
        <v>0</v>
      </c>
      <c r="O97" s="213">
        <v>0</v>
      </c>
      <c r="P97" s="213">
        <v>0</v>
      </c>
      <c r="Q97" s="213">
        <v>0</v>
      </c>
      <c r="R97" s="174">
        <v>216</v>
      </c>
      <c r="S97" s="215">
        <v>9174690</v>
      </c>
      <c r="T97" s="70">
        <f>J97+L97+N97+P97+R97</f>
        <v>216</v>
      </c>
      <c r="U97" s="70">
        <f>K97+M97+O97+Q97+S97</f>
        <v>9174690</v>
      </c>
      <c r="V97" s="174">
        <v>216</v>
      </c>
      <c r="W97" s="215">
        <v>9174690</v>
      </c>
      <c r="X97" s="70">
        <f>V97-T97</f>
        <v>0</v>
      </c>
      <c r="Y97" s="70">
        <f>W97-U97</f>
        <v>0</v>
      </c>
      <c r="AA97" s="65"/>
      <c r="AC97" s="124">
        <f>X97</f>
        <v>0</v>
      </c>
      <c r="AD97" s="115"/>
      <c r="AE97" s="16"/>
      <c r="AF97" s="114"/>
      <c r="AG97" s="124" t="b">
        <f>AC97=(AD97+AE97+AF97)</f>
        <v>1</v>
      </c>
      <c r="AI97" s="70">
        <f>Y97</f>
        <v>0</v>
      </c>
      <c r="AJ97" s="115"/>
      <c r="AK97" s="114"/>
      <c r="AL97" s="70" t="b">
        <f>AI97=(AJ97+AK97)</f>
        <v>1</v>
      </c>
      <c r="AN97" s="65"/>
    </row>
    <row r="98" spans="2:40" ht="13" customHeight="1">
      <c r="B98" s="119"/>
      <c r="C98" s="23">
        <f t="shared" ref="C98:C121" si="52">IF(D98&lt;=15,$C$1,$C$2)</f>
        <v>2026091</v>
      </c>
      <c r="D98" s="23">
        <v>4</v>
      </c>
      <c r="E98" s="128">
        <v>0</v>
      </c>
      <c r="F98" s="126" t="e">
        <f>VLOOKUP(E98,'Códigos bancos'!$B$4:$C$29,2,0)</f>
        <v>#N/A</v>
      </c>
      <c r="G98" s="36">
        <v>1</v>
      </c>
      <c r="H98" s="126" t="str">
        <f>VLOOKUP(G98,'Códigos bancos'!$F$4:$G$14,2,0)</f>
        <v>Oficinas</v>
      </c>
      <c r="I98" s="130"/>
      <c r="J98" s="174">
        <v>0</v>
      </c>
      <c r="K98" s="174">
        <v>0</v>
      </c>
      <c r="L98" s="174">
        <v>0</v>
      </c>
      <c r="M98" s="174">
        <v>0</v>
      </c>
      <c r="N98" s="174">
        <v>0</v>
      </c>
      <c r="O98" s="174">
        <v>0</v>
      </c>
      <c r="P98" s="174">
        <v>0</v>
      </c>
      <c r="Q98" s="174">
        <v>0</v>
      </c>
      <c r="R98" s="174">
        <v>0</v>
      </c>
      <c r="S98" s="215">
        <v>0</v>
      </c>
      <c r="T98" s="71">
        <f t="shared" ref="T98:T121" si="53">J98+L98+N98+P98+R98</f>
        <v>0</v>
      </c>
      <c r="U98" s="71">
        <f t="shared" ref="U98:U121" si="54">K98+M98+O98+Q98+S98</f>
        <v>0</v>
      </c>
      <c r="V98" s="117">
        <v>0</v>
      </c>
      <c r="W98" s="117">
        <v>0</v>
      </c>
      <c r="X98" s="71">
        <f t="shared" ref="X98:X121" si="55">V98-T98</f>
        <v>0</v>
      </c>
      <c r="Y98" s="71">
        <f t="shared" ref="Y98:Y121" si="56">W98-U98</f>
        <v>0</v>
      </c>
      <c r="AA98" s="65"/>
      <c r="AC98" s="71">
        <f t="shared" ref="AC98:AC121" si="57">X98</f>
        <v>0</v>
      </c>
      <c r="AD98" s="39"/>
      <c r="AE98" s="7"/>
      <c r="AF98" s="15"/>
      <c r="AG98" s="71" t="b">
        <f t="shared" ref="AG98:AG121" si="58">AC98=(AD98+AE98+AF98)</f>
        <v>1</v>
      </c>
      <c r="AI98" s="71">
        <f t="shared" ref="AI98:AI121" si="59">Y98</f>
        <v>0</v>
      </c>
      <c r="AJ98" s="39"/>
      <c r="AK98" s="15"/>
      <c r="AL98" s="71" t="b">
        <f t="shared" ref="AL98:AL121" si="60">AI98=(AJ98+AK98)</f>
        <v>1</v>
      </c>
      <c r="AN98" s="65"/>
    </row>
    <row r="99" spans="2:40" ht="13" customHeight="1">
      <c r="B99" s="119"/>
      <c r="C99" s="23">
        <f t="shared" si="52"/>
        <v>2026091</v>
      </c>
      <c r="D99" s="23">
        <v>4</v>
      </c>
      <c r="E99" s="128">
        <v>0</v>
      </c>
      <c r="F99" s="126" t="e">
        <f>VLOOKUP(E99,'Códigos bancos'!$B$4:$C$29,2,0)</f>
        <v>#N/A</v>
      </c>
      <c r="G99" s="36">
        <v>1</v>
      </c>
      <c r="H99" s="126" t="str">
        <f>VLOOKUP(G99,'Códigos bancos'!$F$4:$G$14,2,0)</f>
        <v>Oficinas</v>
      </c>
      <c r="I99" s="130"/>
      <c r="J99" s="174">
        <v>0</v>
      </c>
      <c r="K99" s="174">
        <v>0</v>
      </c>
      <c r="L99" s="174">
        <v>0</v>
      </c>
      <c r="M99" s="174">
        <v>0</v>
      </c>
      <c r="N99" s="174">
        <v>0</v>
      </c>
      <c r="O99" s="174">
        <v>0</v>
      </c>
      <c r="P99" s="174">
        <v>0</v>
      </c>
      <c r="Q99" s="174">
        <v>0</v>
      </c>
      <c r="R99" s="174">
        <v>0</v>
      </c>
      <c r="S99" s="215">
        <v>0</v>
      </c>
      <c r="T99" s="71">
        <f t="shared" si="53"/>
        <v>0</v>
      </c>
      <c r="U99" s="71">
        <f t="shared" si="54"/>
        <v>0</v>
      </c>
      <c r="V99" s="117">
        <v>0</v>
      </c>
      <c r="W99" s="117">
        <v>0</v>
      </c>
      <c r="X99" s="71">
        <f t="shared" si="55"/>
        <v>0</v>
      </c>
      <c r="Y99" s="71">
        <f t="shared" si="56"/>
        <v>0</v>
      </c>
      <c r="AA99" s="65"/>
      <c r="AC99" s="71">
        <f t="shared" si="57"/>
        <v>0</v>
      </c>
      <c r="AD99" s="45"/>
      <c r="AE99" s="14"/>
      <c r="AF99" s="46"/>
      <c r="AG99" s="71" t="b">
        <f t="shared" si="58"/>
        <v>1</v>
      </c>
      <c r="AI99" s="71">
        <f t="shared" si="59"/>
        <v>0</v>
      </c>
      <c r="AJ99" s="45"/>
      <c r="AK99" s="46"/>
      <c r="AL99" s="71" t="b">
        <f t="shared" si="60"/>
        <v>1</v>
      </c>
      <c r="AN99" s="65"/>
    </row>
    <row r="100" spans="2:40" ht="13" customHeight="1">
      <c r="B100" s="119"/>
      <c r="C100" s="23">
        <f t="shared" si="52"/>
        <v>2026091</v>
      </c>
      <c r="D100" s="23">
        <v>4</v>
      </c>
      <c r="E100" s="128">
        <v>0</v>
      </c>
      <c r="F100" s="126" t="e">
        <f>VLOOKUP(E100,'Códigos bancos'!$B$4:$C$29,2,0)</f>
        <v>#N/A</v>
      </c>
      <c r="G100" s="36">
        <v>1</v>
      </c>
      <c r="H100" s="126" t="str">
        <f>VLOOKUP(G100,'Códigos bancos'!$F$4:$G$14,2,0)</f>
        <v>Oficinas</v>
      </c>
      <c r="I100" s="130"/>
      <c r="J100" s="174">
        <v>0</v>
      </c>
      <c r="K100" s="174">
        <v>0</v>
      </c>
      <c r="L100" s="174">
        <v>0</v>
      </c>
      <c r="M100" s="174">
        <v>0</v>
      </c>
      <c r="N100" s="174">
        <v>0</v>
      </c>
      <c r="O100" s="174">
        <v>0</v>
      </c>
      <c r="P100" s="174">
        <v>0</v>
      </c>
      <c r="Q100" s="174">
        <v>0</v>
      </c>
      <c r="R100" s="174">
        <v>0</v>
      </c>
      <c r="S100" s="215">
        <v>0</v>
      </c>
      <c r="T100" s="71">
        <f t="shared" si="53"/>
        <v>0</v>
      </c>
      <c r="U100" s="71">
        <f t="shared" si="54"/>
        <v>0</v>
      </c>
      <c r="V100" s="117">
        <v>0</v>
      </c>
      <c r="W100" s="117">
        <v>0</v>
      </c>
      <c r="X100" s="71">
        <f t="shared" si="55"/>
        <v>0</v>
      </c>
      <c r="Y100" s="71">
        <f t="shared" si="56"/>
        <v>0</v>
      </c>
      <c r="AA100" s="65"/>
      <c r="AC100" s="71">
        <f t="shared" si="57"/>
        <v>0</v>
      </c>
      <c r="AD100" s="39"/>
      <c r="AE100" s="7"/>
      <c r="AF100" s="15"/>
      <c r="AG100" s="71" t="b">
        <f t="shared" si="58"/>
        <v>1</v>
      </c>
      <c r="AI100" s="71">
        <f t="shared" si="59"/>
        <v>0</v>
      </c>
      <c r="AJ100" s="39"/>
      <c r="AK100" s="15"/>
      <c r="AL100" s="71" t="b">
        <f t="shared" si="60"/>
        <v>1</v>
      </c>
      <c r="AN100" s="65"/>
    </row>
    <row r="101" spans="2:40" ht="13" customHeight="1">
      <c r="B101" s="119"/>
      <c r="C101" s="23">
        <f t="shared" si="52"/>
        <v>2026091</v>
      </c>
      <c r="D101" s="23">
        <v>4</v>
      </c>
      <c r="E101" s="128">
        <v>0</v>
      </c>
      <c r="F101" s="126" t="e">
        <f>VLOOKUP(E101,'Códigos bancos'!$B$4:$C$29,2,0)</f>
        <v>#N/A</v>
      </c>
      <c r="G101" s="36">
        <v>1</v>
      </c>
      <c r="H101" s="126" t="str">
        <f>VLOOKUP(G101,'Códigos bancos'!$F$4:$G$14,2,0)</f>
        <v>Oficinas</v>
      </c>
      <c r="I101" s="130"/>
      <c r="J101" s="174">
        <v>0</v>
      </c>
      <c r="K101" s="174">
        <v>0</v>
      </c>
      <c r="L101" s="174">
        <v>0</v>
      </c>
      <c r="M101" s="174">
        <v>0</v>
      </c>
      <c r="N101" s="174">
        <v>0</v>
      </c>
      <c r="O101" s="174">
        <v>0</v>
      </c>
      <c r="P101" s="174">
        <v>0</v>
      </c>
      <c r="Q101" s="174">
        <v>0</v>
      </c>
      <c r="R101" s="174">
        <v>0</v>
      </c>
      <c r="S101" s="215">
        <v>0</v>
      </c>
      <c r="T101" s="71">
        <f t="shared" si="53"/>
        <v>0</v>
      </c>
      <c r="U101" s="71">
        <f t="shared" si="54"/>
        <v>0</v>
      </c>
      <c r="V101" s="117">
        <v>0</v>
      </c>
      <c r="W101" s="117">
        <v>0</v>
      </c>
      <c r="X101" s="71">
        <f t="shared" si="55"/>
        <v>0</v>
      </c>
      <c r="Y101" s="71">
        <f t="shared" si="56"/>
        <v>0</v>
      </c>
      <c r="AA101" s="65"/>
      <c r="AC101" s="71">
        <f t="shared" si="57"/>
        <v>0</v>
      </c>
      <c r="AD101" s="39"/>
      <c r="AE101" s="7"/>
      <c r="AF101" s="15"/>
      <c r="AG101" s="71" t="b">
        <f t="shared" si="58"/>
        <v>1</v>
      </c>
      <c r="AI101" s="71">
        <f t="shared" si="59"/>
        <v>0</v>
      </c>
      <c r="AJ101" s="39"/>
      <c r="AK101" s="15"/>
      <c r="AL101" s="71" t="b">
        <f t="shared" si="60"/>
        <v>1</v>
      </c>
      <c r="AN101" s="65"/>
    </row>
    <row r="102" spans="2:40" ht="13" customHeight="1">
      <c r="B102" s="119"/>
      <c r="C102" s="23">
        <f t="shared" si="52"/>
        <v>2026091</v>
      </c>
      <c r="D102" s="23">
        <v>4</v>
      </c>
      <c r="E102" s="128">
        <v>0</v>
      </c>
      <c r="F102" s="126" t="e">
        <f>VLOOKUP(E102,'Códigos bancos'!$B$4:$C$29,2,0)</f>
        <v>#N/A</v>
      </c>
      <c r="G102" s="36">
        <v>1</v>
      </c>
      <c r="H102" s="126" t="str">
        <f>VLOOKUP(G102,'Códigos bancos'!$F$4:$G$14,2,0)</f>
        <v>Oficinas</v>
      </c>
      <c r="I102" s="130"/>
      <c r="J102" s="174">
        <v>0</v>
      </c>
      <c r="K102" s="174">
        <v>0</v>
      </c>
      <c r="L102" s="174">
        <v>0</v>
      </c>
      <c r="M102" s="174">
        <v>0</v>
      </c>
      <c r="N102" s="174">
        <v>0</v>
      </c>
      <c r="O102" s="174">
        <v>0</v>
      </c>
      <c r="P102" s="174">
        <v>0</v>
      </c>
      <c r="Q102" s="174">
        <v>0</v>
      </c>
      <c r="R102" s="174">
        <v>0</v>
      </c>
      <c r="S102" s="215">
        <v>0</v>
      </c>
      <c r="T102" s="71">
        <f t="shared" si="53"/>
        <v>0</v>
      </c>
      <c r="U102" s="71">
        <f t="shared" si="54"/>
        <v>0</v>
      </c>
      <c r="V102" s="117">
        <v>0</v>
      </c>
      <c r="W102" s="117">
        <v>0</v>
      </c>
      <c r="X102" s="71">
        <f t="shared" si="55"/>
        <v>0</v>
      </c>
      <c r="Y102" s="71">
        <f t="shared" si="56"/>
        <v>0</v>
      </c>
      <c r="AA102" s="65"/>
      <c r="AC102" s="71">
        <f t="shared" si="57"/>
        <v>0</v>
      </c>
      <c r="AD102" s="39"/>
      <c r="AE102" s="7"/>
      <c r="AF102" s="15"/>
      <c r="AG102" s="71" t="b">
        <f t="shared" si="58"/>
        <v>1</v>
      </c>
      <c r="AI102" s="71">
        <f t="shared" si="59"/>
        <v>0</v>
      </c>
      <c r="AJ102" s="39"/>
      <c r="AK102" s="15"/>
      <c r="AL102" s="71" t="b">
        <f t="shared" si="60"/>
        <v>1</v>
      </c>
      <c r="AN102" s="65"/>
    </row>
    <row r="103" spans="2:40" ht="12.75" customHeight="1">
      <c r="B103" s="119"/>
      <c r="C103" s="23">
        <f t="shared" si="52"/>
        <v>2026091</v>
      </c>
      <c r="D103" s="23">
        <v>4</v>
      </c>
      <c r="E103" s="128">
        <v>0</v>
      </c>
      <c r="F103" s="126" t="e">
        <f>VLOOKUP(E103,'Códigos bancos'!$B$4:$C$29,2,0)</f>
        <v>#N/A</v>
      </c>
      <c r="G103" s="36">
        <v>1</v>
      </c>
      <c r="H103" s="126" t="str">
        <f>VLOOKUP(G103,'Códigos bancos'!$F$4:$G$14,2,0)</f>
        <v>Oficinas</v>
      </c>
      <c r="I103" s="130"/>
      <c r="J103" s="174">
        <v>0</v>
      </c>
      <c r="K103" s="174">
        <v>0</v>
      </c>
      <c r="L103" s="174">
        <v>0</v>
      </c>
      <c r="M103" s="174">
        <v>0</v>
      </c>
      <c r="N103" s="174">
        <v>0</v>
      </c>
      <c r="O103" s="174">
        <v>0</v>
      </c>
      <c r="P103" s="174">
        <v>0</v>
      </c>
      <c r="Q103" s="174">
        <v>0</v>
      </c>
      <c r="R103" s="174">
        <v>0</v>
      </c>
      <c r="S103" s="215">
        <v>0</v>
      </c>
      <c r="T103" s="71">
        <f t="shared" si="53"/>
        <v>0</v>
      </c>
      <c r="U103" s="71">
        <f t="shared" si="54"/>
        <v>0</v>
      </c>
      <c r="V103" s="117">
        <v>0</v>
      </c>
      <c r="W103" s="117">
        <v>0</v>
      </c>
      <c r="X103" s="71">
        <f t="shared" si="55"/>
        <v>0</v>
      </c>
      <c r="Y103" s="71">
        <f t="shared" si="56"/>
        <v>0</v>
      </c>
      <c r="AA103" s="65"/>
      <c r="AC103" s="71">
        <f t="shared" si="57"/>
        <v>0</v>
      </c>
      <c r="AD103" s="39"/>
      <c r="AE103" s="7"/>
      <c r="AF103" s="15"/>
      <c r="AG103" s="71" t="b">
        <f t="shared" si="58"/>
        <v>1</v>
      </c>
      <c r="AI103" s="71">
        <f t="shared" si="59"/>
        <v>0</v>
      </c>
      <c r="AJ103" s="39"/>
      <c r="AK103" s="15"/>
      <c r="AL103" s="71" t="b">
        <f t="shared" si="60"/>
        <v>1</v>
      </c>
      <c r="AN103" s="65"/>
    </row>
    <row r="104" spans="2:40" ht="13" customHeight="1">
      <c r="B104" s="119"/>
      <c r="C104" s="23">
        <f t="shared" si="52"/>
        <v>2026091</v>
      </c>
      <c r="D104" s="23">
        <v>4</v>
      </c>
      <c r="E104" s="128">
        <v>0</v>
      </c>
      <c r="F104" s="126" t="e">
        <f>VLOOKUP(E104,'Códigos bancos'!$B$4:$C$29,2,0)</f>
        <v>#N/A</v>
      </c>
      <c r="G104" s="36">
        <v>1</v>
      </c>
      <c r="H104" s="126" t="str">
        <f>VLOOKUP(G104,'Códigos bancos'!$F$4:$G$14,2,0)</f>
        <v>Oficinas</v>
      </c>
      <c r="I104" s="130"/>
      <c r="J104" s="174">
        <v>0</v>
      </c>
      <c r="K104" s="174">
        <v>0</v>
      </c>
      <c r="L104" s="174">
        <v>0</v>
      </c>
      <c r="M104" s="174">
        <v>0</v>
      </c>
      <c r="N104" s="174">
        <v>0</v>
      </c>
      <c r="O104" s="174">
        <v>0</v>
      </c>
      <c r="P104" s="174">
        <v>0</v>
      </c>
      <c r="Q104" s="174">
        <v>0</v>
      </c>
      <c r="R104" s="174">
        <v>0</v>
      </c>
      <c r="S104" s="215">
        <v>0</v>
      </c>
      <c r="T104" s="71">
        <f t="shared" si="53"/>
        <v>0</v>
      </c>
      <c r="U104" s="71">
        <f t="shared" si="54"/>
        <v>0</v>
      </c>
      <c r="V104" s="117">
        <v>0</v>
      </c>
      <c r="W104" s="117">
        <v>0</v>
      </c>
      <c r="X104" s="71">
        <f t="shared" si="55"/>
        <v>0</v>
      </c>
      <c r="Y104" s="71">
        <f t="shared" si="56"/>
        <v>0</v>
      </c>
      <c r="AA104" s="65"/>
      <c r="AC104" s="71">
        <f t="shared" si="57"/>
        <v>0</v>
      </c>
      <c r="AD104" s="39"/>
      <c r="AE104" s="7"/>
      <c r="AF104" s="15"/>
      <c r="AG104" s="71" t="b">
        <f t="shared" si="58"/>
        <v>1</v>
      </c>
      <c r="AI104" s="71">
        <f t="shared" si="59"/>
        <v>0</v>
      </c>
      <c r="AJ104" s="39"/>
      <c r="AK104" s="15"/>
      <c r="AL104" s="71" t="b">
        <f t="shared" si="60"/>
        <v>1</v>
      </c>
      <c r="AN104" s="65"/>
    </row>
    <row r="105" spans="2:40" ht="13" customHeight="1">
      <c r="B105" s="119"/>
      <c r="C105" s="23">
        <f t="shared" si="52"/>
        <v>2026091</v>
      </c>
      <c r="D105" s="23">
        <v>4</v>
      </c>
      <c r="E105" s="128">
        <v>0</v>
      </c>
      <c r="F105" s="126" t="e">
        <f>VLOOKUP(E105,'Códigos bancos'!$B$4:$C$29,2,0)</f>
        <v>#N/A</v>
      </c>
      <c r="G105" s="36">
        <v>1</v>
      </c>
      <c r="H105" s="126" t="str">
        <f>VLOOKUP(G105,'Códigos bancos'!$F$4:$G$14,2,0)</f>
        <v>Oficinas</v>
      </c>
      <c r="I105" s="130"/>
      <c r="J105" s="174">
        <v>0</v>
      </c>
      <c r="K105" s="174">
        <v>0</v>
      </c>
      <c r="L105" s="174">
        <v>0</v>
      </c>
      <c r="M105" s="174">
        <v>0</v>
      </c>
      <c r="N105" s="174">
        <v>0</v>
      </c>
      <c r="O105" s="174">
        <v>0</v>
      </c>
      <c r="P105" s="174">
        <v>0</v>
      </c>
      <c r="Q105" s="174">
        <v>0</v>
      </c>
      <c r="R105" s="174">
        <v>0</v>
      </c>
      <c r="S105" s="215">
        <v>0</v>
      </c>
      <c r="T105" s="71">
        <f t="shared" si="53"/>
        <v>0</v>
      </c>
      <c r="U105" s="71">
        <f t="shared" si="54"/>
        <v>0</v>
      </c>
      <c r="V105" s="117">
        <v>0</v>
      </c>
      <c r="W105" s="117">
        <v>0</v>
      </c>
      <c r="X105" s="71">
        <f t="shared" si="55"/>
        <v>0</v>
      </c>
      <c r="Y105" s="71">
        <f t="shared" si="56"/>
        <v>0</v>
      </c>
      <c r="AA105" s="65"/>
      <c r="AC105" s="71">
        <f t="shared" si="57"/>
        <v>0</v>
      </c>
      <c r="AD105" s="39"/>
      <c r="AE105" s="7"/>
      <c r="AF105" s="15"/>
      <c r="AG105" s="71" t="b">
        <f t="shared" si="58"/>
        <v>1</v>
      </c>
      <c r="AI105" s="71">
        <f t="shared" si="59"/>
        <v>0</v>
      </c>
      <c r="AJ105" s="39"/>
      <c r="AK105" s="15"/>
      <c r="AL105" s="71" t="b">
        <f t="shared" si="60"/>
        <v>1</v>
      </c>
      <c r="AN105" s="65"/>
    </row>
    <row r="106" spans="2:40" ht="13" customHeight="1">
      <c r="B106" s="119"/>
      <c r="C106" s="23">
        <f t="shared" si="52"/>
        <v>2026091</v>
      </c>
      <c r="D106" s="23">
        <v>4</v>
      </c>
      <c r="E106" s="128">
        <v>0</v>
      </c>
      <c r="F106" s="126" t="e">
        <f>VLOOKUP(E106,'Códigos bancos'!$B$4:$C$29,2,0)</f>
        <v>#N/A</v>
      </c>
      <c r="G106" s="36">
        <v>1</v>
      </c>
      <c r="H106" s="126" t="str">
        <f>VLOOKUP(G106,'Códigos bancos'!$F$4:$G$14,2,0)</f>
        <v>Oficinas</v>
      </c>
      <c r="I106" s="130"/>
      <c r="J106" s="174">
        <v>0</v>
      </c>
      <c r="K106" s="174">
        <v>0</v>
      </c>
      <c r="L106" s="174">
        <v>0</v>
      </c>
      <c r="M106" s="174">
        <v>0</v>
      </c>
      <c r="N106" s="174">
        <v>0</v>
      </c>
      <c r="O106" s="174">
        <v>0</v>
      </c>
      <c r="P106" s="174">
        <v>0</v>
      </c>
      <c r="Q106" s="174">
        <v>0</v>
      </c>
      <c r="R106" s="174">
        <v>0</v>
      </c>
      <c r="S106" s="215">
        <v>0</v>
      </c>
      <c r="T106" s="71">
        <f t="shared" si="53"/>
        <v>0</v>
      </c>
      <c r="U106" s="71">
        <f t="shared" si="54"/>
        <v>0</v>
      </c>
      <c r="V106" s="117">
        <v>0</v>
      </c>
      <c r="W106" s="117">
        <v>0</v>
      </c>
      <c r="X106" s="71">
        <f t="shared" si="55"/>
        <v>0</v>
      </c>
      <c r="Y106" s="71">
        <f t="shared" si="56"/>
        <v>0</v>
      </c>
      <c r="AA106" s="65"/>
      <c r="AC106" s="71">
        <f t="shared" si="57"/>
        <v>0</v>
      </c>
      <c r="AD106" s="39"/>
      <c r="AE106" s="7"/>
      <c r="AF106" s="15"/>
      <c r="AG106" s="71" t="b">
        <f t="shared" si="58"/>
        <v>1</v>
      </c>
      <c r="AI106" s="71">
        <f t="shared" si="59"/>
        <v>0</v>
      </c>
      <c r="AJ106" s="39"/>
      <c r="AK106" s="15"/>
      <c r="AL106" s="71" t="b">
        <f t="shared" si="60"/>
        <v>1</v>
      </c>
      <c r="AN106" s="65"/>
    </row>
    <row r="107" spans="2:40" ht="13" customHeight="1">
      <c r="B107" s="119"/>
      <c r="C107" s="23">
        <f t="shared" si="52"/>
        <v>2026091</v>
      </c>
      <c r="D107" s="23">
        <v>4</v>
      </c>
      <c r="E107" s="128">
        <v>0</v>
      </c>
      <c r="F107" s="126" t="e">
        <f>VLOOKUP(E107,'Códigos bancos'!$B$4:$C$29,2,0)</f>
        <v>#N/A</v>
      </c>
      <c r="G107" s="36">
        <v>1</v>
      </c>
      <c r="H107" s="126" t="str">
        <f>VLOOKUP(G107,'Códigos bancos'!$F$4:$G$14,2,0)</f>
        <v>Oficinas</v>
      </c>
      <c r="I107" s="130"/>
      <c r="J107" s="174">
        <v>0</v>
      </c>
      <c r="K107" s="174">
        <v>0</v>
      </c>
      <c r="L107" s="174">
        <v>0</v>
      </c>
      <c r="M107" s="174">
        <v>0</v>
      </c>
      <c r="N107" s="174">
        <v>0</v>
      </c>
      <c r="O107" s="174">
        <v>0</v>
      </c>
      <c r="P107" s="174">
        <v>0</v>
      </c>
      <c r="Q107" s="174">
        <v>0</v>
      </c>
      <c r="R107" s="174">
        <v>0</v>
      </c>
      <c r="S107" s="215">
        <v>0</v>
      </c>
      <c r="T107" s="71">
        <f t="shared" si="53"/>
        <v>0</v>
      </c>
      <c r="U107" s="71">
        <f t="shared" si="54"/>
        <v>0</v>
      </c>
      <c r="V107" s="117">
        <v>0</v>
      </c>
      <c r="W107" s="117">
        <v>0</v>
      </c>
      <c r="X107" s="71">
        <f t="shared" si="55"/>
        <v>0</v>
      </c>
      <c r="Y107" s="71">
        <f t="shared" si="56"/>
        <v>0</v>
      </c>
      <c r="AA107" s="65"/>
      <c r="AC107" s="71">
        <f t="shared" si="57"/>
        <v>0</v>
      </c>
      <c r="AD107" s="39"/>
      <c r="AE107" s="7"/>
      <c r="AF107" s="15"/>
      <c r="AG107" s="71" t="b">
        <f t="shared" si="58"/>
        <v>1</v>
      </c>
      <c r="AI107" s="71">
        <f t="shared" si="59"/>
        <v>0</v>
      </c>
      <c r="AJ107" s="39"/>
      <c r="AK107" s="15"/>
      <c r="AL107" s="71" t="b">
        <f t="shared" si="60"/>
        <v>1</v>
      </c>
      <c r="AN107" s="65"/>
    </row>
    <row r="108" spans="2:40" ht="13" customHeight="1">
      <c r="B108" s="119"/>
      <c r="C108" s="23">
        <f t="shared" si="52"/>
        <v>2026091</v>
      </c>
      <c r="D108" s="23">
        <v>4</v>
      </c>
      <c r="E108" s="128">
        <v>0</v>
      </c>
      <c r="F108" s="126" t="e">
        <f>VLOOKUP(E108,'Códigos bancos'!$B$4:$C$29,2,0)</f>
        <v>#N/A</v>
      </c>
      <c r="G108" s="36">
        <v>1</v>
      </c>
      <c r="H108" s="126" t="str">
        <f>VLOOKUP(G108,'Códigos bancos'!$F$4:$G$14,2,0)</f>
        <v>Oficinas</v>
      </c>
      <c r="I108" s="130"/>
      <c r="J108" s="174">
        <v>0</v>
      </c>
      <c r="K108" s="174">
        <v>0</v>
      </c>
      <c r="L108" s="174">
        <v>0</v>
      </c>
      <c r="M108" s="174">
        <v>0</v>
      </c>
      <c r="N108" s="174">
        <v>0</v>
      </c>
      <c r="O108" s="174">
        <v>0</v>
      </c>
      <c r="P108" s="174">
        <v>0</v>
      </c>
      <c r="Q108" s="174">
        <v>0</v>
      </c>
      <c r="R108" s="174">
        <v>0</v>
      </c>
      <c r="S108" s="215">
        <v>0</v>
      </c>
      <c r="T108" s="71">
        <f t="shared" si="53"/>
        <v>0</v>
      </c>
      <c r="U108" s="71">
        <f t="shared" si="54"/>
        <v>0</v>
      </c>
      <c r="V108" s="117">
        <v>0</v>
      </c>
      <c r="W108" s="117">
        <v>0</v>
      </c>
      <c r="X108" s="71">
        <f t="shared" si="55"/>
        <v>0</v>
      </c>
      <c r="Y108" s="71">
        <f t="shared" si="56"/>
        <v>0</v>
      </c>
      <c r="AA108" s="65"/>
      <c r="AC108" s="71">
        <f t="shared" si="57"/>
        <v>0</v>
      </c>
      <c r="AD108" s="39"/>
      <c r="AE108" s="7"/>
      <c r="AF108" s="15"/>
      <c r="AG108" s="71" t="b">
        <f t="shared" si="58"/>
        <v>1</v>
      </c>
      <c r="AI108" s="71">
        <f t="shared" si="59"/>
        <v>0</v>
      </c>
      <c r="AJ108" s="39"/>
      <c r="AK108" s="15"/>
      <c r="AL108" s="71" t="b">
        <f t="shared" si="60"/>
        <v>1</v>
      </c>
      <c r="AN108" s="65"/>
    </row>
    <row r="109" spans="2:40" ht="12" customHeight="1">
      <c r="B109" s="119"/>
      <c r="C109" s="23">
        <f t="shared" si="52"/>
        <v>2026091</v>
      </c>
      <c r="D109" s="23">
        <v>4</v>
      </c>
      <c r="E109" s="128">
        <v>0</v>
      </c>
      <c r="F109" s="126" t="e">
        <f>VLOOKUP(E109,'Códigos bancos'!$B$4:$C$29,2,0)</f>
        <v>#N/A</v>
      </c>
      <c r="G109" s="36">
        <v>1</v>
      </c>
      <c r="H109" s="126" t="str">
        <f>VLOOKUP(G109,'Códigos bancos'!$F$4:$G$14,2,0)</f>
        <v>Oficinas</v>
      </c>
      <c r="I109" s="130"/>
      <c r="J109" s="174">
        <v>0</v>
      </c>
      <c r="K109" s="174">
        <v>0</v>
      </c>
      <c r="L109" s="174">
        <v>0</v>
      </c>
      <c r="M109" s="174">
        <v>0</v>
      </c>
      <c r="N109" s="174">
        <v>0</v>
      </c>
      <c r="O109" s="174">
        <v>0</v>
      </c>
      <c r="P109" s="174">
        <v>0</v>
      </c>
      <c r="Q109" s="174">
        <v>0</v>
      </c>
      <c r="R109" s="174">
        <v>0</v>
      </c>
      <c r="S109" s="215">
        <v>0</v>
      </c>
      <c r="T109" s="71">
        <f t="shared" si="53"/>
        <v>0</v>
      </c>
      <c r="U109" s="71">
        <f t="shared" si="54"/>
        <v>0</v>
      </c>
      <c r="V109" s="117">
        <v>0</v>
      </c>
      <c r="W109" s="117">
        <v>0</v>
      </c>
      <c r="X109" s="71">
        <f t="shared" si="55"/>
        <v>0</v>
      </c>
      <c r="Y109" s="71">
        <f t="shared" si="56"/>
        <v>0</v>
      </c>
      <c r="AA109" s="65"/>
      <c r="AC109" s="71">
        <f t="shared" si="57"/>
        <v>0</v>
      </c>
      <c r="AD109" s="39"/>
      <c r="AE109" s="7"/>
      <c r="AF109" s="15"/>
      <c r="AG109" s="71" t="b">
        <f t="shared" si="58"/>
        <v>1</v>
      </c>
      <c r="AI109" s="71">
        <f t="shared" si="59"/>
        <v>0</v>
      </c>
      <c r="AJ109" s="39"/>
      <c r="AK109" s="15"/>
      <c r="AL109" s="71" t="b">
        <f t="shared" si="60"/>
        <v>1</v>
      </c>
      <c r="AN109" s="65"/>
    </row>
    <row r="110" spans="2:40" ht="13" customHeight="1">
      <c r="B110" s="119"/>
      <c r="C110" s="23">
        <f t="shared" si="52"/>
        <v>2026091</v>
      </c>
      <c r="D110" s="23">
        <v>4</v>
      </c>
      <c r="E110" s="128">
        <v>0</v>
      </c>
      <c r="F110" s="126" t="e">
        <f>VLOOKUP(E110,'Códigos bancos'!$B$4:$C$29,2,0)</f>
        <v>#N/A</v>
      </c>
      <c r="G110" s="36">
        <v>1</v>
      </c>
      <c r="H110" s="126" t="str">
        <f>VLOOKUP(G110,'Códigos bancos'!$F$4:$G$14,2,0)</f>
        <v>Oficinas</v>
      </c>
      <c r="I110" s="130"/>
      <c r="J110" s="174">
        <v>0</v>
      </c>
      <c r="K110" s="174">
        <v>0</v>
      </c>
      <c r="L110" s="174">
        <v>0</v>
      </c>
      <c r="M110" s="174">
        <v>0</v>
      </c>
      <c r="N110" s="174">
        <v>0</v>
      </c>
      <c r="O110" s="174">
        <v>0</v>
      </c>
      <c r="P110" s="174">
        <v>0</v>
      </c>
      <c r="Q110" s="174">
        <v>0</v>
      </c>
      <c r="R110" s="174">
        <v>0</v>
      </c>
      <c r="S110" s="215">
        <v>0</v>
      </c>
      <c r="T110" s="71">
        <f t="shared" si="53"/>
        <v>0</v>
      </c>
      <c r="U110" s="71">
        <f t="shared" si="54"/>
        <v>0</v>
      </c>
      <c r="V110" s="117">
        <v>0</v>
      </c>
      <c r="W110" s="117">
        <v>0</v>
      </c>
      <c r="X110" s="71">
        <f t="shared" si="55"/>
        <v>0</v>
      </c>
      <c r="Y110" s="71">
        <f t="shared" si="56"/>
        <v>0</v>
      </c>
      <c r="AA110" s="65"/>
      <c r="AC110" s="71">
        <f t="shared" si="57"/>
        <v>0</v>
      </c>
      <c r="AD110" s="39"/>
      <c r="AE110" s="7"/>
      <c r="AF110" s="15"/>
      <c r="AG110" s="71" t="b">
        <f t="shared" si="58"/>
        <v>1</v>
      </c>
      <c r="AI110" s="71">
        <f t="shared" si="59"/>
        <v>0</v>
      </c>
      <c r="AJ110" s="39"/>
      <c r="AK110" s="15"/>
      <c r="AL110" s="71" t="b">
        <f t="shared" si="60"/>
        <v>1</v>
      </c>
      <c r="AN110" s="65"/>
    </row>
    <row r="111" spans="2:40" ht="13" customHeight="1">
      <c r="B111" s="119"/>
      <c r="C111" s="23">
        <f t="shared" si="52"/>
        <v>2026091</v>
      </c>
      <c r="D111" s="23">
        <v>4</v>
      </c>
      <c r="E111" s="128">
        <v>0</v>
      </c>
      <c r="F111" s="126" t="e">
        <f>VLOOKUP(E111,'Códigos bancos'!$B$4:$C$29,2,0)</f>
        <v>#N/A</v>
      </c>
      <c r="G111" s="36">
        <v>1</v>
      </c>
      <c r="H111" s="126" t="str">
        <f>VLOOKUP(G111,'Códigos bancos'!$F$4:$G$14,2,0)</f>
        <v>Oficinas</v>
      </c>
      <c r="I111" s="130"/>
      <c r="J111" s="174">
        <v>0</v>
      </c>
      <c r="K111" s="174">
        <v>0</v>
      </c>
      <c r="L111" s="174">
        <v>0</v>
      </c>
      <c r="M111" s="174">
        <v>0</v>
      </c>
      <c r="N111" s="174">
        <v>0</v>
      </c>
      <c r="O111" s="174">
        <v>0</v>
      </c>
      <c r="P111" s="174">
        <v>0</v>
      </c>
      <c r="Q111" s="174">
        <v>0</v>
      </c>
      <c r="R111" s="174">
        <v>0</v>
      </c>
      <c r="S111" s="215">
        <v>0</v>
      </c>
      <c r="T111" s="71">
        <f t="shared" si="53"/>
        <v>0</v>
      </c>
      <c r="U111" s="71">
        <f t="shared" si="54"/>
        <v>0</v>
      </c>
      <c r="V111" s="117">
        <v>0</v>
      </c>
      <c r="W111" s="117">
        <v>0</v>
      </c>
      <c r="X111" s="71">
        <f t="shared" si="55"/>
        <v>0</v>
      </c>
      <c r="Y111" s="71">
        <f t="shared" si="56"/>
        <v>0</v>
      </c>
      <c r="AA111" s="65"/>
      <c r="AC111" s="71">
        <f t="shared" si="57"/>
        <v>0</v>
      </c>
      <c r="AD111" s="39"/>
      <c r="AE111" s="7"/>
      <c r="AF111" s="15"/>
      <c r="AG111" s="71" t="b">
        <f t="shared" si="58"/>
        <v>1</v>
      </c>
      <c r="AI111" s="71">
        <f t="shared" si="59"/>
        <v>0</v>
      </c>
      <c r="AJ111" s="39"/>
      <c r="AK111" s="15"/>
      <c r="AL111" s="71" t="b">
        <f t="shared" si="60"/>
        <v>1</v>
      </c>
      <c r="AN111" s="65"/>
    </row>
    <row r="112" spans="2:40" ht="13" customHeight="1">
      <c r="B112" s="119"/>
      <c r="C112" s="23">
        <f t="shared" si="52"/>
        <v>2026091</v>
      </c>
      <c r="D112" s="23">
        <v>4</v>
      </c>
      <c r="E112" s="128">
        <v>0</v>
      </c>
      <c r="F112" s="126" t="e">
        <f>VLOOKUP(E112,'Códigos bancos'!$B$4:$C$29,2,0)</f>
        <v>#N/A</v>
      </c>
      <c r="G112" s="36">
        <v>1</v>
      </c>
      <c r="H112" s="126" t="str">
        <f>VLOOKUP(G112,'Códigos bancos'!$F$4:$G$14,2,0)</f>
        <v>Oficinas</v>
      </c>
      <c r="I112" s="130"/>
      <c r="J112" s="174">
        <v>0</v>
      </c>
      <c r="K112" s="174">
        <v>0</v>
      </c>
      <c r="L112" s="174">
        <v>0</v>
      </c>
      <c r="M112" s="174">
        <v>0</v>
      </c>
      <c r="N112" s="174">
        <v>0</v>
      </c>
      <c r="O112" s="174">
        <v>0</v>
      </c>
      <c r="P112" s="174">
        <v>0</v>
      </c>
      <c r="Q112" s="174">
        <v>0</v>
      </c>
      <c r="R112" s="174">
        <v>0</v>
      </c>
      <c r="S112" s="215">
        <v>0</v>
      </c>
      <c r="T112" s="71">
        <f t="shared" si="53"/>
        <v>0</v>
      </c>
      <c r="U112" s="71">
        <f t="shared" si="54"/>
        <v>0</v>
      </c>
      <c r="V112" s="117">
        <v>0</v>
      </c>
      <c r="W112" s="117">
        <v>0</v>
      </c>
      <c r="X112" s="71">
        <f t="shared" si="55"/>
        <v>0</v>
      </c>
      <c r="Y112" s="71">
        <f t="shared" si="56"/>
        <v>0</v>
      </c>
      <c r="AA112" s="65"/>
      <c r="AC112" s="71">
        <f t="shared" si="57"/>
        <v>0</v>
      </c>
      <c r="AD112" s="39"/>
      <c r="AE112" s="7"/>
      <c r="AF112" s="15"/>
      <c r="AG112" s="71" t="b">
        <f t="shared" si="58"/>
        <v>1</v>
      </c>
      <c r="AI112" s="71">
        <f t="shared" si="59"/>
        <v>0</v>
      </c>
      <c r="AJ112" s="39"/>
      <c r="AK112" s="15"/>
      <c r="AL112" s="71" t="b">
        <f t="shared" si="60"/>
        <v>1</v>
      </c>
      <c r="AN112" s="65"/>
    </row>
    <row r="113" spans="2:40 16128:16147" ht="13" customHeight="1">
      <c r="B113" s="119"/>
      <c r="C113" s="23">
        <f t="shared" si="52"/>
        <v>2026091</v>
      </c>
      <c r="D113" s="23">
        <v>4</v>
      </c>
      <c r="E113" s="128">
        <v>0</v>
      </c>
      <c r="F113" s="126" t="e">
        <f>VLOOKUP(E113,'Códigos bancos'!$B$4:$C$29,2,0)</f>
        <v>#N/A</v>
      </c>
      <c r="G113" s="36">
        <v>1</v>
      </c>
      <c r="H113" s="126" t="str">
        <f>VLOOKUP(G113,'Códigos bancos'!$F$4:$G$14,2,0)</f>
        <v>Oficinas</v>
      </c>
      <c r="I113" s="130"/>
      <c r="J113" s="174">
        <v>0</v>
      </c>
      <c r="K113" s="174">
        <v>0</v>
      </c>
      <c r="L113" s="174">
        <v>0</v>
      </c>
      <c r="M113" s="174">
        <v>0</v>
      </c>
      <c r="N113" s="174">
        <v>0</v>
      </c>
      <c r="O113" s="174">
        <v>0</v>
      </c>
      <c r="P113" s="174">
        <v>0</v>
      </c>
      <c r="Q113" s="174">
        <v>0</v>
      </c>
      <c r="R113" s="174">
        <v>0</v>
      </c>
      <c r="S113" s="215">
        <v>0</v>
      </c>
      <c r="T113" s="71">
        <f t="shared" si="53"/>
        <v>0</v>
      </c>
      <c r="U113" s="71">
        <f t="shared" si="54"/>
        <v>0</v>
      </c>
      <c r="V113" s="117">
        <v>0</v>
      </c>
      <c r="W113" s="117">
        <v>0</v>
      </c>
      <c r="X113" s="71">
        <f t="shared" si="55"/>
        <v>0</v>
      </c>
      <c r="Y113" s="71">
        <f t="shared" si="56"/>
        <v>0</v>
      </c>
      <c r="AA113" s="65"/>
      <c r="AC113" s="71">
        <f t="shared" si="57"/>
        <v>0</v>
      </c>
      <c r="AD113" s="39"/>
      <c r="AE113" s="7"/>
      <c r="AF113" s="15"/>
      <c r="AG113" s="71" t="b">
        <f t="shared" si="58"/>
        <v>1</v>
      </c>
      <c r="AI113" s="71">
        <f t="shared" si="59"/>
        <v>0</v>
      </c>
      <c r="AJ113" s="39"/>
      <c r="AK113" s="15"/>
      <c r="AL113" s="71" t="b">
        <f t="shared" si="60"/>
        <v>1</v>
      </c>
      <c r="AN113" s="65"/>
    </row>
    <row r="114" spans="2:40 16128:16147" ht="13" customHeight="1">
      <c r="B114" s="119"/>
      <c r="C114" s="23">
        <f t="shared" si="52"/>
        <v>2026091</v>
      </c>
      <c r="D114" s="23">
        <v>4</v>
      </c>
      <c r="E114" s="128">
        <v>0</v>
      </c>
      <c r="F114" s="126" t="e">
        <f>VLOOKUP(E114,'Códigos bancos'!$B$4:$C$29,2,0)</f>
        <v>#N/A</v>
      </c>
      <c r="G114" s="36">
        <v>1</v>
      </c>
      <c r="H114" s="126" t="str">
        <f>VLOOKUP(G114,'Códigos bancos'!$F$4:$G$14,2,0)</f>
        <v>Oficinas</v>
      </c>
      <c r="I114" s="130"/>
      <c r="J114" s="174">
        <v>0</v>
      </c>
      <c r="K114" s="174">
        <v>0</v>
      </c>
      <c r="L114" s="174">
        <v>0</v>
      </c>
      <c r="M114" s="174">
        <v>0</v>
      </c>
      <c r="N114" s="174">
        <v>0</v>
      </c>
      <c r="O114" s="174">
        <v>0</v>
      </c>
      <c r="P114" s="174">
        <v>0</v>
      </c>
      <c r="Q114" s="174">
        <v>0</v>
      </c>
      <c r="R114" s="174">
        <v>0</v>
      </c>
      <c r="S114" s="215">
        <v>0</v>
      </c>
      <c r="T114" s="71">
        <f t="shared" si="53"/>
        <v>0</v>
      </c>
      <c r="U114" s="71">
        <f t="shared" si="54"/>
        <v>0</v>
      </c>
      <c r="V114" s="117">
        <v>0</v>
      </c>
      <c r="W114" s="117">
        <v>0</v>
      </c>
      <c r="X114" s="71">
        <f t="shared" si="55"/>
        <v>0</v>
      </c>
      <c r="Y114" s="71">
        <f t="shared" si="56"/>
        <v>0</v>
      </c>
      <c r="AA114" s="65"/>
      <c r="AC114" s="71">
        <f t="shared" si="57"/>
        <v>0</v>
      </c>
      <c r="AD114" s="39"/>
      <c r="AE114" s="7"/>
      <c r="AF114" s="15"/>
      <c r="AG114" s="71" t="b">
        <f t="shared" si="58"/>
        <v>1</v>
      </c>
      <c r="AI114" s="71">
        <f t="shared" si="59"/>
        <v>0</v>
      </c>
      <c r="AJ114" s="39"/>
      <c r="AK114" s="15"/>
      <c r="AL114" s="71" t="b">
        <f t="shared" si="60"/>
        <v>1</v>
      </c>
      <c r="AN114" s="65"/>
    </row>
    <row r="115" spans="2:40 16128:16147" ht="13" customHeight="1">
      <c r="B115" s="119"/>
      <c r="C115" s="23">
        <f t="shared" si="52"/>
        <v>2026091</v>
      </c>
      <c r="D115" s="23">
        <v>4</v>
      </c>
      <c r="E115" s="128">
        <v>0</v>
      </c>
      <c r="F115" s="126" t="e">
        <f>VLOOKUP(E115,'Códigos bancos'!$B$4:$C$29,2,0)</f>
        <v>#N/A</v>
      </c>
      <c r="G115" s="36">
        <v>1</v>
      </c>
      <c r="H115" s="126" t="str">
        <f>VLOOKUP(G115,'Códigos bancos'!$F$4:$G$14,2,0)</f>
        <v>Oficinas</v>
      </c>
      <c r="I115" s="130"/>
      <c r="J115" s="174">
        <v>0</v>
      </c>
      <c r="K115" s="174">
        <v>0</v>
      </c>
      <c r="L115" s="174">
        <v>0</v>
      </c>
      <c r="M115" s="174">
        <v>0</v>
      </c>
      <c r="N115" s="174">
        <v>0</v>
      </c>
      <c r="O115" s="174">
        <v>0</v>
      </c>
      <c r="P115" s="174">
        <v>0</v>
      </c>
      <c r="Q115" s="174">
        <v>0</v>
      </c>
      <c r="R115" s="174">
        <v>0</v>
      </c>
      <c r="S115" s="215">
        <v>0</v>
      </c>
      <c r="T115" s="71">
        <f t="shared" si="53"/>
        <v>0</v>
      </c>
      <c r="U115" s="71">
        <f t="shared" si="54"/>
        <v>0</v>
      </c>
      <c r="V115" s="117">
        <v>0</v>
      </c>
      <c r="W115" s="117">
        <v>0</v>
      </c>
      <c r="X115" s="71">
        <f t="shared" si="55"/>
        <v>0</v>
      </c>
      <c r="Y115" s="71">
        <f t="shared" si="56"/>
        <v>0</v>
      </c>
      <c r="AA115" s="65"/>
      <c r="AC115" s="71">
        <f t="shared" si="57"/>
        <v>0</v>
      </c>
      <c r="AD115" s="39"/>
      <c r="AE115" s="7"/>
      <c r="AF115" s="15"/>
      <c r="AG115" s="71" t="b">
        <f t="shared" si="58"/>
        <v>1</v>
      </c>
      <c r="AI115" s="71">
        <f t="shared" si="59"/>
        <v>0</v>
      </c>
      <c r="AJ115" s="39"/>
      <c r="AK115" s="15"/>
      <c r="AL115" s="71" t="b">
        <f t="shared" si="60"/>
        <v>1</v>
      </c>
      <c r="AN115" s="65"/>
    </row>
    <row r="116" spans="2:40 16128:16147" ht="13" customHeight="1">
      <c r="B116" s="119"/>
      <c r="C116" s="23">
        <f t="shared" ref="C116" si="61">IF(D116&lt;=15,$C$1,$C$2)</f>
        <v>2026091</v>
      </c>
      <c r="D116" s="23">
        <v>4</v>
      </c>
      <c r="E116" s="128">
        <v>0</v>
      </c>
      <c r="F116" s="126" t="e">
        <f>VLOOKUP(E116,'Códigos bancos'!$B$4:$C$29,2,0)</f>
        <v>#N/A</v>
      </c>
      <c r="G116" s="36">
        <v>1</v>
      </c>
      <c r="H116" s="126" t="str">
        <f>VLOOKUP(G116,'Códigos bancos'!$F$4:$G$14,2,0)</f>
        <v>Oficinas</v>
      </c>
      <c r="I116" s="130"/>
      <c r="J116" s="174">
        <v>0</v>
      </c>
      <c r="K116" s="174">
        <v>0</v>
      </c>
      <c r="L116" s="174">
        <v>0</v>
      </c>
      <c r="M116" s="174">
        <v>0</v>
      </c>
      <c r="N116" s="174">
        <v>0</v>
      </c>
      <c r="O116" s="174">
        <v>0</v>
      </c>
      <c r="P116" s="174">
        <v>0</v>
      </c>
      <c r="Q116" s="174">
        <v>0</v>
      </c>
      <c r="R116" s="174">
        <v>0</v>
      </c>
      <c r="S116" s="215">
        <v>0</v>
      </c>
      <c r="T116" s="71">
        <f t="shared" ref="T116:U120" si="62">J116+L116+N116+P116+R116</f>
        <v>0</v>
      </c>
      <c r="U116" s="71">
        <f t="shared" si="62"/>
        <v>0</v>
      </c>
      <c r="V116" s="117">
        <v>0</v>
      </c>
      <c r="W116" s="117">
        <v>0</v>
      </c>
      <c r="X116" s="71">
        <f t="shared" ref="X116:Y120" si="63">V116-T116</f>
        <v>0</v>
      </c>
      <c r="Y116" s="71">
        <f t="shared" si="63"/>
        <v>0</v>
      </c>
      <c r="AA116" s="65"/>
      <c r="AC116" s="71">
        <f t="shared" ref="AC116" si="64">X116</f>
        <v>0</v>
      </c>
      <c r="AD116" s="39"/>
      <c r="AE116" s="7"/>
      <c r="AF116" s="15"/>
      <c r="AG116" s="71" t="b">
        <f t="shared" ref="AG116" si="65">AC116=(AD116+AE116+AF116)</f>
        <v>1</v>
      </c>
      <c r="AI116" s="71">
        <f t="shared" ref="AI116" si="66">Y116</f>
        <v>0</v>
      </c>
      <c r="AJ116" s="39"/>
      <c r="AK116" s="15"/>
      <c r="AL116" s="71" t="b">
        <f t="shared" ref="AL116" si="67">AI116=(AJ116+AK116)</f>
        <v>1</v>
      </c>
      <c r="AN116" s="65"/>
    </row>
    <row r="117" spans="2:40 16128:16147" ht="13" customHeight="1">
      <c r="B117" s="119"/>
      <c r="C117" s="23">
        <f t="shared" si="52"/>
        <v>2026091</v>
      </c>
      <c r="D117" s="23">
        <v>4</v>
      </c>
      <c r="E117" s="128">
        <v>0</v>
      </c>
      <c r="F117" s="126" t="e">
        <f>VLOOKUP(E117,'Códigos bancos'!$B$4:$C$29,2,0)</f>
        <v>#N/A</v>
      </c>
      <c r="G117" s="36">
        <v>1</v>
      </c>
      <c r="H117" s="126" t="str">
        <f>VLOOKUP(G117,'Códigos bancos'!$F$4:$G$14,2,0)</f>
        <v>Oficinas</v>
      </c>
      <c r="I117" s="130"/>
      <c r="J117" s="174">
        <v>0</v>
      </c>
      <c r="K117" s="174">
        <v>0</v>
      </c>
      <c r="L117" s="174">
        <v>0</v>
      </c>
      <c r="M117" s="174">
        <v>0</v>
      </c>
      <c r="N117" s="174">
        <v>0</v>
      </c>
      <c r="O117" s="174">
        <v>0</v>
      </c>
      <c r="P117" s="174">
        <v>0</v>
      </c>
      <c r="Q117" s="174">
        <v>0</v>
      </c>
      <c r="R117" s="174">
        <v>0</v>
      </c>
      <c r="S117" s="215">
        <v>0</v>
      </c>
      <c r="T117" s="71">
        <f t="shared" si="62"/>
        <v>0</v>
      </c>
      <c r="U117" s="71">
        <f t="shared" si="62"/>
        <v>0</v>
      </c>
      <c r="V117" s="117">
        <v>0</v>
      </c>
      <c r="W117" s="117">
        <v>0</v>
      </c>
      <c r="X117" s="71">
        <f t="shared" si="63"/>
        <v>0</v>
      </c>
      <c r="Y117" s="71">
        <f t="shared" si="63"/>
        <v>0</v>
      </c>
      <c r="AA117" s="65"/>
      <c r="AC117" s="71">
        <f t="shared" si="57"/>
        <v>0</v>
      </c>
      <c r="AD117" s="39"/>
      <c r="AE117" s="7"/>
      <c r="AF117" s="15"/>
      <c r="AG117" s="71" t="b">
        <f t="shared" si="58"/>
        <v>1</v>
      </c>
      <c r="AI117" s="71">
        <f t="shared" si="59"/>
        <v>0</v>
      </c>
      <c r="AJ117" s="39"/>
      <c r="AK117" s="15"/>
      <c r="AL117" s="71" t="b">
        <f t="shared" si="60"/>
        <v>1</v>
      </c>
      <c r="AN117" s="65"/>
    </row>
    <row r="118" spans="2:40 16128:16147" ht="13" customHeight="1">
      <c r="B118" s="119"/>
      <c r="C118" s="23">
        <f t="shared" si="52"/>
        <v>2026091</v>
      </c>
      <c r="D118" s="23">
        <v>4</v>
      </c>
      <c r="E118" s="128">
        <v>0</v>
      </c>
      <c r="F118" s="126" t="e">
        <f>VLOOKUP(E118,'Códigos bancos'!$B$4:$C$29,2,0)</f>
        <v>#N/A</v>
      </c>
      <c r="G118" s="36">
        <v>1</v>
      </c>
      <c r="H118" s="126" t="str">
        <f>VLOOKUP(G118,'Códigos bancos'!$F$4:$G$14,2,0)</f>
        <v>Oficinas</v>
      </c>
      <c r="I118" s="130"/>
      <c r="J118" s="174">
        <v>0</v>
      </c>
      <c r="K118" s="174">
        <v>0</v>
      </c>
      <c r="L118" s="174">
        <v>0</v>
      </c>
      <c r="M118" s="174">
        <v>0</v>
      </c>
      <c r="N118" s="174">
        <v>0</v>
      </c>
      <c r="O118" s="174">
        <v>0</v>
      </c>
      <c r="P118" s="174">
        <v>0</v>
      </c>
      <c r="Q118" s="174">
        <v>0</v>
      </c>
      <c r="R118" s="174">
        <v>0</v>
      </c>
      <c r="S118" s="215">
        <v>0</v>
      </c>
      <c r="T118" s="71">
        <f t="shared" si="62"/>
        <v>0</v>
      </c>
      <c r="U118" s="71">
        <f t="shared" si="62"/>
        <v>0</v>
      </c>
      <c r="V118" s="117">
        <v>0</v>
      </c>
      <c r="W118" s="117">
        <v>0</v>
      </c>
      <c r="X118" s="71">
        <f t="shared" si="63"/>
        <v>0</v>
      </c>
      <c r="Y118" s="71">
        <f t="shared" si="63"/>
        <v>0</v>
      </c>
      <c r="AA118" s="65"/>
      <c r="AC118" s="71">
        <f t="shared" si="57"/>
        <v>0</v>
      </c>
      <c r="AD118" s="39"/>
      <c r="AE118" s="7"/>
      <c r="AF118" s="15"/>
      <c r="AG118" s="71" t="b">
        <f t="shared" si="58"/>
        <v>1</v>
      </c>
      <c r="AI118" s="71">
        <f t="shared" si="59"/>
        <v>0</v>
      </c>
      <c r="AJ118" s="39"/>
      <c r="AK118" s="15"/>
      <c r="AL118" s="71" t="b">
        <f t="shared" si="60"/>
        <v>1</v>
      </c>
      <c r="AN118" s="65"/>
    </row>
    <row r="119" spans="2:40 16128:16147" ht="13" customHeight="1">
      <c r="B119" s="119"/>
      <c r="C119" s="23">
        <f t="shared" si="52"/>
        <v>2026091</v>
      </c>
      <c r="D119" s="23">
        <v>4</v>
      </c>
      <c r="E119" s="128">
        <v>0</v>
      </c>
      <c r="F119" s="126" t="e">
        <f>VLOOKUP(E119,'Códigos bancos'!$B$4:$C$29,2,0)</f>
        <v>#N/A</v>
      </c>
      <c r="G119" s="36">
        <v>1</v>
      </c>
      <c r="H119" s="126" t="str">
        <f>VLOOKUP(G119,'Códigos bancos'!$F$4:$G$14,2,0)</f>
        <v>Oficinas</v>
      </c>
      <c r="I119" s="130"/>
      <c r="J119" s="174">
        <v>0</v>
      </c>
      <c r="K119" s="174">
        <v>0</v>
      </c>
      <c r="L119" s="174">
        <v>0</v>
      </c>
      <c r="M119" s="174">
        <v>0</v>
      </c>
      <c r="N119" s="174">
        <v>0</v>
      </c>
      <c r="O119" s="174">
        <v>0</v>
      </c>
      <c r="P119" s="174">
        <v>0</v>
      </c>
      <c r="Q119" s="174">
        <v>0</v>
      </c>
      <c r="R119" s="174">
        <v>0</v>
      </c>
      <c r="S119" s="215">
        <v>0</v>
      </c>
      <c r="T119" s="71">
        <f t="shared" si="62"/>
        <v>0</v>
      </c>
      <c r="U119" s="71">
        <f t="shared" si="62"/>
        <v>0</v>
      </c>
      <c r="V119" s="117">
        <v>0</v>
      </c>
      <c r="W119" s="117">
        <v>0</v>
      </c>
      <c r="X119" s="71">
        <f t="shared" si="63"/>
        <v>0</v>
      </c>
      <c r="Y119" s="71">
        <f t="shared" si="63"/>
        <v>0</v>
      </c>
      <c r="AA119" s="65"/>
      <c r="AC119" s="71">
        <f t="shared" si="57"/>
        <v>0</v>
      </c>
      <c r="AD119" s="39"/>
      <c r="AE119" s="7"/>
      <c r="AF119" s="15"/>
      <c r="AG119" s="71" t="b">
        <f t="shared" si="58"/>
        <v>1</v>
      </c>
      <c r="AI119" s="71"/>
      <c r="AJ119" s="39"/>
      <c r="AK119" s="15"/>
      <c r="AL119" s="71" t="b">
        <f t="shared" si="60"/>
        <v>1</v>
      </c>
      <c r="AN119" s="65"/>
    </row>
    <row r="120" spans="2:40 16128:16147" ht="13" customHeight="1">
      <c r="B120" s="119"/>
      <c r="C120" s="23">
        <f t="shared" si="52"/>
        <v>2026091</v>
      </c>
      <c r="D120" s="23">
        <v>4</v>
      </c>
      <c r="E120" s="128">
        <v>0</v>
      </c>
      <c r="F120" s="126" t="e">
        <f>VLOOKUP(E120,'Códigos bancos'!$B$4:$C$29,2,0)</f>
        <v>#N/A</v>
      </c>
      <c r="G120" s="36">
        <v>1</v>
      </c>
      <c r="H120" s="126" t="str">
        <f>VLOOKUP(G120,'Códigos bancos'!$F$4:$G$14,2,0)</f>
        <v>Oficinas</v>
      </c>
      <c r="I120" s="130"/>
      <c r="J120" s="174">
        <v>0</v>
      </c>
      <c r="K120" s="174">
        <v>0</v>
      </c>
      <c r="L120" s="174">
        <v>0</v>
      </c>
      <c r="M120" s="174">
        <v>0</v>
      </c>
      <c r="N120" s="174">
        <v>0</v>
      </c>
      <c r="O120" s="174">
        <v>0</v>
      </c>
      <c r="P120" s="174">
        <v>0</v>
      </c>
      <c r="Q120" s="174">
        <v>0</v>
      </c>
      <c r="R120" s="174">
        <v>0</v>
      </c>
      <c r="S120" s="215">
        <v>0</v>
      </c>
      <c r="T120" s="71">
        <f t="shared" si="62"/>
        <v>0</v>
      </c>
      <c r="U120" s="71">
        <f t="shared" si="62"/>
        <v>0</v>
      </c>
      <c r="V120" s="117">
        <v>0</v>
      </c>
      <c r="W120" s="117">
        <v>0</v>
      </c>
      <c r="X120" s="71">
        <f t="shared" si="63"/>
        <v>0</v>
      </c>
      <c r="Y120" s="71">
        <f t="shared" si="63"/>
        <v>0</v>
      </c>
      <c r="AA120" s="65"/>
      <c r="AC120" s="71">
        <f t="shared" si="57"/>
        <v>0</v>
      </c>
      <c r="AD120" s="39"/>
      <c r="AE120" s="7"/>
      <c r="AF120" s="15"/>
      <c r="AG120" s="71" t="b">
        <f t="shared" si="58"/>
        <v>1</v>
      </c>
      <c r="AI120" s="71">
        <f>Y120</f>
        <v>0</v>
      </c>
      <c r="AJ120" s="39"/>
      <c r="AK120" s="15"/>
      <c r="AL120" s="71" t="b">
        <f t="shared" si="60"/>
        <v>1</v>
      </c>
      <c r="AN120" s="65"/>
    </row>
    <row r="121" spans="2:40 16128:16147" ht="13" customHeight="1" thickBot="1">
      <c r="B121" s="119"/>
      <c r="C121" s="23">
        <f t="shared" si="52"/>
        <v>2026091</v>
      </c>
      <c r="D121" s="23">
        <v>4</v>
      </c>
      <c r="E121" s="128">
        <v>0</v>
      </c>
      <c r="F121" s="126" t="e">
        <f>VLOOKUP(E121,'Códigos bancos'!$B$4:$C$29,2,0)</f>
        <v>#N/A</v>
      </c>
      <c r="G121" s="36">
        <v>1</v>
      </c>
      <c r="H121" s="126" t="str">
        <f>VLOOKUP(G121,'Códigos bancos'!$F$4:$G$14,2,0)</f>
        <v>Oficinas</v>
      </c>
      <c r="I121" s="130"/>
      <c r="J121" s="174">
        <v>0</v>
      </c>
      <c r="K121" s="174">
        <v>0</v>
      </c>
      <c r="L121" s="174">
        <v>0</v>
      </c>
      <c r="M121" s="174">
        <v>0</v>
      </c>
      <c r="N121" s="174">
        <v>0</v>
      </c>
      <c r="O121" s="174">
        <v>0</v>
      </c>
      <c r="P121" s="174">
        <v>0</v>
      </c>
      <c r="Q121" s="174">
        <v>0</v>
      </c>
      <c r="R121" s="174">
        <v>0</v>
      </c>
      <c r="S121" s="215">
        <v>0</v>
      </c>
      <c r="T121" s="71">
        <f t="shared" si="53"/>
        <v>0</v>
      </c>
      <c r="U121" s="71">
        <f t="shared" si="54"/>
        <v>0</v>
      </c>
      <c r="V121" s="117">
        <v>0</v>
      </c>
      <c r="W121" s="117">
        <v>0</v>
      </c>
      <c r="X121" s="71">
        <f t="shared" si="55"/>
        <v>0</v>
      </c>
      <c r="Y121" s="71">
        <f t="shared" si="56"/>
        <v>0</v>
      </c>
      <c r="AA121" s="65"/>
      <c r="AC121" s="71">
        <f t="shared" si="57"/>
        <v>0</v>
      </c>
      <c r="AD121" s="39"/>
      <c r="AE121" s="7"/>
      <c r="AF121" s="15"/>
      <c r="AG121" s="71" t="b">
        <f t="shared" si="58"/>
        <v>1</v>
      </c>
      <c r="AI121" s="71">
        <f t="shared" si="59"/>
        <v>0</v>
      </c>
      <c r="AJ121" s="39"/>
      <c r="AK121" s="15"/>
      <c r="AL121" s="71" t="b">
        <f t="shared" si="60"/>
        <v>1</v>
      </c>
      <c r="AN121" s="65"/>
    </row>
    <row r="122" spans="2:40 16128:16147" ht="13" customHeight="1" thickBot="1">
      <c r="E122" s="120" t="s">
        <v>0</v>
      </c>
      <c r="F122" s="121" t="s">
        <v>53</v>
      </c>
      <c r="G122" s="121"/>
      <c r="H122" s="121"/>
      <c r="I122" s="121"/>
      <c r="J122" s="122">
        <f t="shared" ref="J122:Y122" si="68">SUM(J97:J121)</f>
        <v>0</v>
      </c>
      <c r="K122" s="122">
        <f t="shared" si="68"/>
        <v>0</v>
      </c>
      <c r="L122" s="122">
        <f t="shared" si="68"/>
        <v>0</v>
      </c>
      <c r="M122" s="122">
        <f t="shared" si="68"/>
        <v>0</v>
      </c>
      <c r="N122" s="122">
        <f t="shared" si="68"/>
        <v>0</v>
      </c>
      <c r="O122" s="122">
        <f t="shared" si="68"/>
        <v>0</v>
      </c>
      <c r="P122" s="122">
        <f t="shared" si="68"/>
        <v>0</v>
      </c>
      <c r="Q122" s="122">
        <f t="shared" si="68"/>
        <v>0</v>
      </c>
      <c r="R122" s="122">
        <f t="shared" si="68"/>
        <v>216</v>
      </c>
      <c r="S122" s="122">
        <f t="shared" si="68"/>
        <v>9174690</v>
      </c>
      <c r="T122" s="122">
        <f t="shared" si="68"/>
        <v>216</v>
      </c>
      <c r="U122" s="122">
        <f t="shared" si="68"/>
        <v>9174690</v>
      </c>
      <c r="V122" s="122">
        <f t="shared" si="68"/>
        <v>216</v>
      </c>
      <c r="W122" s="122">
        <f t="shared" si="68"/>
        <v>9174690</v>
      </c>
      <c r="X122" s="122">
        <f t="shared" si="68"/>
        <v>0</v>
      </c>
      <c r="Y122" s="123">
        <f t="shared" si="68"/>
        <v>0</v>
      </c>
      <c r="AA122" s="65"/>
      <c r="AC122" s="122">
        <f>SUM(AC97:AC121)</f>
        <v>0</v>
      </c>
      <c r="AD122" s="122">
        <f>SUM(AD97:AD121)</f>
        <v>0</v>
      </c>
      <c r="AE122" s="122">
        <f>SUM(AE97:AE121)</f>
        <v>0</v>
      </c>
      <c r="AF122" s="123">
        <f>SUM(AF97:AF121)</f>
        <v>0</v>
      </c>
      <c r="AG122" s="100"/>
      <c r="AI122" s="122">
        <f>SUM(AI97:AI121)</f>
        <v>0</v>
      </c>
      <c r="AJ122" s="122">
        <f>SUM(AJ97:AJ121)</f>
        <v>0</v>
      </c>
      <c r="AK122" s="123">
        <f>SUM(AK97:AK121)</f>
        <v>0</v>
      </c>
      <c r="AL122" s="100"/>
      <c r="AN122" s="65"/>
    </row>
    <row r="123" spans="2:40 16128:16147" ht="13" thickBot="1">
      <c r="AA123" s="65"/>
      <c r="AN123" s="65"/>
    </row>
    <row r="124" spans="2:40 16128:16147" ht="41.25" customHeight="1" thickBot="1">
      <c r="B124" s="112" t="s">
        <v>4</v>
      </c>
      <c r="C124" s="34" t="s">
        <v>6</v>
      </c>
      <c r="D124" s="34" t="s">
        <v>7</v>
      </c>
      <c r="E124" s="34" t="s">
        <v>49</v>
      </c>
      <c r="F124" s="34" t="s">
        <v>50</v>
      </c>
      <c r="G124" s="34" t="s">
        <v>51</v>
      </c>
      <c r="H124" s="34" t="s">
        <v>52</v>
      </c>
      <c r="I124" s="34" t="s">
        <v>13</v>
      </c>
      <c r="J124" s="12" t="s">
        <v>8</v>
      </c>
      <c r="K124" s="12" t="s">
        <v>36</v>
      </c>
      <c r="L124" s="12" t="s">
        <v>9</v>
      </c>
      <c r="M124" s="12" t="s">
        <v>37</v>
      </c>
      <c r="N124" s="87" t="s">
        <v>10</v>
      </c>
      <c r="O124" s="88" t="s">
        <v>38</v>
      </c>
      <c r="P124" s="87" t="s">
        <v>11</v>
      </c>
      <c r="Q124" s="88" t="s">
        <v>39</v>
      </c>
      <c r="R124" s="87" t="s">
        <v>12</v>
      </c>
      <c r="S124" s="88" t="s">
        <v>40</v>
      </c>
      <c r="T124" s="64" t="s">
        <v>41</v>
      </c>
      <c r="U124" s="64" t="s">
        <v>42</v>
      </c>
      <c r="V124" s="35" t="s">
        <v>32</v>
      </c>
      <c r="W124" s="67" t="s">
        <v>35</v>
      </c>
      <c r="X124" s="12" t="s">
        <v>34</v>
      </c>
      <c r="Y124" s="68" t="s">
        <v>33</v>
      </c>
      <c r="AA124" s="66"/>
      <c r="AC124" s="12" t="s">
        <v>34</v>
      </c>
      <c r="AD124" s="12" t="s">
        <v>45</v>
      </c>
      <c r="AE124" s="12" t="s">
        <v>43</v>
      </c>
      <c r="AF124" s="12" t="s">
        <v>44</v>
      </c>
      <c r="AG124" s="12" t="s">
        <v>46</v>
      </c>
      <c r="AI124" s="12" t="s">
        <v>33</v>
      </c>
      <c r="AJ124" s="12" t="s">
        <v>47</v>
      </c>
      <c r="AK124" s="12" t="s">
        <v>48</v>
      </c>
      <c r="AL124" s="12" t="s">
        <v>46</v>
      </c>
      <c r="AN124" s="66"/>
      <c r="WVH124" s="1"/>
      <c r="WVI124" s="1"/>
      <c r="WVZ124"/>
      <c r="WWA124"/>
    </row>
    <row r="125" spans="2:40 16128:16147" ht="13" customHeight="1">
      <c r="B125" s="119" t="s">
        <v>72</v>
      </c>
      <c r="C125" s="24">
        <f>IF(D125&lt;=15,$C$1,$C$2)</f>
        <v>2026091</v>
      </c>
      <c r="D125" s="24">
        <v>5</v>
      </c>
      <c r="E125" s="127">
        <v>20</v>
      </c>
      <c r="F125" s="125" t="str">
        <f>VLOOKUP(E125,'Códigos bancos'!$B$4:$C$29,2,0)</f>
        <v>Bancolombia ENERBIT</v>
      </c>
      <c r="G125" s="18">
        <v>1</v>
      </c>
      <c r="H125" s="125" t="str">
        <f>VLOOKUP(G125,'Códigos bancos'!$F$4:$G$14,2,0)</f>
        <v>Oficinas</v>
      </c>
      <c r="I125" s="129"/>
      <c r="J125" s="213">
        <v>0</v>
      </c>
      <c r="K125" s="213">
        <v>0</v>
      </c>
      <c r="L125" s="213">
        <v>0</v>
      </c>
      <c r="M125" s="213">
        <v>0</v>
      </c>
      <c r="N125" s="213">
        <v>0</v>
      </c>
      <c r="O125" s="213">
        <v>0</v>
      </c>
      <c r="P125" s="213">
        <v>0</v>
      </c>
      <c r="Q125" s="213">
        <v>0</v>
      </c>
      <c r="R125" s="174">
        <v>162</v>
      </c>
      <c r="S125" s="215">
        <v>7073230</v>
      </c>
      <c r="T125" s="70">
        <f>J125+L125+N125+P125+R125</f>
        <v>162</v>
      </c>
      <c r="U125" s="70">
        <f>K125+M125+O125+Q125+S125</f>
        <v>7073230</v>
      </c>
      <c r="V125" s="174">
        <v>162</v>
      </c>
      <c r="W125" s="215">
        <v>7073230</v>
      </c>
      <c r="X125" s="70">
        <f>V125-T125</f>
        <v>0</v>
      </c>
      <c r="Y125" s="70">
        <f>W125-U125</f>
        <v>0</v>
      </c>
      <c r="AA125" s="65"/>
      <c r="AC125" s="124">
        <f>X125</f>
        <v>0</v>
      </c>
      <c r="AD125" s="115"/>
      <c r="AE125" s="16"/>
      <c r="AF125" s="114"/>
      <c r="AG125" s="124" t="b">
        <f>AC125=(AD125+AE125+AF125)</f>
        <v>1</v>
      </c>
      <c r="AI125" s="70">
        <f>Y125</f>
        <v>0</v>
      </c>
      <c r="AJ125" s="115"/>
      <c r="AK125" s="114"/>
      <c r="AL125" s="70" t="b">
        <f>AI125=(AJ125+AK125)</f>
        <v>1</v>
      </c>
      <c r="AN125" s="65"/>
    </row>
    <row r="126" spans="2:40 16128:16147" ht="13" customHeight="1">
      <c r="B126" s="217"/>
      <c r="C126" s="23">
        <f t="shared" ref="C126:C149" si="69">IF(D126&lt;=15,$C$1,$C$2)</f>
        <v>2026091</v>
      </c>
      <c r="D126" s="23">
        <v>5</v>
      </c>
      <c r="E126" s="128">
        <v>0</v>
      </c>
      <c r="F126" s="126" t="e">
        <f>VLOOKUP(E126,'Códigos bancos'!$B$4:$C$29,2,0)</f>
        <v>#N/A</v>
      </c>
      <c r="G126" s="36">
        <v>1</v>
      </c>
      <c r="H126" s="126" t="str">
        <f>VLOOKUP(G126,'Códigos bancos'!$F$4:$G$14,2,0)</f>
        <v>Oficinas</v>
      </c>
      <c r="I126" s="130"/>
      <c r="J126" s="174">
        <v>0</v>
      </c>
      <c r="K126" s="174">
        <v>0</v>
      </c>
      <c r="L126" s="174">
        <v>0</v>
      </c>
      <c r="M126" s="174">
        <v>0</v>
      </c>
      <c r="N126" s="174">
        <v>0</v>
      </c>
      <c r="O126" s="174">
        <v>0</v>
      </c>
      <c r="P126" s="174">
        <v>0</v>
      </c>
      <c r="Q126" s="174">
        <v>0</v>
      </c>
      <c r="R126" s="174">
        <v>0</v>
      </c>
      <c r="S126" s="215">
        <v>0</v>
      </c>
      <c r="T126" s="71">
        <f t="shared" ref="T126:T149" si="70">J126+L126+N126+P126+R126</f>
        <v>0</v>
      </c>
      <c r="U126" s="71">
        <f t="shared" ref="U126:U149" si="71">K126+M126+O126+Q126+S126</f>
        <v>0</v>
      </c>
      <c r="V126" s="117">
        <v>0</v>
      </c>
      <c r="W126" s="117">
        <v>0</v>
      </c>
      <c r="X126" s="71">
        <f t="shared" ref="X126:X149" si="72">V126-T126</f>
        <v>0</v>
      </c>
      <c r="Y126" s="71">
        <f t="shared" ref="Y126:Y149" si="73">W126-U126</f>
        <v>0</v>
      </c>
      <c r="AA126" s="65"/>
      <c r="AC126" s="71">
        <f t="shared" ref="AC126:AC149" si="74">X126</f>
        <v>0</v>
      </c>
      <c r="AD126" s="39"/>
      <c r="AE126" s="7"/>
      <c r="AF126" s="15"/>
      <c r="AG126" s="71" t="b">
        <f t="shared" ref="AG126:AG149" si="75">AC126=(AD126+AE126+AF126)</f>
        <v>1</v>
      </c>
      <c r="AI126" s="71">
        <f t="shared" ref="AI126:AI149" si="76">Y126</f>
        <v>0</v>
      </c>
      <c r="AJ126" s="39"/>
      <c r="AK126" s="15"/>
      <c r="AL126" s="71" t="b">
        <f t="shared" ref="AL126:AL149" si="77">AI126=(AJ126+AK126)</f>
        <v>1</v>
      </c>
      <c r="AN126" s="65"/>
    </row>
    <row r="127" spans="2:40 16128:16147" ht="13" customHeight="1">
      <c r="B127" s="217"/>
      <c r="C127" s="23">
        <f t="shared" si="69"/>
        <v>2026091</v>
      </c>
      <c r="D127" s="23">
        <v>5</v>
      </c>
      <c r="E127" s="128">
        <v>0</v>
      </c>
      <c r="F127" s="126" t="e">
        <f>VLOOKUP(E127,'Códigos bancos'!$B$4:$C$29,2,0)</f>
        <v>#N/A</v>
      </c>
      <c r="G127" s="36">
        <v>1</v>
      </c>
      <c r="H127" s="126" t="str">
        <f>VLOOKUP(G127,'Códigos bancos'!$F$4:$G$14,2,0)</f>
        <v>Oficinas</v>
      </c>
      <c r="I127" s="130"/>
      <c r="J127" s="174">
        <v>0</v>
      </c>
      <c r="K127" s="174">
        <v>0</v>
      </c>
      <c r="L127" s="174">
        <v>0</v>
      </c>
      <c r="M127" s="174">
        <v>0</v>
      </c>
      <c r="N127" s="174">
        <v>0</v>
      </c>
      <c r="O127" s="174">
        <v>0</v>
      </c>
      <c r="P127" s="174">
        <v>0</v>
      </c>
      <c r="Q127" s="174">
        <v>0</v>
      </c>
      <c r="R127" s="174">
        <v>0</v>
      </c>
      <c r="S127" s="215">
        <v>0</v>
      </c>
      <c r="T127" s="71">
        <f t="shared" si="70"/>
        <v>0</v>
      </c>
      <c r="U127" s="71">
        <f t="shared" si="71"/>
        <v>0</v>
      </c>
      <c r="V127" s="117">
        <v>0</v>
      </c>
      <c r="W127" s="117">
        <v>0</v>
      </c>
      <c r="X127" s="71">
        <f t="shared" si="72"/>
        <v>0</v>
      </c>
      <c r="Y127" s="71">
        <f t="shared" si="73"/>
        <v>0</v>
      </c>
      <c r="AA127" s="65"/>
      <c r="AC127" s="71">
        <f t="shared" si="74"/>
        <v>0</v>
      </c>
      <c r="AD127" s="45"/>
      <c r="AE127" s="14"/>
      <c r="AF127" s="46"/>
      <c r="AG127" s="71" t="b">
        <f t="shared" si="75"/>
        <v>1</v>
      </c>
      <c r="AI127" s="71">
        <f t="shared" si="76"/>
        <v>0</v>
      </c>
      <c r="AJ127" s="45"/>
      <c r="AK127" s="46"/>
      <c r="AL127" s="71" t="b">
        <f t="shared" si="77"/>
        <v>1</v>
      </c>
      <c r="AN127" s="65"/>
    </row>
    <row r="128" spans="2:40 16128:16147" ht="13" customHeight="1">
      <c r="B128" s="217"/>
      <c r="C128" s="23">
        <f t="shared" si="69"/>
        <v>2026091</v>
      </c>
      <c r="D128" s="23">
        <v>5</v>
      </c>
      <c r="E128" s="128">
        <v>0</v>
      </c>
      <c r="F128" s="126" t="e">
        <f>VLOOKUP(E128,'Códigos bancos'!$B$4:$C$29,2,0)</f>
        <v>#N/A</v>
      </c>
      <c r="G128" s="36">
        <v>1</v>
      </c>
      <c r="H128" s="126" t="str">
        <f>VLOOKUP(G128,'Códigos bancos'!$F$4:$G$14,2,0)</f>
        <v>Oficinas</v>
      </c>
      <c r="I128" s="130"/>
      <c r="J128" s="174">
        <v>0</v>
      </c>
      <c r="K128" s="174">
        <v>0</v>
      </c>
      <c r="L128" s="174">
        <v>0</v>
      </c>
      <c r="M128" s="174">
        <v>0</v>
      </c>
      <c r="N128" s="174">
        <v>0</v>
      </c>
      <c r="O128" s="174">
        <v>0</v>
      </c>
      <c r="P128" s="174">
        <v>0</v>
      </c>
      <c r="Q128" s="174">
        <v>0</v>
      </c>
      <c r="R128" s="174">
        <v>0</v>
      </c>
      <c r="S128" s="215">
        <v>0</v>
      </c>
      <c r="T128" s="71">
        <f t="shared" si="70"/>
        <v>0</v>
      </c>
      <c r="U128" s="71">
        <f t="shared" si="71"/>
        <v>0</v>
      </c>
      <c r="V128" s="117">
        <v>0</v>
      </c>
      <c r="W128" s="117">
        <v>0</v>
      </c>
      <c r="X128" s="71">
        <f t="shared" si="72"/>
        <v>0</v>
      </c>
      <c r="Y128" s="71">
        <f t="shared" si="73"/>
        <v>0</v>
      </c>
      <c r="AA128" s="65"/>
      <c r="AC128" s="71">
        <f t="shared" si="74"/>
        <v>0</v>
      </c>
      <c r="AD128" s="39"/>
      <c r="AE128" s="7"/>
      <c r="AF128" s="15"/>
      <c r="AG128" s="71" t="b">
        <f t="shared" si="75"/>
        <v>1</v>
      </c>
      <c r="AI128" s="71">
        <f t="shared" si="76"/>
        <v>0</v>
      </c>
      <c r="AJ128" s="39"/>
      <c r="AK128" s="15"/>
      <c r="AL128" s="71" t="b">
        <f t="shared" si="77"/>
        <v>1</v>
      </c>
      <c r="AN128" s="65"/>
    </row>
    <row r="129" spans="2:40" ht="13" customHeight="1">
      <c r="B129" s="217"/>
      <c r="C129" s="23">
        <f t="shared" si="69"/>
        <v>2026091</v>
      </c>
      <c r="D129" s="23">
        <v>5</v>
      </c>
      <c r="E129" s="128">
        <v>0</v>
      </c>
      <c r="F129" s="126" t="e">
        <f>VLOOKUP(E129,'Códigos bancos'!$B$4:$C$29,2,0)</f>
        <v>#N/A</v>
      </c>
      <c r="G129" s="36">
        <v>1</v>
      </c>
      <c r="H129" s="126" t="str">
        <f>VLOOKUP(G129,'Códigos bancos'!$F$4:$G$14,2,0)</f>
        <v>Oficinas</v>
      </c>
      <c r="I129" s="130"/>
      <c r="J129" s="174">
        <v>0</v>
      </c>
      <c r="K129" s="174">
        <v>0</v>
      </c>
      <c r="L129" s="174">
        <v>0</v>
      </c>
      <c r="M129" s="174">
        <v>0</v>
      </c>
      <c r="N129" s="174">
        <v>0</v>
      </c>
      <c r="O129" s="174">
        <v>0</v>
      </c>
      <c r="P129" s="174">
        <v>0</v>
      </c>
      <c r="Q129" s="174">
        <v>0</v>
      </c>
      <c r="R129" s="174">
        <v>0</v>
      </c>
      <c r="S129" s="215">
        <v>0</v>
      </c>
      <c r="T129" s="71">
        <f t="shared" si="70"/>
        <v>0</v>
      </c>
      <c r="U129" s="71">
        <f t="shared" si="71"/>
        <v>0</v>
      </c>
      <c r="V129" s="117">
        <v>0</v>
      </c>
      <c r="W129" s="117">
        <v>0</v>
      </c>
      <c r="X129" s="71">
        <f t="shared" si="72"/>
        <v>0</v>
      </c>
      <c r="Y129" s="71">
        <f t="shared" si="73"/>
        <v>0</v>
      </c>
      <c r="AA129" s="65"/>
      <c r="AC129" s="71">
        <f t="shared" si="74"/>
        <v>0</v>
      </c>
      <c r="AD129" s="39"/>
      <c r="AE129" s="7"/>
      <c r="AF129" s="15"/>
      <c r="AG129" s="71" t="b">
        <f t="shared" si="75"/>
        <v>1</v>
      </c>
      <c r="AI129" s="71">
        <f t="shared" si="76"/>
        <v>0</v>
      </c>
      <c r="AJ129" s="39"/>
      <c r="AK129" s="15"/>
      <c r="AL129" s="71" t="b">
        <f t="shared" si="77"/>
        <v>1</v>
      </c>
      <c r="AN129" s="65"/>
    </row>
    <row r="130" spans="2:40" ht="13" customHeight="1">
      <c r="B130" s="119"/>
      <c r="C130" s="23">
        <f t="shared" si="69"/>
        <v>2026091</v>
      </c>
      <c r="D130" s="23">
        <v>5</v>
      </c>
      <c r="E130" s="128">
        <v>0</v>
      </c>
      <c r="F130" s="126" t="e">
        <f>VLOOKUP(E130,'Códigos bancos'!$B$4:$C$29,2,0)</f>
        <v>#N/A</v>
      </c>
      <c r="G130" s="36">
        <v>1</v>
      </c>
      <c r="H130" s="126" t="str">
        <f>VLOOKUP(G130,'Códigos bancos'!$F$4:$G$14,2,0)</f>
        <v>Oficinas</v>
      </c>
      <c r="I130" s="130"/>
      <c r="J130" s="174">
        <v>0</v>
      </c>
      <c r="K130" s="174">
        <v>0</v>
      </c>
      <c r="L130" s="174">
        <v>0</v>
      </c>
      <c r="M130" s="174">
        <v>0</v>
      </c>
      <c r="N130" s="174">
        <v>0</v>
      </c>
      <c r="O130" s="174">
        <v>0</v>
      </c>
      <c r="P130" s="174">
        <v>0</v>
      </c>
      <c r="Q130" s="174">
        <v>0</v>
      </c>
      <c r="R130" s="174">
        <v>0</v>
      </c>
      <c r="S130" s="215">
        <v>0</v>
      </c>
      <c r="T130" s="71">
        <f t="shared" si="70"/>
        <v>0</v>
      </c>
      <c r="U130" s="71">
        <f t="shared" si="71"/>
        <v>0</v>
      </c>
      <c r="V130" s="117">
        <v>0</v>
      </c>
      <c r="W130" s="117">
        <v>0</v>
      </c>
      <c r="X130" s="71">
        <f t="shared" si="72"/>
        <v>0</v>
      </c>
      <c r="Y130" s="71">
        <f t="shared" si="73"/>
        <v>0</v>
      </c>
      <c r="AA130" s="65"/>
      <c r="AC130" s="71">
        <f t="shared" si="74"/>
        <v>0</v>
      </c>
      <c r="AD130" s="39"/>
      <c r="AE130" s="7"/>
      <c r="AF130" s="15"/>
      <c r="AG130" s="71" t="b">
        <f t="shared" si="75"/>
        <v>1</v>
      </c>
      <c r="AI130" s="71">
        <f t="shared" si="76"/>
        <v>0</v>
      </c>
      <c r="AJ130" s="39"/>
      <c r="AK130" s="15"/>
      <c r="AL130" s="71" t="b">
        <f t="shared" si="77"/>
        <v>1</v>
      </c>
      <c r="AN130" s="65"/>
    </row>
    <row r="131" spans="2:40" ht="13" customHeight="1">
      <c r="B131" s="217"/>
      <c r="C131" s="23">
        <f t="shared" si="69"/>
        <v>2026091</v>
      </c>
      <c r="D131" s="23">
        <v>5</v>
      </c>
      <c r="E131" s="128">
        <v>0</v>
      </c>
      <c r="F131" s="126" t="e">
        <f>VLOOKUP(E131,'Códigos bancos'!$B$4:$C$29,2,0)</f>
        <v>#N/A</v>
      </c>
      <c r="G131" s="36">
        <v>1</v>
      </c>
      <c r="H131" s="126" t="str">
        <f>VLOOKUP(G131,'Códigos bancos'!$F$4:$G$14,2,0)</f>
        <v>Oficinas</v>
      </c>
      <c r="I131" s="130"/>
      <c r="J131" s="174">
        <v>0</v>
      </c>
      <c r="K131" s="174">
        <v>0</v>
      </c>
      <c r="L131" s="174">
        <v>0</v>
      </c>
      <c r="M131" s="174">
        <v>0</v>
      </c>
      <c r="N131" s="174">
        <v>0</v>
      </c>
      <c r="O131" s="174">
        <v>0</v>
      </c>
      <c r="P131" s="174">
        <v>0</v>
      </c>
      <c r="Q131" s="174">
        <v>0</v>
      </c>
      <c r="R131" s="174">
        <v>0</v>
      </c>
      <c r="S131" s="215">
        <v>0</v>
      </c>
      <c r="T131" s="71">
        <f t="shared" si="70"/>
        <v>0</v>
      </c>
      <c r="U131" s="71">
        <f t="shared" si="71"/>
        <v>0</v>
      </c>
      <c r="V131" s="117">
        <v>0</v>
      </c>
      <c r="W131" s="117">
        <v>0</v>
      </c>
      <c r="X131" s="71">
        <f t="shared" si="72"/>
        <v>0</v>
      </c>
      <c r="Y131" s="71">
        <f t="shared" si="73"/>
        <v>0</v>
      </c>
      <c r="AA131" s="65"/>
      <c r="AC131" s="71">
        <f t="shared" si="74"/>
        <v>0</v>
      </c>
      <c r="AD131" s="39"/>
      <c r="AE131" s="7"/>
      <c r="AF131" s="15"/>
      <c r="AG131" s="71" t="b">
        <f t="shared" si="75"/>
        <v>1</v>
      </c>
      <c r="AI131" s="71">
        <f t="shared" si="76"/>
        <v>0</v>
      </c>
      <c r="AJ131" s="39"/>
      <c r="AK131" s="15"/>
      <c r="AL131" s="71" t="b">
        <f t="shared" si="77"/>
        <v>1</v>
      </c>
      <c r="AN131" s="65"/>
    </row>
    <row r="132" spans="2:40" ht="13" customHeight="1">
      <c r="B132" s="217"/>
      <c r="C132" s="23">
        <f t="shared" si="69"/>
        <v>2026091</v>
      </c>
      <c r="D132" s="23">
        <v>5</v>
      </c>
      <c r="E132" s="128">
        <v>0</v>
      </c>
      <c r="F132" s="126" t="e">
        <f>VLOOKUP(E132,'Códigos bancos'!$B$4:$C$29,2,0)</f>
        <v>#N/A</v>
      </c>
      <c r="G132" s="36">
        <v>1</v>
      </c>
      <c r="H132" s="126" t="str">
        <f>VLOOKUP(G132,'Códigos bancos'!$F$4:$G$14,2,0)</f>
        <v>Oficinas</v>
      </c>
      <c r="I132" s="130"/>
      <c r="J132" s="174">
        <v>0</v>
      </c>
      <c r="K132" s="174">
        <v>0</v>
      </c>
      <c r="L132" s="174">
        <v>0</v>
      </c>
      <c r="M132" s="174">
        <v>0</v>
      </c>
      <c r="N132" s="174">
        <v>0</v>
      </c>
      <c r="O132" s="174">
        <v>0</v>
      </c>
      <c r="P132" s="174">
        <v>0</v>
      </c>
      <c r="Q132" s="174">
        <v>0</v>
      </c>
      <c r="R132" s="174">
        <v>0</v>
      </c>
      <c r="S132" s="215">
        <v>0</v>
      </c>
      <c r="T132" s="71">
        <f t="shared" si="70"/>
        <v>0</v>
      </c>
      <c r="U132" s="71">
        <f t="shared" si="71"/>
        <v>0</v>
      </c>
      <c r="V132" s="117">
        <v>0</v>
      </c>
      <c r="W132" s="117">
        <v>0</v>
      </c>
      <c r="X132" s="71">
        <f t="shared" si="72"/>
        <v>0</v>
      </c>
      <c r="Y132" s="71">
        <f t="shared" si="73"/>
        <v>0</v>
      </c>
      <c r="AA132" s="65"/>
      <c r="AC132" s="71">
        <f t="shared" si="74"/>
        <v>0</v>
      </c>
      <c r="AD132" s="39"/>
      <c r="AE132" s="7"/>
      <c r="AF132" s="15"/>
      <c r="AG132" s="71" t="b">
        <f t="shared" si="75"/>
        <v>1</v>
      </c>
      <c r="AI132" s="71">
        <f t="shared" si="76"/>
        <v>0</v>
      </c>
      <c r="AJ132" s="39"/>
      <c r="AK132" s="15"/>
      <c r="AL132" s="71" t="b">
        <f t="shared" si="77"/>
        <v>1</v>
      </c>
      <c r="AN132" s="65"/>
    </row>
    <row r="133" spans="2:40" ht="13" customHeight="1">
      <c r="B133" s="217"/>
      <c r="C133" s="23">
        <f t="shared" si="69"/>
        <v>2026091</v>
      </c>
      <c r="D133" s="23">
        <v>5</v>
      </c>
      <c r="E133" s="128">
        <v>0</v>
      </c>
      <c r="F133" s="126" t="e">
        <f>VLOOKUP(E133,'Códigos bancos'!$B$4:$C$29,2,0)</f>
        <v>#N/A</v>
      </c>
      <c r="G133" s="36">
        <v>1</v>
      </c>
      <c r="H133" s="126" t="str">
        <f>VLOOKUP(G133,'Códigos bancos'!$F$4:$G$14,2,0)</f>
        <v>Oficinas</v>
      </c>
      <c r="I133" s="130"/>
      <c r="J133" s="174">
        <v>0</v>
      </c>
      <c r="K133" s="174">
        <v>0</v>
      </c>
      <c r="L133" s="174">
        <v>0</v>
      </c>
      <c r="M133" s="174">
        <v>0</v>
      </c>
      <c r="N133" s="174">
        <v>0</v>
      </c>
      <c r="O133" s="174">
        <v>0</v>
      </c>
      <c r="P133" s="174">
        <v>0</v>
      </c>
      <c r="Q133" s="174">
        <v>0</v>
      </c>
      <c r="R133" s="174">
        <v>0</v>
      </c>
      <c r="S133" s="215">
        <v>0</v>
      </c>
      <c r="T133" s="71">
        <f t="shared" si="70"/>
        <v>0</v>
      </c>
      <c r="U133" s="71">
        <f t="shared" si="71"/>
        <v>0</v>
      </c>
      <c r="V133" s="117">
        <v>0</v>
      </c>
      <c r="W133" s="117">
        <v>0</v>
      </c>
      <c r="X133" s="71">
        <f t="shared" si="72"/>
        <v>0</v>
      </c>
      <c r="Y133" s="71">
        <f t="shared" si="73"/>
        <v>0</v>
      </c>
      <c r="AA133" s="65"/>
      <c r="AC133" s="71">
        <f t="shared" si="74"/>
        <v>0</v>
      </c>
      <c r="AD133" s="39"/>
      <c r="AE133" s="7"/>
      <c r="AF133" s="15"/>
      <c r="AG133" s="71" t="b">
        <f t="shared" si="75"/>
        <v>1</v>
      </c>
      <c r="AI133" s="71">
        <f t="shared" si="76"/>
        <v>0</v>
      </c>
      <c r="AJ133" s="39"/>
      <c r="AK133" s="15"/>
      <c r="AL133" s="71" t="b">
        <f t="shared" si="77"/>
        <v>1</v>
      </c>
      <c r="AN133" s="65"/>
    </row>
    <row r="134" spans="2:40" ht="13" customHeight="1">
      <c r="B134" s="217"/>
      <c r="C134" s="23">
        <f t="shared" si="69"/>
        <v>2026091</v>
      </c>
      <c r="D134" s="23">
        <v>5</v>
      </c>
      <c r="E134" s="128">
        <v>0</v>
      </c>
      <c r="F134" s="126" t="e">
        <f>VLOOKUP(E134,'Códigos bancos'!$B$4:$C$29,2,0)</f>
        <v>#N/A</v>
      </c>
      <c r="G134" s="36">
        <v>1</v>
      </c>
      <c r="H134" s="126" t="str">
        <f>VLOOKUP(G134,'Códigos bancos'!$F$4:$G$14,2,0)</f>
        <v>Oficinas</v>
      </c>
      <c r="I134" s="130"/>
      <c r="J134" s="174">
        <v>0</v>
      </c>
      <c r="K134" s="174">
        <v>0</v>
      </c>
      <c r="L134" s="174">
        <v>0</v>
      </c>
      <c r="M134" s="174">
        <v>0</v>
      </c>
      <c r="N134" s="174">
        <v>0</v>
      </c>
      <c r="O134" s="174">
        <v>0</v>
      </c>
      <c r="P134" s="174">
        <v>0</v>
      </c>
      <c r="Q134" s="174">
        <v>0</v>
      </c>
      <c r="R134" s="174">
        <v>0</v>
      </c>
      <c r="S134" s="215">
        <v>0</v>
      </c>
      <c r="T134" s="71">
        <f t="shared" si="70"/>
        <v>0</v>
      </c>
      <c r="U134" s="71">
        <f t="shared" si="71"/>
        <v>0</v>
      </c>
      <c r="V134" s="117">
        <v>0</v>
      </c>
      <c r="W134" s="117">
        <v>0</v>
      </c>
      <c r="X134" s="71">
        <f t="shared" si="72"/>
        <v>0</v>
      </c>
      <c r="Y134" s="71">
        <f t="shared" si="73"/>
        <v>0</v>
      </c>
      <c r="AA134" s="65"/>
      <c r="AC134" s="71">
        <f t="shared" si="74"/>
        <v>0</v>
      </c>
      <c r="AD134" s="39"/>
      <c r="AE134" s="7"/>
      <c r="AF134" s="15"/>
      <c r="AG134" s="71" t="b">
        <f t="shared" si="75"/>
        <v>1</v>
      </c>
      <c r="AI134" s="71">
        <f t="shared" si="76"/>
        <v>0</v>
      </c>
      <c r="AJ134" s="39"/>
      <c r="AK134" s="15"/>
      <c r="AL134" s="71" t="b">
        <f t="shared" si="77"/>
        <v>1</v>
      </c>
      <c r="AN134" s="65"/>
    </row>
    <row r="135" spans="2:40" ht="13" customHeight="1">
      <c r="B135" s="217"/>
      <c r="C135" s="23">
        <f t="shared" si="69"/>
        <v>2026091</v>
      </c>
      <c r="D135" s="23">
        <v>5</v>
      </c>
      <c r="E135" s="128">
        <v>0</v>
      </c>
      <c r="F135" s="126" t="e">
        <f>VLOOKUP(E135,'Códigos bancos'!$B$4:$C$29,2,0)</f>
        <v>#N/A</v>
      </c>
      <c r="G135" s="36">
        <v>1</v>
      </c>
      <c r="H135" s="126" t="str">
        <f>VLOOKUP(G135,'Códigos bancos'!$F$4:$G$14,2,0)</f>
        <v>Oficinas</v>
      </c>
      <c r="I135" s="130"/>
      <c r="J135" s="174">
        <v>0</v>
      </c>
      <c r="K135" s="174">
        <v>0</v>
      </c>
      <c r="L135" s="174">
        <v>0</v>
      </c>
      <c r="M135" s="174">
        <v>0</v>
      </c>
      <c r="N135" s="174">
        <v>0</v>
      </c>
      <c r="O135" s="174">
        <v>0</v>
      </c>
      <c r="P135" s="174">
        <v>0</v>
      </c>
      <c r="Q135" s="174">
        <v>0</v>
      </c>
      <c r="R135" s="174">
        <v>0</v>
      </c>
      <c r="S135" s="215">
        <v>0</v>
      </c>
      <c r="T135" s="71">
        <f t="shared" si="70"/>
        <v>0</v>
      </c>
      <c r="U135" s="71">
        <f t="shared" si="71"/>
        <v>0</v>
      </c>
      <c r="V135" s="117">
        <v>0</v>
      </c>
      <c r="W135" s="117">
        <v>0</v>
      </c>
      <c r="X135" s="71">
        <f t="shared" si="72"/>
        <v>0</v>
      </c>
      <c r="Y135" s="71">
        <f t="shared" si="73"/>
        <v>0</v>
      </c>
      <c r="AA135" s="65"/>
      <c r="AC135" s="71">
        <f t="shared" si="74"/>
        <v>0</v>
      </c>
      <c r="AD135" s="39"/>
      <c r="AE135" s="7"/>
      <c r="AF135" s="15"/>
      <c r="AG135" s="71" t="b">
        <f t="shared" si="75"/>
        <v>1</v>
      </c>
      <c r="AI135" s="71">
        <f t="shared" si="76"/>
        <v>0</v>
      </c>
      <c r="AJ135" s="39"/>
      <c r="AK135" s="15"/>
      <c r="AL135" s="71" t="b">
        <f t="shared" si="77"/>
        <v>1</v>
      </c>
      <c r="AN135" s="65"/>
    </row>
    <row r="136" spans="2:40" ht="13" customHeight="1">
      <c r="B136" s="119"/>
      <c r="C136" s="23">
        <f t="shared" si="69"/>
        <v>2026091</v>
      </c>
      <c r="D136" s="23">
        <v>5</v>
      </c>
      <c r="E136" s="128">
        <v>0</v>
      </c>
      <c r="F136" s="126" t="e">
        <f>VLOOKUP(E136,'Códigos bancos'!$B$4:$C$29,2,0)</f>
        <v>#N/A</v>
      </c>
      <c r="G136" s="36">
        <v>1</v>
      </c>
      <c r="H136" s="126" t="str">
        <f>VLOOKUP(G136,'Códigos bancos'!$F$4:$G$14,2,0)</f>
        <v>Oficinas</v>
      </c>
      <c r="I136" s="130"/>
      <c r="J136" s="174">
        <v>0</v>
      </c>
      <c r="K136" s="174">
        <v>0</v>
      </c>
      <c r="L136" s="174">
        <v>0</v>
      </c>
      <c r="M136" s="174">
        <v>0</v>
      </c>
      <c r="N136" s="174">
        <v>0</v>
      </c>
      <c r="O136" s="174">
        <v>0</v>
      </c>
      <c r="P136" s="174">
        <v>0</v>
      </c>
      <c r="Q136" s="174">
        <v>0</v>
      </c>
      <c r="R136" s="174">
        <v>0</v>
      </c>
      <c r="S136" s="215">
        <v>0</v>
      </c>
      <c r="T136" s="71">
        <f t="shared" si="70"/>
        <v>0</v>
      </c>
      <c r="U136" s="71">
        <f t="shared" si="71"/>
        <v>0</v>
      </c>
      <c r="V136" s="117">
        <v>0</v>
      </c>
      <c r="W136" s="117">
        <v>0</v>
      </c>
      <c r="X136" s="71">
        <f t="shared" si="72"/>
        <v>0</v>
      </c>
      <c r="Y136" s="71">
        <f t="shared" si="73"/>
        <v>0</v>
      </c>
      <c r="AA136" s="65"/>
      <c r="AC136" s="71">
        <f t="shared" si="74"/>
        <v>0</v>
      </c>
      <c r="AD136" s="39"/>
      <c r="AE136" s="7"/>
      <c r="AF136" s="15"/>
      <c r="AG136" s="71" t="b">
        <f t="shared" si="75"/>
        <v>1</v>
      </c>
      <c r="AI136" s="71">
        <f t="shared" si="76"/>
        <v>0</v>
      </c>
      <c r="AJ136" s="39"/>
      <c r="AK136" s="15"/>
      <c r="AL136" s="71" t="b">
        <f t="shared" si="77"/>
        <v>1</v>
      </c>
      <c r="AN136" s="65"/>
    </row>
    <row r="137" spans="2:40" ht="13" customHeight="1">
      <c r="B137" s="217"/>
      <c r="C137" s="23">
        <f t="shared" si="69"/>
        <v>2026091</v>
      </c>
      <c r="D137" s="23">
        <v>5</v>
      </c>
      <c r="E137" s="128">
        <v>0</v>
      </c>
      <c r="F137" s="126" t="e">
        <f>VLOOKUP(E137,'Códigos bancos'!$B$4:$C$29,2,0)</f>
        <v>#N/A</v>
      </c>
      <c r="G137" s="36">
        <v>1</v>
      </c>
      <c r="H137" s="126" t="str">
        <f>VLOOKUP(G137,'Códigos bancos'!$F$4:$G$14,2,0)</f>
        <v>Oficinas</v>
      </c>
      <c r="I137" s="130"/>
      <c r="J137" s="174">
        <v>0</v>
      </c>
      <c r="K137" s="174">
        <v>0</v>
      </c>
      <c r="L137" s="174">
        <v>0</v>
      </c>
      <c r="M137" s="174">
        <v>0</v>
      </c>
      <c r="N137" s="174">
        <v>0</v>
      </c>
      <c r="O137" s="174">
        <v>0</v>
      </c>
      <c r="P137" s="174">
        <v>0</v>
      </c>
      <c r="Q137" s="174">
        <v>0</v>
      </c>
      <c r="R137" s="174">
        <v>0</v>
      </c>
      <c r="S137" s="215">
        <v>0</v>
      </c>
      <c r="T137" s="71">
        <f t="shared" si="70"/>
        <v>0</v>
      </c>
      <c r="U137" s="71">
        <f t="shared" si="71"/>
        <v>0</v>
      </c>
      <c r="V137" s="117">
        <v>0</v>
      </c>
      <c r="W137" s="117">
        <v>0</v>
      </c>
      <c r="X137" s="71">
        <f t="shared" si="72"/>
        <v>0</v>
      </c>
      <c r="Y137" s="71">
        <f t="shared" si="73"/>
        <v>0</v>
      </c>
      <c r="AA137" s="65"/>
      <c r="AC137" s="71">
        <f t="shared" si="74"/>
        <v>0</v>
      </c>
      <c r="AD137" s="39"/>
      <c r="AE137" s="7"/>
      <c r="AF137" s="15"/>
      <c r="AG137" s="71" t="b">
        <f t="shared" si="75"/>
        <v>1</v>
      </c>
      <c r="AI137" s="71">
        <f t="shared" si="76"/>
        <v>0</v>
      </c>
      <c r="AJ137" s="39"/>
      <c r="AK137" s="15"/>
      <c r="AL137" s="71" t="b">
        <f t="shared" si="77"/>
        <v>1</v>
      </c>
      <c r="AN137" s="65"/>
    </row>
    <row r="138" spans="2:40" ht="13" customHeight="1">
      <c r="B138" s="217"/>
      <c r="C138" s="23">
        <f t="shared" si="69"/>
        <v>2026091</v>
      </c>
      <c r="D138" s="23">
        <v>5</v>
      </c>
      <c r="E138" s="128">
        <v>0</v>
      </c>
      <c r="F138" s="126" t="e">
        <f>VLOOKUP(E138,'Códigos bancos'!$B$4:$C$29,2,0)</f>
        <v>#N/A</v>
      </c>
      <c r="G138" s="36">
        <v>1</v>
      </c>
      <c r="H138" s="126" t="str">
        <f>VLOOKUP(G138,'Códigos bancos'!$F$4:$G$14,2,0)</f>
        <v>Oficinas</v>
      </c>
      <c r="I138" s="130"/>
      <c r="J138" s="174">
        <v>0</v>
      </c>
      <c r="K138" s="174">
        <v>0</v>
      </c>
      <c r="L138" s="174">
        <v>0</v>
      </c>
      <c r="M138" s="174">
        <v>0</v>
      </c>
      <c r="N138" s="174">
        <v>0</v>
      </c>
      <c r="O138" s="174">
        <v>0</v>
      </c>
      <c r="P138" s="174">
        <v>0</v>
      </c>
      <c r="Q138" s="174">
        <v>0</v>
      </c>
      <c r="R138" s="174">
        <v>0</v>
      </c>
      <c r="S138" s="215">
        <v>0</v>
      </c>
      <c r="T138" s="71">
        <f t="shared" si="70"/>
        <v>0</v>
      </c>
      <c r="U138" s="71">
        <f t="shared" si="71"/>
        <v>0</v>
      </c>
      <c r="V138" s="117">
        <v>0</v>
      </c>
      <c r="W138" s="117">
        <v>0</v>
      </c>
      <c r="X138" s="71">
        <f t="shared" si="72"/>
        <v>0</v>
      </c>
      <c r="Y138" s="71">
        <f t="shared" si="73"/>
        <v>0</v>
      </c>
      <c r="AA138" s="65"/>
      <c r="AC138" s="71">
        <f t="shared" si="74"/>
        <v>0</v>
      </c>
      <c r="AD138" s="39"/>
      <c r="AE138" s="7"/>
      <c r="AF138" s="15"/>
      <c r="AG138" s="71" t="b">
        <f t="shared" si="75"/>
        <v>1</v>
      </c>
      <c r="AI138" s="71">
        <f t="shared" si="76"/>
        <v>0</v>
      </c>
      <c r="AJ138" s="39"/>
      <c r="AK138" s="15"/>
      <c r="AL138" s="71" t="b">
        <f t="shared" si="77"/>
        <v>1</v>
      </c>
      <c r="AN138" s="65"/>
    </row>
    <row r="139" spans="2:40" ht="13" customHeight="1">
      <c r="B139" s="217"/>
      <c r="C139" s="23">
        <f t="shared" si="69"/>
        <v>2026091</v>
      </c>
      <c r="D139" s="23">
        <v>5</v>
      </c>
      <c r="E139" s="128">
        <v>0</v>
      </c>
      <c r="F139" s="126" t="e">
        <f>VLOOKUP(E139,'Códigos bancos'!$B$4:$C$29,2,0)</f>
        <v>#N/A</v>
      </c>
      <c r="G139" s="36">
        <v>1</v>
      </c>
      <c r="H139" s="126" t="str">
        <f>VLOOKUP(G139,'Códigos bancos'!$F$4:$G$14,2,0)</f>
        <v>Oficinas</v>
      </c>
      <c r="I139" s="130"/>
      <c r="J139" s="174">
        <v>0</v>
      </c>
      <c r="K139" s="174">
        <v>0</v>
      </c>
      <c r="L139" s="174">
        <v>0</v>
      </c>
      <c r="M139" s="174">
        <v>0</v>
      </c>
      <c r="N139" s="174">
        <v>0</v>
      </c>
      <c r="O139" s="174">
        <v>0</v>
      </c>
      <c r="P139" s="174">
        <v>0</v>
      </c>
      <c r="Q139" s="174">
        <v>0</v>
      </c>
      <c r="R139" s="174">
        <v>0</v>
      </c>
      <c r="S139" s="215">
        <v>0</v>
      </c>
      <c r="T139" s="71">
        <f t="shared" si="70"/>
        <v>0</v>
      </c>
      <c r="U139" s="71">
        <f t="shared" si="71"/>
        <v>0</v>
      </c>
      <c r="V139" s="117">
        <v>0</v>
      </c>
      <c r="W139" s="117">
        <v>0</v>
      </c>
      <c r="X139" s="71">
        <f t="shared" si="72"/>
        <v>0</v>
      </c>
      <c r="Y139" s="71">
        <f t="shared" si="73"/>
        <v>0</v>
      </c>
      <c r="AA139" s="65"/>
      <c r="AC139" s="71">
        <f t="shared" si="74"/>
        <v>0</v>
      </c>
      <c r="AD139" s="39"/>
      <c r="AE139" s="7"/>
      <c r="AF139" s="15"/>
      <c r="AG139" s="71" t="b">
        <f t="shared" si="75"/>
        <v>1</v>
      </c>
      <c r="AI139" s="71">
        <f t="shared" si="76"/>
        <v>0</v>
      </c>
      <c r="AJ139" s="39"/>
      <c r="AK139" s="15"/>
      <c r="AL139" s="71" t="b">
        <f t="shared" si="77"/>
        <v>1</v>
      </c>
      <c r="AN139" s="65"/>
    </row>
    <row r="140" spans="2:40" ht="13" customHeight="1">
      <c r="B140" s="217"/>
      <c r="C140" s="23">
        <f t="shared" si="69"/>
        <v>2026091</v>
      </c>
      <c r="D140" s="23">
        <v>5</v>
      </c>
      <c r="E140" s="128">
        <v>0</v>
      </c>
      <c r="F140" s="126" t="e">
        <f>VLOOKUP(E140,'Códigos bancos'!$B$4:$C$29,2,0)</f>
        <v>#N/A</v>
      </c>
      <c r="G140" s="36">
        <v>1</v>
      </c>
      <c r="H140" s="126" t="str">
        <f>VLOOKUP(G140,'Códigos bancos'!$F$4:$G$14,2,0)</f>
        <v>Oficinas</v>
      </c>
      <c r="I140" s="130"/>
      <c r="J140" s="174">
        <v>0</v>
      </c>
      <c r="K140" s="174">
        <v>0</v>
      </c>
      <c r="L140" s="174">
        <v>0</v>
      </c>
      <c r="M140" s="174">
        <v>0</v>
      </c>
      <c r="N140" s="174">
        <v>0</v>
      </c>
      <c r="O140" s="174">
        <v>0</v>
      </c>
      <c r="P140" s="174">
        <v>0</v>
      </c>
      <c r="Q140" s="174">
        <v>0</v>
      </c>
      <c r="R140" s="174">
        <v>0</v>
      </c>
      <c r="S140" s="215">
        <v>0</v>
      </c>
      <c r="T140" s="71">
        <f t="shared" si="70"/>
        <v>0</v>
      </c>
      <c r="U140" s="71">
        <f t="shared" si="71"/>
        <v>0</v>
      </c>
      <c r="V140" s="117">
        <v>0</v>
      </c>
      <c r="W140" s="117">
        <v>0</v>
      </c>
      <c r="X140" s="71">
        <f t="shared" si="72"/>
        <v>0</v>
      </c>
      <c r="Y140" s="71">
        <f t="shared" si="73"/>
        <v>0</v>
      </c>
      <c r="AA140" s="65"/>
      <c r="AC140" s="71">
        <f t="shared" si="74"/>
        <v>0</v>
      </c>
      <c r="AD140" s="39"/>
      <c r="AE140" s="7"/>
      <c r="AF140" s="15"/>
      <c r="AG140" s="71" t="b">
        <f t="shared" si="75"/>
        <v>1</v>
      </c>
      <c r="AI140" s="71">
        <f t="shared" si="76"/>
        <v>0</v>
      </c>
      <c r="AJ140" s="39"/>
      <c r="AK140" s="15"/>
      <c r="AL140" s="71" t="b">
        <f t="shared" si="77"/>
        <v>1</v>
      </c>
      <c r="AN140" s="65"/>
    </row>
    <row r="141" spans="2:40" ht="13" customHeight="1">
      <c r="B141" s="217"/>
      <c r="C141" s="23">
        <f t="shared" si="69"/>
        <v>2026091</v>
      </c>
      <c r="D141" s="23">
        <v>5</v>
      </c>
      <c r="E141" s="128">
        <v>0</v>
      </c>
      <c r="F141" s="126" t="e">
        <f>VLOOKUP(E141,'Códigos bancos'!$B$4:$C$29,2,0)</f>
        <v>#N/A</v>
      </c>
      <c r="G141" s="36">
        <v>1</v>
      </c>
      <c r="H141" s="126" t="str">
        <f>VLOOKUP(G141,'Códigos bancos'!$F$4:$G$14,2,0)</f>
        <v>Oficinas</v>
      </c>
      <c r="I141" s="130"/>
      <c r="J141" s="174">
        <v>0</v>
      </c>
      <c r="K141" s="174">
        <v>0</v>
      </c>
      <c r="L141" s="174">
        <v>0</v>
      </c>
      <c r="M141" s="174">
        <v>0</v>
      </c>
      <c r="N141" s="174">
        <v>0</v>
      </c>
      <c r="O141" s="174">
        <v>0</v>
      </c>
      <c r="P141" s="174">
        <v>0</v>
      </c>
      <c r="Q141" s="174">
        <v>0</v>
      </c>
      <c r="R141" s="174">
        <v>0</v>
      </c>
      <c r="S141" s="215">
        <v>0</v>
      </c>
      <c r="T141" s="71">
        <f t="shared" si="70"/>
        <v>0</v>
      </c>
      <c r="U141" s="71">
        <f t="shared" si="71"/>
        <v>0</v>
      </c>
      <c r="V141" s="117">
        <v>0</v>
      </c>
      <c r="W141" s="117">
        <v>0</v>
      </c>
      <c r="X141" s="71">
        <f t="shared" si="72"/>
        <v>0</v>
      </c>
      <c r="Y141" s="71">
        <f t="shared" si="73"/>
        <v>0</v>
      </c>
      <c r="AA141" s="65"/>
      <c r="AC141" s="71">
        <f t="shared" si="74"/>
        <v>0</v>
      </c>
      <c r="AD141" s="39"/>
      <c r="AE141" s="7"/>
      <c r="AF141" s="15"/>
      <c r="AG141" s="71" t="b">
        <f t="shared" si="75"/>
        <v>1</v>
      </c>
      <c r="AI141" s="71">
        <f t="shared" si="76"/>
        <v>0</v>
      </c>
      <c r="AJ141" s="39"/>
      <c r="AK141" s="15"/>
      <c r="AL141" s="71" t="b">
        <f t="shared" si="77"/>
        <v>1</v>
      </c>
      <c r="AN141" s="65"/>
    </row>
    <row r="142" spans="2:40" ht="13" customHeight="1">
      <c r="B142" s="217"/>
      <c r="C142" s="23">
        <f t="shared" si="69"/>
        <v>2026091</v>
      </c>
      <c r="D142" s="23">
        <v>5</v>
      </c>
      <c r="E142" s="128">
        <v>0</v>
      </c>
      <c r="F142" s="126" t="e">
        <f>VLOOKUP(E142,'Códigos bancos'!$B$4:$C$29,2,0)</f>
        <v>#N/A</v>
      </c>
      <c r="G142" s="36">
        <v>1</v>
      </c>
      <c r="H142" s="126" t="str">
        <f>VLOOKUP(G142,'Códigos bancos'!$F$4:$G$14,2,0)</f>
        <v>Oficinas</v>
      </c>
      <c r="I142" s="130"/>
      <c r="J142" s="174">
        <v>0</v>
      </c>
      <c r="K142" s="174">
        <v>0</v>
      </c>
      <c r="L142" s="174">
        <v>0</v>
      </c>
      <c r="M142" s="174">
        <v>0</v>
      </c>
      <c r="N142" s="174">
        <v>0</v>
      </c>
      <c r="O142" s="174">
        <v>0</v>
      </c>
      <c r="P142" s="174">
        <v>0</v>
      </c>
      <c r="Q142" s="174">
        <v>0</v>
      </c>
      <c r="R142" s="174">
        <v>0</v>
      </c>
      <c r="S142" s="215">
        <v>0</v>
      </c>
      <c r="T142" s="71">
        <f t="shared" si="70"/>
        <v>0</v>
      </c>
      <c r="U142" s="71">
        <f t="shared" si="71"/>
        <v>0</v>
      </c>
      <c r="V142" s="117">
        <v>0</v>
      </c>
      <c r="W142" s="117">
        <v>0</v>
      </c>
      <c r="X142" s="71">
        <f t="shared" si="72"/>
        <v>0</v>
      </c>
      <c r="Y142" s="71">
        <f t="shared" si="73"/>
        <v>0</v>
      </c>
      <c r="AA142" s="65"/>
      <c r="AC142" s="71">
        <f t="shared" si="74"/>
        <v>0</v>
      </c>
      <c r="AD142" s="39"/>
      <c r="AE142" s="7"/>
      <c r="AF142" s="15"/>
      <c r="AG142" s="71" t="b">
        <f t="shared" si="75"/>
        <v>1</v>
      </c>
      <c r="AI142" s="71">
        <f t="shared" si="76"/>
        <v>0</v>
      </c>
      <c r="AJ142" s="39"/>
      <c r="AK142" s="15"/>
      <c r="AL142" s="71" t="b">
        <f t="shared" si="77"/>
        <v>1</v>
      </c>
      <c r="AN142" s="65"/>
    </row>
    <row r="143" spans="2:40" ht="13" customHeight="1">
      <c r="B143" s="119"/>
      <c r="C143" s="23">
        <f t="shared" si="69"/>
        <v>2026091</v>
      </c>
      <c r="D143" s="23">
        <v>5</v>
      </c>
      <c r="E143" s="128">
        <v>0</v>
      </c>
      <c r="F143" s="126" t="e">
        <f>VLOOKUP(E143,'Códigos bancos'!$B$4:$C$29,2,0)</f>
        <v>#N/A</v>
      </c>
      <c r="G143" s="36">
        <v>1</v>
      </c>
      <c r="H143" s="126" t="str">
        <f>VLOOKUP(G143,'Códigos bancos'!$F$4:$G$14,2,0)</f>
        <v>Oficinas</v>
      </c>
      <c r="I143" s="130"/>
      <c r="J143" s="174">
        <v>0</v>
      </c>
      <c r="K143" s="174">
        <v>0</v>
      </c>
      <c r="L143" s="174">
        <v>0</v>
      </c>
      <c r="M143" s="174">
        <v>0</v>
      </c>
      <c r="N143" s="174">
        <v>0</v>
      </c>
      <c r="O143" s="174">
        <v>0</v>
      </c>
      <c r="P143" s="174">
        <v>0</v>
      </c>
      <c r="Q143" s="174">
        <v>0</v>
      </c>
      <c r="R143" s="174">
        <v>0</v>
      </c>
      <c r="S143" s="215">
        <v>0</v>
      </c>
      <c r="T143" s="71">
        <f t="shared" si="70"/>
        <v>0</v>
      </c>
      <c r="U143" s="71">
        <f t="shared" si="71"/>
        <v>0</v>
      </c>
      <c r="V143" s="117">
        <v>0</v>
      </c>
      <c r="W143" s="117">
        <v>0</v>
      </c>
      <c r="X143" s="71">
        <f t="shared" si="72"/>
        <v>0</v>
      </c>
      <c r="Y143" s="71">
        <f t="shared" si="73"/>
        <v>0</v>
      </c>
      <c r="AA143" s="65"/>
      <c r="AC143" s="71">
        <f t="shared" si="74"/>
        <v>0</v>
      </c>
      <c r="AD143" s="39"/>
      <c r="AE143" s="7"/>
      <c r="AF143" s="15"/>
      <c r="AG143" s="71" t="b">
        <f t="shared" si="75"/>
        <v>1</v>
      </c>
      <c r="AI143" s="71">
        <f t="shared" si="76"/>
        <v>0</v>
      </c>
      <c r="AJ143" s="39"/>
      <c r="AK143" s="15"/>
      <c r="AL143" s="71" t="b">
        <f t="shared" si="77"/>
        <v>1</v>
      </c>
      <c r="AN143" s="65"/>
    </row>
    <row r="144" spans="2:40" ht="13" customHeight="1">
      <c r="B144" s="119"/>
      <c r="C144" s="23">
        <f t="shared" ref="C144" si="78">IF(D144&lt;=15,$C$1,$C$2)</f>
        <v>2026091</v>
      </c>
      <c r="D144" s="23">
        <v>5</v>
      </c>
      <c r="E144" s="128">
        <v>0</v>
      </c>
      <c r="F144" s="126" t="e">
        <f>VLOOKUP(E144,'Códigos bancos'!$B$4:$C$29,2,0)</f>
        <v>#N/A</v>
      </c>
      <c r="G144" s="36">
        <v>1</v>
      </c>
      <c r="H144" s="126" t="str">
        <f>VLOOKUP(G144,'Códigos bancos'!$F$4:$G$14,2,0)</f>
        <v>Oficinas</v>
      </c>
      <c r="I144" s="130"/>
      <c r="J144" s="174">
        <v>0</v>
      </c>
      <c r="K144" s="174">
        <v>0</v>
      </c>
      <c r="L144" s="174">
        <v>0</v>
      </c>
      <c r="M144" s="174">
        <v>0</v>
      </c>
      <c r="N144" s="174">
        <v>0</v>
      </c>
      <c r="O144" s="174">
        <v>0</v>
      </c>
      <c r="P144" s="174">
        <v>0</v>
      </c>
      <c r="Q144" s="174">
        <v>0</v>
      </c>
      <c r="R144" s="174">
        <v>0</v>
      </c>
      <c r="S144" s="215">
        <v>0</v>
      </c>
      <c r="T144" s="71">
        <f t="shared" ref="T144" si="79">J144+L144+N144+P144+R144</f>
        <v>0</v>
      </c>
      <c r="U144" s="71">
        <f t="shared" ref="U144" si="80">K144+M144+O144+Q144+S144</f>
        <v>0</v>
      </c>
      <c r="V144" s="117">
        <v>0</v>
      </c>
      <c r="W144" s="117">
        <v>0</v>
      </c>
      <c r="X144" s="71">
        <f t="shared" ref="X144" si="81">V144-T144</f>
        <v>0</v>
      </c>
      <c r="Y144" s="71">
        <f t="shared" ref="Y144" si="82">W144-U144</f>
        <v>0</v>
      </c>
      <c r="AA144" s="65"/>
      <c r="AC144" s="71">
        <f t="shared" ref="AC144" si="83">X144</f>
        <v>0</v>
      </c>
      <c r="AD144" s="39"/>
      <c r="AE144" s="7"/>
      <c r="AF144" s="15"/>
      <c r="AG144" s="71" t="b">
        <f t="shared" ref="AG144" si="84">AC144=(AD144+AE144+AF144)</f>
        <v>1</v>
      </c>
      <c r="AI144" s="71">
        <f t="shared" ref="AI144" si="85">Y144</f>
        <v>0</v>
      </c>
      <c r="AJ144" s="39"/>
      <c r="AK144" s="15"/>
      <c r="AL144" s="71" t="b">
        <f t="shared" ref="AL144" si="86">AI144=(AJ144+AK144)</f>
        <v>1</v>
      </c>
      <c r="AN144" s="65"/>
    </row>
    <row r="145" spans="2:40 16128:16147" ht="13" customHeight="1">
      <c r="B145" s="119"/>
      <c r="C145" s="23">
        <f t="shared" si="69"/>
        <v>2026091</v>
      </c>
      <c r="D145" s="23">
        <v>5</v>
      </c>
      <c r="E145" s="128">
        <v>0</v>
      </c>
      <c r="F145" s="126" t="e">
        <f>VLOOKUP(E145,'Códigos bancos'!$B$4:$C$29,2,0)</f>
        <v>#N/A</v>
      </c>
      <c r="G145" s="36">
        <v>1</v>
      </c>
      <c r="H145" s="126" t="str">
        <f>VLOOKUP(G145,'Códigos bancos'!$F$4:$G$14,2,0)</f>
        <v>Oficinas</v>
      </c>
      <c r="I145" s="130"/>
      <c r="J145" s="174">
        <v>0</v>
      </c>
      <c r="K145" s="174">
        <v>0</v>
      </c>
      <c r="L145" s="174">
        <v>0</v>
      </c>
      <c r="M145" s="174">
        <v>0</v>
      </c>
      <c r="N145" s="174">
        <v>0</v>
      </c>
      <c r="O145" s="174">
        <v>0</v>
      </c>
      <c r="P145" s="174">
        <v>0</v>
      </c>
      <c r="Q145" s="174">
        <v>0</v>
      </c>
      <c r="R145" s="174">
        <v>0</v>
      </c>
      <c r="S145" s="215">
        <v>0</v>
      </c>
      <c r="T145" s="71">
        <f t="shared" si="70"/>
        <v>0</v>
      </c>
      <c r="U145" s="71">
        <f t="shared" si="71"/>
        <v>0</v>
      </c>
      <c r="V145" s="117">
        <v>0</v>
      </c>
      <c r="W145" s="117">
        <v>0</v>
      </c>
      <c r="X145" s="71">
        <f t="shared" si="72"/>
        <v>0</v>
      </c>
      <c r="Y145" s="71">
        <f t="shared" si="73"/>
        <v>0</v>
      </c>
      <c r="AA145" s="65"/>
      <c r="AC145" s="71">
        <f t="shared" si="74"/>
        <v>0</v>
      </c>
      <c r="AD145" s="39"/>
      <c r="AE145" s="7"/>
      <c r="AF145" s="15"/>
      <c r="AG145" s="71" t="b">
        <f t="shared" si="75"/>
        <v>1</v>
      </c>
      <c r="AI145" s="71">
        <f t="shared" si="76"/>
        <v>0</v>
      </c>
      <c r="AJ145" s="39"/>
      <c r="AK145" s="15"/>
      <c r="AL145" s="71" t="b">
        <f t="shared" si="77"/>
        <v>1</v>
      </c>
      <c r="AN145" s="65"/>
    </row>
    <row r="146" spans="2:40 16128:16147" ht="13" customHeight="1">
      <c r="B146" s="217"/>
      <c r="C146" s="23">
        <f t="shared" si="69"/>
        <v>2026091</v>
      </c>
      <c r="D146" s="23">
        <v>5</v>
      </c>
      <c r="E146" s="128">
        <v>0</v>
      </c>
      <c r="F146" s="126" t="e">
        <f>VLOOKUP(E146,'Códigos bancos'!$B$4:$C$29,2,0)</f>
        <v>#N/A</v>
      </c>
      <c r="G146" s="36">
        <v>1</v>
      </c>
      <c r="H146" s="126" t="str">
        <f>VLOOKUP(G146,'Códigos bancos'!$F$4:$G$14,2,0)</f>
        <v>Oficinas</v>
      </c>
      <c r="I146" s="130"/>
      <c r="J146" s="174">
        <v>0</v>
      </c>
      <c r="K146" s="174">
        <v>0</v>
      </c>
      <c r="L146" s="174">
        <v>0</v>
      </c>
      <c r="M146" s="174">
        <v>0</v>
      </c>
      <c r="N146" s="174">
        <v>0</v>
      </c>
      <c r="O146" s="174">
        <v>0</v>
      </c>
      <c r="P146" s="174">
        <v>0</v>
      </c>
      <c r="Q146" s="174">
        <v>0</v>
      </c>
      <c r="R146" s="174">
        <v>0</v>
      </c>
      <c r="S146" s="215">
        <v>0</v>
      </c>
      <c r="T146" s="71">
        <f t="shared" si="70"/>
        <v>0</v>
      </c>
      <c r="U146" s="71">
        <f t="shared" si="71"/>
        <v>0</v>
      </c>
      <c r="V146" s="117">
        <v>0</v>
      </c>
      <c r="W146" s="117">
        <v>0</v>
      </c>
      <c r="X146" s="71">
        <f t="shared" si="72"/>
        <v>0</v>
      </c>
      <c r="Y146" s="71">
        <f t="shared" si="73"/>
        <v>0</v>
      </c>
      <c r="AA146" s="65"/>
      <c r="AC146" s="71">
        <f t="shared" si="74"/>
        <v>0</v>
      </c>
      <c r="AD146" s="39"/>
      <c r="AE146" s="7"/>
      <c r="AF146" s="15"/>
      <c r="AG146" s="71" t="b">
        <f t="shared" si="75"/>
        <v>1</v>
      </c>
      <c r="AI146" s="71">
        <f t="shared" si="76"/>
        <v>0</v>
      </c>
      <c r="AJ146" s="39"/>
      <c r="AK146" s="15"/>
      <c r="AL146" s="71" t="b">
        <f t="shared" si="77"/>
        <v>1</v>
      </c>
      <c r="AN146" s="65"/>
    </row>
    <row r="147" spans="2:40 16128:16147" ht="13" customHeight="1">
      <c r="B147" s="119"/>
      <c r="C147" s="23">
        <f t="shared" si="69"/>
        <v>2026091</v>
      </c>
      <c r="D147" s="23">
        <v>5</v>
      </c>
      <c r="E147" s="128">
        <v>0</v>
      </c>
      <c r="F147" s="126" t="e">
        <f>VLOOKUP(E147,'Códigos bancos'!$B$4:$C$29,2,0)</f>
        <v>#N/A</v>
      </c>
      <c r="G147" s="36">
        <v>1</v>
      </c>
      <c r="H147" s="126" t="str">
        <f>VLOOKUP(G147,'Códigos bancos'!$F$4:$G$14,2,0)</f>
        <v>Oficinas</v>
      </c>
      <c r="I147" s="130"/>
      <c r="J147" s="174">
        <v>0</v>
      </c>
      <c r="K147" s="174">
        <v>0</v>
      </c>
      <c r="L147" s="174">
        <v>0</v>
      </c>
      <c r="M147" s="174">
        <v>0</v>
      </c>
      <c r="N147" s="174">
        <v>0</v>
      </c>
      <c r="O147" s="174">
        <v>0</v>
      </c>
      <c r="P147" s="174">
        <v>0</v>
      </c>
      <c r="Q147" s="174">
        <v>0</v>
      </c>
      <c r="R147" s="174">
        <v>0</v>
      </c>
      <c r="S147" s="215">
        <v>0</v>
      </c>
      <c r="T147" s="71">
        <f t="shared" si="70"/>
        <v>0</v>
      </c>
      <c r="U147" s="71">
        <f t="shared" si="71"/>
        <v>0</v>
      </c>
      <c r="V147" s="117">
        <v>0</v>
      </c>
      <c r="W147" s="117">
        <v>0</v>
      </c>
      <c r="X147" s="71">
        <f t="shared" si="72"/>
        <v>0</v>
      </c>
      <c r="Y147" s="71">
        <f t="shared" si="73"/>
        <v>0</v>
      </c>
      <c r="AA147" s="65"/>
      <c r="AC147" s="71">
        <f t="shared" si="74"/>
        <v>0</v>
      </c>
      <c r="AD147" s="39"/>
      <c r="AE147" s="7"/>
      <c r="AF147" s="15"/>
      <c r="AG147" s="71" t="b">
        <f t="shared" si="75"/>
        <v>1</v>
      </c>
      <c r="AI147" s="71"/>
      <c r="AJ147" s="39"/>
      <c r="AK147" s="15"/>
      <c r="AL147" s="71" t="b">
        <f t="shared" si="77"/>
        <v>1</v>
      </c>
      <c r="AN147" s="65"/>
    </row>
    <row r="148" spans="2:40 16128:16147" ht="13" customHeight="1">
      <c r="B148" s="119"/>
      <c r="C148" s="23">
        <f t="shared" si="69"/>
        <v>2026091</v>
      </c>
      <c r="D148" s="23">
        <v>5</v>
      </c>
      <c r="E148" s="128">
        <v>0</v>
      </c>
      <c r="F148" s="126" t="e">
        <f>VLOOKUP(E148,'Códigos bancos'!$B$4:$C$29,2,0)</f>
        <v>#N/A</v>
      </c>
      <c r="G148" s="36">
        <v>1</v>
      </c>
      <c r="H148" s="126" t="str">
        <f>VLOOKUP(G148,'Códigos bancos'!$F$4:$G$14,2,0)</f>
        <v>Oficinas</v>
      </c>
      <c r="I148" s="130"/>
      <c r="J148" s="174">
        <v>0</v>
      </c>
      <c r="K148" s="174">
        <v>0</v>
      </c>
      <c r="L148" s="174">
        <v>0</v>
      </c>
      <c r="M148" s="174">
        <v>0</v>
      </c>
      <c r="N148" s="174">
        <v>0</v>
      </c>
      <c r="O148" s="174">
        <v>0</v>
      </c>
      <c r="P148" s="174">
        <v>0</v>
      </c>
      <c r="Q148" s="174">
        <v>0</v>
      </c>
      <c r="R148" s="174">
        <v>0</v>
      </c>
      <c r="S148" s="215">
        <v>0</v>
      </c>
      <c r="T148" s="71">
        <f t="shared" si="70"/>
        <v>0</v>
      </c>
      <c r="U148" s="71">
        <f t="shared" si="71"/>
        <v>0</v>
      </c>
      <c r="V148" s="117">
        <v>0</v>
      </c>
      <c r="W148" s="117">
        <v>0</v>
      </c>
      <c r="X148" s="71">
        <f t="shared" si="72"/>
        <v>0</v>
      </c>
      <c r="Y148" s="71">
        <f t="shared" si="73"/>
        <v>0</v>
      </c>
      <c r="AA148" s="65"/>
      <c r="AC148" s="71">
        <f t="shared" si="74"/>
        <v>0</v>
      </c>
      <c r="AD148" s="39"/>
      <c r="AE148" s="7"/>
      <c r="AF148" s="15"/>
      <c r="AG148" s="71" t="b">
        <f t="shared" si="75"/>
        <v>1</v>
      </c>
      <c r="AI148" s="71">
        <f>Y148</f>
        <v>0</v>
      </c>
      <c r="AJ148" s="39"/>
      <c r="AK148" s="15"/>
      <c r="AL148" s="71" t="b">
        <f t="shared" si="77"/>
        <v>1</v>
      </c>
      <c r="AN148" s="65"/>
    </row>
    <row r="149" spans="2:40 16128:16147" ht="13" customHeight="1" thickBot="1">
      <c r="B149" s="217"/>
      <c r="C149" s="23">
        <f t="shared" si="69"/>
        <v>2026091</v>
      </c>
      <c r="D149" s="23">
        <v>5</v>
      </c>
      <c r="E149" s="128">
        <v>0</v>
      </c>
      <c r="F149" s="126" t="e">
        <f>VLOOKUP(E149,'Códigos bancos'!$B$4:$C$29,2,0)</f>
        <v>#N/A</v>
      </c>
      <c r="G149" s="36">
        <v>1</v>
      </c>
      <c r="H149" s="126" t="str">
        <f>VLOOKUP(G149,'Códigos bancos'!$F$4:$G$14,2,0)</f>
        <v>Oficinas</v>
      </c>
      <c r="I149" s="130"/>
      <c r="J149" s="174">
        <v>0</v>
      </c>
      <c r="K149" s="174">
        <v>0</v>
      </c>
      <c r="L149" s="174">
        <v>0</v>
      </c>
      <c r="M149" s="174">
        <v>0</v>
      </c>
      <c r="N149" s="174">
        <v>0</v>
      </c>
      <c r="O149" s="174">
        <v>0</v>
      </c>
      <c r="P149" s="174">
        <v>0</v>
      </c>
      <c r="Q149" s="174">
        <v>0</v>
      </c>
      <c r="R149" s="174">
        <v>0</v>
      </c>
      <c r="S149" s="215">
        <v>0</v>
      </c>
      <c r="T149" s="71">
        <f t="shared" si="70"/>
        <v>0</v>
      </c>
      <c r="U149" s="71">
        <f t="shared" si="71"/>
        <v>0</v>
      </c>
      <c r="V149" s="117">
        <v>0</v>
      </c>
      <c r="W149" s="117">
        <v>0</v>
      </c>
      <c r="X149" s="71">
        <f t="shared" si="72"/>
        <v>0</v>
      </c>
      <c r="Y149" s="71">
        <f t="shared" si="73"/>
        <v>0</v>
      </c>
      <c r="AA149" s="65"/>
      <c r="AC149" s="71">
        <f t="shared" si="74"/>
        <v>0</v>
      </c>
      <c r="AD149" s="39"/>
      <c r="AE149" s="7"/>
      <c r="AF149" s="15"/>
      <c r="AG149" s="71" t="b">
        <f t="shared" si="75"/>
        <v>1</v>
      </c>
      <c r="AI149" s="71">
        <f t="shared" si="76"/>
        <v>0</v>
      </c>
      <c r="AJ149" s="39"/>
      <c r="AK149" s="15"/>
      <c r="AL149" s="71" t="b">
        <f t="shared" si="77"/>
        <v>1</v>
      </c>
      <c r="AN149" s="65"/>
    </row>
    <row r="150" spans="2:40 16128:16147" ht="13" customHeight="1" thickBot="1">
      <c r="E150" s="120" t="s">
        <v>0</v>
      </c>
      <c r="F150" s="121" t="s">
        <v>53</v>
      </c>
      <c r="G150" s="121"/>
      <c r="H150" s="121"/>
      <c r="I150" s="121"/>
      <c r="J150" s="122">
        <f t="shared" ref="J150:Y150" si="87">SUM(J125:J149)</f>
        <v>0</v>
      </c>
      <c r="K150" s="122">
        <f t="shared" si="87"/>
        <v>0</v>
      </c>
      <c r="L150" s="122">
        <f t="shared" si="87"/>
        <v>0</v>
      </c>
      <c r="M150" s="122">
        <f t="shared" si="87"/>
        <v>0</v>
      </c>
      <c r="N150" s="122">
        <f t="shared" si="87"/>
        <v>0</v>
      </c>
      <c r="O150" s="122">
        <f t="shared" si="87"/>
        <v>0</v>
      </c>
      <c r="P150" s="122">
        <f t="shared" si="87"/>
        <v>0</v>
      </c>
      <c r="Q150" s="122">
        <f t="shared" si="87"/>
        <v>0</v>
      </c>
      <c r="R150" s="122">
        <f t="shared" si="87"/>
        <v>162</v>
      </c>
      <c r="S150" s="122">
        <f t="shared" si="87"/>
        <v>7073230</v>
      </c>
      <c r="T150" s="122">
        <f t="shared" si="87"/>
        <v>162</v>
      </c>
      <c r="U150" s="122">
        <f t="shared" si="87"/>
        <v>7073230</v>
      </c>
      <c r="V150" s="123">
        <f t="shared" si="87"/>
        <v>162</v>
      </c>
      <c r="W150" s="123">
        <f t="shared" si="87"/>
        <v>7073230</v>
      </c>
      <c r="X150" s="122">
        <f t="shared" si="87"/>
        <v>0</v>
      </c>
      <c r="Y150" s="123">
        <f t="shared" si="87"/>
        <v>0</v>
      </c>
      <c r="AA150" s="65"/>
      <c r="AC150" s="122">
        <f>SUM(AC125:AC149)</f>
        <v>0</v>
      </c>
      <c r="AD150" s="122">
        <f>SUM(AD125:AD149)</f>
        <v>0</v>
      </c>
      <c r="AE150" s="122">
        <f>SUM(AE125:AE149)</f>
        <v>0</v>
      </c>
      <c r="AF150" s="123">
        <f>SUM(AF125:AF149)</f>
        <v>0</v>
      </c>
      <c r="AG150" s="100"/>
      <c r="AI150" s="122">
        <f>SUM(AI125:AI149)</f>
        <v>0</v>
      </c>
      <c r="AJ150" s="122">
        <f>SUM(AJ125:AJ149)</f>
        <v>0</v>
      </c>
      <c r="AK150" s="123">
        <f>SUM(AK125:AK149)</f>
        <v>0</v>
      </c>
      <c r="AL150" s="100"/>
      <c r="AN150" s="65"/>
    </row>
    <row r="151" spans="2:40 16128:16147" ht="13" thickBot="1">
      <c r="AA151" s="65"/>
      <c r="AN151" s="65"/>
    </row>
    <row r="152" spans="2:40 16128:16147" ht="41.25" customHeight="1" thickBot="1">
      <c r="B152" s="112" t="s">
        <v>4</v>
      </c>
      <c r="C152" s="34" t="s">
        <v>6</v>
      </c>
      <c r="D152" s="34" t="s">
        <v>7</v>
      </c>
      <c r="E152" s="34" t="s">
        <v>49</v>
      </c>
      <c r="F152" s="34" t="s">
        <v>50</v>
      </c>
      <c r="G152" s="34" t="s">
        <v>51</v>
      </c>
      <c r="H152" s="34" t="s">
        <v>52</v>
      </c>
      <c r="I152" s="34" t="s">
        <v>13</v>
      </c>
      <c r="J152" s="12" t="s">
        <v>8</v>
      </c>
      <c r="K152" s="12" t="s">
        <v>36</v>
      </c>
      <c r="L152" s="12" t="s">
        <v>9</v>
      </c>
      <c r="M152" s="12" t="s">
        <v>37</v>
      </c>
      <c r="N152" s="87" t="s">
        <v>10</v>
      </c>
      <c r="O152" s="88" t="s">
        <v>38</v>
      </c>
      <c r="P152" s="87" t="s">
        <v>11</v>
      </c>
      <c r="Q152" s="88" t="s">
        <v>39</v>
      </c>
      <c r="R152" s="87" t="s">
        <v>12</v>
      </c>
      <c r="S152" s="88" t="s">
        <v>40</v>
      </c>
      <c r="T152" s="64" t="s">
        <v>41</v>
      </c>
      <c r="U152" s="64" t="s">
        <v>42</v>
      </c>
      <c r="V152" s="35" t="s">
        <v>32</v>
      </c>
      <c r="W152" s="67" t="s">
        <v>35</v>
      </c>
      <c r="X152" s="12" t="s">
        <v>34</v>
      </c>
      <c r="Y152" s="68" t="s">
        <v>33</v>
      </c>
      <c r="AA152" s="66"/>
      <c r="AC152" s="12" t="s">
        <v>34</v>
      </c>
      <c r="AD152" s="12" t="s">
        <v>45</v>
      </c>
      <c r="AE152" s="12" t="s">
        <v>43</v>
      </c>
      <c r="AF152" s="12" t="s">
        <v>44</v>
      </c>
      <c r="AG152" s="12" t="s">
        <v>46</v>
      </c>
      <c r="AI152" s="12" t="s">
        <v>33</v>
      </c>
      <c r="AJ152" s="12" t="s">
        <v>47</v>
      </c>
      <c r="AK152" s="12" t="s">
        <v>48</v>
      </c>
      <c r="AL152" s="12" t="s">
        <v>46</v>
      </c>
      <c r="AN152" s="66"/>
      <c r="WVH152" s="1"/>
      <c r="WVI152" s="1"/>
      <c r="WVZ152"/>
      <c r="WWA152"/>
    </row>
    <row r="153" spans="2:40 16128:16147" ht="13" customHeight="1">
      <c r="B153" s="119" t="s">
        <v>72</v>
      </c>
      <c r="C153" s="24">
        <f>IF(D153&lt;=15,$C$1,$C$2)</f>
        <v>2026091</v>
      </c>
      <c r="D153" s="24">
        <v>6</v>
      </c>
      <c r="E153" s="127">
        <v>20</v>
      </c>
      <c r="F153" s="125" t="str">
        <f>VLOOKUP(E153,'Códigos bancos'!$B$4:$C$29,2,0)</f>
        <v>Bancolombia ENERBIT</v>
      </c>
      <c r="G153" s="18">
        <v>1</v>
      </c>
      <c r="H153" s="125" t="str">
        <f>VLOOKUP(G153,'Códigos bancos'!$F$4:$G$14,2,0)</f>
        <v>Oficinas</v>
      </c>
      <c r="I153" s="129"/>
      <c r="J153" s="213">
        <v>0</v>
      </c>
      <c r="K153" s="213">
        <v>0</v>
      </c>
      <c r="L153" s="213">
        <v>0</v>
      </c>
      <c r="M153" s="213">
        <v>0</v>
      </c>
      <c r="N153" s="213">
        <v>0</v>
      </c>
      <c r="O153" s="213">
        <v>0</v>
      </c>
      <c r="P153" s="213">
        <v>0</v>
      </c>
      <c r="Q153" s="213">
        <v>0</v>
      </c>
      <c r="R153" s="174">
        <v>143</v>
      </c>
      <c r="S153" s="215">
        <v>6433210</v>
      </c>
      <c r="T153" s="70">
        <f>J153+L153+N153+P153+R153</f>
        <v>143</v>
      </c>
      <c r="U153" s="70">
        <f>K153+M153+O153+Q153+S153</f>
        <v>6433210</v>
      </c>
      <c r="V153" s="174">
        <v>143</v>
      </c>
      <c r="W153" s="215">
        <v>6433210</v>
      </c>
      <c r="X153" s="70">
        <f>V153-T153</f>
        <v>0</v>
      </c>
      <c r="Y153" s="70">
        <f>W153-U153</f>
        <v>0</v>
      </c>
      <c r="AA153" s="65"/>
      <c r="AC153" s="124">
        <f>X153</f>
        <v>0</v>
      </c>
      <c r="AD153" s="115"/>
      <c r="AE153" s="16"/>
      <c r="AF153" s="114"/>
      <c r="AG153" s="124" t="b">
        <f>AC153=(AD153+AE153+AF153)</f>
        <v>1</v>
      </c>
      <c r="AI153" s="70">
        <f>Y153</f>
        <v>0</v>
      </c>
      <c r="AJ153" s="115"/>
      <c r="AK153" s="114"/>
      <c r="AL153" s="70" t="b">
        <f>AI153=(AJ153+AK153)</f>
        <v>1</v>
      </c>
      <c r="AN153" s="65"/>
    </row>
    <row r="154" spans="2:40 16128:16147" ht="13.5" customHeight="1">
      <c r="B154" s="119"/>
      <c r="C154" s="23">
        <f t="shared" ref="C154:C177" si="88">IF(D154&lt;=15,$C$1,$C$2)</f>
        <v>2026091</v>
      </c>
      <c r="D154" s="23">
        <v>6</v>
      </c>
      <c r="E154" s="128">
        <v>0</v>
      </c>
      <c r="F154" s="126" t="e">
        <f>VLOOKUP(E154,'Códigos bancos'!$B$4:$C$29,2,0)</f>
        <v>#N/A</v>
      </c>
      <c r="G154" s="36">
        <v>1</v>
      </c>
      <c r="H154" s="126" t="str">
        <f>VLOOKUP(G154,'Códigos bancos'!$F$4:$G$14,2,0)</f>
        <v>Oficinas</v>
      </c>
      <c r="I154" s="130"/>
      <c r="J154" s="174">
        <v>0</v>
      </c>
      <c r="K154" s="174">
        <v>0</v>
      </c>
      <c r="L154" s="174">
        <v>0</v>
      </c>
      <c r="M154" s="174">
        <v>0</v>
      </c>
      <c r="N154" s="174">
        <v>0</v>
      </c>
      <c r="O154" s="174">
        <v>0</v>
      </c>
      <c r="P154" s="174">
        <v>0</v>
      </c>
      <c r="Q154" s="174">
        <v>0</v>
      </c>
      <c r="R154" s="174">
        <v>0</v>
      </c>
      <c r="S154" s="215">
        <v>0</v>
      </c>
      <c r="T154" s="71">
        <f t="shared" ref="T154:T177" si="89">J154+L154+N154+P154+R154</f>
        <v>0</v>
      </c>
      <c r="U154" s="71">
        <f t="shared" ref="U154:U177" si="90">K154+M154+O154+Q154+S154</f>
        <v>0</v>
      </c>
      <c r="V154" s="117">
        <v>0</v>
      </c>
      <c r="W154" s="117">
        <v>0</v>
      </c>
      <c r="X154" s="71">
        <f t="shared" ref="X154:X177" si="91">V154-T154</f>
        <v>0</v>
      </c>
      <c r="Y154" s="71">
        <f t="shared" ref="Y154:Y177" si="92">W154-U154</f>
        <v>0</v>
      </c>
      <c r="AA154" s="65"/>
      <c r="AC154" s="71">
        <f t="shared" ref="AC154:AC177" si="93">X154</f>
        <v>0</v>
      </c>
      <c r="AD154" s="39"/>
      <c r="AE154" s="7"/>
      <c r="AF154" s="15"/>
      <c r="AG154" s="71" t="b">
        <f t="shared" ref="AG154:AG177" si="94">AC154=(AD154+AE154+AF154)</f>
        <v>1</v>
      </c>
      <c r="AI154" s="71">
        <f t="shared" ref="AI154:AI177" si="95">Y154</f>
        <v>0</v>
      </c>
      <c r="AJ154" s="39"/>
      <c r="AK154" s="15"/>
      <c r="AL154" s="71" t="b">
        <f t="shared" ref="AL154:AL177" si="96">AI154=(AJ154+AK154)</f>
        <v>1</v>
      </c>
      <c r="AN154" s="65"/>
    </row>
    <row r="155" spans="2:40 16128:16147" ht="13" customHeight="1">
      <c r="B155" s="217"/>
      <c r="C155" s="23">
        <f t="shared" si="88"/>
        <v>2026091</v>
      </c>
      <c r="D155" s="23">
        <v>6</v>
      </c>
      <c r="E155" s="128">
        <v>0</v>
      </c>
      <c r="F155" s="126" t="e">
        <f>VLOOKUP(E155,'Códigos bancos'!$B$4:$C$29,2,0)</f>
        <v>#N/A</v>
      </c>
      <c r="G155" s="36">
        <v>1</v>
      </c>
      <c r="H155" s="126" t="str">
        <f>VLOOKUP(G155,'Códigos bancos'!$F$4:$G$14,2,0)</f>
        <v>Oficinas</v>
      </c>
      <c r="I155" s="130"/>
      <c r="J155" s="174">
        <v>0</v>
      </c>
      <c r="K155" s="174">
        <v>0</v>
      </c>
      <c r="L155" s="174">
        <v>0</v>
      </c>
      <c r="M155" s="174">
        <v>0</v>
      </c>
      <c r="N155" s="174">
        <v>0</v>
      </c>
      <c r="O155" s="174">
        <v>0</v>
      </c>
      <c r="P155" s="174">
        <v>0</v>
      </c>
      <c r="Q155" s="174">
        <v>0</v>
      </c>
      <c r="R155" s="174">
        <v>0</v>
      </c>
      <c r="S155" s="215">
        <v>0</v>
      </c>
      <c r="T155" s="71">
        <f t="shared" si="89"/>
        <v>0</v>
      </c>
      <c r="U155" s="71">
        <f t="shared" si="90"/>
        <v>0</v>
      </c>
      <c r="V155" s="117">
        <v>0</v>
      </c>
      <c r="W155" s="117">
        <v>0</v>
      </c>
      <c r="X155" s="71">
        <f t="shared" si="91"/>
        <v>0</v>
      </c>
      <c r="Y155" s="71">
        <f t="shared" si="92"/>
        <v>0</v>
      </c>
      <c r="AA155" s="65"/>
      <c r="AC155" s="71">
        <f t="shared" si="93"/>
        <v>0</v>
      </c>
      <c r="AD155" s="45"/>
      <c r="AE155" s="14"/>
      <c r="AF155" s="46"/>
      <c r="AG155" s="71" t="b">
        <f t="shared" si="94"/>
        <v>1</v>
      </c>
      <c r="AI155" s="71">
        <f t="shared" si="95"/>
        <v>0</v>
      </c>
      <c r="AJ155" s="45"/>
      <c r="AK155" s="46"/>
      <c r="AL155" s="71" t="b">
        <f t="shared" si="96"/>
        <v>1</v>
      </c>
      <c r="AN155" s="65"/>
    </row>
    <row r="156" spans="2:40 16128:16147" ht="13" customHeight="1">
      <c r="B156" s="217"/>
      <c r="C156" s="23">
        <f t="shared" si="88"/>
        <v>2026091</v>
      </c>
      <c r="D156" s="23">
        <v>6</v>
      </c>
      <c r="E156" s="128">
        <v>0</v>
      </c>
      <c r="F156" s="126" t="e">
        <f>VLOOKUP(E156,'Códigos bancos'!$B$4:$C$29,2,0)</f>
        <v>#N/A</v>
      </c>
      <c r="G156" s="36">
        <v>1</v>
      </c>
      <c r="H156" s="126" t="str">
        <f>VLOOKUP(G156,'Códigos bancos'!$F$4:$G$14,2,0)</f>
        <v>Oficinas</v>
      </c>
      <c r="I156" s="130"/>
      <c r="J156" s="174">
        <v>0</v>
      </c>
      <c r="K156" s="174">
        <v>0</v>
      </c>
      <c r="L156" s="174">
        <v>0</v>
      </c>
      <c r="M156" s="174">
        <v>0</v>
      </c>
      <c r="N156" s="174">
        <v>0</v>
      </c>
      <c r="O156" s="174">
        <v>0</v>
      </c>
      <c r="P156" s="174">
        <v>0</v>
      </c>
      <c r="Q156" s="174">
        <v>0</v>
      </c>
      <c r="R156" s="174">
        <v>0</v>
      </c>
      <c r="S156" s="215">
        <v>0</v>
      </c>
      <c r="T156" s="71">
        <f t="shared" si="89"/>
        <v>0</v>
      </c>
      <c r="U156" s="71">
        <f t="shared" si="90"/>
        <v>0</v>
      </c>
      <c r="V156" s="117">
        <v>0</v>
      </c>
      <c r="W156" s="117">
        <v>0</v>
      </c>
      <c r="X156" s="71">
        <f t="shared" si="91"/>
        <v>0</v>
      </c>
      <c r="Y156" s="71">
        <f t="shared" si="92"/>
        <v>0</v>
      </c>
      <c r="AA156" s="65"/>
      <c r="AC156" s="71">
        <f t="shared" si="93"/>
        <v>0</v>
      </c>
      <c r="AD156" s="39"/>
      <c r="AE156" s="7"/>
      <c r="AF156" s="15"/>
      <c r="AG156" s="71" t="b">
        <f t="shared" si="94"/>
        <v>1</v>
      </c>
      <c r="AI156" s="71">
        <f t="shared" si="95"/>
        <v>0</v>
      </c>
      <c r="AJ156" s="39"/>
      <c r="AK156" s="15"/>
      <c r="AL156" s="71" t="b">
        <f t="shared" si="96"/>
        <v>1</v>
      </c>
      <c r="AN156" s="65"/>
    </row>
    <row r="157" spans="2:40 16128:16147" ht="13" customHeight="1">
      <c r="B157" s="217"/>
      <c r="C157" s="23">
        <f t="shared" si="88"/>
        <v>2026091</v>
      </c>
      <c r="D157" s="23">
        <v>6</v>
      </c>
      <c r="E157" s="128">
        <v>0</v>
      </c>
      <c r="F157" s="126" t="e">
        <f>VLOOKUP(E157,'Códigos bancos'!$B$4:$C$29,2,0)</f>
        <v>#N/A</v>
      </c>
      <c r="G157" s="36">
        <v>1</v>
      </c>
      <c r="H157" s="126" t="str">
        <f>VLOOKUP(G157,'Códigos bancos'!$F$4:$G$14,2,0)</f>
        <v>Oficinas</v>
      </c>
      <c r="I157" s="130"/>
      <c r="J157" s="174">
        <v>0</v>
      </c>
      <c r="K157" s="174">
        <v>0</v>
      </c>
      <c r="L157" s="174">
        <v>0</v>
      </c>
      <c r="M157" s="174">
        <v>0</v>
      </c>
      <c r="N157" s="174">
        <v>0</v>
      </c>
      <c r="O157" s="174">
        <v>0</v>
      </c>
      <c r="P157" s="174">
        <v>0</v>
      </c>
      <c r="Q157" s="174">
        <v>0</v>
      </c>
      <c r="R157" s="174">
        <v>0</v>
      </c>
      <c r="S157" s="215">
        <v>0</v>
      </c>
      <c r="T157" s="71">
        <f t="shared" si="89"/>
        <v>0</v>
      </c>
      <c r="U157" s="71">
        <f t="shared" si="90"/>
        <v>0</v>
      </c>
      <c r="V157" s="117">
        <v>0</v>
      </c>
      <c r="W157" s="117">
        <v>0</v>
      </c>
      <c r="X157" s="71">
        <f t="shared" si="91"/>
        <v>0</v>
      </c>
      <c r="Y157" s="71">
        <f t="shared" si="92"/>
        <v>0</v>
      </c>
      <c r="AA157" s="65"/>
      <c r="AC157" s="71">
        <f t="shared" si="93"/>
        <v>0</v>
      </c>
      <c r="AD157" s="39"/>
      <c r="AE157" s="7"/>
      <c r="AF157" s="15"/>
      <c r="AG157" s="71" t="b">
        <f t="shared" si="94"/>
        <v>1</v>
      </c>
      <c r="AI157" s="71">
        <f t="shared" si="95"/>
        <v>0</v>
      </c>
      <c r="AJ157" s="39"/>
      <c r="AK157" s="15"/>
      <c r="AL157" s="71" t="b">
        <f t="shared" si="96"/>
        <v>1</v>
      </c>
      <c r="AN157" s="65"/>
    </row>
    <row r="158" spans="2:40 16128:16147" ht="13" customHeight="1">
      <c r="B158" s="217"/>
      <c r="C158" s="23">
        <f t="shared" si="88"/>
        <v>2026091</v>
      </c>
      <c r="D158" s="23">
        <v>6</v>
      </c>
      <c r="E158" s="128">
        <v>0</v>
      </c>
      <c r="F158" s="126" t="e">
        <f>VLOOKUP(E158,'Códigos bancos'!$B$4:$C$29,2,0)</f>
        <v>#N/A</v>
      </c>
      <c r="G158" s="36">
        <v>1</v>
      </c>
      <c r="H158" s="126" t="str">
        <f>VLOOKUP(G158,'Códigos bancos'!$F$4:$G$14,2,0)</f>
        <v>Oficinas</v>
      </c>
      <c r="I158" s="130"/>
      <c r="J158" s="174">
        <v>0</v>
      </c>
      <c r="K158" s="174">
        <v>0</v>
      </c>
      <c r="L158" s="174">
        <v>0</v>
      </c>
      <c r="M158" s="174">
        <v>0</v>
      </c>
      <c r="N158" s="174">
        <v>0</v>
      </c>
      <c r="O158" s="174">
        <v>0</v>
      </c>
      <c r="P158" s="174">
        <v>0</v>
      </c>
      <c r="Q158" s="174">
        <v>0</v>
      </c>
      <c r="R158" s="174">
        <v>0</v>
      </c>
      <c r="S158" s="215">
        <v>0</v>
      </c>
      <c r="T158" s="71">
        <f t="shared" si="89"/>
        <v>0</v>
      </c>
      <c r="U158" s="71">
        <f t="shared" si="90"/>
        <v>0</v>
      </c>
      <c r="V158" s="117">
        <v>0</v>
      </c>
      <c r="W158" s="117">
        <v>0</v>
      </c>
      <c r="X158" s="71">
        <f t="shared" si="91"/>
        <v>0</v>
      </c>
      <c r="Y158" s="71">
        <f t="shared" si="92"/>
        <v>0</v>
      </c>
      <c r="AA158" s="65"/>
      <c r="AC158" s="71">
        <f t="shared" si="93"/>
        <v>0</v>
      </c>
      <c r="AD158" s="39"/>
      <c r="AE158" s="7"/>
      <c r="AF158" s="15"/>
      <c r="AG158" s="71" t="b">
        <f t="shared" si="94"/>
        <v>1</v>
      </c>
      <c r="AI158" s="71">
        <f t="shared" si="95"/>
        <v>0</v>
      </c>
      <c r="AJ158" s="39"/>
      <c r="AK158" s="15"/>
      <c r="AL158" s="71" t="b">
        <f t="shared" si="96"/>
        <v>1</v>
      </c>
      <c r="AN158" s="65"/>
    </row>
    <row r="159" spans="2:40 16128:16147" ht="13" customHeight="1">
      <c r="B159" s="217"/>
      <c r="C159" s="23">
        <f t="shared" si="88"/>
        <v>2026091</v>
      </c>
      <c r="D159" s="23">
        <v>6</v>
      </c>
      <c r="E159" s="128">
        <v>0</v>
      </c>
      <c r="F159" s="126" t="e">
        <f>VLOOKUP(E159,'Códigos bancos'!$B$4:$C$29,2,0)</f>
        <v>#N/A</v>
      </c>
      <c r="G159" s="36">
        <v>1</v>
      </c>
      <c r="H159" s="126" t="str">
        <f>VLOOKUP(G159,'Códigos bancos'!$F$4:$G$14,2,0)</f>
        <v>Oficinas</v>
      </c>
      <c r="I159" s="130"/>
      <c r="J159" s="174">
        <v>0</v>
      </c>
      <c r="K159" s="174">
        <v>0</v>
      </c>
      <c r="L159" s="174">
        <v>0</v>
      </c>
      <c r="M159" s="174">
        <v>0</v>
      </c>
      <c r="N159" s="174">
        <v>0</v>
      </c>
      <c r="O159" s="174">
        <v>0</v>
      </c>
      <c r="P159" s="174">
        <v>0</v>
      </c>
      <c r="Q159" s="174">
        <v>0</v>
      </c>
      <c r="R159" s="174">
        <v>0</v>
      </c>
      <c r="S159" s="215">
        <v>0</v>
      </c>
      <c r="T159" s="71">
        <f t="shared" si="89"/>
        <v>0</v>
      </c>
      <c r="U159" s="71">
        <f t="shared" si="90"/>
        <v>0</v>
      </c>
      <c r="V159" s="117">
        <v>0</v>
      </c>
      <c r="W159" s="117">
        <v>0</v>
      </c>
      <c r="X159" s="71">
        <f t="shared" si="91"/>
        <v>0</v>
      </c>
      <c r="Y159" s="71">
        <f t="shared" si="92"/>
        <v>0</v>
      </c>
      <c r="AA159" s="65"/>
      <c r="AC159" s="71">
        <f t="shared" si="93"/>
        <v>0</v>
      </c>
      <c r="AD159" s="39"/>
      <c r="AE159" s="7"/>
      <c r="AF159" s="15"/>
      <c r="AG159" s="71" t="b">
        <f t="shared" si="94"/>
        <v>1</v>
      </c>
      <c r="AI159" s="71">
        <f t="shared" si="95"/>
        <v>0</v>
      </c>
      <c r="AJ159" s="39"/>
      <c r="AK159" s="15"/>
      <c r="AL159" s="71" t="b">
        <f t="shared" si="96"/>
        <v>1</v>
      </c>
      <c r="AN159" s="65"/>
    </row>
    <row r="160" spans="2:40 16128:16147" ht="13" customHeight="1">
      <c r="B160" s="217"/>
      <c r="C160" s="23">
        <f t="shared" si="88"/>
        <v>2026091</v>
      </c>
      <c r="D160" s="23">
        <v>6</v>
      </c>
      <c r="E160" s="128">
        <v>0</v>
      </c>
      <c r="F160" s="126" t="e">
        <f>VLOOKUP(E160,'Códigos bancos'!$B$4:$C$29,2,0)</f>
        <v>#N/A</v>
      </c>
      <c r="G160" s="36">
        <v>1</v>
      </c>
      <c r="H160" s="126" t="str">
        <f>VLOOKUP(G160,'Códigos bancos'!$F$4:$G$14,2,0)</f>
        <v>Oficinas</v>
      </c>
      <c r="I160" s="130"/>
      <c r="J160" s="174">
        <v>0</v>
      </c>
      <c r="K160" s="174">
        <v>0</v>
      </c>
      <c r="L160" s="174">
        <v>0</v>
      </c>
      <c r="M160" s="174">
        <v>0</v>
      </c>
      <c r="N160" s="174">
        <v>0</v>
      </c>
      <c r="O160" s="174">
        <v>0</v>
      </c>
      <c r="P160" s="174">
        <v>0</v>
      </c>
      <c r="Q160" s="174">
        <v>0</v>
      </c>
      <c r="R160" s="174">
        <v>0</v>
      </c>
      <c r="S160" s="215">
        <v>0</v>
      </c>
      <c r="T160" s="71">
        <f t="shared" si="89"/>
        <v>0</v>
      </c>
      <c r="U160" s="71">
        <f t="shared" si="90"/>
        <v>0</v>
      </c>
      <c r="V160" s="117">
        <v>0</v>
      </c>
      <c r="W160" s="117">
        <v>0</v>
      </c>
      <c r="X160" s="71">
        <f t="shared" si="91"/>
        <v>0</v>
      </c>
      <c r="Y160" s="71">
        <f t="shared" si="92"/>
        <v>0</v>
      </c>
      <c r="AA160" s="65"/>
      <c r="AC160" s="71">
        <f t="shared" si="93"/>
        <v>0</v>
      </c>
      <c r="AD160" s="39"/>
      <c r="AE160" s="7"/>
      <c r="AF160" s="15"/>
      <c r="AG160" s="71" t="b">
        <f t="shared" si="94"/>
        <v>1</v>
      </c>
      <c r="AI160" s="71">
        <f t="shared" si="95"/>
        <v>0</v>
      </c>
      <c r="AJ160" s="39"/>
      <c r="AK160" s="15"/>
      <c r="AL160" s="71" t="b">
        <f t="shared" si="96"/>
        <v>1</v>
      </c>
      <c r="AN160" s="65"/>
    </row>
    <row r="161" spans="2:40" ht="13" customHeight="1">
      <c r="B161" s="217"/>
      <c r="C161" s="23">
        <f t="shared" si="88"/>
        <v>2026091</v>
      </c>
      <c r="D161" s="23">
        <v>6</v>
      </c>
      <c r="E161" s="128">
        <v>0</v>
      </c>
      <c r="F161" s="126" t="e">
        <f>VLOOKUP(E161,'Códigos bancos'!$B$4:$C$29,2,0)</f>
        <v>#N/A</v>
      </c>
      <c r="G161" s="36">
        <v>1</v>
      </c>
      <c r="H161" s="126" t="str">
        <f>VLOOKUP(G161,'Códigos bancos'!$F$4:$G$14,2,0)</f>
        <v>Oficinas</v>
      </c>
      <c r="I161" s="130"/>
      <c r="J161" s="174">
        <v>0</v>
      </c>
      <c r="K161" s="174">
        <v>0</v>
      </c>
      <c r="L161" s="174">
        <v>0</v>
      </c>
      <c r="M161" s="174">
        <v>0</v>
      </c>
      <c r="N161" s="174">
        <v>0</v>
      </c>
      <c r="O161" s="174">
        <v>0</v>
      </c>
      <c r="P161" s="174">
        <v>0</v>
      </c>
      <c r="Q161" s="174">
        <v>0</v>
      </c>
      <c r="R161" s="174">
        <v>0</v>
      </c>
      <c r="S161" s="215">
        <v>0</v>
      </c>
      <c r="T161" s="71">
        <f t="shared" si="89"/>
        <v>0</v>
      </c>
      <c r="U161" s="71">
        <f t="shared" si="90"/>
        <v>0</v>
      </c>
      <c r="V161" s="117">
        <v>0</v>
      </c>
      <c r="W161" s="117">
        <v>0</v>
      </c>
      <c r="X161" s="71">
        <f t="shared" si="91"/>
        <v>0</v>
      </c>
      <c r="Y161" s="71">
        <f t="shared" si="92"/>
        <v>0</v>
      </c>
      <c r="AA161" s="65"/>
      <c r="AC161" s="71">
        <f t="shared" si="93"/>
        <v>0</v>
      </c>
      <c r="AD161" s="39"/>
      <c r="AE161" s="7"/>
      <c r="AF161" s="15"/>
      <c r="AG161" s="71" t="b">
        <f t="shared" si="94"/>
        <v>1</v>
      </c>
      <c r="AI161" s="71">
        <f t="shared" si="95"/>
        <v>0</v>
      </c>
      <c r="AJ161" s="39"/>
      <c r="AK161" s="15"/>
      <c r="AL161" s="71" t="b">
        <f t="shared" si="96"/>
        <v>1</v>
      </c>
      <c r="AN161" s="65"/>
    </row>
    <row r="162" spans="2:40" ht="13" customHeight="1">
      <c r="B162" s="217"/>
      <c r="C162" s="23">
        <f t="shared" si="88"/>
        <v>2026091</v>
      </c>
      <c r="D162" s="23">
        <v>6</v>
      </c>
      <c r="E162" s="128">
        <v>0</v>
      </c>
      <c r="F162" s="126" t="e">
        <f>VLOOKUP(E162,'Códigos bancos'!$B$4:$C$29,2,0)</f>
        <v>#N/A</v>
      </c>
      <c r="G162" s="36">
        <v>1</v>
      </c>
      <c r="H162" s="126" t="str">
        <f>VLOOKUP(G162,'Códigos bancos'!$F$4:$G$14,2,0)</f>
        <v>Oficinas</v>
      </c>
      <c r="I162" s="130"/>
      <c r="J162" s="174">
        <v>0</v>
      </c>
      <c r="K162" s="174">
        <v>0</v>
      </c>
      <c r="L162" s="174">
        <v>0</v>
      </c>
      <c r="M162" s="174">
        <v>0</v>
      </c>
      <c r="N162" s="174">
        <v>0</v>
      </c>
      <c r="O162" s="174">
        <v>0</v>
      </c>
      <c r="P162" s="174">
        <v>0</v>
      </c>
      <c r="Q162" s="174">
        <v>0</v>
      </c>
      <c r="R162" s="174">
        <v>0</v>
      </c>
      <c r="S162" s="215">
        <v>0</v>
      </c>
      <c r="T162" s="71">
        <f t="shared" si="89"/>
        <v>0</v>
      </c>
      <c r="U162" s="71">
        <f t="shared" si="90"/>
        <v>0</v>
      </c>
      <c r="V162" s="117">
        <v>0</v>
      </c>
      <c r="W162" s="117">
        <v>0</v>
      </c>
      <c r="X162" s="71">
        <f t="shared" si="91"/>
        <v>0</v>
      </c>
      <c r="Y162" s="71">
        <f t="shared" si="92"/>
        <v>0</v>
      </c>
      <c r="AA162" s="65"/>
      <c r="AC162" s="71">
        <f t="shared" si="93"/>
        <v>0</v>
      </c>
      <c r="AD162" s="39"/>
      <c r="AE162" s="7"/>
      <c r="AF162" s="15"/>
      <c r="AG162" s="71" t="b">
        <f t="shared" si="94"/>
        <v>1</v>
      </c>
      <c r="AI162" s="71">
        <f t="shared" si="95"/>
        <v>0</v>
      </c>
      <c r="AJ162" s="39"/>
      <c r="AK162" s="15"/>
      <c r="AL162" s="71" t="b">
        <f t="shared" si="96"/>
        <v>1</v>
      </c>
      <c r="AN162" s="65"/>
    </row>
    <row r="163" spans="2:40" ht="13" customHeight="1">
      <c r="B163" s="217"/>
      <c r="C163" s="23">
        <f t="shared" si="88"/>
        <v>2026091</v>
      </c>
      <c r="D163" s="23">
        <v>6</v>
      </c>
      <c r="E163" s="128">
        <v>0</v>
      </c>
      <c r="F163" s="126" t="e">
        <f>VLOOKUP(E163,'Códigos bancos'!$B$4:$C$29,2,0)</f>
        <v>#N/A</v>
      </c>
      <c r="G163" s="36">
        <v>1</v>
      </c>
      <c r="H163" s="126" t="str">
        <f>VLOOKUP(G163,'Códigos bancos'!$F$4:$G$14,2,0)</f>
        <v>Oficinas</v>
      </c>
      <c r="I163" s="130"/>
      <c r="J163" s="174">
        <v>0</v>
      </c>
      <c r="K163" s="174">
        <v>0</v>
      </c>
      <c r="L163" s="174">
        <v>0</v>
      </c>
      <c r="M163" s="174">
        <v>0</v>
      </c>
      <c r="N163" s="174">
        <v>0</v>
      </c>
      <c r="O163" s="174">
        <v>0</v>
      </c>
      <c r="P163" s="174">
        <v>0</v>
      </c>
      <c r="Q163" s="174">
        <v>0</v>
      </c>
      <c r="R163" s="174">
        <v>0</v>
      </c>
      <c r="S163" s="215">
        <v>0</v>
      </c>
      <c r="T163" s="71">
        <f t="shared" si="89"/>
        <v>0</v>
      </c>
      <c r="U163" s="71">
        <f t="shared" si="90"/>
        <v>0</v>
      </c>
      <c r="V163" s="117">
        <v>0</v>
      </c>
      <c r="W163" s="117">
        <v>0</v>
      </c>
      <c r="X163" s="71">
        <f t="shared" si="91"/>
        <v>0</v>
      </c>
      <c r="Y163" s="71">
        <f t="shared" si="92"/>
        <v>0</v>
      </c>
      <c r="AA163" s="65"/>
      <c r="AC163" s="71">
        <f t="shared" si="93"/>
        <v>0</v>
      </c>
      <c r="AD163" s="39"/>
      <c r="AE163" s="7"/>
      <c r="AF163" s="15"/>
      <c r="AG163" s="71" t="b">
        <f t="shared" si="94"/>
        <v>1</v>
      </c>
      <c r="AI163" s="71">
        <f t="shared" si="95"/>
        <v>0</v>
      </c>
      <c r="AJ163" s="39"/>
      <c r="AK163" s="15"/>
      <c r="AL163" s="71" t="b">
        <f t="shared" si="96"/>
        <v>1</v>
      </c>
      <c r="AN163" s="65"/>
    </row>
    <row r="164" spans="2:40" ht="13" customHeight="1">
      <c r="B164" s="217"/>
      <c r="C164" s="23">
        <f t="shared" si="88"/>
        <v>2026091</v>
      </c>
      <c r="D164" s="23">
        <v>6</v>
      </c>
      <c r="E164" s="128">
        <v>0</v>
      </c>
      <c r="F164" s="126" t="e">
        <f>VLOOKUP(E164,'Códigos bancos'!$B$4:$C$29,2,0)</f>
        <v>#N/A</v>
      </c>
      <c r="G164" s="36">
        <v>1</v>
      </c>
      <c r="H164" s="126" t="str">
        <f>VLOOKUP(G164,'Códigos bancos'!$F$4:$G$14,2,0)</f>
        <v>Oficinas</v>
      </c>
      <c r="I164" s="130"/>
      <c r="J164" s="174">
        <v>0</v>
      </c>
      <c r="K164" s="174">
        <v>0</v>
      </c>
      <c r="L164" s="174">
        <v>0</v>
      </c>
      <c r="M164" s="174">
        <v>0</v>
      </c>
      <c r="N164" s="174">
        <v>0</v>
      </c>
      <c r="O164" s="174">
        <v>0</v>
      </c>
      <c r="P164" s="174">
        <v>0</v>
      </c>
      <c r="Q164" s="174">
        <v>0</v>
      </c>
      <c r="R164" s="174">
        <v>0</v>
      </c>
      <c r="S164" s="215">
        <v>0</v>
      </c>
      <c r="T164" s="71">
        <f t="shared" si="89"/>
        <v>0</v>
      </c>
      <c r="U164" s="71">
        <f t="shared" si="90"/>
        <v>0</v>
      </c>
      <c r="V164" s="117">
        <v>0</v>
      </c>
      <c r="W164" s="117">
        <v>0</v>
      </c>
      <c r="X164" s="71">
        <f t="shared" si="91"/>
        <v>0</v>
      </c>
      <c r="Y164" s="71">
        <f t="shared" si="92"/>
        <v>0</v>
      </c>
      <c r="AA164" s="65"/>
      <c r="AC164" s="71">
        <f t="shared" si="93"/>
        <v>0</v>
      </c>
      <c r="AD164" s="39"/>
      <c r="AE164" s="7"/>
      <c r="AF164" s="15"/>
      <c r="AG164" s="71" t="b">
        <f t="shared" si="94"/>
        <v>1</v>
      </c>
      <c r="AI164" s="71">
        <f t="shared" si="95"/>
        <v>0</v>
      </c>
      <c r="AJ164" s="39"/>
      <c r="AK164" s="15"/>
      <c r="AL164" s="71" t="b">
        <f t="shared" si="96"/>
        <v>1</v>
      </c>
      <c r="AN164" s="65"/>
    </row>
    <row r="165" spans="2:40" ht="13" customHeight="1">
      <c r="B165" s="217"/>
      <c r="C165" s="23">
        <f t="shared" si="88"/>
        <v>2026091</v>
      </c>
      <c r="D165" s="23">
        <v>6</v>
      </c>
      <c r="E165" s="128">
        <v>0</v>
      </c>
      <c r="F165" s="126" t="e">
        <f>VLOOKUP(E165,'Códigos bancos'!$B$4:$C$29,2,0)</f>
        <v>#N/A</v>
      </c>
      <c r="G165" s="36">
        <v>1</v>
      </c>
      <c r="H165" s="126" t="str">
        <f>VLOOKUP(G165,'Códigos bancos'!$F$4:$G$14,2,0)</f>
        <v>Oficinas</v>
      </c>
      <c r="I165" s="130"/>
      <c r="J165" s="174">
        <v>0</v>
      </c>
      <c r="K165" s="174">
        <v>0</v>
      </c>
      <c r="L165" s="174">
        <v>0</v>
      </c>
      <c r="M165" s="174">
        <v>0</v>
      </c>
      <c r="N165" s="174">
        <v>0</v>
      </c>
      <c r="O165" s="174">
        <v>0</v>
      </c>
      <c r="P165" s="174">
        <v>0</v>
      </c>
      <c r="Q165" s="174">
        <v>0</v>
      </c>
      <c r="R165" s="174">
        <v>0</v>
      </c>
      <c r="S165" s="215">
        <v>0</v>
      </c>
      <c r="T165" s="71">
        <f t="shared" si="89"/>
        <v>0</v>
      </c>
      <c r="U165" s="71">
        <f t="shared" si="90"/>
        <v>0</v>
      </c>
      <c r="V165" s="117">
        <v>0</v>
      </c>
      <c r="W165" s="117">
        <v>0</v>
      </c>
      <c r="X165" s="71">
        <f t="shared" si="91"/>
        <v>0</v>
      </c>
      <c r="Y165" s="71">
        <f t="shared" si="92"/>
        <v>0</v>
      </c>
      <c r="AA165" s="65"/>
      <c r="AC165" s="71">
        <f t="shared" si="93"/>
        <v>0</v>
      </c>
      <c r="AD165" s="39"/>
      <c r="AE165" s="7"/>
      <c r="AF165" s="15"/>
      <c r="AG165" s="71" t="b">
        <f t="shared" si="94"/>
        <v>1</v>
      </c>
      <c r="AI165" s="71">
        <f t="shared" si="95"/>
        <v>0</v>
      </c>
      <c r="AJ165" s="39"/>
      <c r="AK165" s="15"/>
      <c r="AL165" s="71" t="b">
        <f t="shared" si="96"/>
        <v>1</v>
      </c>
      <c r="AN165" s="65"/>
    </row>
    <row r="166" spans="2:40" ht="13" customHeight="1">
      <c r="B166" s="217"/>
      <c r="C166" s="23">
        <f t="shared" si="88"/>
        <v>2026091</v>
      </c>
      <c r="D166" s="23">
        <v>6</v>
      </c>
      <c r="E166" s="128">
        <v>0</v>
      </c>
      <c r="F166" s="126" t="e">
        <f>VLOOKUP(E166,'Códigos bancos'!$B$4:$C$29,2,0)</f>
        <v>#N/A</v>
      </c>
      <c r="G166" s="36">
        <v>1</v>
      </c>
      <c r="H166" s="126" t="str">
        <f>VLOOKUP(G166,'Códigos bancos'!$F$4:$G$14,2,0)</f>
        <v>Oficinas</v>
      </c>
      <c r="I166" s="130"/>
      <c r="J166" s="174">
        <v>0</v>
      </c>
      <c r="K166" s="174">
        <v>0</v>
      </c>
      <c r="L166" s="174">
        <v>0</v>
      </c>
      <c r="M166" s="174">
        <v>0</v>
      </c>
      <c r="N166" s="174">
        <v>0</v>
      </c>
      <c r="O166" s="174">
        <v>0</v>
      </c>
      <c r="P166" s="174">
        <v>0</v>
      </c>
      <c r="Q166" s="174">
        <v>0</v>
      </c>
      <c r="R166" s="174">
        <v>0</v>
      </c>
      <c r="S166" s="215">
        <v>0</v>
      </c>
      <c r="T166" s="71">
        <f t="shared" si="89"/>
        <v>0</v>
      </c>
      <c r="U166" s="71">
        <f t="shared" si="90"/>
        <v>0</v>
      </c>
      <c r="V166" s="117">
        <v>0</v>
      </c>
      <c r="W166" s="117">
        <v>0</v>
      </c>
      <c r="X166" s="71">
        <f t="shared" si="91"/>
        <v>0</v>
      </c>
      <c r="Y166" s="71">
        <f t="shared" si="92"/>
        <v>0</v>
      </c>
      <c r="AA166" s="65"/>
      <c r="AC166" s="71">
        <f t="shared" si="93"/>
        <v>0</v>
      </c>
      <c r="AD166" s="39"/>
      <c r="AE166" s="7"/>
      <c r="AF166" s="15"/>
      <c r="AG166" s="71" t="b">
        <f t="shared" si="94"/>
        <v>1</v>
      </c>
      <c r="AI166" s="71">
        <f t="shared" si="95"/>
        <v>0</v>
      </c>
      <c r="AJ166" s="39"/>
      <c r="AK166" s="15"/>
      <c r="AL166" s="71" t="b">
        <f t="shared" si="96"/>
        <v>1</v>
      </c>
      <c r="AN166" s="65"/>
    </row>
    <row r="167" spans="2:40" ht="13" customHeight="1">
      <c r="B167" s="217"/>
      <c r="C167" s="23">
        <f t="shared" si="88"/>
        <v>2026091</v>
      </c>
      <c r="D167" s="23">
        <v>6</v>
      </c>
      <c r="E167" s="128">
        <v>0</v>
      </c>
      <c r="F167" s="126" t="e">
        <f>VLOOKUP(E167,'Códigos bancos'!$B$4:$C$29,2,0)</f>
        <v>#N/A</v>
      </c>
      <c r="G167" s="36">
        <v>1</v>
      </c>
      <c r="H167" s="126" t="str">
        <f>VLOOKUP(G167,'Códigos bancos'!$F$4:$G$14,2,0)</f>
        <v>Oficinas</v>
      </c>
      <c r="I167" s="130"/>
      <c r="J167" s="174">
        <v>0</v>
      </c>
      <c r="K167" s="174">
        <v>0</v>
      </c>
      <c r="L167" s="174">
        <v>0</v>
      </c>
      <c r="M167" s="174">
        <v>0</v>
      </c>
      <c r="N167" s="174">
        <v>0</v>
      </c>
      <c r="O167" s="174">
        <v>0</v>
      </c>
      <c r="P167" s="174">
        <v>0</v>
      </c>
      <c r="Q167" s="174">
        <v>0</v>
      </c>
      <c r="R167" s="174">
        <v>0</v>
      </c>
      <c r="S167" s="215">
        <v>0</v>
      </c>
      <c r="T167" s="71">
        <f t="shared" si="89"/>
        <v>0</v>
      </c>
      <c r="U167" s="71">
        <f t="shared" si="90"/>
        <v>0</v>
      </c>
      <c r="V167" s="117">
        <v>0</v>
      </c>
      <c r="W167" s="117">
        <v>0</v>
      </c>
      <c r="X167" s="71">
        <f t="shared" si="91"/>
        <v>0</v>
      </c>
      <c r="Y167" s="71">
        <f t="shared" si="92"/>
        <v>0</v>
      </c>
      <c r="AA167" s="65"/>
      <c r="AC167" s="71">
        <f t="shared" si="93"/>
        <v>0</v>
      </c>
      <c r="AD167" s="39"/>
      <c r="AE167" s="7"/>
      <c r="AF167" s="15"/>
      <c r="AG167" s="71" t="b">
        <f t="shared" si="94"/>
        <v>1</v>
      </c>
      <c r="AI167" s="71">
        <f t="shared" si="95"/>
        <v>0</v>
      </c>
      <c r="AJ167" s="39"/>
      <c r="AK167" s="15"/>
      <c r="AL167" s="71" t="b">
        <f t="shared" si="96"/>
        <v>1</v>
      </c>
      <c r="AN167" s="65"/>
    </row>
    <row r="168" spans="2:40" ht="13" customHeight="1">
      <c r="B168" s="217"/>
      <c r="C168" s="23">
        <f t="shared" si="88"/>
        <v>2026091</v>
      </c>
      <c r="D168" s="23">
        <v>6</v>
      </c>
      <c r="E168" s="128">
        <v>0</v>
      </c>
      <c r="F168" s="126" t="e">
        <f>VLOOKUP(E168,'Códigos bancos'!$B$4:$C$29,2,0)</f>
        <v>#N/A</v>
      </c>
      <c r="G168" s="36">
        <v>1</v>
      </c>
      <c r="H168" s="126" t="str">
        <f>VLOOKUP(G168,'Códigos bancos'!$F$4:$G$14,2,0)</f>
        <v>Oficinas</v>
      </c>
      <c r="I168" s="130"/>
      <c r="J168" s="174">
        <v>0</v>
      </c>
      <c r="K168" s="174">
        <v>0</v>
      </c>
      <c r="L168" s="174">
        <v>0</v>
      </c>
      <c r="M168" s="174">
        <v>0</v>
      </c>
      <c r="N168" s="174">
        <v>0</v>
      </c>
      <c r="O168" s="174">
        <v>0</v>
      </c>
      <c r="P168" s="174">
        <v>0</v>
      </c>
      <c r="Q168" s="174">
        <v>0</v>
      </c>
      <c r="R168" s="174">
        <v>0</v>
      </c>
      <c r="S168" s="215">
        <v>0</v>
      </c>
      <c r="T168" s="71">
        <f t="shared" si="89"/>
        <v>0</v>
      </c>
      <c r="U168" s="71">
        <f t="shared" si="90"/>
        <v>0</v>
      </c>
      <c r="V168" s="117">
        <v>0</v>
      </c>
      <c r="W168" s="117">
        <v>0</v>
      </c>
      <c r="X168" s="71">
        <f t="shared" si="91"/>
        <v>0</v>
      </c>
      <c r="Y168" s="71">
        <f t="shared" si="92"/>
        <v>0</v>
      </c>
      <c r="AA168" s="65"/>
      <c r="AC168" s="71">
        <f t="shared" si="93"/>
        <v>0</v>
      </c>
      <c r="AD168" s="39"/>
      <c r="AE168" s="7"/>
      <c r="AF168" s="15"/>
      <c r="AG168" s="71" t="b">
        <f t="shared" si="94"/>
        <v>1</v>
      </c>
      <c r="AI168" s="71">
        <f t="shared" si="95"/>
        <v>0</v>
      </c>
      <c r="AJ168" s="39"/>
      <c r="AK168" s="15"/>
      <c r="AL168" s="71" t="b">
        <f t="shared" si="96"/>
        <v>1</v>
      </c>
      <c r="AN168" s="65"/>
    </row>
    <row r="169" spans="2:40" ht="13" customHeight="1">
      <c r="B169" s="119"/>
      <c r="C169" s="23">
        <f t="shared" si="88"/>
        <v>2026091</v>
      </c>
      <c r="D169" s="23">
        <v>6</v>
      </c>
      <c r="E169" s="128">
        <v>0</v>
      </c>
      <c r="F169" s="126" t="e">
        <f>VLOOKUP(E169,'Códigos bancos'!$B$4:$C$29,2,0)</f>
        <v>#N/A</v>
      </c>
      <c r="G169" s="36">
        <v>1</v>
      </c>
      <c r="H169" s="126" t="str">
        <f>VLOOKUP(G169,'Códigos bancos'!$F$4:$G$14,2,0)</f>
        <v>Oficinas</v>
      </c>
      <c r="I169" s="130"/>
      <c r="J169" s="174">
        <v>0</v>
      </c>
      <c r="K169" s="174">
        <v>0</v>
      </c>
      <c r="L169" s="174">
        <v>0</v>
      </c>
      <c r="M169" s="174">
        <v>0</v>
      </c>
      <c r="N169" s="174">
        <v>0</v>
      </c>
      <c r="O169" s="174">
        <v>0</v>
      </c>
      <c r="P169" s="174">
        <v>0</v>
      </c>
      <c r="Q169" s="174">
        <v>0</v>
      </c>
      <c r="R169" s="174">
        <v>0</v>
      </c>
      <c r="S169" s="215">
        <v>0</v>
      </c>
      <c r="T169" s="71">
        <f t="shared" si="89"/>
        <v>0</v>
      </c>
      <c r="U169" s="71">
        <f t="shared" si="90"/>
        <v>0</v>
      </c>
      <c r="V169" s="117">
        <v>0</v>
      </c>
      <c r="W169" s="117">
        <v>0</v>
      </c>
      <c r="X169" s="71">
        <f t="shared" si="91"/>
        <v>0</v>
      </c>
      <c r="Y169" s="71">
        <f t="shared" si="92"/>
        <v>0</v>
      </c>
      <c r="AA169" s="65"/>
      <c r="AC169" s="71">
        <f t="shared" si="93"/>
        <v>0</v>
      </c>
      <c r="AD169" s="39"/>
      <c r="AE169" s="7"/>
      <c r="AF169" s="15"/>
      <c r="AG169" s="71" t="b">
        <f t="shared" si="94"/>
        <v>1</v>
      </c>
      <c r="AI169" s="71">
        <f t="shared" si="95"/>
        <v>0</v>
      </c>
      <c r="AJ169" s="39"/>
      <c r="AK169" s="15"/>
      <c r="AL169" s="71" t="b">
        <f t="shared" si="96"/>
        <v>1</v>
      </c>
      <c r="AN169" s="65"/>
    </row>
    <row r="170" spans="2:40" ht="12.75" customHeight="1">
      <c r="B170" s="217"/>
      <c r="C170" s="23">
        <f t="shared" si="88"/>
        <v>2026091</v>
      </c>
      <c r="D170" s="23">
        <v>6</v>
      </c>
      <c r="E170" s="128">
        <v>0</v>
      </c>
      <c r="F170" s="126" t="e">
        <f>VLOOKUP(E170,'Códigos bancos'!$B$4:$C$29,2,0)</f>
        <v>#N/A</v>
      </c>
      <c r="G170" s="36">
        <v>1</v>
      </c>
      <c r="H170" s="126" t="str">
        <f>VLOOKUP(G170,'Códigos bancos'!$F$4:$G$14,2,0)</f>
        <v>Oficinas</v>
      </c>
      <c r="I170" s="130"/>
      <c r="J170" s="174">
        <v>0</v>
      </c>
      <c r="K170" s="174">
        <v>0</v>
      </c>
      <c r="L170" s="174">
        <v>0</v>
      </c>
      <c r="M170" s="174">
        <v>0</v>
      </c>
      <c r="N170" s="174">
        <v>0</v>
      </c>
      <c r="O170" s="174">
        <v>0</v>
      </c>
      <c r="P170" s="174">
        <v>0</v>
      </c>
      <c r="Q170" s="174">
        <v>0</v>
      </c>
      <c r="R170" s="174">
        <v>0</v>
      </c>
      <c r="S170" s="215">
        <v>0</v>
      </c>
      <c r="T170" s="71">
        <f t="shared" si="89"/>
        <v>0</v>
      </c>
      <c r="U170" s="71">
        <f t="shared" si="90"/>
        <v>0</v>
      </c>
      <c r="V170" s="117">
        <v>0</v>
      </c>
      <c r="W170" s="117">
        <v>0</v>
      </c>
      <c r="X170" s="71">
        <f t="shared" si="91"/>
        <v>0</v>
      </c>
      <c r="Y170" s="71">
        <f t="shared" si="92"/>
        <v>0</v>
      </c>
      <c r="AA170" s="65"/>
      <c r="AC170" s="71">
        <f t="shared" si="93"/>
        <v>0</v>
      </c>
      <c r="AD170" s="39"/>
      <c r="AE170" s="7"/>
      <c r="AF170" s="15"/>
      <c r="AG170" s="71" t="b">
        <f t="shared" si="94"/>
        <v>1</v>
      </c>
      <c r="AI170" s="71">
        <f t="shared" si="95"/>
        <v>0</v>
      </c>
      <c r="AJ170" s="39"/>
      <c r="AK170" s="15"/>
      <c r="AL170" s="71" t="b">
        <f t="shared" si="96"/>
        <v>1</v>
      </c>
      <c r="AN170" s="65"/>
    </row>
    <row r="171" spans="2:40" ht="13" customHeight="1">
      <c r="B171" s="119"/>
      <c r="C171" s="23">
        <f t="shared" si="88"/>
        <v>2026091</v>
      </c>
      <c r="D171" s="23">
        <v>6</v>
      </c>
      <c r="E171" s="128">
        <v>0</v>
      </c>
      <c r="F171" s="126" t="e">
        <f>VLOOKUP(E171,'Códigos bancos'!$B$4:$C$29,2,0)</f>
        <v>#N/A</v>
      </c>
      <c r="G171" s="36">
        <v>1</v>
      </c>
      <c r="H171" s="126" t="str">
        <f>VLOOKUP(G171,'Códigos bancos'!$F$4:$G$14,2,0)</f>
        <v>Oficinas</v>
      </c>
      <c r="I171" s="130"/>
      <c r="J171" s="174">
        <v>0</v>
      </c>
      <c r="K171" s="174">
        <v>0</v>
      </c>
      <c r="L171" s="174">
        <v>0</v>
      </c>
      <c r="M171" s="174">
        <v>0</v>
      </c>
      <c r="N171" s="174">
        <v>0</v>
      </c>
      <c r="O171" s="174">
        <v>0</v>
      </c>
      <c r="P171" s="174">
        <v>0</v>
      </c>
      <c r="Q171" s="174">
        <v>0</v>
      </c>
      <c r="R171" s="174">
        <v>0</v>
      </c>
      <c r="S171" s="215">
        <v>0</v>
      </c>
      <c r="T171" s="71">
        <f t="shared" si="89"/>
        <v>0</v>
      </c>
      <c r="U171" s="71">
        <f t="shared" si="90"/>
        <v>0</v>
      </c>
      <c r="V171" s="117">
        <v>0</v>
      </c>
      <c r="W171" s="117">
        <v>0</v>
      </c>
      <c r="X171" s="71">
        <f t="shared" si="91"/>
        <v>0</v>
      </c>
      <c r="Y171" s="71">
        <f t="shared" si="92"/>
        <v>0</v>
      </c>
      <c r="AA171" s="65"/>
      <c r="AC171" s="71">
        <f t="shared" si="93"/>
        <v>0</v>
      </c>
      <c r="AD171" s="39"/>
      <c r="AE171" s="7"/>
      <c r="AF171" s="15"/>
      <c r="AG171" s="71" t="b">
        <f t="shared" si="94"/>
        <v>1</v>
      </c>
      <c r="AI171" s="71">
        <f t="shared" si="95"/>
        <v>0</v>
      </c>
      <c r="AJ171" s="39"/>
      <c r="AK171" s="15"/>
      <c r="AL171" s="71" t="b">
        <f t="shared" si="96"/>
        <v>1</v>
      </c>
      <c r="AN171" s="65"/>
    </row>
    <row r="172" spans="2:40" ht="13" customHeight="1">
      <c r="B172" s="119"/>
      <c r="C172" s="23">
        <f t="shared" ref="C172" si="97">IF(D172&lt;=15,$C$1,$C$2)</f>
        <v>2026091</v>
      </c>
      <c r="D172" s="23">
        <v>6</v>
      </c>
      <c r="E172" s="128">
        <v>0</v>
      </c>
      <c r="F172" s="126" t="e">
        <f>VLOOKUP(E172,'Códigos bancos'!$B$4:$C$29,2,0)</f>
        <v>#N/A</v>
      </c>
      <c r="G172" s="36">
        <v>1</v>
      </c>
      <c r="H172" s="126" t="str">
        <f>VLOOKUP(G172,'Códigos bancos'!$F$4:$G$14,2,0)</f>
        <v>Oficinas</v>
      </c>
      <c r="I172" s="130"/>
      <c r="J172" s="174">
        <v>0</v>
      </c>
      <c r="K172" s="174">
        <v>0</v>
      </c>
      <c r="L172" s="174">
        <v>0</v>
      </c>
      <c r="M172" s="174">
        <v>0</v>
      </c>
      <c r="N172" s="174">
        <v>0</v>
      </c>
      <c r="O172" s="174">
        <v>0</v>
      </c>
      <c r="P172" s="174">
        <v>0</v>
      </c>
      <c r="Q172" s="174">
        <v>0</v>
      </c>
      <c r="R172" s="174">
        <v>0</v>
      </c>
      <c r="S172" s="215">
        <v>0</v>
      </c>
      <c r="T172" s="71">
        <f t="shared" ref="T172" si="98">J172+L172+N172+P172+R172</f>
        <v>0</v>
      </c>
      <c r="U172" s="71">
        <f t="shared" ref="U172" si="99">K172+M172+O172+Q172+S172</f>
        <v>0</v>
      </c>
      <c r="V172" s="117">
        <v>0</v>
      </c>
      <c r="W172" s="117">
        <v>0</v>
      </c>
      <c r="X172" s="71">
        <f t="shared" ref="X172" si="100">V172-T172</f>
        <v>0</v>
      </c>
      <c r="Y172" s="71">
        <f t="shared" ref="Y172" si="101">W172-U172</f>
        <v>0</v>
      </c>
      <c r="AA172" s="65"/>
      <c r="AC172" s="71">
        <f t="shared" ref="AC172" si="102">X172</f>
        <v>0</v>
      </c>
      <c r="AD172" s="39"/>
      <c r="AE172" s="7"/>
      <c r="AF172" s="15"/>
      <c r="AG172" s="71" t="b">
        <f t="shared" ref="AG172" si="103">AC172=(AD172+AE172+AF172)</f>
        <v>1</v>
      </c>
      <c r="AI172" s="71">
        <f t="shared" ref="AI172" si="104">Y172</f>
        <v>0</v>
      </c>
      <c r="AJ172" s="39"/>
      <c r="AK172" s="15"/>
      <c r="AL172" s="71" t="b">
        <f t="shared" ref="AL172" si="105">AI172=(AJ172+AK172)</f>
        <v>1</v>
      </c>
      <c r="AN172" s="65"/>
    </row>
    <row r="173" spans="2:40" ht="13" customHeight="1">
      <c r="B173" s="217"/>
      <c r="C173" s="23">
        <f t="shared" si="88"/>
        <v>2026091</v>
      </c>
      <c r="D173" s="23">
        <v>6</v>
      </c>
      <c r="E173" s="128">
        <v>0</v>
      </c>
      <c r="F173" s="126" t="e">
        <f>VLOOKUP(E173,'Códigos bancos'!$B$4:$C$29,2,0)</f>
        <v>#N/A</v>
      </c>
      <c r="G173" s="36">
        <v>1</v>
      </c>
      <c r="H173" s="126" t="str">
        <f>VLOOKUP(G173,'Códigos bancos'!$F$4:$G$14,2,0)</f>
        <v>Oficinas</v>
      </c>
      <c r="I173" s="130"/>
      <c r="J173" s="174">
        <v>0</v>
      </c>
      <c r="K173" s="174">
        <v>0</v>
      </c>
      <c r="L173" s="174">
        <v>0</v>
      </c>
      <c r="M173" s="174">
        <v>0</v>
      </c>
      <c r="N173" s="174">
        <v>0</v>
      </c>
      <c r="O173" s="174">
        <v>0</v>
      </c>
      <c r="P173" s="174">
        <v>0</v>
      </c>
      <c r="Q173" s="174">
        <v>0</v>
      </c>
      <c r="R173" s="174">
        <v>0</v>
      </c>
      <c r="S173" s="215">
        <v>0</v>
      </c>
      <c r="T173" s="71">
        <f t="shared" si="89"/>
        <v>0</v>
      </c>
      <c r="U173" s="71">
        <f t="shared" si="90"/>
        <v>0</v>
      </c>
      <c r="V173" s="117">
        <v>0</v>
      </c>
      <c r="W173" s="117">
        <v>0</v>
      </c>
      <c r="X173" s="71">
        <f t="shared" si="91"/>
        <v>0</v>
      </c>
      <c r="Y173" s="71">
        <f t="shared" si="92"/>
        <v>0</v>
      </c>
      <c r="AA173" s="65"/>
      <c r="AC173" s="71">
        <f t="shared" si="93"/>
        <v>0</v>
      </c>
      <c r="AD173" s="39"/>
      <c r="AE173" s="7"/>
      <c r="AF173" s="15"/>
      <c r="AG173" s="71" t="b">
        <f t="shared" si="94"/>
        <v>1</v>
      </c>
      <c r="AI173" s="71">
        <f t="shared" si="95"/>
        <v>0</v>
      </c>
      <c r="AJ173" s="39"/>
      <c r="AK173" s="15"/>
      <c r="AL173" s="71" t="b">
        <f t="shared" si="96"/>
        <v>1</v>
      </c>
      <c r="AN173" s="65"/>
    </row>
    <row r="174" spans="2:40" ht="13" customHeight="1">
      <c r="B174" s="217"/>
      <c r="C174" s="23">
        <f t="shared" si="88"/>
        <v>2026091</v>
      </c>
      <c r="D174" s="23">
        <v>6</v>
      </c>
      <c r="E174" s="128">
        <v>0</v>
      </c>
      <c r="F174" s="126" t="e">
        <f>VLOOKUP(E174,'Códigos bancos'!$B$4:$C$29,2,0)</f>
        <v>#N/A</v>
      </c>
      <c r="G174" s="36">
        <v>1</v>
      </c>
      <c r="H174" s="126" t="str">
        <f>VLOOKUP(G174,'Códigos bancos'!$F$4:$G$14,2,0)</f>
        <v>Oficinas</v>
      </c>
      <c r="I174" s="130"/>
      <c r="J174" s="174">
        <v>0</v>
      </c>
      <c r="K174" s="174">
        <v>0</v>
      </c>
      <c r="L174" s="174">
        <v>0</v>
      </c>
      <c r="M174" s="174">
        <v>0</v>
      </c>
      <c r="N174" s="174">
        <v>0</v>
      </c>
      <c r="O174" s="174">
        <v>0</v>
      </c>
      <c r="P174" s="174">
        <v>0</v>
      </c>
      <c r="Q174" s="174">
        <v>0</v>
      </c>
      <c r="R174" s="174">
        <v>0</v>
      </c>
      <c r="S174" s="215">
        <v>0</v>
      </c>
      <c r="T174" s="71">
        <f t="shared" si="89"/>
        <v>0</v>
      </c>
      <c r="U174" s="71">
        <f t="shared" si="90"/>
        <v>0</v>
      </c>
      <c r="V174" s="117">
        <v>0</v>
      </c>
      <c r="W174" s="117">
        <v>0</v>
      </c>
      <c r="X174" s="71">
        <f t="shared" si="91"/>
        <v>0</v>
      </c>
      <c r="Y174" s="71">
        <f t="shared" si="92"/>
        <v>0</v>
      </c>
      <c r="AA174" s="65"/>
      <c r="AC174" s="71">
        <f t="shared" si="93"/>
        <v>0</v>
      </c>
      <c r="AD174" s="39"/>
      <c r="AE174" s="7"/>
      <c r="AF174" s="15"/>
      <c r="AG174" s="71" t="b">
        <f t="shared" si="94"/>
        <v>1</v>
      </c>
      <c r="AI174" s="71">
        <f t="shared" si="95"/>
        <v>0</v>
      </c>
      <c r="AJ174" s="39"/>
      <c r="AK174" s="15"/>
      <c r="AL174" s="71" t="b">
        <f t="shared" si="96"/>
        <v>1</v>
      </c>
      <c r="AN174" s="65"/>
    </row>
    <row r="175" spans="2:40" ht="13" customHeight="1">
      <c r="B175" s="119"/>
      <c r="C175" s="23">
        <f t="shared" si="88"/>
        <v>2026091</v>
      </c>
      <c r="D175" s="23">
        <v>6</v>
      </c>
      <c r="E175" s="128">
        <v>0</v>
      </c>
      <c r="F175" s="126" t="e">
        <f>VLOOKUP(E175,'Códigos bancos'!$B$4:$C$29,2,0)</f>
        <v>#N/A</v>
      </c>
      <c r="G175" s="36">
        <v>1</v>
      </c>
      <c r="H175" s="126" t="str">
        <f>VLOOKUP(G175,'Códigos bancos'!$F$4:$G$14,2,0)</f>
        <v>Oficinas</v>
      </c>
      <c r="I175" s="130"/>
      <c r="J175" s="174">
        <v>0</v>
      </c>
      <c r="K175" s="174">
        <v>0</v>
      </c>
      <c r="L175" s="174">
        <v>0</v>
      </c>
      <c r="M175" s="174">
        <v>0</v>
      </c>
      <c r="N175" s="174">
        <v>0</v>
      </c>
      <c r="O175" s="174">
        <v>0</v>
      </c>
      <c r="P175" s="174">
        <v>0</v>
      </c>
      <c r="Q175" s="174">
        <v>0</v>
      </c>
      <c r="R175" s="174">
        <v>0</v>
      </c>
      <c r="S175" s="215">
        <v>0</v>
      </c>
      <c r="T175" s="71">
        <f t="shared" si="89"/>
        <v>0</v>
      </c>
      <c r="U175" s="71">
        <f t="shared" si="90"/>
        <v>0</v>
      </c>
      <c r="V175" s="117">
        <v>0</v>
      </c>
      <c r="W175" s="117">
        <v>0</v>
      </c>
      <c r="X175" s="71">
        <f t="shared" si="91"/>
        <v>0</v>
      </c>
      <c r="Y175" s="71">
        <f t="shared" si="92"/>
        <v>0</v>
      </c>
      <c r="AA175" s="65"/>
      <c r="AC175" s="71">
        <f t="shared" si="93"/>
        <v>0</v>
      </c>
      <c r="AD175" s="39"/>
      <c r="AE175" s="7"/>
      <c r="AF175" s="15"/>
      <c r="AG175" s="71" t="b">
        <f t="shared" si="94"/>
        <v>1</v>
      </c>
      <c r="AI175" s="71"/>
      <c r="AJ175" s="39"/>
      <c r="AK175" s="15"/>
      <c r="AL175" s="71" t="b">
        <f t="shared" si="96"/>
        <v>1</v>
      </c>
      <c r="AN175" s="65"/>
    </row>
    <row r="176" spans="2:40" ht="13" customHeight="1">
      <c r="B176" s="119"/>
      <c r="C176" s="23">
        <f t="shared" si="88"/>
        <v>2026091</v>
      </c>
      <c r="D176" s="23">
        <v>6</v>
      </c>
      <c r="E176" s="128">
        <v>0</v>
      </c>
      <c r="F176" s="126" t="e">
        <f>VLOOKUP(E176,'Códigos bancos'!$B$4:$C$29,2,0)</f>
        <v>#N/A</v>
      </c>
      <c r="G176" s="36">
        <v>1</v>
      </c>
      <c r="H176" s="126" t="str">
        <f>VLOOKUP(G176,'Códigos bancos'!$F$4:$G$14,2,0)</f>
        <v>Oficinas</v>
      </c>
      <c r="I176" s="130"/>
      <c r="J176" s="174">
        <v>0</v>
      </c>
      <c r="K176" s="174">
        <v>0</v>
      </c>
      <c r="L176" s="174">
        <v>0</v>
      </c>
      <c r="M176" s="174">
        <v>0</v>
      </c>
      <c r="N176" s="174">
        <v>0</v>
      </c>
      <c r="O176" s="174">
        <v>0</v>
      </c>
      <c r="P176" s="174">
        <v>0</v>
      </c>
      <c r="Q176" s="174">
        <v>0</v>
      </c>
      <c r="R176" s="174">
        <v>0</v>
      </c>
      <c r="S176" s="215">
        <v>0</v>
      </c>
      <c r="T176" s="71">
        <f t="shared" si="89"/>
        <v>0</v>
      </c>
      <c r="U176" s="71">
        <f t="shared" si="90"/>
        <v>0</v>
      </c>
      <c r="V176" s="117">
        <v>0</v>
      </c>
      <c r="W176" s="117">
        <v>0</v>
      </c>
      <c r="X176" s="71">
        <f t="shared" si="91"/>
        <v>0</v>
      </c>
      <c r="Y176" s="71">
        <f t="shared" si="92"/>
        <v>0</v>
      </c>
      <c r="AA176" s="65"/>
      <c r="AC176" s="71">
        <f t="shared" si="93"/>
        <v>0</v>
      </c>
      <c r="AD176" s="39"/>
      <c r="AE176" s="7"/>
      <c r="AF176" s="15"/>
      <c r="AG176" s="71" t="b">
        <f t="shared" si="94"/>
        <v>1</v>
      </c>
      <c r="AI176" s="71">
        <f>Y176</f>
        <v>0</v>
      </c>
      <c r="AJ176" s="39"/>
      <c r="AK176" s="15"/>
      <c r="AL176" s="71" t="b">
        <f t="shared" si="96"/>
        <v>1</v>
      </c>
      <c r="AN176" s="65"/>
    </row>
    <row r="177" spans="2:40 16128:16147" ht="13" customHeight="1" thickBot="1">
      <c r="B177" s="217"/>
      <c r="C177" s="23">
        <f t="shared" si="88"/>
        <v>2026091</v>
      </c>
      <c r="D177" s="23">
        <v>6</v>
      </c>
      <c r="E177" s="128">
        <v>0</v>
      </c>
      <c r="F177" s="126" t="e">
        <f>VLOOKUP(E177,'Códigos bancos'!$B$4:$C$29,2,0)</f>
        <v>#N/A</v>
      </c>
      <c r="G177" s="36">
        <v>1</v>
      </c>
      <c r="H177" s="126" t="str">
        <f>VLOOKUP(G177,'Códigos bancos'!$F$4:$G$14,2,0)</f>
        <v>Oficinas</v>
      </c>
      <c r="I177" s="130"/>
      <c r="J177" s="174">
        <v>0</v>
      </c>
      <c r="K177" s="174">
        <v>0</v>
      </c>
      <c r="L177" s="174">
        <v>0</v>
      </c>
      <c r="M177" s="174">
        <v>0</v>
      </c>
      <c r="N177" s="174">
        <v>0</v>
      </c>
      <c r="O177" s="174">
        <v>0</v>
      </c>
      <c r="P177" s="174">
        <v>0</v>
      </c>
      <c r="Q177" s="174">
        <v>0</v>
      </c>
      <c r="R177" s="174">
        <v>0</v>
      </c>
      <c r="S177" s="215">
        <v>0</v>
      </c>
      <c r="T177" s="71">
        <f t="shared" si="89"/>
        <v>0</v>
      </c>
      <c r="U177" s="71">
        <f t="shared" si="90"/>
        <v>0</v>
      </c>
      <c r="V177" s="117">
        <v>0</v>
      </c>
      <c r="W177" s="117">
        <v>0</v>
      </c>
      <c r="X177" s="71">
        <f t="shared" si="91"/>
        <v>0</v>
      </c>
      <c r="Y177" s="71">
        <f t="shared" si="92"/>
        <v>0</v>
      </c>
      <c r="AA177" s="65"/>
      <c r="AC177" s="71">
        <f t="shared" si="93"/>
        <v>0</v>
      </c>
      <c r="AD177" s="39"/>
      <c r="AE177" s="7"/>
      <c r="AF177" s="15"/>
      <c r="AG177" s="71" t="b">
        <f t="shared" si="94"/>
        <v>1</v>
      </c>
      <c r="AI177" s="71">
        <f t="shared" si="95"/>
        <v>0</v>
      </c>
      <c r="AJ177" s="39"/>
      <c r="AK177" s="15"/>
      <c r="AL177" s="71" t="b">
        <f t="shared" si="96"/>
        <v>1</v>
      </c>
      <c r="AN177" s="65"/>
    </row>
    <row r="178" spans="2:40 16128:16147" ht="13" customHeight="1" thickBot="1">
      <c r="E178" s="120" t="s">
        <v>0</v>
      </c>
      <c r="F178" s="121" t="s">
        <v>53</v>
      </c>
      <c r="G178" s="121"/>
      <c r="H178" s="121"/>
      <c r="I178" s="121"/>
      <c r="J178" s="122">
        <f t="shared" ref="J178:Y178" si="106">SUM(J153:J177)</f>
        <v>0</v>
      </c>
      <c r="K178" s="122">
        <f t="shared" si="106"/>
        <v>0</v>
      </c>
      <c r="L178" s="122">
        <f t="shared" si="106"/>
        <v>0</v>
      </c>
      <c r="M178" s="122">
        <f t="shared" si="106"/>
        <v>0</v>
      </c>
      <c r="N178" s="122">
        <f t="shared" si="106"/>
        <v>0</v>
      </c>
      <c r="O178" s="122">
        <f t="shared" si="106"/>
        <v>0</v>
      </c>
      <c r="P178" s="122">
        <f t="shared" si="106"/>
        <v>0</v>
      </c>
      <c r="Q178" s="122">
        <f t="shared" si="106"/>
        <v>0</v>
      </c>
      <c r="R178" s="122">
        <f t="shared" si="106"/>
        <v>143</v>
      </c>
      <c r="S178" s="122">
        <f t="shared" si="106"/>
        <v>6433210</v>
      </c>
      <c r="T178" s="122">
        <f t="shared" si="106"/>
        <v>143</v>
      </c>
      <c r="U178" s="122">
        <f t="shared" si="106"/>
        <v>6433210</v>
      </c>
      <c r="V178" s="123">
        <f t="shared" si="106"/>
        <v>143</v>
      </c>
      <c r="W178" s="123">
        <f t="shared" si="106"/>
        <v>6433210</v>
      </c>
      <c r="X178" s="122">
        <f t="shared" si="106"/>
        <v>0</v>
      </c>
      <c r="Y178" s="123">
        <f t="shared" si="106"/>
        <v>0</v>
      </c>
      <c r="AA178" s="65"/>
      <c r="AC178" s="122">
        <f>SUM(AC153:AC177)</f>
        <v>0</v>
      </c>
      <c r="AD178" s="122">
        <f>SUM(AD153:AD177)</f>
        <v>0</v>
      </c>
      <c r="AE178" s="122">
        <f>SUM(AE153:AE177)</f>
        <v>0</v>
      </c>
      <c r="AF178" s="123">
        <f>SUM(AF153:AF177)</f>
        <v>0</v>
      </c>
      <c r="AG178" s="100"/>
      <c r="AI178" s="122">
        <f>SUM(AI153:AI177)</f>
        <v>0</v>
      </c>
      <c r="AJ178" s="122">
        <f>SUM(AJ153:AJ177)</f>
        <v>0</v>
      </c>
      <c r="AK178" s="123">
        <f>SUM(AK153:AK177)</f>
        <v>0</v>
      </c>
      <c r="AL178" s="100"/>
      <c r="AN178" s="65"/>
    </row>
    <row r="179" spans="2:40 16128:16147" ht="13" thickBot="1">
      <c r="AA179" s="65"/>
      <c r="AN179" s="65"/>
    </row>
    <row r="180" spans="2:40 16128:16147" ht="41.25" customHeight="1" thickBot="1">
      <c r="B180" s="112" t="s">
        <v>4</v>
      </c>
      <c r="C180" s="34" t="s">
        <v>6</v>
      </c>
      <c r="D180" s="34" t="s">
        <v>7</v>
      </c>
      <c r="E180" s="34" t="s">
        <v>49</v>
      </c>
      <c r="F180" s="34" t="s">
        <v>50</v>
      </c>
      <c r="G180" s="34" t="s">
        <v>51</v>
      </c>
      <c r="H180" s="34" t="s">
        <v>52</v>
      </c>
      <c r="I180" s="34" t="s">
        <v>13</v>
      </c>
      <c r="J180" s="12" t="s">
        <v>8</v>
      </c>
      <c r="K180" s="12" t="s">
        <v>36</v>
      </c>
      <c r="L180" s="12" t="s">
        <v>9</v>
      </c>
      <c r="M180" s="12" t="s">
        <v>37</v>
      </c>
      <c r="N180" s="87" t="s">
        <v>10</v>
      </c>
      <c r="O180" s="88" t="s">
        <v>38</v>
      </c>
      <c r="P180" s="87" t="s">
        <v>11</v>
      </c>
      <c r="Q180" s="88" t="s">
        <v>39</v>
      </c>
      <c r="R180" s="87" t="s">
        <v>12</v>
      </c>
      <c r="S180" s="88" t="s">
        <v>40</v>
      </c>
      <c r="T180" s="64" t="s">
        <v>41</v>
      </c>
      <c r="U180" s="64" t="s">
        <v>42</v>
      </c>
      <c r="V180" s="35" t="s">
        <v>32</v>
      </c>
      <c r="W180" s="67" t="s">
        <v>35</v>
      </c>
      <c r="X180" s="12" t="s">
        <v>34</v>
      </c>
      <c r="Y180" s="68" t="s">
        <v>33</v>
      </c>
      <c r="AA180" s="66"/>
      <c r="AC180" s="12" t="s">
        <v>34</v>
      </c>
      <c r="AD180" s="12" t="s">
        <v>45</v>
      </c>
      <c r="AE180" s="12" t="s">
        <v>43</v>
      </c>
      <c r="AF180" s="12" t="s">
        <v>44</v>
      </c>
      <c r="AG180" s="12" t="s">
        <v>46</v>
      </c>
      <c r="AI180" s="12" t="s">
        <v>33</v>
      </c>
      <c r="AJ180" s="12" t="s">
        <v>47</v>
      </c>
      <c r="AK180" s="12" t="s">
        <v>48</v>
      </c>
      <c r="AL180" s="12" t="s">
        <v>46</v>
      </c>
      <c r="AN180" s="66"/>
      <c r="WVH180" s="1"/>
      <c r="WVI180" s="1"/>
      <c r="WVZ180"/>
      <c r="WWA180"/>
    </row>
    <row r="181" spans="2:40 16128:16147" ht="13" customHeight="1">
      <c r="B181" s="119" t="s">
        <v>73</v>
      </c>
      <c r="C181" s="158">
        <f>IF(D181&lt;=15,$C$1,$C$2)</f>
        <v>2026091</v>
      </c>
      <c r="D181" s="24">
        <v>7</v>
      </c>
      <c r="E181" s="127">
        <v>20</v>
      </c>
      <c r="F181" s="125" t="str">
        <f>VLOOKUP(E181,'Códigos bancos'!$B$4:$C$29,2,0)</f>
        <v>Bancolombia ENERBIT</v>
      </c>
      <c r="G181" s="18">
        <v>1</v>
      </c>
      <c r="H181" s="125" t="str">
        <f>VLOOKUP(G181,'Códigos bancos'!$F$4:$G$14,2,0)</f>
        <v>Oficinas</v>
      </c>
      <c r="I181" s="129"/>
      <c r="J181" s="213">
        <v>0</v>
      </c>
      <c r="K181" s="213">
        <v>0</v>
      </c>
      <c r="L181" s="213">
        <v>0</v>
      </c>
      <c r="M181" s="213">
        <v>0</v>
      </c>
      <c r="N181" s="213">
        <v>0</v>
      </c>
      <c r="O181" s="213">
        <v>0</v>
      </c>
      <c r="P181" s="213">
        <v>0</v>
      </c>
      <c r="Q181" s="213">
        <v>0</v>
      </c>
      <c r="R181" s="174">
        <v>226</v>
      </c>
      <c r="S181" s="215">
        <v>10280100</v>
      </c>
      <c r="T181" s="70">
        <f>J181+L181+N181+P181+R181</f>
        <v>226</v>
      </c>
      <c r="U181" s="70">
        <f>K181+M181+O181+Q181+S181</f>
        <v>10280100</v>
      </c>
      <c r="V181" s="174">
        <v>226</v>
      </c>
      <c r="W181" s="215">
        <v>10280100</v>
      </c>
      <c r="X181" s="70">
        <f>V181-T181</f>
        <v>0</v>
      </c>
      <c r="Y181" s="70">
        <f>W181-U181</f>
        <v>0</v>
      </c>
      <c r="AA181" s="65"/>
      <c r="AC181" s="124">
        <f>X181</f>
        <v>0</v>
      </c>
      <c r="AD181" s="115"/>
      <c r="AE181" s="16"/>
      <c r="AF181" s="114"/>
      <c r="AG181" s="124" t="b">
        <f>AC181=(AD181+AE181+AF181)</f>
        <v>1</v>
      </c>
      <c r="AI181" s="70">
        <f>Y181</f>
        <v>0</v>
      </c>
      <c r="AJ181" s="115"/>
      <c r="AK181" s="114"/>
      <c r="AL181" s="70" t="b">
        <f>AI181=(AJ181+AK181)</f>
        <v>1</v>
      </c>
      <c r="AN181" s="65"/>
    </row>
    <row r="182" spans="2:40 16128:16147" ht="13" customHeight="1">
      <c r="B182" s="119"/>
      <c r="C182" s="159">
        <f t="shared" ref="C182:C205" si="107">IF(D182&lt;=15,$C$1,$C$2)</f>
        <v>2026091</v>
      </c>
      <c r="D182" s="23">
        <v>7</v>
      </c>
      <c r="E182" s="128">
        <v>0</v>
      </c>
      <c r="F182" s="126" t="e">
        <f>VLOOKUP(E182,'Códigos bancos'!$B$4:$C$29,2,0)</f>
        <v>#N/A</v>
      </c>
      <c r="G182" s="36">
        <v>1</v>
      </c>
      <c r="H182" s="126" t="str">
        <f>VLOOKUP(G182,'Códigos bancos'!$F$4:$G$14,2,0)</f>
        <v>Oficinas</v>
      </c>
      <c r="I182" s="130"/>
      <c r="J182" s="174">
        <v>0</v>
      </c>
      <c r="K182" s="174">
        <v>0</v>
      </c>
      <c r="L182" s="174">
        <v>0</v>
      </c>
      <c r="M182" s="174">
        <v>0</v>
      </c>
      <c r="N182" s="174">
        <v>0</v>
      </c>
      <c r="O182" s="174">
        <v>0</v>
      </c>
      <c r="P182" s="174">
        <v>0</v>
      </c>
      <c r="Q182" s="174">
        <v>0</v>
      </c>
      <c r="R182" s="174">
        <v>0</v>
      </c>
      <c r="S182" s="215">
        <v>0</v>
      </c>
      <c r="T182" s="71">
        <f t="shared" ref="T182:T205" si="108">J182+L182+N182+P182+R182</f>
        <v>0</v>
      </c>
      <c r="U182" s="71">
        <f t="shared" ref="U182:U205" si="109">K182+M182+O182+Q182+S182</f>
        <v>0</v>
      </c>
      <c r="V182" s="117">
        <v>0</v>
      </c>
      <c r="W182" s="117">
        <v>0</v>
      </c>
      <c r="X182" s="71">
        <f t="shared" ref="X182:X205" si="110">V182-T182</f>
        <v>0</v>
      </c>
      <c r="Y182" s="71">
        <f t="shared" ref="Y182:Y205" si="111">W182-U182</f>
        <v>0</v>
      </c>
      <c r="AA182" s="65"/>
      <c r="AC182" s="71">
        <f t="shared" ref="AC182:AC205" si="112">X182</f>
        <v>0</v>
      </c>
      <c r="AD182" s="39"/>
      <c r="AE182" s="7"/>
      <c r="AF182" s="15"/>
      <c r="AG182" s="71" t="b">
        <f t="shared" ref="AG182:AG205" si="113">AC182=(AD182+AE182+AF182)</f>
        <v>1</v>
      </c>
      <c r="AI182" s="71">
        <f t="shared" ref="AI182:AI205" si="114">Y182</f>
        <v>0</v>
      </c>
      <c r="AJ182" s="39"/>
      <c r="AK182" s="15"/>
      <c r="AL182" s="71" t="b">
        <f t="shared" ref="AL182:AL205" si="115">AI182=(AJ182+AK182)</f>
        <v>1</v>
      </c>
      <c r="AN182" s="65"/>
    </row>
    <row r="183" spans="2:40 16128:16147" ht="13" customHeight="1">
      <c r="B183" s="119"/>
      <c r="C183" s="159">
        <f t="shared" si="107"/>
        <v>2026091</v>
      </c>
      <c r="D183" s="23">
        <v>7</v>
      </c>
      <c r="E183" s="128">
        <v>0</v>
      </c>
      <c r="F183" s="126" t="e">
        <f>VLOOKUP(E183,'Códigos bancos'!$B$4:$C$29,2,0)</f>
        <v>#N/A</v>
      </c>
      <c r="G183" s="36">
        <v>1</v>
      </c>
      <c r="H183" s="126" t="str">
        <f>VLOOKUP(G183,'Códigos bancos'!$F$4:$G$14,2,0)</f>
        <v>Oficinas</v>
      </c>
      <c r="I183" s="130"/>
      <c r="J183" s="174">
        <v>0</v>
      </c>
      <c r="K183" s="174">
        <v>0</v>
      </c>
      <c r="L183" s="174">
        <v>0</v>
      </c>
      <c r="M183" s="174">
        <v>0</v>
      </c>
      <c r="N183" s="174">
        <v>0</v>
      </c>
      <c r="O183" s="174">
        <v>0</v>
      </c>
      <c r="P183" s="174">
        <v>0</v>
      </c>
      <c r="Q183" s="174">
        <v>0</v>
      </c>
      <c r="R183" s="174">
        <v>0</v>
      </c>
      <c r="S183" s="215">
        <v>0</v>
      </c>
      <c r="T183" s="71">
        <f t="shared" si="108"/>
        <v>0</v>
      </c>
      <c r="U183" s="71">
        <f t="shared" si="109"/>
        <v>0</v>
      </c>
      <c r="V183" s="117">
        <v>0</v>
      </c>
      <c r="W183" s="117">
        <v>0</v>
      </c>
      <c r="X183" s="71">
        <f t="shared" si="110"/>
        <v>0</v>
      </c>
      <c r="Y183" s="71">
        <f t="shared" si="111"/>
        <v>0</v>
      </c>
      <c r="AA183" s="65"/>
      <c r="AC183" s="71">
        <f t="shared" si="112"/>
        <v>0</v>
      </c>
      <c r="AD183" s="45"/>
      <c r="AE183" s="14"/>
      <c r="AF183" s="46"/>
      <c r="AG183" s="71" t="b">
        <f t="shared" si="113"/>
        <v>1</v>
      </c>
      <c r="AI183" s="71">
        <f t="shared" si="114"/>
        <v>0</v>
      </c>
      <c r="AJ183" s="45"/>
      <c r="AK183" s="46"/>
      <c r="AL183" s="71" t="b">
        <f t="shared" si="115"/>
        <v>1</v>
      </c>
      <c r="AN183" s="65"/>
    </row>
    <row r="184" spans="2:40 16128:16147" ht="13" customHeight="1">
      <c r="B184" s="119"/>
      <c r="C184" s="159">
        <f t="shared" si="107"/>
        <v>2026091</v>
      </c>
      <c r="D184" s="23">
        <v>7</v>
      </c>
      <c r="E184" s="128">
        <v>0</v>
      </c>
      <c r="F184" s="126" t="e">
        <f>VLOOKUP(E184,'Códigos bancos'!$B$4:$C$29,2,0)</f>
        <v>#N/A</v>
      </c>
      <c r="G184" s="36">
        <v>1</v>
      </c>
      <c r="H184" s="126" t="str">
        <f>VLOOKUP(G184,'Códigos bancos'!$F$4:$G$14,2,0)</f>
        <v>Oficinas</v>
      </c>
      <c r="I184" s="130"/>
      <c r="J184" s="174">
        <v>0</v>
      </c>
      <c r="K184" s="174">
        <v>0</v>
      </c>
      <c r="L184" s="174">
        <v>0</v>
      </c>
      <c r="M184" s="174">
        <v>0</v>
      </c>
      <c r="N184" s="174">
        <v>0</v>
      </c>
      <c r="O184" s="174">
        <v>0</v>
      </c>
      <c r="P184" s="174">
        <v>0</v>
      </c>
      <c r="Q184" s="174">
        <v>0</v>
      </c>
      <c r="R184" s="174">
        <v>0</v>
      </c>
      <c r="S184" s="215">
        <v>0</v>
      </c>
      <c r="T184" s="71">
        <f t="shared" si="108"/>
        <v>0</v>
      </c>
      <c r="U184" s="71">
        <f t="shared" si="109"/>
        <v>0</v>
      </c>
      <c r="V184" s="117">
        <v>0</v>
      </c>
      <c r="W184" s="117">
        <v>0</v>
      </c>
      <c r="X184" s="71">
        <f t="shared" si="110"/>
        <v>0</v>
      </c>
      <c r="Y184" s="71">
        <f t="shared" si="111"/>
        <v>0</v>
      </c>
      <c r="AA184" s="65"/>
      <c r="AC184" s="71">
        <f t="shared" si="112"/>
        <v>0</v>
      </c>
      <c r="AD184" s="39"/>
      <c r="AE184" s="7"/>
      <c r="AF184" s="15"/>
      <c r="AG184" s="71" t="b">
        <f t="shared" si="113"/>
        <v>1</v>
      </c>
      <c r="AI184" s="71">
        <f t="shared" si="114"/>
        <v>0</v>
      </c>
      <c r="AJ184" s="39"/>
      <c r="AK184" s="15"/>
      <c r="AL184" s="71" t="b">
        <f t="shared" si="115"/>
        <v>1</v>
      </c>
      <c r="AN184" s="65"/>
    </row>
    <row r="185" spans="2:40 16128:16147" ht="13" customHeight="1">
      <c r="B185" s="119"/>
      <c r="C185" s="159">
        <f t="shared" si="107"/>
        <v>2026091</v>
      </c>
      <c r="D185" s="23">
        <v>7</v>
      </c>
      <c r="E185" s="128">
        <v>0</v>
      </c>
      <c r="F185" s="126" t="e">
        <f>VLOOKUP(E185,'Códigos bancos'!$B$4:$C$29,2,0)</f>
        <v>#N/A</v>
      </c>
      <c r="G185" s="36">
        <v>1</v>
      </c>
      <c r="H185" s="126" t="str">
        <f>VLOOKUP(G185,'Códigos bancos'!$F$4:$G$14,2,0)</f>
        <v>Oficinas</v>
      </c>
      <c r="I185" s="130"/>
      <c r="J185" s="174">
        <v>0</v>
      </c>
      <c r="K185" s="174">
        <v>0</v>
      </c>
      <c r="L185" s="174">
        <v>0</v>
      </c>
      <c r="M185" s="174">
        <v>0</v>
      </c>
      <c r="N185" s="174">
        <v>0</v>
      </c>
      <c r="O185" s="174">
        <v>0</v>
      </c>
      <c r="P185" s="174">
        <v>0</v>
      </c>
      <c r="Q185" s="174">
        <v>0</v>
      </c>
      <c r="R185" s="174">
        <v>0</v>
      </c>
      <c r="S185" s="215">
        <v>0</v>
      </c>
      <c r="T185" s="71">
        <f t="shared" si="108"/>
        <v>0</v>
      </c>
      <c r="U185" s="71">
        <f t="shared" si="109"/>
        <v>0</v>
      </c>
      <c r="V185" s="117">
        <v>0</v>
      </c>
      <c r="W185" s="117">
        <v>0</v>
      </c>
      <c r="X185" s="71">
        <f t="shared" si="110"/>
        <v>0</v>
      </c>
      <c r="Y185" s="71">
        <f t="shared" si="111"/>
        <v>0</v>
      </c>
      <c r="AA185" s="65"/>
      <c r="AC185" s="71">
        <f t="shared" si="112"/>
        <v>0</v>
      </c>
      <c r="AD185" s="39"/>
      <c r="AE185" s="7"/>
      <c r="AF185" s="15"/>
      <c r="AG185" s="71" t="b">
        <f t="shared" si="113"/>
        <v>1</v>
      </c>
      <c r="AI185" s="71">
        <f t="shared" si="114"/>
        <v>0</v>
      </c>
      <c r="AJ185" s="39"/>
      <c r="AK185" s="15"/>
      <c r="AL185" s="71" t="b">
        <f t="shared" si="115"/>
        <v>1</v>
      </c>
      <c r="AN185" s="65"/>
    </row>
    <row r="186" spans="2:40 16128:16147" ht="13" customHeight="1">
      <c r="B186" s="119"/>
      <c r="C186" s="159">
        <f t="shared" si="107"/>
        <v>2026091</v>
      </c>
      <c r="D186" s="23">
        <v>7</v>
      </c>
      <c r="E186" s="128">
        <v>0</v>
      </c>
      <c r="F186" s="126" t="e">
        <f>VLOOKUP(E186,'Códigos bancos'!$B$4:$C$29,2,0)</f>
        <v>#N/A</v>
      </c>
      <c r="G186" s="36">
        <v>1</v>
      </c>
      <c r="H186" s="126" t="str">
        <f>VLOOKUP(G186,'Códigos bancos'!$F$4:$G$14,2,0)</f>
        <v>Oficinas</v>
      </c>
      <c r="I186" s="130"/>
      <c r="J186" s="174">
        <v>0</v>
      </c>
      <c r="K186" s="174">
        <v>0</v>
      </c>
      <c r="L186" s="174">
        <v>0</v>
      </c>
      <c r="M186" s="174">
        <v>0</v>
      </c>
      <c r="N186" s="174">
        <v>0</v>
      </c>
      <c r="O186" s="174">
        <v>0</v>
      </c>
      <c r="P186" s="174">
        <v>0</v>
      </c>
      <c r="Q186" s="174">
        <v>0</v>
      </c>
      <c r="R186" s="174">
        <v>0</v>
      </c>
      <c r="S186" s="215">
        <v>0</v>
      </c>
      <c r="T186" s="71">
        <f t="shared" si="108"/>
        <v>0</v>
      </c>
      <c r="U186" s="71">
        <f t="shared" si="109"/>
        <v>0</v>
      </c>
      <c r="V186" s="117">
        <v>0</v>
      </c>
      <c r="W186" s="117">
        <v>0</v>
      </c>
      <c r="X186" s="71">
        <f t="shared" si="110"/>
        <v>0</v>
      </c>
      <c r="Y186" s="71">
        <f t="shared" si="111"/>
        <v>0</v>
      </c>
      <c r="AA186" s="65"/>
      <c r="AC186" s="71">
        <f t="shared" si="112"/>
        <v>0</v>
      </c>
      <c r="AD186" s="39"/>
      <c r="AE186" s="7"/>
      <c r="AF186" s="15"/>
      <c r="AG186" s="71" t="b">
        <f t="shared" si="113"/>
        <v>1</v>
      </c>
      <c r="AI186" s="71">
        <f t="shared" si="114"/>
        <v>0</v>
      </c>
      <c r="AJ186" s="39"/>
      <c r="AK186" s="15"/>
      <c r="AL186" s="71" t="b">
        <f t="shared" si="115"/>
        <v>1</v>
      </c>
      <c r="AN186" s="65"/>
    </row>
    <row r="187" spans="2:40 16128:16147" ht="12.75" customHeight="1">
      <c r="B187" s="119"/>
      <c r="C187" s="159">
        <f t="shared" si="107"/>
        <v>2026091</v>
      </c>
      <c r="D187" s="23">
        <v>7</v>
      </c>
      <c r="E187" s="128">
        <v>0</v>
      </c>
      <c r="F187" s="126" t="e">
        <f>VLOOKUP(E187,'Códigos bancos'!$B$4:$C$29,2,0)</f>
        <v>#N/A</v>
      </c>
      <c r="G187" s="36">
        <v>1</v>
      </c>
      <c r="H187" s="126" t="str">
        <f>VLOOKUP(G187,'Códigos bancos'!$F$4:$G$14,2,0)</f>
        <v>Oficinas</v>
      </c>
      <c r="I187" s="130"/>
      <c r="J187" s="174">
        <v>0</v>
      </c>
      <c r="K187" s="174">
        <v>0</v>
      </c>
      <c r="L187" s="174">
        <v>0</v>
      </c>
      <c r="M187" s="174">
        <v>0</v>
      </c>
      <c r="N187" s="174">
        <v>0</v>
      </c>
      <c r="O187" s="174">
        <v>0</v>
      </c>
      <c r="P187" s="174">
        <v>0</v>
      </c>
      <c r="Q187" s="174">
        <v>0</v>
      </c>
      <c r="R187" s="174">
        <v>0</v>
      </c>
      <c r="S187" s="215">
        <v>0</v>
      </c>
      <c r="T187" s="71">
        <f t="shared" si="108"/>
        <v>0</v>
      </c>
      <c r="U187" s="71">
        <f t="shared" si="109"/>
        <v>0</v>
      </c>
      <c r="V187" s="117">
        <v>0</v>
      </c>
      <c r="W187" s="117">
        <v>0</v>
      </c>
      <c r="X187" s="71">
        <f t="shared" si="110"/>
        <v>0</v>
      </c>
      <c r="Y187" s="71">
        <f t="shared" si="111"/>
        <v>0</v>
      </c>
      <c r="AA187" s="65"/>
      <c r="AC187" s="71">
        <f t="shared" si="112"/>
        <v>0</v>
      </c>
      <c r="AD187" s="39"/>
      <c r="AE187" s="7"/>
      <c r="AF187" s="15"/>
      <c r="AG187" s="71" t="b">
        <f t="shared" si="113"/>
        <v>1</v>
      </c>
      <c r="AI187" s="71">
        <f t="shared" si="114"/>
        <v>0</v>
      </c>
      <c r="AJ187" s="39"/>
      <c r="AK187" s="15"/>
      <c r="AL187" s="71" t="b">
        <f t="shared" si="115"/>
        <v>1</v>
      </c>
      <c r="AN187" s="65"/>
    </row>
    <row r="188" spans="2:40 16128:16147" ht="13" customHeight="1">
      <c r="B188" s="119"/>
      <c r="C188" s="159">
        <f t="shared" si="107"/>
        <v>2026091</v>
      </c>
      <c r="D188" s="23">
        <v>7</v>
      </c>
      <c r="E188" s="128">
        <v>0</v>
      </c>
      <c r="F188" s="126" t="e">
        <f>VLOOKUP(E188,'Códigos bancos'!$B$4:$C$29,2,0)</f>
        <v>#N/A</v>
      </c>
      <c r="G188" s="36">
        <v>1</v>
      </c>
      <c r="H188" s="126" t="str">
        <f>VLOOKUP(G188,'Códigos bancos'!$F$4:$G$14,2,0)</f>
        <v>Oficinas</v>
      </c>
      <c r="I188" s="130"/>
      <c r="J188" s="174">
        <v>0</v>
      </c>
      <c r="K188" s="174">
        <v>0</v>
      </c>
      <c r="L188" s="174">
        <v>0</v>
      </c>
      <c r="M188" s="174">
        <v>0</v>
      </c>
      <c r="N188" s="174">
        <v>0</v>
      </c>
      <c r="O188" s="174">
        <v>0</v>
      </c>
      <c r="P188" s="174">
        <v>0</v>
      </c>
      <c r="Q188" s="174">
        <v>0</v>
      </c>
      <c r="R188" s="174">
        <v>0</v>
      </c>
      <c r="S188" s="215">
        <v>0</v>
      </c>
      <c r="T188" s="71">
        <f t="shared" si="108"/>
        <v>0</v>
      </c>
      <c r="U188" s="71">
        <f t="shared" si="109"/>
        <v>0</v>
      </c>
      <c r="V188" s="117">
        <v>0</v>
      </c>
      <c r="W188" s="117">
        <v>0</v>
      </c>
      <c r="X188" s="71">
        <f t="shared" si="110"/>
        <v>0</v>
      </c>
      <c r="Y188" s="71">
        <f t="shared" si="111"/>
        <v>0</v>
      </c>
      <c r="AA188" s="65"/>
      <c r="AC188" s="71">
        <f t="shared" si="112"/>
        <v>0</v>
      </c>
      <c r="AD188" s="39"/>
      <c r="AE188" s="7"/>
      <c r="AF188" s="15"/>
      <c r="AG188" s="71" t="b">
        <f t="shared" si="113"/>
        <v>1</v>
      </c>
      <c r="AI188" s="71">
        <f t="shared" si="114"/>
        <v>0</v>
      </c>
      <c r="AJ188" s="39"/>
      <c r="AK188" s="15"/>
      <c r="AL188" s="71" t="b">
        <f t="shared" si="115"/>
        <v>1</v>
      </c>
      <c r="AN188" s="65"/>
    </row>
    <row r="189" spans="2:40 16128:16147" ht="13" customHeight="1">
      <c r="B189" s="119"/>
      <c r="C189" s="159">
        <f t="shared" si="107"/>
        <v>2026091</v>
      </c>
      <c r="D189" s="23">
        <v>7</v>
      </c>
      <c r="E189" s="128">
        <v>0</v>
      </c>
      <c r="F189" s="126" t="e">
        <f>VLOOKUP(E189,'Códigos bancos'!$B$4:$C$29,2,0)</f>
        <v>#N/A</v>
      </c>
      <c r="G189" s="36">
        <v>1</v>
      </c>
      <c r="H189" s="126" t="str">
        <f>VLOOKUP(G189,'Códigos bancos'!$F$4:$G$14,2,0)</f>
        <v>Oficinas</v>
      </c>
      <c r="I189" s="130"/>
      <c r="J189" s="174">
        <v>0</v>
      </c>
      <c r="K189" s="174">
        <v>0</v>
      </c>
      <c r="L189" s="174">
        <v>0</v>
      </c>
      <c r="M189" s="174">
        <v>0</v>
      </c>
      <c r="N189" s="174">
        <v>0</v>
      </c>
      <c r="O189" s="174">
        <v>0</v>
      </c>
      <c r="P189" s="174">
        <v>0</v>
      </c>
      <c r="Q189" s="174">
        <v>0</v>
      </c>
      <c r="R189" s="174">
        <v>0</v>
      </c>
      <c r="S189" s="215">
        <v>0</v>
      </c>
      <c r="T189" s="71">
        <f t="shared" si="108"/>
        <v>0</v>
      </c>
      <c r="U189" s="71">
        <f t="shared" si="109"/>
        <v>0</v>
      </c>
      <c r="V189" s="117">
        <v>0</v>
      </c>
      <c r="W189" s="117">
        <v>0</v>
      </c>
      <c r="X189" s="71">
        <f t="shared" si="110"/>
        <v>0</v>
      </c>
      <c r="Y189" s="71">
        <f t="shared" si="111"/>
        <v>0</v>
      </c>
      <c r="AA189" s="65"/>
      <c r="AC189" s="71">
        <f t="shared" si="112"/>
        <v>0</v>
      </c>
      <c r="AD189" s="39"/>
      <c r="AE189" s="7"/>
      <c r="AF189" s="15"/>
      <c r="AG189" s="71" t="b">
        <f t="shared" si="113"/>
        <v>1</v>
      </c>
      <c r="AI189" s="71">
        <f t="shared" si="114"/>
        <v>0</v>
      </c>
      <c r="AJ189" s="39"/>
      <c r="AK189" s="15"/>
      <c r="AL189" s="71" t="b">
        <f t="shared" si="115"/>
        <v>1</v>
      </c>
      <c r="AN189" s="65"/>
    </row>
    <row r="190" spans="2:40 16128:16147" ht="13" customHeight="1">
      <c r="B190" s="119"/>
      <c r="C190" s="159">
        <f t="shared" si="107"/>
        <v>2026091</v>
      </c>
      <c r="D190" s="23">
        <v>7</v>
      </c>
      <c r="E190" s="128">
        <v>0</v>
      </c>
      <c r="F190" s="126" t="e">
        <f>VLOOKUP(E190,'Códigos bancos'!$B$4:$C$29,2,0)</f>
        <v>#N/A</v>
      </c>
      <c r="G190" s="36">
        <v>1</v>
      </c>
      <c r="H190" s="126" t="str">
        <f>VLOOKUP(G190,'Códigos bancos'!$F$4:$G$14,2,0)</f>
        <v>Oficinas</v>
      </c>
      <c r="I190" s="130"/>
      <c r="J190" s="174">
        <v>0</v>
      </c>
      <c r="K190" s="174">
        <v>0</v>
      </c>
      <c r="L190" s="174">
        <v>0</v>
      </c>
      <c r="M190" s="174">
        <v>0</v>
      </c>
      <c r="N190" s="174">
        <v>0</v>
      </c>
      <c r="O190" s="174">
        <v>0</v>
      </c>
      <c r="P190" s="174">
        <v>0</v>
      </c>
      <c r="Q190" s="174">
        <v>0</v>
      </c>
      <c r="R190" s="174">
        <v>0</v>
      </c>
      <c r="S190" s="215">
        <v>0</v>
      </c>
      <c r="T190" s="71">
        <f t="shared" si="108"/>
        <v>0</v>
      </c>
      <c r="U190" s="71">
        <f t="shared" si="109"/>
        <v>0</v>
      </c>
      <c r="V190" s="117">
        <v>0</v>
      </c>
      <c r="W190" s="117">
        <v>0</v>
      </c>
      <c r="X190" s="71">
        <f t="shared" si="110"/>
        <v>0</v>
      </c>
      <c r="Y190" s="71">
        <f t="shared" si="111"/>
        <v>0</v>
      </c>
      <c r="AA190" s="65"/>
      <c r="AC190" s="71">
        <f t="shared" si="112"/>
        <v>0</v>
      </c>
      <c r="AD190" s="39"/>
      <c r="AE190" s="7"/>
      <c r="AF190" s="15"/>
      <c r="AG190" s="71" t="b">
        <f t="shared" si="113"/>
        <v>1</v>
      </c>
      <c r="AI190" s="71">
        <f t="shared" si="114"/>
        <v>0</v>
      </c>
      <c r="AJ190" s="39"/>
      <c r="AK190" s="15"/>
      <c r="AL190" s="71" t="b">
        <f t="shared" si="115"/>
        <v>1</v>
      </c>
      <c r="AN190" s="65"/>
    </row>
    <row r="191" spans="2:40 16128:16147" ht="13" customHeight="1">
      <c r="B191" s="119"/>
      <c r="C191" s="159">
        <f t="shared" si="107"/>
        <v>2026091</v>
      </c>
      <c r="D191" s="23">
        <v>7</v>
      </c>
      <c r="E191" s="128">
        <v>0</v>
      </c>
      <c r="F191" s="126" t="e">
        <f>VLOOKUP(E191,'Códigos bancos'!$B$4:$C$29,2,0)</f>
        <v>#N/A</v>
      </c>
      <c r="G191" s="36">
        <v>1</v>
      </c>
      <c r="H191" s="126" t="str">
        <f>VLOOKUP(G191,'Códigos bancos'!$F$4:$G$14,2,0)</f>
        <v>Oficinas</v>
      </c>
      <c r="I191" s="130"/>
      <c r="J191" s="174">
        <v>0</v>
      </c>
      <c r="K191" s="174">
        <v>0</v>
      </c>
      <c r="L191" s="174">
        <v>0</v>
      </c>
      <c r="M191" s="174">
        <v>0</v>
      </c>
      <c r="N191" s="174">
        <v>0</v>
      </c>
      <c r="O191" s="174">
        <v>0</v>
      </c>
      <c r="P191" s="174">
        <v>0</v>
      </c>
      <c r="Q191" s="174">
        <v>0</v>
      </c>
      <c r="R191" s="174">
        <v>0</v>
      </c>
      <c r="S191" s="215">
        <v>0</v>
      </c>
      <c r="T191" s="71">
        <f t="shared" si="108"/>
        <v>0</v>
      </c>
      <c r="U191" s="71">
        <f t="shared" si="109"/>
        <v>0</v>
      </c>
      <c r="V191" s="117">
        <v>0</v>
      </c>
      <c r="W191" s="117">
        <v>0</v>
      </c>
      <c r="X191" s="71">
        <f t="shared" si="110"/>
        <v>0</v>
      </c>
      <c r="Y191" s="71">
        <f t="shared" si="111"/>
        <v>0</v>
      </c>
      <c r="AA191" s="65"/>
      <c r="AC191" s="71">
        <f t="shared" si="112"/>
        <v>0</v>
      </c>
      <c r="AD191" s="39"/>
      <c r="AE191" s="7"/>
      <c r="AF191" s="15"/>
      <c r="AG191" s="71" t="b">
        <f t="shared" si="113"/>
        <v>1</v>
      </c>
      <c r="AI191" s="71">
        <f t="shared" si="114"/>
        <v>0</v>
      </c>
      <c r="AJ191" s="39"/>
      <c r="AK191" s="15"/>
      <c r="AL191" s="71" t="b">
        <f t="shared" si="115"/>
        <v>1</v>
      </c>
      <c r="AN191" s="65"/>
    </row>
    <row r="192" spans="2:40 16128:16147" ht="13" customHeight="1">
      <c r="B192" s="119"/>
      <c r="C192" s="159">
        <f t="shared" si="107"/>
        <v>2026091</v>
      </c>
      <c r="D192" s="23">
        <v>7</v>
      </c>
      <c r="E192" s="128">
        <v>0</v>
      </c>
      <c r="F192" s="126" t="e">
        <f>VLOOKUP(E192,'Códigos bancos'!$B$4:$C$29,2,0)</f>
        <v>#N/A</v>
      </c>
      <c r="G192" s="36">
        <v>1</v>
      </c>
      <c r="H192" s="126" t="str">
        <f>VLOOKUP(G192,'Códigos bancos'!$F$4:$G$14,2,0)</f>
        <v>Oficinas</v>
      </c>
      <c r="I192" s="130"/>
      <c r="J192" s="174">
        <v>0</v>
      </c>
      <c r="K192" s="174">
        <v>0</v>
      </c>
      <c r="L192" s="174">
        <v>0</v>
      </c>
      <c r="M192" s="174">
        <v>0</v>
      </c>
      <c r="N192" s="174">
        <v>0</v>
      </c>
      <c r="O192" s="174">
        <v>0</v>
      </c>
      <c r="P192" s="174">
        <v>0</v>
      </c>
      <c r="Q192" s="174">
        <v>0</v>
      </c>
      <c r="R192" s="174">
        <v>0</v>
      </c>
      <c r="S192" s="215">
        <v>0</v>
      </c>
      <c r="T192" s="71">
        <f t="shared" si="108"/>
        <v>0</v>
      </c>
      <c r="U192" s="71">
        <f t="shared" si="109"/>
        <v>0</v>
      </c>
      <c r="V192" s="117">
        <v>0</v>
      </c>
      <c r="W192" s="117">
        <v>0</v>
      </c>
      <c r="X192" s="71">
        <f t="shared" si="110"/>
        <v>0</v>
      </c>
      <c r="Y192" s="71">
        <f t="shared" si="111"/>
        <v>0</v>
      </c>
      <c r="AA192" s="65"/>
      <c r="AC192" s="71">
        <f t="shared" si="112"/>
        <v>0</v>
      </c>
      <c r="AD192" s="39"/>
      <c r="AE192" s="7"/>
      <c r="AF192" s="15"/>
      <c r="AG192" s="71" t="b">
        <f t="shared" si="113"/>
        <v>1</v>
      </c>
      <c r="AI192" s="71">
        <f t="shared" si="114"/>
        <v>0</v>
      </c>
      <c r="AJ192" s="39"/>
      <c r="AK192" s="15"/>
      <c r="AL192" s="71" t="b">
        <f t="shared" si="115"/>
        <v>1</v>
      </c>
      <c r="AN192" s="65"/>
    </row>
    <row r="193" spans="2:40 16128:16147" ht="13" customHeight="1">
      <c r="B193" s="119"/>
      <c r="C193" s="159">
        <f t="shared" si="107"/>
        <v>2026091</v>
      </c>
      <c r="D193" s="23">
        <v>7</v>
      </c>
      <c r="E193" s="128">
        <v>0</v>
      </c>
      <c r="F193" s="126" t="e">
        <f>VLOOKUP(E193,'Códigos bancos'!$B$4:$C$29,2,0)</f>
        <v>#N/A</v>
      </c>
      <c r="G193" s="36">
        <v>1</v>
      </c>
      <c r="H193" s="126" t="str">
        <f>VLOOKUP(G193,'Códigos bancos'!$F$4:$G$14,2,0)</f>
        <v>Oficinas</v>
      </c>
      <c r="I193" s="130"/>
      <c r="J193" s="174">
        <v>0</v>
      </c>
      <c r="K193" s="174">
        <v>0</v>
      </c>
      <c r="L193" s="174">
        <v>0</v>
      </c>
      <c r="M193" s="174">
        <v>0</v>
      </c>
      <c r="N193" s="174">
        <v>0</v>
      </c>
      <c r="O193" s="174">
        <v>0</v>
      </c>
      <c r="P193" s="174">
        <v>0</v>
      </c>
      <c r="Q193" s="174">
        <v>0</v>
      </c>
      <c r="R193" s="174">
        <v>0</v>
      </c>
      <c r="S193" s="215">
        <v>0</v>
      </c>
      <c r="T193" s="71">
        <f t="shared" si="108"/>
        <v>0</v>
      </c>
      <c r="U193" s="71">
        <f t="shared" si="109"/>
        <v>0</v>
      </c>
      <c r="V193" s="117">
        <v>0</v>
      </c>
      <c r="W193" s="117">
        <v>0</v>
      </c>
      <c r="X193" s="71">
        <f t="shared" si="110"/>
        <v>0</v>
      </c>
      <c r="Y193" s="71">
        <f t="shared" si="111"/>
        <v>0</v>
      </c>
      <c r="AA193" s="65"/>
      <c r="AC193" s="71">
        <f t="shared" si="112"/>
        <v>0</v>
      </c>
      <c r="AD193" s="39"/>
      <c r="AE193" s="7"/>
      <c r="AF193" s="15"/>
      <c r="AG193" s="71" t="b">
        <f t="shared" si="113"/>
        <v>1</v>
      </c>
      <c r="AI193" s="71">
        <f t="shared" si="114"/>
        <v>0</v>
      </c>
      <c r="AJ193" s="39"/>
      <c r="AK193" s="15"/>
      <c r="AL193" s="71" t="b">
        <f t="shared" si="115"/>
        <v>1</v>
      </c>
      <c r="AN193" s="65"/>
    </row>
    <row r="194" spans="2:40 16128:16147" ht="13" customHeight="1">
      <c r="B194" s="119"/>
      <c r="C194" s="159">
        <f t="shared" si="107"/>
        <v>2026091</v>
      </c>
      <c r="D194" s="23">
        <v>7</v>
      </c>
      <c r="E194" s="128">
        <v>0</v>
      </c>
      <c r="F194" s="126" t="e">
        <f>VLOOKUP(E194,'Códigos bancos'!$B$4:$C$29,2,0)</f>
        <v>#N/A</v>
      </c>
      <c r="G194" s="36">
        <v>1</v>
      </c>
      <c r="H194" s="126" t="str">
        <f>VLOOKUP(G194,'Códigos bancos'!$F$4:$G$14,2,0)</f>
        <v>Oficinas</v>
      </c>
      <c r="I194" s="130"/>
      <c r="J194" s="174">
        <v>0</v>
      </c>
      <c r="K194" s="174">
        <v>0</v>
      </c>
      <c r="L194" s="174">
        <v>0</v>
      </c>
      <c r="M194" s="174">
        <v>0</v>
      </c>
      <c r="N194" s="174">
        <v>0</v>
      </c>
      <c r="O194" s="174">
        <v>0</v>
      </c>
      <c r="P194" s="174">
        <v>0</v>
      </c>
      <c r="Q194" s="174">
        <v>0</v>
      </c>
      <c r="R194" s="174">
        <v>0</v>
      </c>
      <c r="S194" s="215">
        <v>0</v>
      </c>
      <c r="T194" s="71">
        <f t="shared" si="108"/>
        <v>0</v>
      </c>
      <c r="U194" s="71">
        <f t="shared" si="109"/>
        <v>0</v>
      </c>
      <c r="V194" s="117">
        <v>0</v>
      </c>
      <c r="W194" s="117">
        <v>0</v>
      </c>
      <c r="X194" s="71">
        <f t="shared" si="110"/>
        <v>0</v>
      </c>
      <c r="Y194" s="71">
        <f t="shared" si="111"/>
        <v>0</v>
      </c>
      <c r="AA194" s="65"/>
      <c r="AC194" s="71">
        <f t="shared" si="112"/>
        <v>0</v>
      </c>
      <c r="AD194" s="39"/>
      <c r="AE194" s="7"/>
      <c r="AF194" s="15"/>
      <c r="AG194" s="71" t="b">
        <f t="shared" si="113"/>
        <v>1</v>
      </c>
      <c r="AI194" s="71">
        <f t="shared" si="114"/>
        <v>0</v>
      </c>
      <c r="AJ194" s="39"/>
      <c r="AK194" s="15"/>
      <c r="AL194" s="71" t="b">
        <f t="shared" si="115"/>
        <v>1</v>
      </c>
      <c r="AN194" s="65"/>
    </row>
    <row r="195" spans="2:40 16128:16147" ht="13" customHeight="1">
      <c r="B195" s="119"/>
      <c r="C195" s="159">
        <f t="shared" si="107"/>
        <v>2026091</v>
      </c>
      <c r="D195" s="23">
        <v>7</v>
      </c>
      <c r="E195" s="128">
        <v>0</v>
      </c>
      <c r="F195" s="126" t="e">
        <f>VLOOKUP(E195,'Códigos bancos'!$B$4:$C$29,2,0)</f>
        <v>#N/A</v>
      </c>
      <c r="G195" s="36">
        <v>1</v>
      </c>
      <c r="H195" s="126" t="str">
        <f>VLOOKUP(G195,'Códigos bancos'!$F$4:$G$14,2,0)</f>
        <v>Oficinas</v>
      </c>
      <c r="I195" s="130"/>
      <c r="J195" s="174">
        <v>0</v>
      </c>
      <c r="K195" s="174">
        <v>0</v>
      </c>
      <c r="L195" s="174">
        <v>0</v>
      </c>
      <c r="M195" s="174">
        <v>0</v>
      </c>
      <c r="N195" s="174">
        <v>0</v>
      </c>
      <c r="O195" s="174">
        <v>0</v>
      </c>
      <c r="P195" s="174">
        <v>0</v>
      </c>
      <c r="Q195" s="174">
        <v>0</v>
      </c>
      <c r="R195" s="174">
        <v>0</v>
      </c>
      <c r="S195" s="215">
        <v>0</v>
      </c>
      <c r="T195" s="71">
        <f t="shared" si="108"/>
        <v>0</v>
      </c>
      <c r="U195" s="71">
        <f t="shared" si="109"/>
        <v>0</v>
      </c>
      <c r="V195" s="117">
        <v>0</v>
      </c>
      <c r="W195" s="117">
        <v>0</v>
      </c>
      <c r="X195" s="71">
        <f t="shared" si="110"/>
        <v>0</v>
      </c>
      <c r="Y195" s="71">
        <f t="shared" si="111"/>
        <v>0</v>
      </c>
      <c r="AA195" s="65"/>
      <c r="AC195" s="71">
        <f t="shared" si="112"/>
        <v>0</v>
      </c>
      <c r="AD195" s="39"/>
      <c r="AE195" s="7"/>
      <c r="AF195" s="15"/>
      <c r="AG195" s="71" t="b">
        <f t="shared" si="113"/>
        <v>1</v>
      </c>
      <c r="AI195" s="71">
        <f t="shared" si="114"/>
        <v>0</v>
      </c>
      <c r="AJ195" s="39"/>
      <c r="AK195" s="15"/>
      <c r="AL195" s="71" t="b">
        <f t="shared" si="115"/>
        <v>1</v>
      </c>
      <c r="AN195" s="65"/>
    </row>
    <row r="196" spans="2:40 16128:16147" ht="13" customHeight="1">
      <c r="B196" s="119"/>
      <c r="C196" s="159">
        <f t="shared" si="107"/>
        <v>2026091</v>
      </c>
      <c r="D196" s="23">
        <v>7</v>
      </c>
      <c r="E196" s="128">
        <v>0</v>
      </c>
      <c r="F196" s="126" t="e">
        <f>VLOOKUP(E196,'Códigos bancos'!$B$4:$C$29,2,0)</f>
        <v>#N/A</v>
      </c>
      <c r="G196" s="36">
        <v>1</v>
      </c>
      <c r="H196" s="126" t="str">
        <f>VLOOKUP(G196,'Códigos bancos'!$F$4:$G$14,2,0)</f>
        <v>Oficinas</v>
      </c>
      <c r="I196" s="130"/>
      <c r="J196" s="174">
        <v>0</v>
      </c>
      <c r="K196" s="174">
        <v>0</v>
      </c>
      <c r="L196" s="174">
        <v>0</v>
      </c>
      <c r="M196" s="174">
        <v>0</v>
      </c>
      <c r="N196" s="174">
        <v>0</v>
      </c>
      <c r="O196" s="174">
        <v>0</v>
      </c>
      <c r="P196" s="174">
        <v>0</v>
      </c>
      <c r="Q196" s="174">
        <v>0</v>
      </c>
      <c r="R196" s="174">
        <v>0</v>
      </c>
      <c r="S196" s="215">
        <v>0</v>
      </c>
      <c r="T196" s="71">
        <f t="shared" si="108"/>
        <v>0</v>
      </c>
      <c r="U196" s="71">
        <f t="shared" si="109"/>
        <v>0</v>
      </c>
      <c r="V196" s="117">
        <v>0</v>
      </c>
      <c r="W196" s="117">
        <v>0</v>
      </c>
      <c r="X196" s="71">
        <f t="shared" si="110"/>
        <v>0</v>
      </c>
      <c r="Y196" s="71">
        <f t="shared" si="111"/>
        <v>0</v>
      </c>
      <c r="AA196" s="65"/>
      <c r="AC196" s="71">
        <f t="shared" si="112"/>
        <v>0</v>
      </c>
      <c r="AD196" s="39"/>
      <c r="AE196" s="7"/>
      <c r="AF196" s="15"/>
      <c r="AG196" s="71" t="b">
        <f t="shared" si="113"/>
        <v>1</v>
      </c>
      <c r="AI196" s="71">
        <f t="shared" si="114"/>
        <v>0</v>
      </c>
      <c r="AJ196" s="39"/>
      <c r="AK196" s="15"/>
      <c r="AL196" s="71" t="b">
        <f t="shared" si="115"/>
        <v>1</v>
      </c>
      <c r="AN196" s="65"/>
    </row>
    <row r="197" spans="2:40 16128:16147" ht="13" customHeight="1">
      <c r="B197" s="119"/>
      <c r="C197" s="159">
        <f t="shared" si="107"/>
        <v>2026091</v>
      </c>
      <c r="D197" s="23">
        <v>7</v>
      </c>
      <c r="E197" s="128">
        <v>0</v>
      </c>
      <c r="F197" s="126" t="e">
        <f>VLOOKUP(E197,'Códigos bancos'!$B$4:$C$29,2,0)</f>
        <v>#N/A</v>
      </c>
      <c r="G197" s="36">
        <v>1</v>
      </c>
      <c r="H197" s="126" t="str">
        <f>VLOOKUP(G197,'Códigos bancos'!$F$4:$G$14,2,0)</f>
        <v>Oficinas</v>
      </c>
      <c r="I197" s="130"/>
      <c r="J197" s="174">
        <v>0</v>
      </c>
      <c r="K197" s="174">
        <v>0</v>
      </c>
      <c r="L197" s="174">
        <v>0</v>
      </c>
      <c r="M197" s="174">
        <v>0</v>
      </c>
      <c r="N197" s="174">
        <v>0</v>
      </c>
      <c r="O197" s="174">
        <v>0</v>
      </c>
      <c r="P197" s="174">
        <v>0</v>
      </c>
      <c r="Q197" s="174">
        <v>0</v>
      </c>
      <c r="R197" s="174">
        <v>0</v>
      </c>
      <c r="S197" s="215">
        <v>0</v>
      </c>
      <c r="T197" s="71">
        <f t="shared" si="108"/>
        <v>0</v>
      </c>
      <c r="U197" s="71">
        <f t="shared" si="109"/>
        <v>0</v>
      </c>
      <c r="V197" s="117">
        <v>0</v>
      </c>
      <c r="W197" s="117">
        <v>0</v>
      </c>
      <c r="X197" s="71">
        <f t="shared" si="110"/>
        <v>0</v>
      </c>
      <c r="Y197" s="71">
        <f t="shared" si="111"/>
        <v>0</v>
      </c>
      <c r="AA197" s="65"/>
      <c r="AC197" s="71">
        <f t="shared" si="112"/>
        <v>0</v>
      </c>
      <c r="AD197" s="39"/>
      <c r="AE197" s="7"/>
      <c r="AF197" s="15"/>
      <c r="AG197" s="71" t="b">
        <f t="shared" si="113"/>
        <v>1</v>
      </c>
      <c r="AI197" s="71">
        <f t="shared" si="114"/>
        <v>0</v>
      </c>
      <c r="AJ197" s="39"/>
      <c r="AK197" s="15"/>
      <c r="AL197" s="71" t="b">
        <f t="shared" si="115"/>
        <v>1</v>
      </c>
      <c r="AN197" s="65"/>
    </row>
    <row r="198" spans="2:40 16128:16147" ht="13" customHeight="1">
      <c r="B198" s="119"/>
      <c r="C198" s="159">
        <f t="shared" si="107"/>
        <v>2026091</v>
      </c>
      <c r="D198" s="23">
        <v>7</v>
      </c>
      <c r="E198" s="128">
        <v>0</v>
      </c>
      <c r="F198" s="126" t="e">
        <f>VLOOKUP(E198,'Códigos bancos'!$B$4:$C$29,2,0)</f>
        <v>#N/A</v>
      </c>
      <c r="G198" s="36">
        <v>1</v>
      </c>
      <c r="H198" s="126" t="str">
        <f>VLOOKUP(G198,'Códigos bancos'!$F$4:$G$14,2,0)</f>
        <v>Oficinas</v>
      </c>
      <c r="I198" s="130"/>
      <c r="J198" s="174">
        <v>0</v>
      </c>
      <c r="K198" s="174">
        <v>0</v>
      </c>
      <c r="L198" s="174">
        <v>0</v>
      </c>
      <c r="M198" s="174">
        <v>0</v>
      </c>
      <c r="N198" s="174">
        <v>0</v>
      </c>
      <c r="O198" s="174">
        <v>0</v>
      </c>
      <c r="P198" s="174">
        <v>0</v>
      </c>
      <c r="Q198" s="174">
        <v>0</v>
      </c>
      <c r="R198" s="174">
        <v>0</v>
      </c>
      <c r="S198" s="215">
        <v>0</v>
      </c>
      <c r="T198" s="71">
        <f t="shared" si="108"/>
        <v>0</v>
      </c>
      <c r="U198" s="71">
        <f t="shared" si="109"/>
        <v>0</v>
      </c>
      <c r="V198" s="117">
        <v>0</v>
      </c>
      <c r="W198" s="117">
        <v>0</v>
      </c>
      <c r="X198" s="71">
        <f t="shared" si="110"/>
        <v>0</v>
      </c>
      <c r="Y198" s="71">
        <f t="shared" si="111"/>
        <v>0</v>
      </c>
      <c r="AA198" s="65"/>
      <c r="AC198" s="71">
        <f t="shared" si="112"/>
        <v>0</v>
      </c>
      <c r="AD198" s="39"/>
      <c r="AE198" s="7"/>
      <c r="AF198" s="15"/>
      <c r="AG198" s="71" t="b">
        <f t="shared" si="113"/>
        <v>1</v>
      </c>
      <c r="AI198" s="71">
        <f t="shared" si="114"/>
        <v>0</v>
      </c>
      <c r="AJ198" s="39"/>
      <c r="AK198" s="15"/>
      <c r="AL198" s="71" t="b">
        <f t="shared" si="115"/>
        <v>1</v>
      </c>
      <c r="AN198" s="65"/>
    </row>
    <row r="199" spans="2:40 16128:16147" ht="13" customHeight="1">
      <c r="B199" s="119"/>
      <c r="C199" s="159">
        <f t="shared" si="107"/>
        <v>2026091</v>
      </c>
      <c r="D199" s="23">
        <v>7</v>
      </c>
      <c r="E199" s="128">
        <v>0</v>
      </c>
      <c r="F199" s="126" t="e">
        <f>VLOOKUP(E199,'Códigos bancos'!$B$4:$C$29,2,0)</f>
        <v>#N/A</v>
      </c>
      <c r="G199" s="36">
        <v>1</v>
      </c>
      <c r="H199" s="126" t="str">
        <f>VLOOKUP(G199,'Códigos bancos'!$F$4:$G$14,2,0)</f>
        <v>Oficinas</v>
      </c>
      <c r="I199" s="130"/>
      <c r="J199" s="174">
        <v>0</v>
      </c>
      <c r="K199" s="174">
        <v>0</v>
      </c>
      <c r="L199" s="174">
        <v>0</v>
      </c>
      <c r="M199" s="174">
        <v>0</v>
      </c>
      <c r="N199" s="174">
        <v>0</v>
      </c>
      <c r="O199" s="174">
        <v>0</v>
      </c>
      <c r="P199" s="174">
        <v>0</v>
      </c>
      <c r="Q199" s="174">
        <v>0</v>
      </c>
      <c r="R199" s="174">
        <v>0</v>
      </c>
      <c r="S199" s="215">
        <v>0</v>
      </c>
      <c r="T199" s="71">
        <f t="shared" si="108"/>
        <v>0</v>
      </c>
      <c r="U199" s="71">
        <f t="shared" si="109"/>
        <v>0</v>
      </c>
      <c r="V199" s="117">
        <v>0</v>
      </c>
      <c r="W199" s="117">
        <v>0</v>
      </c>
      <c r="X199" s="71">
        <f t="shared" si="110"/>
        <v>0</v>
      </c>
      <c r="Y199" s="71">
        <f t="shared" si="111"/>
        <v>0</v>
      </c>
      <c r="AA199" s="65"/>
      <c r="AC199" s="71">
        <f t="shared" si="112"/>
        <v>0</v>
      </c>
      <c r="AD199" s="39"/>
      <c r="AE199" s="7"/>
      <c r="AF199" s="15"/>
      <c r="AG199" s="71" t="b">
        <f t="shared" si="113"/>
        <v>1</v>
      </c>
      <c r="AI199" s="71">
        <f t="shared" si="114"/>
        <v>0</v>
      </c>
      <c r="AJ199" s="39"/>
      <c r="AK199" s="15"/>
      <c r="AL199" s="71" t="b">
        <f t="shared" si="115"/>
        <v>1</v>
      </c>
      <c r="AN199" s="65"/>
    </row>
    <row r="200" spans="2:40 16128:16147" ht="13" customHeight="1">
      <c r="B200" s="119"/>
      <c r="C200" s="159">
        <f t="shared" ref="C200" si="116">IF(D200&lt;=15,$C$1,$C$2)</f>
        <v>2026091</v>
      </c>
      <c r="D200" s="23">
        <v>7</v>
      </c>
      <c r="E200" s="128">
        <v>0</v>
      </c>
      <c r="F200" s="126" t="e">
        <f>VLOOKUP(E200,'Códigos bancos'!$B$4:$C$29,2,0)</f>
        <v>#N/A</v>
      </c>
      <c r="G200" s="36">
        <v>1</v>
      </c>
      <c r="H200" s="126" t="str">
        <f>VLOOKUP(G200,'Códigos bancos'!$F$4:$G$14,2,0)</f>
        <v>Oficinas</v>
      </c>
      <c r="I200" s="130"/>
      <c r="J200" s="174">
        <v>0</v>
      </c>
      <c r="K200" s="174">
        <v>0</v>
      </c>
      <c r="L200" s="174">
        <v>0</v>
      </c>
      <c r="M200" s="174">
        <v>0</v>
      </c>
      <c r="N200" s="174">
        <v>0</v>
      </c>
      <c r="O200" s="174">
        <v>0</v>
      </c>
      <c r="P200" s="174">
        <v>0</v>
      </c>
      <c r="Q200" s="174">
        <v>0</v>
      </c>
      <c r="R200" s="174">
        <v>0</v>
      </c>
      <c r="S200" s="215">
        <v>0</v>
      </c>
      <c r="T200" s="71">
        <f t="shared" ref="T200" si="117">J200+L200+N200+P200+R200</f>
        <v>0</v>
      </c>
      <c r="U200" s="71">
        <f t="shared" ref="U200" si="118">K200+M200+O200+Q200+S200</f>
        <v>0</v>
      </c>
      <c r="V200" s="117">
        <v>0</v>
      </c>
      <c r="W200" s="117">
        <v>0</v>
      </c>
      <c r="X200" s="71">
        <f t="shared" ref="X200" si="119">V200-T200</f>
        <v>0</v>
      </c>
      <c r="Y200" s="71">
        <f t="shared" ref="Y200" si="120">W200-U200</f>
        <v>0</v>
      </c>
      <c r="AA200" s="65"/>
      <c r="AC200" s="71">
        <f t="shared" ref="AC200" si="121">X200</f>
        <v>0</v>
      </c>
      <c r="AD200" s="39"/>
      <c r="AE200" s="7"/>
      <c r="AF200" s="15"/>
      <c r="AG200" s="71" t="b">
        <f t="shared" ref="AG200" si="122">AC200=(AD200+AE200+AF200)</f>
        <v>1</v>
      </c>
      <c r="AI200" s="71">
        <f t="shared" ref="AI200" si="123">Y200</f>
        <v>0</v>
      </c>
      <c r="AJ200" s="39"/>
      <c r="AK200" s="15"/>
      <c r="AL200" s="71" t="b">
        <f t="shared" ref="AL200" si="124">AI200=(AJ200+AK200)</f>
        <v>1</v>
      </c>
      <c r="AN200" s="65"/>
    </row>
    <row r="201" spans="2:40 16128:16147" ht="13" customHeight="1">
      <c r="B201" s="119"/>
      <c r="C201" s="159">
        <f t="shared" si="107"/>
        <v>2026091</v>
      </c>
      <c r="D201" s="23">
        <v>7</v>
      </c>
      <c r="E201" s="128">
        <v>0</v>
      </c>
      <c r="F201" s="126" t="e">
        <f>VLOOKUP(E201,'Códigos bancos'!$B$4:$C$29,2,0)</f>
        <v>#N/A</v>
      </c>
      <c r="G201" s="36">
        <v>1</v>
      </c>
      <c r="H201" s="126" t="str">
        <f>VLOOKUP(G201,'Códigos bancos'!$F$4:$G$14,2,0)</f>
        <v>Oficinas</v>
      </c>
      <c r="I201" s="130"/>
      <c r="J201" s="174">
        <v>0</v>
      </c>
      <c r="K201" s="174">
        <v>0</v>
      </c>
      <c r="L201" s="174">
        <v>0</v>
      </c>
      <c r="M201" s="174">
        <v>0</v>
      </c>
      <c r="N201" s="174">
        <v>0</v>
      </c>
      <c r="O201" s="174">
        <v>0</v>
      </c>
      <c r="P201" s="174">
        <v>0</v>
      </c>
      <c r="Q201" s="174">
        <v>0</v>
      </c>
      <c r="R201" s="174">
        <v>0</v>
      </c>
      <c r="S201" s="215">
        <v>0</v>
      </c>
      <c r="T201" s="71">
        <f t="shared" si="108"/>
        <v>0</v>
      </c>
      <c r="U201" s="71">
        <f t="shared" si="109"/>
        <v>0</v>
      </c>
      <c r="V201" s="117">
        <v>0</v>
      </c>
      <c r="W201" s="117">
        <v>0</v>
      </c>
      <c r="X201" s="71">
        <f t="shared" si="110"/>
        <v>0</v>
      </c>
      <c r="Y201" s="71">
        <f t="shared" si="111"/>
        <v>0</v>
      </c>
      <c r="AA201" s="65"/>
      <c r="AC201" s="71">
        <f t="shared" si="112"/>
        <v>0</v>
      </c>
      <c r="AD201" s="39"/>
      <c r="AE201" s="7"/>
      <c r="AF201" s="15"/>
      <c r="AG201" s="71" t="b">
        <f t="shared" si="113"/>
        <v>1</v>
      </c>
      <c r="AI201" s="71">
        <f t="shared" si="114"/>
        <v>0</v>
      </c>
      <c r="AJ201" s="39"/>
      <c r="AK201" s="15"/>
      <c r="AL201" s="71" t="b">
        <f t="shared" si="115"/>
        <v>1</v>
      </c>
      <c r="AN201" s="65"/>
    </row>
    <row r="202" spans="2:40 16128:16147" ht="13" customHeight="1">
      <c r="B202" s="119"/>
      <c r="C202" s="23">
        <f t="shared" si="107"/>
        <v>2026091</v>
      </c>
      <c r="D202" s="23">
        <v>7</v>
      </c>
      <c r="E202" s="128">
        <v>0</v>
      </c>
      <c r="F202" s="126" t="e">
        <f>VLOOKUP(E202,'Códigos bancos'!$B$4:$C$29,2,0)</f>
        <v>#N/A</v>
      </c>
      <c r="G202" s="36">
        <v>1</v>
      </c>
      <c r="H202" s="126" t="str">
        <f>VLOOKUP(G202,'Códigos bancos'!$F$4:$G$14,2,0)</f>
        <v>Oficinas</v>
      </c>
      <c r="I202" s="130"/>
      <c r="J202" s="174">
        <v>0</v>
      </c>
      <c r="K202" s="174">
        <v>0</v>
      </c>
      <c r="L202" s="174">
        <v>0</v>
      </c>
      <c r="M202" s="174">
        <v>0</v>
      </c>
      <c r="N202" s="174">
        <v>0</v>
      </c>
      <c r="O202" s="174">
        <v>0</v>
      </c>
      <c r="P202" s="174">
        <v>0</v>
      </c>
      <c r="Q202" s="174">
        <v>0</v>
      </c>
      <c r="R202" s="174">
        <v>0</v>
      </c>
      <c r="S202" s="215">
        <v>0</v>
      </c>
      <c r="T202" s="71">
        <f t="shared" si="108"/>
        <v>0</v>
      </c>
      <c r="U202" s="71">
        <f t="shared" si="109"/>
        <v>0</v>
      </c>
      <c r="V202" s="117">
        <v>0</v>
      </c>
      <c r="W202" s="117">
        <v>0</v>
      </c>
      <c r="X202" s="71">
        <f t="shared" si="110"/>
        <v>0</v>
      </c>
      <c r="Y202" s="71">
        <f t="shared" si="111"/>
        <v>0</v>
      </c>
      <c r="AA202" s="65"/>
      <c r="AC202" s="71">
        <f t="shared" si="112"/>
        <v>0</v>
      </c>
      <c r="AD202" s="39"/>
      <c r="AE202" s="7"/>
      <c r="AF202" s="15"/>
      <c r="AG202" s="71" t="b">
        <f t="shared" si="113"/>
        <v>1</v>
      </c>
      <c r="AI202" s="71">
        <f t="shared" si="114"/>
        <v>0</v>
      </c>
      <c r="AJ202" s="39"/>
      <c r="AK202" s="15"/>
      <c r="AL202" s="71" t="b">
        <f t="shared" si="115"/>
        <v>1</v>
      </c>
      <c r="AN202" s="65"/>
    </row>
    <row r="203" spans="2:40 16128:16147" ht="13" customHeight="1">
      <c r="B203" s="119"/>
      <c r="C203" s="23">
        <f t="shared" si="107"/>
        <v>2026091</v>
      </c>
      <c r="D203" s="23">
        <v>7</v>
      </c>
      <c r="E203" s="128">
        <v>0</v>
      </c>
      <c r="F203" s="126" t="e">
        <f>VLOOKUP(E203,'Códigos bancos'!$B$4:$C$29,2,0)</f>
        <v>#N/A</v>
      </c>
      <c r="G203" s="36">
        <v>1</v>
      </c>
      <c r="H203" s="126" t="str">
        <f>VLOOKUP(G203,'Códigos bancos'!$F$4:$G$14,2,0)</f>
        <v>Oficinas</v>
      </c>
      <c r="I203" s="130"/>
      <c r="J203" s="174">
        <v>0</v>
      </c>
      <c r="K203" s="174">
        <v>0</v>
      </c>
      <c r="L203" s="174">
        <v>0</v>
      </c>
      <c r="M203" s="174">
        <v>0</v>
      </c>
      <c r="N203" s="174">
        <v>0</v>
      </c>
      <c r="O203" s="174">
        <v>0</v>
      </c>
      <c r="P203" s="174">
        <v>0</v>
      </c>
      <c r="Q203" s="174">
        <v>0</v>
      </c>
      <c r="R203" s="174">
        <v>0</v>
      </c>
      <c r="S203" s="215">
        <v>0</v>
      </c>
      <c r="T203" s="71">
        <f t="shared" si="108"/>
        <v>0</v>
      </c>
      <c r="U203" s="71">
        <f t="shared" si="109"/>
        <v>0</v>
      </c>
      <c r="V203" s="117">
        <v>0</v>
      </c>
      <c r="W203" s="117">
        <v>0</v>
      </c>
      <c r="X203" s="71">
        <f t="shared" si="110"/>
        <v>0</v>
      </c>
      <c r="Y203" s="71">
        <f t="shared" si="111"/>
        <v>0</v>
      </c>
      <c r="AA203" s="65"/>
      <c r="AC203" s="71">
        <f t="shared" si="112"/>
        <v>0</v>
      </c>
      <c r="AD203" s="39"/>
      <c r="AE203" s="7"/>
      <c r="AF203" s="15"/>
      <c r="AG203" s="71" t="b">
        <f t="shared" si="113"/>
        <v>1</v>
      </c>
      <c r="AI203" s="71"/>
      <c r="AJ203" s="39"/>
      <c r="AK203" s="15"/>
      <c r="AL203" s="71" t="b">
        <f t="shared" si="115"/>
        <v>1</v>
      </c>
      <c r="AN203" s="65"/>
    </row>
    <row r="204" spans="2:40 16128:16147" ht="13" customHeight="1">
      <c r="B204" s="119"/>
      <c r="C204" s="23">
        <f t="shared" si="107"/>
        <v>2026091</v>
      </c>
      <c r="D204" s="23">
        <v>7</v>
      </c>
      <c r="E204" s="128">
        <v>0</v>
      </c>
      <c r="F204" s="126" t="e">
        <f>VLOOKUP(E204,'Códigos bancos'!$B$4:$C$29,2,0)</f>
        <v>#N/A</v>
      </c>
      <c r="G204" s="36">
        <v>1</v>
      </c>
      <c r="H204" s="126" t="str">
        <f>VLOOKUP(G204,'Códigos bancos'!$F$4:$G$14,2,0)</f>
        <v>Oficinas</v>
      </c>
      <c r="I204" s="130"/>
      <c r="J204" s="174">
        <v>0</v>
      </c>
      <c r="K204" s="174">
        <v>0</v>
      </c>
      <c r="L204" s="174">
        <v>0</v>
      </c>
      <c r="M204" s="174">
        <v>0</v>
      </c>
      <c r="N204" s="174">
        <v>0</v>
      </c>
      <c r="O204" s="174">
        <v>0</v>
      </c>
      <c r="P204" s="174">
        <v>0</v>
      </c>
      <c r="Q204" s="174">
        <v>0</v>
      </c>
      <c r="R204" s="174">
        <v>0</v>
      </c>
      <c r="S204" s="215">
        <v>0</v>
      </c>
      <c r="T204" s="71">
        <f t="shared" si="108"/>
        <v>0</v>
      </c>
      <c r="U204" s="71">
        <f t="shared" si="109"/>
        <v>0</v>
      </c>
      <c r="V204" s="117">
        <v>0</v>
      </c>
      <c r="W204" s="117">
        <v>0</v>
      </c>
      <c r="X204" s="71">
        <f t="shared" si="110"/>
        <v>0</v>
      </c>
      <c r="Y204" s="71">
        <f t="shared" si="111"/>
        <v>0</v>
      </c>
      <c r="AA204" s="65"/>
      <c r="AC204" s="71">
        <f t="shared" si="112"/>
        <v>0</v>
      </c>
      <c r="AD204" s="39"/>
      <c r="AE204" s="7"/>
      <c r="AF204" s="15"/>
      <c r="AG204" s="71" t="b">
        <f t="shared" si="113"/>
        <v>1</v>
      </c>
      <c r="AI204" s="71">
        <f>Y204</f>
        <v>0</v>
      </c>
      <c r="AJ204" s="39"/>
      <c r="AK204" s="15"/>
      <c r="AL204" s="71" t="b">
        <f t="shared" si="115"/>
        <v>1</v>
      </c>
      <c r="AN204" s="65"/>
    </row>
    <row r="205" spans="2:40 16128:16147" ht="13" customHeight="1" thickBot="1">
      <c r="B205" s="217"/>
      <c r="C205" s="159">
        <f t="shared" si="107"/>
        <v>2026091</v>
      </c>
      <c r="D205" s="23">
        <v>7</v>
      </c>
      <c r="E205" s="128">
        <v>0</v>
      </c>
      <c r="F205" s="126" t="e">
        <f>VLOOKUP(E205,'Códigos bancos'!$B$4:$C$29,2,0)</f>
        <v>#N/A</v>
      </c>
      <c r="G205" s="36">
        <v>1</v>
      </c>
      <c r="H205" s="126" t="str">
        <f>VLOOKUP(G205,'Códigos bancos'!$F$4:$G$14,2,0)</f>
        <v>Oficinas</v>
      </c>
      <c r="I205" s="130"/>
      <c r="J205" s="174">
        <v>0</v>
      </c>
      <c r="K205" s="174">
        <v>0</v>
      </c>
      <c r="L205" s="174">
        <v>0</v>
      </c>
      <c r="M205" s="174">
        <v>0</v>
      </c>
      <c r="N205" s="174">
        <v>0</v>
      </c>
      <c r="O205" s="174">
        <v>0</v>
      </c>
      <c r="P205" s="174">
        <v>0</v>
      </c>
      <c r="Q205" s="174">
        <v>0</v>
      </c>
      <c r="R205" s="174">
        <v>0</v>
      </c>
      <c r="S205" s="215">
        <v>0</v>
      </c>
      <c r="T205" s="71">
        <f t="shared" si="108"/>
        <v>0</v>
      </c>
      <c r="U205" s="71">
        <f t="shared" si="109"/>
        <v>0</v>
      </c>
      <c r="V205" s="117">
        <v>0</v>
      </c>
      <c r="W205" s="117">
        <v>0</v>
      </c>
      <c r="X205" s="71">
        <f t="shared" si="110"/>
        <v>0</v>
      </c>
      <c r="Y205" s="71">
        <f t="shared" si="111"/>
        <v>0</v>
      </c>
      <c r="AA205" s="65"/>
      <c r="AC205" s="71">
        <f t="shared" si="112"/>
        <v>0</v>
      </c>
      <c r="AD205" s="39"/>
      <c r="AE205" s="7"/>
      <c r="AF205" s="15"/>
      <c r="AG205" s="71" t="b">
        <f t="shared" si="113"/>
        <v>1</v>
      </c>
      <c r="AI205" s="71">
        <f t="shared" si="114"/>
        <v>0</v>
      </c>
      <c r="AJ205" s="39"/>
      <c r="AK205" s="15"/>
      <c r="AL205" s="71" t="b">
        <f t="shared" si="115"/>
        <v>1</v>
      </c>
      <c r="AN205" s="65"/>
    </row>
    <row r="206" spans="2:40 16128:16147" ht="13" customHeight="1" thickBot="1">
      <c r="E206" s="120" t="s">
        <v>0</v>
      </c>
      <c r="F206" s="121" t="s">
        <v>53</v>
      </c>
      <c r="G206" s="121"/>
      <c r="H206" s="121"/>
      <c r="I206" s="121"/>
      <c r="J206" s="122">
        <f t="shared" ref="J206:Y206" si="125">SUM(J181:J205)</f>
        <v>0</v>
      </c>
      <c r="K206" s="122">
        <f>SUM(K181:K205)</f>
        <v>0</v>
      </c>
      <c r="L206" s="122">
        <f t="shared" si="125"/>
        <v>0</v>
      </c>
      <c r="M206" s="122">
        <f t="shared" si="125"/>
        <v>0</v>
      </c>
      <c r="N206" s="122">
        <f t="shared" si="125"/>
        <v>0</v>
      </c>
      <c r="O206" s="122">
        <f t="shared" si="125"/>
        <v>0</v>
      </c>
      <c r="P206" s="122">
        <f t="shared" si="125"/>
        <v>0</v>
      </c>
      <c r="Q206" s="122">
        <f t="shared" si="125"/>
        <v>0</v>
      </c>
      <c r="R206" s="122">
        <f t="shared" si="125"/>
        <v>226</v>
      </c>
      <c r="S206" s="122">
        <f t="shared" si="125"/>
        <v>10280100</v>
      </c>
      <c r="T206" s="122">
        <f t="shared" si="125"/>
        <v>226</v>
      </c>
      <c r="U206" s="122">
        <f t="shared" si="125"/>
        <v>10280100</v>
      </c>
      <c r="V206" s="122">
        <f t="shared" si="125"/>
        <v>226</v>
      </c>
      <c r="W206" s="122">
        <f t="shared" si="125"/>
        <v>10280100</v>
      </c>
      <c r="X206" s="122">
        <f t="shared" si="125"/>
        <v>0</v>
      </c>
      <c r="Y206" s="123">
        <f t="shared" si="125"/>
        <v>0</v>
      </c>
      <c r="AA206" s="65"/>
      <c r="AC206" s="122">
        <f>SUM(AC181:AC205)</f>
        <v>0</v>
      </c>
      <c r="AD206" s="122">
        <f>SUM(AD181:AD205)</f>
        <v>0</v>
      </c>
      <c r="AE206" s="122">
        <f>SUM(AE181:AE205)</f>
        <v>0</v>
      </c>
      <c r="AF206" s="123">
        <f>SUM(AF181:AF205)</f>
        <v>0</v>
      </c>
      <c r="AG206" s="100"/>
      <c r="AI206" s="122">
        <f>SUM(AI181:AI205)</f>
        <v>0</v>
      </c>
      <c r="AJ206" s="122">
        <f>SUM(AJ181:AJ205)</f>
        <v>0</v>
      </c>
      <c r="AK206" s="123">
        <f>SUM(AK181:AK205)</f>
        <v>0</v>
      </c>
      <c r="AL206" s="100"/>
      <c r="AN206" s="65"/>
    </row>
    <row r="207" spans="2:40 16128:16147" ht="13" thickBot="1">
      <c r="AA207" s="65"/>
      <c r="AN207" s="65"/>
    </row>
    <row r="208" spans="2:40 16128:16147" ht="41.25" customHeight="1" thickBot="1">
      <c r="B208" s="112" t="s">
        <v>4</v>
      </c>
      <c r="C208" s="34" t="s">
        <v>6</v>
      </c>
      <c r="D208" s="34" t="s">
        <v>7</v>
      </c>
      <c r="E208" s="34" t="s">
        <v>49</v>
      </c>
      <c r="F208" s="34" t="s">
        <v>50</v>
      </c>
      <c r="G208" s="34" t="s">
        <v>51</v>
      </c>
      <c r="H208" s="34" t="s">
        <v>52</v>
      </c>
      <c r="I208" s="34" t="s">
        <v>13</v>
      </c>
      <c r="J208" s="12" t="s">
        <v>8</v>
      </c>
      <c r="K208" s="12" t="s">
        <v>36</v>
      </c>
      <c r="L208" s="12" t="s">
        <v>9</v>
      </c>
      <c r="M208" s="12" t="s">
        <v>37</v>
      </c>
      <c r="N208" s="87" t="s">
        <v>10</v>
      </c>
      <c r="O208" s="88" t="s">
        <v>38</v>
      </c>
      <c r="P208" s="87" t="s">
        <v>11</v>
      </c>
      <c r="Q208" s="88" t="s">
        <v>39</v>
      </c>
      <c r="R208" s="87" t="s">
        <v>12</v>
      </c>
      <c r="S208" s="88" t="s">
        <v>40</v>
      </c>
      <c r="T208" s="64" t="s">
        <v>41</v>
      </c>
      <c r="U208" s="64" t="s">
        <v>42</v>
      </c>
      <c r="V208" s="35" t="s">
        <v>32</v>
      </c>
      <c r="W208" s="67" t="s">
        <v>35</v>
      </c>
      <c r="X208" s="12" t="s">
        <v>34</v>
      </c>
      <c r="Y208" s="68" t="s">
        <v>33</v>
      </c>
      <c r="AA208" s="66"/>
      <c r="AC208" s="12" t="s">
        <v>34</v>
      </c>
      <c r="AD208" s="12" t="s">
        <v>45</v>
      </c>
      <c r="AE208" s="12" t="s">
        <v>43</v>
      </c>
      <c r="AF208" s="12" t="s">
        <v>44</v>
      </c>
      <c r="AG208" s="12" t="s">
        <v>46</v>
      </c>
      <c r="AI208" s="12" t="s">
        <v>33</v>
      </c>
      <c r="AJ208" s="12" t="s">
        <v>47</v>
      </c>
      <c r="AK208" s="12" t="s">
        <v>48</v>
      </c>
      <c r="AL208" s="12" t="s">
        <v>46</v>
      </c>
      <c r="AN208" s="66"/>
      <c r="WVH208" s="1"/>
      <c r="WVI208" s="1"/>
      <c r="WVZ208"/>
      <c r="WWA208"/>
    </row>
    <row r="209" spans="2:40" ht="13" customHeight="1">
      <c r="B209" s="217" t="s">
        <v>74</v>
      </c>
      <c r="C209" s="158">
        <f>IF(D209&lt;=15,$C$1,$C$2)</f>
        <v>2026091</v>
      </c>
      <c r="D209" s="24">
        <v>8</v>
      </c>
      <c r="E209" s="127">
        <v>20</v>
      </c>
      <c r="F209" s="125" t="str">
        <f>VLOOKUP(E209,'Códigos bancos'!$B$4:$C$29,2,0)</f>
        <v>Bancolombia ENERBIT</v>
      </c>
      <c r="G209" s="18">
        <v>1</v>
      </c>
      <c r="H209" s="125" t="str">
        <f>VLOOKUP(G209,'Códigos bancos'!$F$4:$G$14,2,0)</f>
        <v>Oficinas</v>
      </c>
      <c r="I209" s="129"/>
      <c r="J209" s="213">
        <v>0</v>
      </c>
      <c r="K209" s="213">
        <v>0</v>
      </c>
      <c r="L209" s="213">
        <v>0</v>
      </c>
      <c r="M209" s="213">
        <v>0</v>
      </c>
      <c r="N209" s="213">
        <v>0</v>
      </c>
      <c r="O209" s="213">
        <v>0</v>
      </c>
      <c r="P209" s="213">
        <v>0</v>
      </c>
      <c r="Q209" s="213">
        <v>0</v>
      </c>
      <c r="R209" s="174">
        <v>207</v>
      </c>
      <c r="S209" s="215">
        <v>9922340</v>
      </c>
      <c r="T209" s="70">
        <f>J209+L209+N209+P209+R209</f>
        <v>207</v>
      </c>
      <c r="U209" s="70">
        <f>K209+M209+O209+Q209+S209</f>
        <v>9922340</v>
      </c>
      <c r="V209" s="174">
        <v>207</v>
      </c>
      <c r="W209" s="215">
        <v>9922340</v>
      </c>
      <c r="X209" s="70">
        <f>V209-T209</f>
        <v>0</v>
      </c>
      <c r="Y209" s="70">
        <f>W209-U209</f>
        <v>0</v>
      </c>
      <c r="AA209" s="65"/>
      <c r="AC209" s="124">
        <f>X209</f>
        <v>0</v>
      </c>
      <c r="AD209" s="115"/>
      <c r="AE209" s="16"/>
      <c r="AF209" s="114"/>
      <c r="AG209" s="124" t="b">
        <f>AC209=(AD209+AE209+AF209)</f>
        <v>1</v>
      </c>
      <c r="AI209" s="70">
        <f>Y209</f>
        <v>0</v>
      </c>
      <c r="AJ209" s="115"/>
      <c r="AK209" s="114"/>
      <c r="AL209" s="70" t="b">
        <f>AI209=(AJ209+AK209)</f>
        <v>1</v>
      </c>
      <c r="AN209" s="65"/>
    </row>
    <row r="210" spans="2:40" ht="13" customHeight="1">
      <c r="B210" s="217"/>
      <c r="C210" s="159">
        <f t="shared" ref="C210:C233" si="126">IF(D210&lt;=15,$C$1,$C$2)</f>
        <v>2026091</v>
      </c>
      <c r="D210" s="23">
        <v>8</v>
      </c>
      <c r="E210" s="128">
        <v>0</v>
      </c>
      <c r="F210" s="126" t="e">
        <f>VLOOKUP(E210,'Códigos bancos'!$B$4:$C$29,2,0)</f>
        <v>#N/A</v>
      </c>
      <c r="G210" s="36">
        <v>1</v>
      </c>
      <c r="H210" s="126" t="str">
        <f>VLOOKUP(G210,'Códigos bancos'!$F$4:$G$14,2,0)</f>
        <v>Oficinas</v>
      </c>
      <c r="I210" s="130"/>
      <c r="J210" s="174">
        <v>0</v>
      </c>
      <c r="K210" s="174">
        <v>0</v>
      </c>
      <c r="L210" s="174">
        <v>0</v>
      </c>
      <c r="M210" s="174">
        <v>0</v>
      </c>
      <c r="N210" s="174">
        <v>0</v>
      </c>
      <c r="O210" s="174">
        <v>0</v>
      </c>
      <c r="P210" s="174">
        <v>0</v>
      </c>
      <c r="Q210" s="174">
        <v>0</v>
      </c>
      <c r="R210" s="174">
        <v>0</v>
      </c>
      <c r="S210" s="215">
        <v>0</v>
      </c>
      <c r="T210" s="71">
        <v>0</v>
      </c>
      <c r="U210" s="71">
        <v>0</v>
      </c>
      <c r="V210" s="117">
        <v>0</v>
      </c>
      <c r="W210" s="117">
        <v>0</v>
      </c>
      <c r="X210" s="71">
        <f>V210-T210</f>
        <v>0</v>
      </c>
      <c r="Y210" s="71">
        <f>W210-U210</f>
        <v>0</v>
      </c>
      <c r="AA210" s="65"/>
      <c r="AC210" s="71">
        <f>X210</f>
        <v>0</v>
      </c>
      <c r="AD210" s="39"/>
      <c r="AE210" s="7"/>
      <c r="AF210" s="15"/>
      <c r="AG210" s="71" t="b">
        <f>AC210=(AD210+AE210+AF210)</f>
        <v>1</v>
      </c>
      <c r="AI210" s="71"/>
      <c r="AJ210" s="39"/>
      <c r="AK210" s="15"/>
      <c r="AL210" s="71" t="b">
        <f>AI210=(AJ210+AK210)</f>
        <v>1</v>
      </c>
      <c r="AN210" s="65"/>
    </row>
    <row r="211" spans="2:40" ht="13" customHeight="1">
      <c r="B211" s="217"/>
      <c r="C211" s="159">
        <f t="shared" si="126"/>
        <v>2026091</v>
      </c>
      <c r="D211" s="23">
        <v>8</v>
      </c>
      <c r="E211" s="128">
        <v>0</v>
      </c>
      <c r="F211" s="126" t="e">
        <f>VLOOKUP(E211,'Códigos bancos'!$B$4:$C$29,2,0)</f>
        <v>#N/A</v>
      </c>
      <c r="G211" s="36">
        <v>1</v>
      </c>
      <c r="H211" s="126" t="str">
        <f>VLOOKUP(G211,'Códigos bancos'!$F$4:$G$14,2,0)</f>
        <v>Oficinas</v>
      </c>
      <c r="I211" s="130"/>
      <c r="J211" s="174">
        <v>0</v>
      </c>
      <c r="K211" s="174">
        <v>0</v>
      </c>
      <c r="L211" s="174">
        <v>0</v>
      </c>
      <c r="M211" s="174">
        <v>0</v>
      </c>
      <c r="N211" s="174">
        <v>0</v>
      </c>
      <c r="O211" s="174">
        <v>0</v>
      </c>
      <c r="P211" s="174">
        <v>0</v>
      </c>
      <c r="Q211" s="174">
        <v>0</v>
      </c>
      <c r="R211" s="174">
        <v>0</v>
      </c>
      <c r="S211" s="215">
        <v>0</v>
      </c>
      <c r="T211" s="71">
        <f t="shared" ref="T211:T233" si="127">J211+L211+N211+P211+R211</f>
        <v>0</v>
      </c>
      <c r="U211" s="71">
        <f t="shared" ref="U211:U233" si="128">K211+M211+O211+Q211+S211</f>
        <v>0</v>
      </c>
      <c r="V211" s="117">
        <v>0</v>
      </c>
      <c r="W211" s="117">
        <v>0</v>
      </c>
      <c r="X211" s="71">
        <f t="shared" ref="X211:X233" si="129">V211-T211</f>
        <v>0</v>
      </c>
      <c r="Y211" s="71">
        <f t="shared" ref="Y211:Y233" si="130">W211-U211</f>
        <v>0</v>
      </c>
      <c r="AA211" s="65"/>
      <c r="AC211" s="71">
        <f t="shared" ref="AC211:AC233" si="131">X211</f>
        <v>0</v>
      </c>
      <c r="AD211" s="45"/>
      <c r="AE211" s="14"/>
      <c r="AF211" s="46"/>
      <c r="AG211" s="71" t="b">
        <f t="shared" ref="AG211:AG233" si="132">AC211=(AD211+AE211+AF211)</f>
        <v>1</v>
      </c>
      <c r="AI211" s="71">
        <f t="shared" ref="AI211:AI233" si="133">Y211</f>
        <v>0</v>
      </c>
      <c r="AJ211" s="45"/>
      <c r="AK211" s="46"/>
      <c r="AL211" s="71" t="b">
        <f t="shared" ref="AL211:AL233" si="134">AI211=(AJ211+AK211)</f>
        <v>1</v>
      </c>
      <c r="AN211" s="65"/>
    </row>
    <row r="212" spans="2:40" ht="13" customHeight="1">
      <c r="B212" s="217"/>
      <c r="C212" s="159">
        <f t="shared" si="126"/>
        <v>2026091</v>
      </c>
      <c r="D212" s="23">
        <v>8</v>
      </c>
      <c r="E212" s="128">
        <v>0</v>
      </c>
      <c r="F212" s="126" t="e">
        <f>VLOOKUP(E212,'Códigos bancos'!$B$4:$C$29,2,0)</f>
        <v>#N/A</v>
      </c>
      <c r="G212" s="36">
        <v>1</v>
      </c>
      <c r="H212" s="126" t="str">
        <f>VLOOKUP(G212,'Códigos bancos'!$F$4:$G$14,2,0)</f>
        <v>Oficinas</v>
      </c>
      <c r="I212" s="130"/>
      <c r="J212" s="174">
        <v>0</v>
      </c>
      <c r="K212" s="174">
        <v>0</v>
      </c>
      <c r="L212" s="174">
        <v>0</v>
      </c>
      <c r="M212" s="174">
        <v>0</v>
      </c>
      <c r="N212" s="174">
        <v>0</v>
      </c>
      <c r="O212" s="174">
        <v>0</v>
      </c>
      <c r="P212" s="174">
        <v>0</v>
      </c>
      <c r="Q212" s="174">
        <v>0</v>
      </c>
      <c r="R212" s="174">
        <v>0</v>
      </c>
      <c r="S212" s="215">
        <v>0</v>
      </c>
      <c r="T212" s="71">
        <f t="shared" si="127"/>
        <v>0</v>
      </c>
      <c r="U212" s="71">
        <f t="shared" si="128"/>
        <v>0</v>
      </c>
      <c r="V212" s="117">
        <v>0</v>
      </c>
      <c r="W212" s="117">
        <v>0</v>
      </c>
      <c r="X212" s="71">
        <f t="shared" si="129"/>
        <v>0</v>
      </c>
      <c r="Y212" s="71">
        <f t="shared" si="130"/>
        <v>0</v>
      </c>
      <c r="AA212" s="65"/>
      <c r="AC212" s="71">
        <f t="shared" si="131"/>
        <v>0</v>
      </c>
      <c r="AD212" s="39"/>
      <c r="AE212" s="7"/>
      <c r="AF212" s="15"/>
      <c r="AG212" s="71" t="b">
        <f t="shared" si="132"/>
        <v>1</v>
      </c>
      <c r="AI212" s="71">
        <f t="shared" si="133"/>
        <v>0</v>
      </c>
      <c r="AJ212" s="39"/>
      <c r="AK212" s="15"/>
      <c r="AL212" s="71" t="b">
        <f t="shared" si="134"/>
        <v>1</v>
      </c>
      <c r="AN212" s="65"/>
    </row>
    <row r="213" spans="2:40" ht="13" customHeight="1">
      <c r="B213" s="217"/>
      <c r="C213" s="159">
        <f t="shared" si="126"/>
        <v>2026091</v>
      </c>
      <c r="D213" s="23">
        <v>8</v>
      </c>
      <c r="E213" s="128">
        <v>0</v>
      </c>
      <c r="F213" s="126" t="e">
        <f>VLOOKUP(E213,'Códigos bancos'!$B$4:$C$29,2,0)</f>
        <v>#N/A</v>
      </c>
      <c r="G213" s="36">
        <v>1</v>
      </c>
      <c r="H213" s="126" t="str">
        <f>VLOOKUP(G213,'Códigos bancos'!$F$4:$G$14,2,0)</f>
        <v>Oficinas</v>
      </c>
      <c r="I213" s="130"/>
      <c r="J213" s="174">
        <v>0</v>
      </c>
      <c r="K213" s="174">
        <v>0</v>
      </c>
      <c r="L213" s="174">
        <v>0</v>
      </c>
      <c r="M213" s="174">
        <v>0</v>
      </c>
      <c r="N213" s="174">
        <v>0</v>
      </c>
      <c r="O213" s="174">
        <v>0</v>
      </c>
      <c r="P213" s="174">
        <v>0</v>
      </c>
      <c r="Q213" s="174">
        <v>0</v>
      </c>
      <c r="R213" s="174">
        <v>0</v>
      </c>
      <c r="S213" s="215">
        <v>0</v>
      </c>
      <c r="T213" s="71">
        <f t="shared" si="127"/>
        <v>0</v>
      </c>
      <c r="U213" s="71">
        <f t="shared" si="128"/>
        <v>0</v>
      </c>
      <c r="V213" s="117">
        <v>0</v>
      </c>
      <c r="W213" s="117">
        <v>0</v>
      </c>
      <c r="X213" s="71">
        <f t="shared" si="129"/>
        <v>0</v>
      </c>
      <c r="Y213" s="71">
        <f t="shared" si="130"/>
        <v>0</v>
      </c>
      <c r="AA213" s="65"/>
      <c r="AC213" s="71">
        <f t="shared" si="131"/>
        <v>0</v>
      </c>
      <c r="AD213" s="39"/>
      <c r="AE213" s="7"/>
      <c r="AF213" s="15"/>
      <c r="AG213" s="71" t="b">
        <f t="shared" si="132"/>
        <v>1</v>
      </c>
      <c r="AI213" s="71">
        <f t="shared" si="133"/>
        <v>0</v>
      </c>
      <c r="AJ213" s="39"/>
      <c r="AK213" s="15"/>
      <c r="AL213" s="71" t="b">
        <f t="shared" si="134"/>
        <v>1</v>
      </c>
      <c r="AN213" s="65"/>
    </row>
    <row r="214" spans="2:40" ht="13" customHeight="1">
      <c r="B214" s="217"/>
      <c r="C214" s="159">
        <f t="shared" si="126"/>
        <v>2026091</v>
      </c>
      <c r="D214" s="23">
        <v>8</v>
      </c>
      <c r="E214" s="128">
        <v>0</v>
      </c>
      <c r="F214" s="126" t="e">
        <f>VLOOKUP(E214,'Códigos bancos'!$B$4:$C$29,2,0)</f>
        <v>#N/A</v>
      </c>
      <c r="G214" s="36">
        <v>1</v>
      </c>
      <c r="H214" s="126" t="str">
        <f>VLOOKUP(G214,'Códigos bancos'!$F$4:$G$14,2,0)</f>
        <v>Oficinas</v>
      </c>
      <c r="I214" s="130"/>
      <c r="J214" s="174">
        <v>0</v>
      </c>
      <c r="K214" s="174">
        <v>0</v>
      </c>
      <c r="L214" s="174">
        <v>0</v>
      </c>
      <c r="M214" s="174">
        <v>0</v>
      </c>
      <c r="N214" s="174">
        <v>0</v>
      </c>
      <c r="O214" s="174">
        <v>0</v>
      </c>
      <c r="P214" s="174">
        <v>0</v>
      </c>
      <c r="Q214" s="174">
        <v>0</v>
      </c>
      <c r="R214" s="174">
        <v>0</v>
      </c>
      <c r="S214" s="215">
        <v>0</v>
      </c>
      <c r="T214" s="71">
        <f t="shared" si="127"/>
        <v>0</v>
      </c>
      <c r="U214" s="71">
        <f t="shared" si="128"/>
        <v>0</v>
      </c>
      <c r="V214" s="117">
        <v>0</v>
      </c>
      <c r="W214" s="117">
        <v>0</v>
      </c>
      <c r="X214" s="71">
        <f t="shared" si="129"/>
        <v>0</v>
      </c>
      <c r="Y214" s="71">
        <f t="shared" si="130"/>
        <v>0</v>
      </c>
      <c r="AA214" s="65"/>
      <c r="AC214" s="71">
        <f t="shared" si="131"/>
        <v>0</v>
      </c>
      <c r="AD214" s="39"/>
      <c r="AE214" s="7"/>
      <c r="AF214" s="15"/>
      <c r="AG214" s="71" t="b">
        <f t="shared" si="132"/>
        <v>1</v>
      </c>
      <c r="AI214" s="71">
        <f t="shared" si="133"/>
        <v>0</v>
      </c>
      <c r="AJ214" s="39"/>
      <c r="AK214" s="15"/>
      <c r="AL214" s="71" t="b">
        <f t="shared" si="134"/>
        <v>1</v>
      </c>
      <c r="AN214" s="65"/>
    </row>
    <row r="215" spans="2:40" ht="13" customHeight="1">
      <c r="B215" s="217"/>
      <c r="C215" s="159">
        <f t="shared" si="126"/>
        <v>2026091</v>
      </c>
      <c r="D215" s="23">
        <v>8</v>
      </c>
      <c r="E215" s="128">
        <v>0</v>
      </c>
      <c r="F215" s="126" t="e">
        <f>VLOOKUP(E215,'Códigos bancos'!$B$4:$C$29,2,0)</f>
        <v>#N/A</v>
      </c>
      <c r="G215" s="36">
        <v>1</v>
      </c>
      <c r="H215" s="126" t="str">
        <f>VLOOKUP(G215,'Códigos bancos'!$F$4:$G$14,2,0)</f>
        <v>Oficinas</v>
      </c>
      <c r="I215" s="130"/>
      <c r="J215" s="174">
        <v>0</v>
      </c>
      <c r="K215" s="174">
        <v>0</v>
      </c>
      <c r="L215" s="174">
        <v>0</v>
      </c>
      <c r="M215" s="174">
        <v>0</v>
      </c>
      <c r="N215" s="174">
        <v>0</v>
      </c>
      <c r="O215" s="174">
        <v>0</v>
      </c>
      <c r="P215" s="174">
        <v>0</v>
      </c>
      <c r="Q215" s="174">
        <v>0</v>
      </c>
      <c r="R215" s="174">
        <v>0</v>
      </c>
      <c r="S215" s="215">
        <v>0</v>
      </c>
      <c r="T215" s="71">
        <f t="shared" si="127"/>
        <v>0</v>
      </c>
      <c r="U215" s="71">
        <f t="shared" si="128"/>
        <v>0</v>
      </c>
      <c r="V215" s="117">
        <v>0</v>
      </c>
      <c r="W215" s="117">
        <v>0</v>
      </c>
      <c r="X215" s="71">
        <f t="shared" si="129"/>
        <v>0</v>
      </c>
      <c r="Y215" s="71">
        <f t="shared" si="130"/>
        <v>0</v>
      </c>
      <c r="AA215" s="65"/>
      <c r="AC215" s="71">
        <f t="shared" si="131"/>
        <v>0</v>
      </c>
      <c r="AD215" s="39"/>
      <c r="AE215" s="7"/>
      <c r="AF215" s="15"/>
      <c r="AG215" s="71" t="b">
        <f t="shared" si="132"/>
        <v>1</v>
      </c>
      <c r="AI215" s="71">
        <f t="shared" si="133"/>
        <v>0</v>
      </c>
      <c r="AJ215" s="39"/>
      <c r="AK215" s="15"/>
      <c r="AL215" s="71" t="b">
        <f t="shared" si="134"/>
        <v>1</v>
      </c>
      <c r="AN215" s="65"/>
    </row>
    <row r="216" spans="2:40" ht="13" customHeight="1">
      <c r="B216" s="217"/>
      <c r="C216" s="159">
        <f t="shared" si="126"/>
        <v>2026091</v>
      </c>
      <c r="D216" s="23">
        <v>8</v>
      </c>
      <c r="E216" s="128">
        <v>0</v>
      </c>
      <c r="F216" s="126" t="e">
        <f>VLOOKUP(E216,'Códigos bancos'!$B$4:$C$29,2,0)</f>
        <v>#N/A</v>
      </c>
      <c r="G216" s="36">
        <v>1</v>
      </c>
      <c r="H216" s="126" t="str">
        <f>VLOOKUP(G216,'Códigos bancos'!$F$4:$G$14,2,0)</f>
        <v>Oficinas</v>
      </c>
      <c r="I216" s="130"/>
      <c r="J216" s="174">
        <v>0</v>
      </c>
      <c r="K216" s="174">
        <v>0</v>
      </c>
      <c r="L216" s="174">
        <v>0</v>
      </c>
      <c r="M216" s="174">
        <v>0</v>
      </c>
      <c r="N216" s="174">
        <v>0</v>
      </c>
      <c r="O216" s="174">
        <v>0</v>
      </c>
      <c r="P216" s="174">
        <v>0</v>
      </c>
      <c r="Q216" s="174">
        <v>0</v>
      </c>
      <c r="R216" s="174">
        <v>0</v>
      </c>
      <c r="S216" s="215">
        <v>0</v>
      </c>
      <c r="T216" s="71">
        <f t="shared" si="127"/>
        <v>0</v>
      </c>
      <c r="U216" s="71">
        <f t="shared" si="128"/>
        <v>0</v>
      </c>
      <c r="V216" s="117">
        <v>0</v>
      </c>
      <c r="W216" s="117">
        <v>0</v>
      </c>
      <c r="X216" s="71">
        <f t="shared" si="129"/>
        <v>0</v>
      </c>
      <c r="Y216" s="71">
        <f t="shared" si="130"/>
        <v>0</v>
      </c>
      <c r="AA216" s="65"/>
      <c r="AC216" s="71">
        <f t="shared" si="131"/>
        <v>0</v>
      </c>
      <c r="AD216" s="39"/>
      <c r="AE216" s="7"/>
      <c r="AF216" s="15"/>
      <c r="AG216" s="71" t="b">
        <f t="shared" si="132"/>
        <v>1</v>
      </c>
      <c r="AI216" s="71">
        <f t="shared" si="133"/>
        <v>0</v>
      </c>
      <c r="AJ216" s="39"/>
      <c r="AK216" s="15"/>
      <c r="AL216" s="71" t="b">
        <f t="shared" si="134"/>
        <v>1</v>
      </c>
      <c r="AN216" s="65"/>
    </row>
    <row r="217" spans="2:40" ht="13" customHeight="1">
      <c r="B217" s="217"/>
      <c r="C217" s="159">
        <f t="shared" si="126"/>
        <v>2026091</v>
      </c>
      <c r="D217" s="23">
        <v>8</v>
      </c>
      <c r="E217" s="128">
        <v>0</v>
      </c>
      <c r="F217" s="126" t="e">
        <f>VLOOKUP(E217,'Códigos bancos'!$B$4:$C$29,2,0)</f>
        <v>#N/A</v>
      </c>
      <c r="G217" s="36">
        <v>1</v>
      </c>
      <c r="H217" s="126" t="str">
        <f>VLOOKUP(G217,'Códigos bancos'!$F$4:$G$14,2,0)</f>
        <v>Oficinas</v>
      </c>
      <c r="I217" s="130"/>
      <c r="J217" s="174">
        <v>0</v>
      </c>
      <c r="K217" s="174">
        <v>0</v>
      </c>
      <c r="L217" s="174">
        <v>0</v>
      </c>
      <c r="M217" s="174">
        <v>0</v>
      </c>
      <c r="N217" s="174">
        <v>0</v>
      </c>
      <c r="O217" s="174">
        <v>0</v>
      </c>
      <c r="P217" s="174">
        <v>0</v>
      </c>
      <c r="Q217" s="174">
        <v>0</v>
      </c>
      <c r="R217" s="174">
        <v>0</v>
      </c>
      <c r="S217" s="215">
        <v>0</v>
      </c>
      <c r="T217" s="71">
        <f t="shared" si="127"/>
        <v>0</v>
      </c>
      <c r="U217" s="71">
        <f t="shared" si="128"/>
        <v>0</v>
      </c>
      <c r="V217" s="117">
        <v>0</v>
      </c>
      <c r="W217" s="117">
        <v>0</v>
      </c>
      <c r="X217" s="71">
        <f t="shared" si="129"/>
        <v>0</v>
      </c>
      <c r="Y217" s="71">
        <f t="shared" si="130"/>
        <v>0</v>
      </c>
      <c r="AA217" s="65"/>
      <c r="AC217" s="71">
        <f t="shared" si="131"/>
        <v>0</v>
      </c>
      <c r="AD217" s="39"/>
      <c r="AE217" s="7"/>
      <c r="AF217" s="15"/>
      <c r="AG217" s="71" t="b">
        <f t="shared" si="132"/>
        <v>1</v>
      </c>
      <c r="AI217" s="71">
        <f t="shared" si="133"/>
        <v>0</v>
      </c>
      <c r="AJ217" s="39"/>
      <c r="AK217" s="15"/>
      <c r="AL217" s="71" t="b">
        <f t="shared" si="134"/>
        <v>1</v>
      </c>
      <c r="AN217" s="65"/>
    </row>
    <row r="218" spans="2:40" ht="13" customHeight="1">
      <c r="B218" s="217"/>
      <c r="C218" s="159">
        <f t="shared" si="126"/>
        <v>2026091</v>
      </c>
      <c r="D218" s="23">
        <v>8</v>
      </c>
      <c r="E218" s="128">
        <v>0</v>
      </c>
      <c r="F218" s="126" t="e">
        <f>VLOOKUP(E218,'Códigos bancos'!$B$4:$C$29,2,0)</f>
        <v>#N/A</v>
      </c>
      <c r="G218" s="36">
        <v>1</v>
      </c>
      <c r="H218" s="126" t="str">
        <f>VLOOKUP(G218,'Códigos bancos'!$F$4:$G$14,2,0)</f>
        <v>Oficinas</v>
      </c>
      <c r="I218" s="130"/>
      <c r="J218" s="174">
        <v>0</v>
      </c>
      <c r="K218" s="174">
        <v>0</v>
      </c>
      <c r="L218" s="174">
        <v>0</v>
      </c>
      <c r="M218" s="174">
        <v>0</v>
      </c>
      <c r="N218" s="174">
        <v>0</v>
      </c>
      <c r="O218" s="174">
        <v>0</v>
      </c>
      <c r="P218" s="174">
        <v>0</v>
      </c>
      <c r="Q218" s="174">
        <v>0</v>
      </c>
      <c r="R218" s="174">
        <v>0</v>
      </c>
      <c r="S218" s="215">
        <v>0</v>
      </c>
      <c r="T218" s="71">
        <f t="shared" si="127"/>
        <v>0</v>
      </c>
      <c r="U218" s="71">
        <f t="shared" si="128"/>
        <v>0</v>
      </c>
      <c r="V218" s="117">
        <v>0</v>
      </c>
      <c r="W218" s="117">
        <v>0</v>
      </c>
      <c r="X218" s="71">
        <f t="shared" si="129"/>
        <v>0</v>
      </c>
      <c r="Y218" s="71">
        <f t="shared" si="130"/>
        <v>0</v>
      </c>
      <c r="AA218" s="65"/>
      <c r="AC218" s="71">
        <f t="shared" si="131"/>
        <v>0</v>
      </c>
      <c r="AD218" s="39"/>
      <c r="AE218" s="7"/>
      <c r="AF218" s="15"/>
      <c r="AG218" s="71" t="b">
        <f t="shared" si="132"/>
        <v>1</v>
      </c>
      <c r="AI218" s="71">
        <f t="shared" si="133"/>
        <v>0</v>
      </c>
      <c r="AJ218" s="39"/>
      <c r="AK218" s="15"/>
      <c r="AL218" s="71" t="b">
        <f t="shared" si="134"/>
        <v>1</v>
      </c>
      <c r="AN218" s="65"/>
    </row>
    <row r="219" spans="2:40" ht="13" customHeight="1">
      <c r="B219" s="217"/>
      <c r="C219" s="159">
        <f t="shared" si="126"/>
        <v>2026091</v>
      </c>
      <c r="D219" s="23">
        <v>8</v>
      </c>
      <c r="E219" s="128">
        <v>0</v>
      </c>
      <c r="F219" s="126" t="e">
        <f>VLOOKUP(E219,'Códigos bancos'!$B$4:$C$29,2,0)</f>
        <v>#N/A</v>
      </c>
      <c r="G219" s="36">
        <v>1</v>
      </c>
      <c r="H219" s="126" t="str">
        <f>VLOOKUP(G219,'Códigos bancos'!$F$4:$G$14,2,0)</f>
        <v>Oficinas</v>
      </c>
      <c r="I219" s="130"/>
      <c r="J219" s="174">
        <v>0</v>
      </c>
      <c r="K219" s="174">
        <v>0</v>
      </c>
      <c r="L219" s="174">
        <v>0</v>
      </c>
      <c r="M219" s="174">
        <v>0</v>
      </c>
      <c r="N219" s="174">
        <v>0</v>
      </c>
      <c r="O219" s="174">
        <v>0</v>
      </c>
      <c r="P219" s="174">
        <v>0</v>
      </c>
      <c r="Q219" s="174">
        <v>0</v>
      </c>
      <c r="R219" s="174">
        <v>0</v>
      </c>
      <c r="S219" s="215">
        <v>0</v>
      </c>
      <c r="T219" s="71">
        <f t="shared" si="127"/>
        <v>0</v>
      </c>
      <c r="U219" s="71">
        <f t="shared" si="128"/>
        <v>0</v>
      </c>
      <c r="V219" s="117">
        <v>0</v>
      </c>
      <c r="W219" s="117">
        <v>0</v>
      </c>
      <c r="X219" s="71">
        <f t="shared" si="129"/>
        <v>0</v>
      </c>
      <c r="Y219" s="71">
        <f t="shared" si="130"/>
        <v>0</v>
      </c>
      <c r="AA219" s="65"/>
      <c r="AC219" s="71">
        <f t="shared" si="131"/>
        <v>0</v>
      </c>
      <c r="AD219" s="39"/>
      <c r="AE219" s="7"/>
      <c r="AF219" s="15"/>
      <c r="AG219" s="71" t="b">
        <f t="shared" si="132"/>
        <v>1</v>
      </c>
      <c r="AI219" s="71">
        <f t="shared" si="133"/>
        <v>0</v>
      </c>
      <c r="AJ219" s="39"/>
      <c r="AK219" s="15"/>
      <c r="AL219" s="71" t="b">
        <f t="shared" si="134"/>
        <v>1</v>
      </c>
      <c r="AN219" s="65"/>
    </row>
    <row r="220" spans="2:40" ht="13.5" customHeight="1">
      <c r="B220" s="217"/>
      <c r="C220" s="159">
        <f t="shared" si="126"/>
        <v>2026091</v>
      </c>
      <c r="D220" s="23">
        <v>8</v>
      </c>
      <c r="E220" s="128">
        <v>0</v>
      </c>
      <c r="F220" s="126" t="e">
        <f>VLOOKUP(E220,'Códigos bancos'!$B$4:$C$29,2,0)</f>
        <v>#N/A</v>
      </c>
      <c r="G220" s="36">
        <v>1</v>
      </c>
      <c r="H220" s="126" t="str">
        <f>VLOOKUP(G220,'Códigos bancos'!$F$4:$G$14,2,0)</f>
        <v>Oficinas</v>
      </c>
      <c r="I220" s="130"/>
      <c r="J220" s="174">
        <v>0</v>
      </c>
      <c r="K220" s="174">
        <v>0</v>
      </c>
      <c r="L220" s="174">
        <v>0</v>
      </c>
      <c r="M220" s="174">
        <v>0</v>
      </c>
      <c r="N220" s="174">
        <v>0</v>
      </c>
      <c r="O220" s="174">
        <v>0</v>
      </c>
      <c r="P220" s="174">
        <v>0</v>
      </c>
      <c r="Q220" s="174">
        <v>0</v>
      </c>
      <c r="R220" s="174">
        <v>0</v>
      </c>
      <c r="S220" s="215">
        <v>0</v>
      </c>
      <c r="T220" s="71">
        <f t="shared" si="127"/>
        <v>0</v>
      </c>
      <c r="U220" s="71">
        <f t="shared" si="128"/>
        <v>0</v>
      </c>
      <c r="V220" s="117">
        <v>0</v>
      </c>
      <c r="W220" s="117">
        <v>0</v>
      </c>
      <c r="X220" s="71">
        <f t="shared" si="129"/>
        <v>0</v>
      </c>
      <c r="Y220" s="71">
        <f t="shared" si="130"/>
        <v>0</v>
      </c>
      <c r="AA220" s="65"/>
      <c r="AC220" s="71">
        <f t="shared" si="131"/>
        <v>0</v>
      </c>
      <c r="AD220" s="39"/>
      <c r="AE220" s="7"/>
      <c r="AF220" s="15"/>
      <c r="AG220" s="71" t="b">
        <f t="shared" si="132"/>
        <v>1</v>
      </c>
      <c r="AI220" s="71">
        <f t="shared" si="133"/>
        <v>0</v>
      </c>
      <c r="AJ220" s="39"/>
      <c r="AK220" s="15"/>
      <c r="AL220" s="71" t="b">
        <f t="shared" si="134"/>
        <v>1</v>
      </c>
      <c r="AN220" s="65"/>
    </row>
    <row r="221" spans="2:40" ht="13" customHeight="1">
      <c r="B221" s="217"/>
      <c r="C221" s="159">
        <f t="shared" si="126"/>
        <v>2026091</v>
      </c>
      <c r="D221" s="23">
        <v>8</v>
      </c>
      <c r="E221" s="128">
        <v>0</v>
      </c>
      <c r="F221" s="126" t="e">
        <f>VLOOKUP(E221,'Códigos bancos'!$B$4:$C$29,2,0)</f>
        <v>#N/A</v>
      </c>
      <c r="G221" s="36">
        <v>1</v>
      </c>
      <c r="H221" s="126" t="str">
        <f>VLOOKUP(G221,'Códigos bancos'!$F$4:$G$14,2,0)</f>
        <v>Oficinas</v>
      </c>
      <c r="I221" s="130"/>
      <c r="J221" s="174">
        <v>0</v>
      </c>
      <c r="K221" s="174">
        <v>0</v>
      </c>
      <c r="L221" s="174">
        <v>0</v>
      </c>
      <c r="M221" s="174">
        <v>0</v>
      </c>
      <c r="N221" s="174">
        <v>0</v>
      </c>
      <c r="O221" s="174">
        <v>0</v>
      </c>
      <c r="P221" s="174">
        <v>0</v>
      </c>
      <c r="Q221" s="174">
        <v>0</v>
      </c>
      <c r="R221" s="174">
        <v>0</v>
      </c>
      <c r="S221" s="215">
        <v>0</v>
      </c>
      <c r="T221" s="71">
        <f t="shared" si="127"/>
        <v>0</v>
      </c>
      <c r="U221" s="71">
        <f t="shared" si="128"/>
        <v>0</v>
      </c>
      <c r="V221" s="117">
        <v>0</v>
      </c>
      <c r="W221" s="117">
        <v>0</v>
      </c>
      <c r="X221" s="71">
        <f t="shared" si="129"/>
        <v>0</v>
      </c>
      <c r="Y221" s="71">
        <f t="shared" si="130"/>
        <v>0</v>
      </c>
      <c r="AA221" s="65"/>
      <c r="AC221" s="71">
        <f t="shared" si="131"/>
        <v>0</v>
      </c>
      <c r="AD221" s="39"/>
      <c r="AE221" s="7"/>
      <c r="AF221" s="15"/>
      <c r="AG221" s="71" t="b">
        <f t="shared" si="132"/>
        <v>1</v>
      </c>
      <c r="AI221" s="71">
        <f t="shared" si="133"/>
        <v>0</v>
      </c>
      <c r="AJ221" s="39"/>
      <c r="AK221" s="15"/>
      <c r="AL221" s="71" t="b">
        <f t="shared" si="134"/>
        <v>1</v>
      </c>
      <c r="AN221" s="65"/>
    </row>
    <row r="222" spans="2:40" ht="13" customHeight="1">
      <c r="B222" s="217"/>
      <c r="C222" s="159">
        <f t="shared" si="126"/>
        <v>2026091</v>
      </c>
      <c r="D222" s="23">
        <v>8</v>
      </c>
      <c r="E222" s="128">
        <v>0</v>
      </c>
      <c r="F222" s="126" t="e">
        <f>VLOOKUP(E222,'Códigos bancos'!$B$4:$C$29,2,0)</f>
        <v>#N/A</v>
      </c>
      <c r="G222" s="36">
        <v>1</v>
      </c>
      <c r="H222" s="126" t="str">
        <f>VLOOKUP(G222,'Códigos bancos'!$F$4:$G$14,2,0)</f>
        <v>Oficinas</v>
      </c>
      <c r="I222" s="130"/>
      <c r="J222" s="174">
        <v>0</v>
      </c>
      <c r="K222" s="174">
        <v>0</v>
      </c>
      <c r="L222" s="174">
        <v>0</v>
      </c>
      <c r="M222" s="174">
        <v>0</v>
      </c>
      <c r="N222" s="174">
        <v>0</v>
      </c>
      <c r="O222" s="174">
        <v>0</v>
      </c>
      <c r="P222" s="174">
        <v>0</v>
      </c>
      <c r="Q222" s="174">
        <v>0</v>
      </c>
      <c r="R222" s="174">
        <v>0</v>
      </c>
      <c r="S222" s="215">
        <v>0</v>
      </c>
      <c r="T222" s="71">
        <f>J222+L222+N222+P222+R222</f>
        <v>0</v>
      </c>
      <c r="U222" s="71">
        <f>K222+M222+O222+Q222+S222</f>
        <v>0</v>
      </c>
      <c r="V222" s="117">
        <v>0</v>
      </c>
      <c r="W222" s="117">
        <v>0</v>
      </c>
      <c r="X222" s="71">
        <f>V222-T222</f>
        <v>0</v>
      </c>
      <c r="Y222" s="71">
        <f>W222-U222</f>
        <v>0</v>
      </c>
      <c r="AA222" s="65"/>
      <c r="AC222" s="71">
        <f t="shared" si="131"/>
        <v>0</v>
      </c>
      <c r="AD222" s="39"/>
      <c r="AE222" s="7"/>
      <c r="AF222" s="15"/>
      <c r="AG222" s="71" t="b">
        <f>AC222=(AD222+AE222+AF222)</f>
        <v>1</v>
      </c>
      <c r="AI222" s="71">
        <f>Y222</f>
        <v>0</v>
      </c>
      <c r="AJ222" s="39"/>
      <c r="AK222" s="15"/>
      <c r="AL222" s="71" t="b">
        <f>AI222=(AJ222+AK222)</f>
        <v>1</v>
      </c>
      <c r="AN222" s="65"/>
    </row>
    <row r="223" spans="2:40" ht="13" customHeight="1">
      <c r="B223" s="217"/>
      <c r="C223" s="159">
        <f t="shared" si="126"/>
        <v>2026091</v>
      </c>
      <c r="D223" s="23">
        <v>8</v>
      </c>
      <c r="E223" s="128">
        <v>0</v>
      </c>
      <c r="F223" s="126" t="e">
        <f>VLOOKUP(E223,'Códigos bancos'!$B$4:$C$29,2,0)</f>
        <v>#N/A</v>
      </c>
      <c r="G223" s="36">
        <v>1</v>
      </c>
      <c r="H223" s="126" t="str">
        <f>VLOOKUP(G223,'Códigos bancos'!$F$4:$G$14,2,0)</f>
        <v>Oficinas</v>
      </c>
      <c r="I223" s="130"/>
      <c r="J223" s="174">
        <v>0</v>
      </c>
      <c r="K223" s="174">
        <v>0</v>
      </c>
      <c r="L223" s="174">
        <v>0</v>
      </c>
      <c r="M223" s="174">
        <v>0</v>
      </c>
      <c r="N223" s="174">
        <v>0</v>
      </c>
      <c r="O223" s="174">
        <v>0</v>
      </c>
      <c r="P223" s="174">
        <v>0</v>
      </c>
      <c r="Q223" s="174">
        <v>0</v>
      </c>
      <c r="R223" s="174">
        <v>0</v>
      </c>
      <c r="S223" s="215">
        <v>0</v>
      </c>
      <c r="T223" s="71">
        <f t="shared" si="127"/>
        <v>0</v>
      </c>
      <c r="U223" s="71">
        <f t="shared" si="128"/>
        <v>0</v>
      </c>
      <c r="V223" s="117">
        <v>0</v>
      </c>
      <c r="W223" s="117">
        <v>0</v>
      </c>
      <c r="X223" s="71">
        <f t="shared" si="129"/>
        <v>0</v>
      </c>
      <c r="Y223" s="71">
        <f t="shared" si="130"/>
        <v>0</v>
      </c>
      <c r="AA223" s="65"/>
      <c r="AC223" s="71">
        <f t="shared" si="131"/>
        <v>0</v>
      </c>
      <c r="AD223" s="39"/>
      <c r="AE223" s="7"/>
      <c r="AF223" s="15"/>
      <c r="AG223" s="71" t="b">
        <f t="shared" si="132"/>
        <v>1</v>
      </c>
      <c r="AI223" s="71"/>
      <c r="AJ223" s="39"/>
      <c r="AK223" s="15"/>
      <c r="AL223" s="71" t="b">
        <f t="shared" si="134"/>
        <v>1</v>
      </c>
      <c r="AN223" s="65"/>
    </row>
    <row r="224" spans="2:40" ht="13" customHeight="1">
      <c r="B224" s="217"/>
      <c r="C224" s="159">
        <f t="shared" si="126"/>
        <v>2026091</v>
      </c>
      <c r="D224" s="23">
        <v>8</v>
      </c>
      <c r="E224" s="128">
        <v>0</v>
      </c>
      <c r="F224" s="126" t="e">
        <f>VLOOKUP(E224,'Códigos bancos'!$B$4:$C$29,2,0)</f>
        <v>#N/A</v>
      </c>
      <c r="G224" s="36">
        <v>1</v>
      </c>
      <c r="H224" s="126" t="str">
        <f>VLOOKUP(G224,'Códigos bancos'!$F$4:$G$14,2,0)</f>
        <v>Oficinas</v>
      </c>
      <c r="I224" s="130"/>
      <c r="J224" s="174">
        <v>0</v>
      </c>
      <c r="K224" s="174">
        <v>0</v>
      </c>
      <c r="L224" s="174">
        <v>0</v>
      </c>
      <c r="M224" s="174">
        <v>0</v>
      </c>
      <c r="N224" s="174">
        <v>0</v>
      </c>
      <c r="O224" s="174">
        <v>0</v>
      </c>
      <c r="P224" s="174">
        <v>0</v>
      </c>
      <c r="Q224" s="174">
        <v>0</v>
      </c>
      <c r="R224" s="174">
        <v>0</v>
      </c>
      <c r="S224" s="215">
        <v>0</v>
      </c>
      <c r="T224" s="71">
        <f t="shared" si="127"/>
        <v>0</v>
      </c>
      <c r="U224" s="71">
        <f t="shared" si="128"/>
        <v>0</v>
      </c>
      <c r="V224" s="117">
        <v>0</v>
      </c>
      <c r="W224" s="117">
        <v>0</v>
      </c>
      <c r="X224" s="71">
        <f t="shared" si="129"/>
        <v>0</v>
      </c>
      <c r="Y224" s="71">
        <f t="shared" si="130"/>
        <v>0</v>
      </c>
      <c r="AA224" s="65"/>
      <c r="AC224" s="71">
        <f t="shared" si="131"/>
        <v>0</v>
      </c>
      <c r="AD224" s="39"/>
      <c r="AE224" s="7"/>
      <c r="AF224" s="15"/>
      <c r="AG224" s="71" t="b">
        <f t="shared" si="132"/>
        <v>1</v>
      </c>
      <c r="AI224" s="71">
        <f t="shared" si="133"/>
        <v>0</v>
      </c>
      <c r="AJ224" s="39"/>
      <c r="AK224" s="15"/>
      <c r="AL224" s="71" t="b">
        <f t="shared" si="134"/>
        <v>1</v>
      </c>
      <c r="AN224" s="65"/>
    </row>
    <row r="225" spans="2:40 16128:16147" ht="13" customHeight="1">
      <c r="B225" s="217"/>
      <c r="C225" s="159">
        <f t="shared" si="126"/>
        <v>2026091</v>
      </c>
      <c r="D225" s="23">
        <v>8</v>
      </c>
      <c r="E225" s="128">
        <v>0</v>
      </c>
      <c r="F225" s="126" t="e">
        <f>VLOOKUP(E225,'Códigos bancos'!$B$4:$C$29,2,0)</f>
        <v>#N/A</v>
      </c>
      <c r="G225" s="36">
        <v>1</v>
      </c>
      <c r="H225" s="126" t="str">
        <f>VLOOKUP(G225,'Códigos bancos'!$F$4:$G$14,2,0)</f>
        <v>Oficinas</v>
      </c>
      <c r="I225" s="130"/>
      <c r="J225" s="174">
        <v>0</v>
      </c>
      <c r="K225" s="174">
        <v>0</v>
      </c>
      <c r="L225" s="174">
        <v>0</v>
      </c>
      <c r="M225" s="174">
        <v>0</v>
      </c>
      <c r="N225" s="174">
        <v>0</v>
      </c>
      <c r="O225" s="174">
        <v>0</v>
      </c>
      <c r="P225" s="174">
        <v>0</v>
      </c>
      <c r="Q225" s="174">
        <v>0</v>
      </c>
      <c r="R225" s="174">
        <v>0</v>
      </c>
      <c r="S225" s="215">
        <v>0</v>
      </c>
      <c r="T225" s="71">
        <f t="shared" si="127"/>
        <v>0</v>
      </c>
      <c r="U225" s="71">
        <f t="shared" si="128"/>
        <v>0</v>
      </c>
      <c r="V225" s="117">
        <v>0</v>
      </c>
      <c r="W225" s="117">
        <v>0</v>
      </c>
      <c r="X225" s="71">
        <f t="shared" si="129"/>
        <v>0</v>
      </c>
      <c r="Y225" s="71">
        <f t="shared" si="130"/>
        <v>0</v>
      </c>
      <c r="AA225" s="65"/>
      <c r="AC225" s="71">
        <f t="shared" si="131"/>
        <v>0</v>
      </c>
      <c r="AD225" s="39"/>
      <c r="AE225" s="7"/>
      <c r="AF225" s="15"/>
      <c r="AG225" s="71" t="b">
        <f t="shared" si="132"/>
        <v>1</v>
      </c>
      <c r="AI225" s="71">
        <f t="shared" si="133"/>
        <v>0</v>
      </c>
      <c r="AJ225" s="39"/>
      <c r="AK225" s="15"/>
      <c r="AL225" s="71" t="b">
        <f t="shared" si="134"/>
        <v>1</v>
      </c>
      <c r="AN225" s="65"/>
    </row>
    <row r="226" spans="2:40 16128:16147" ht="13" customHeight="1">
      <c r="B226" s="217"/>
      <c r="C226" s="159">
        <f t="shared" si="126"/>
        <v>2026091</v>
      </c>
      <c r="D226" s="23">
        <v>8</v>
      </c>
      <c r="E226" s="128">
        <v>0</v>
      </c>
      <c r="F226" s="126" t="e">
        <f>VLOOKUP(E226,'Códigos bancos'!$B$4:$C$29,2,0)</f>
        <v>#N/A</v>
      </c>
      <c r="G226" s="36">
        <v>1</v>
      </c>
      <c r="H226" s="126" t="str">
        <f>VLOOKUP(G226,'Códigos bancos'!$F$4:$G$14,2,0)</f>
        <v>Oficinas</v>
      </c>
      <c r="I226" s="130"/>
      <c r="J226" s="174">
        <v>0</v>
      </c>
      <c r="K226" s="174">
        <v>0</v>
      </c>
      <c r="L226" s="174">
        <v>0</v>
      </c>
      <c r="M226" s="174">
        <v>0</v>
      </c>
      <c r="N226" s="174">
        <v>0</v>
      </c>
      <c r="O226" s="174">
        <v>0</v>
      </c>
      <c r="P226" s="174">
        <v>0</v>
      </c>
      <c r="Q226" s="174">
        <v>0</v>
      </c>
      <c r="R226" s="174">
        <v>0</v>
      </c>
      <c r="S226" s="215">
        <v>0</v>
      </c>
      <c r="T226" s="71">
        <f t="shared" si="127"/>
        <v>0</v>
      </c>
      <c r="U226" s="71">
        <f t="shared" si="128"/>
        <v>0</v>
      </c>
      <c r="V226" s="117">
        <v>0</v>
      </c>
      <c r="W226" s="117">
        <v>0</v>
      </c>
      <c r="X226" s="71">
        <f t="shared" si="129"/>
        <v>0</v>
      </c>
      <c r="Y226" s="71">
        <f t="shared" si="130"/>
        <v>0</v>
      </c>
      <c r="AA226" s="65"/>
      <c r="AC226" s="71">
        <f t="shared" si="131"/>
        <v>0</v>
      </c>
      <c r="AD226" s="39"/>
      <c r="AE226" s="7"/>
      <c r="AF226" s="15"/>
      <c r="AG226" s="71" t="b">
        <f t="shared" si="132"/>
        <v>1</v>
      </c>
      <c r="AI226" s="71">
        <f t="shared" si="133"/>
        <v>0</v>
      </c>
      <c r="AJ226" s="39"/>
      <c r="AK226" s="15"/>
      <c r="AL226" s="71" t="b">
        <f t="shared" si="134"/>
        <v>1</v>
      </c>
      <c r="AN226" s="65"/>
    </row>
    <row r="227" spans="2:40 16128:16147" ht="13" customHeight="1">
      <c r="B227" s="217"/>
      <c r="C227" s="159">
        <f t="shared" si="126"/>
        <v>2026091</v>
      </c>
      <c r="D227" s="23">
        <v>8</v>
      </c>
      <c r="E227" s="128">
        <v>0</v>
      </c>
      <c r="F227" s="126" t="e">
        <f>VLOOKUP(E227,'Códigos bancos'!$B$4:$C$29,2,0)</f>
        <v>#N/A</v>
      </c>
      <c r="G227" s="36">
        <v>1</v>
      </c>
      <c r="H227" s="126" t="str">
        <f>VLOOKUP(G227,'Códigos bancos'!$F$4:$G$14,2,0)</f>
        <v>Oficinas</v>
      </c>
      <c r="I227" s="130"/>
      <c r="J227" s="174">
        <v>0</v>
      </c>
      <c r="K227" s="174">
        <v>0</v>
      </c>
      <c r="L227" s="174">
        <v>0</v>
      </c>
      <c r="M227" s="174">
        <v>0</v>
      </c>
      <c r="N227" s="174">
        <v>0</v>
      </c>
      <c r="O227" s="174">
        <v>0</v>
      </c>
      <c r="P227" s="174">
        <v>0</v>
      </c>
      <c r="Q227" s="174">
        <v>0</v>
      </c>
      <c r="R227" s="174">
        <v>0</v>
      </c>
      <c r="S227" s="215">
        <v>0</v>
      </c>
      <c r="T227" s="71">
        <f t="shared" si="127"/>
        <v>0</v>
      </c>
      <c r="U227" s="71">
        <f t="shared" si="128"/>
        <v>0</v>
      </c>
      <c r="V227" s="117">
        <v>0</v>
      </c>
      <c r="W227" s="117">
        <v>0</v>
      </c>
      <c r="X227" s="71">
        <f t="shared" si="129"/>
        <v>0</v>
      </c>
      <c r="Y227" s="71">
        <f t="shared" si="130"/>
        <v>0</v>
      </c>
      <c r="AA227" s="65"/>
      <c r="AC227" s="71">
        <f t="shared" si="131"/>
        <v>0</v>
      </c>
      <c r="AD227" s="39"/>
      <c r="AE227" s="7"/>
      <c r="AF227" s="15"/>
      <c r="AG227" s="71" t="b">
        <f t="shared" si="132"/>
        <v>1</v>
      </c>
      <c r="AI227" s="71">
        <f t="shared" si="133"/>
        <v>0</v>
      </c>
      <c r="AJ227" s="39"/>
      <c r="AK227" s="15"/>
      <c r="AL227" s="71" t="b">
        <f t="shared" si="134"/>
        <v>1</v>
      </c>
      <c r="AN227" s="65"/>
    </row>
    <row r="228" spans="2:40 16128:16147" ht="13" customHeight="1">
      <c r="B228" s="217"/>
      <c r="C228" s="159">
        <f t="shared" ref="C228" si="135">IF(D228&lt;=15,$C$1,$C$2)</f>
        <v>2026091</v>
      </c>
      <c r="D228" s="23">
        <v>8</v>
      </c>
      <c r="E228" s="128">
        <v>0</v>
      </c>
      <c r="F228" s="126" t="e">
        <f>VLOOKUP(E228,'Códigos bancos'!$B$4:$C$29,2,0)</f>
        <v>#N/A</v>
      </c>
      <c r="G228" s="36">
        <v>1</v>
      </c>
      <c r="H228" s="126" t="str">
        <f>VLOOKUP(G228,'Códigos bancos'!$F$4:$G$14,2,0)</f>
        <v>Oficinas</v>
      </c>
      <c r="I228" s="130"/>
      <c r="J228" s="174">
        <v>0</v>
      </c>
      <c r="K228" s="174">
        <v>0</v>
      </c>
      <c r="L228" s="174">
        <v>0</v>
      </c>
      <c r="M228" s="174">
        <v>0</v>
      </c>
      <c r="N228" s="174">
        <v>0</v>
      </c>
      <c r="O228" s="174">
        <v>0</v>
      </c>
      <c r="P228" s="174">
        <v>0</v>
      </c>
      <c r="Q228" s="174">
        <v>0</v>
      </c>
      <c r="R228" s="174">
        <v>0</v>
      </c>
      <c r="S228" s="215">
        <v>0</v>
      </c>
      <c r="T228" s="71">
        <f t="shared" ref="T228" si="136">J228+L228+N228+P228+R228</f>
        <v>0</v>
      </c>
      <c r="U228" s="71">
        <f t="shared" ref="U228" si="137">K228+M228+O228+Q228+S228</f>
        <v>0</v>
      </c>
      <c r="V228" s="117">
        <v>0</v>
      </c>
      <c r="W228" s="117">
        <v>0</v>
      </c>
      <c r="X228" s="71">
        <f t="shared" ref="X228" si="138">V228-T228</f>
        <v>0</v>
      </c>
      <c r="Y228" s="71">
        <f t="shared" ref="Y228" si="139">W228-U228</f>
        <v>0</v>
      </c>
      <c r="AA228" s="65"/>
      <c r="AC228" s="71">
        <f t="shared" ref="AC228" si="140">X228</f>
        <v>0</v>
      </c>
      <c r="AD228" s="39"/>
      <c r="AE228" s="7"/>
      <c r="AF228" s="15"/>
      <c r="AG228" s="71" t="b">
        <f t="shared" ref="AG228" si="141">AC228=(AD228+AE228+AF228)</f>
        <v>1</v>
      </c>
      <c r="AI228" s="71">
        <f t="shared" ref="AI228" si="142">Y228</f>
        <v>0</v>
      </c>
      <c r="AJ228" s="39"/>
      <c r="AK228" s="15"/>
      <c r="AL228" s="71" t="b">
        <f t="shared" ref="AL228" si="143">AI228=(AJ228+AK228)</f>
        <v>1</v>
      </c>
      <c r="AN228" s="65"/>
    </row>
    <row r="229" spans="2:40 16128:16147" ht="13" customHeight="1">
      <c r="B229" s="217"/>
      <c r="C229" s="159">
        <f t="shared" si="126"/>
        <v>2026091</v>
      </c>
      <c r="D229" s="23">
        <v>8</v>
      </c>
      <c r="E229" s="128">
        <v>0</v>
      </c>
      <c r="F229" s="126" t="e">
        <f>VLOOKUP(E229,'Códigos bancos'!$B$4:$C$29,2,0)</f>
        <v>#N/A</v>
      </c>
      <c r="G229" s="36">
        <v>1</v>
      </c>
      <c r="H229" s="126" t="str">
        <f>VLOOKUP(G229,'Códigos bancos'!$F$4:$G$14,2,0)</f>
        <v>Oficinas</v>
      </c>
      <c r="I229" s="130"/>
      <c r="J229" s="174">
        <v>0</v>
      </c>
      <c r="K229" s="174">
        <v>0</v>
      </c>
      <c r="L229" s="174">
        <v>0</v>
      </c>
      <c r="M229" s="174">
        <v>0</v>
      </c>
      <c r="N229" s="174">
        <v>0</v>
      </c>
      <c r="O229" s="174">
        <v>0</v>
      </c>
      <c r="P229" s="174">
        <v>0</v>
      </c>
      <c r="Q229" s="174">
        <v>0</v>
      </c>
      <c r="R229" s="174">
        <v>0</v>
      </c>
      <c r="S229" s="215">
        <v>0</v>
      </c>
      <c r="T229" s="71">
        <f t="shared" si="127"/>
        <v>0</v>
      </c>
      <c r="U229" s="71">
        <f t="shared" si="128"/>
        <v>0</v>
      </c>
      <c r="V229" s="117">
        <v>0</v>
      </c>
      <c r="W229" s="117">
        <v>0</v>
      </c>
      <c r="X229" s="71">
        <f t="shared" si="129"/>
        <v>0</v>
      </c>
      <c r="Y229" s="71">
        <f t="shared" si="130"/>
        <v>0</v>
      </c>
      <c r="AA229" s="65"/>
      <c r="AC229" s="71">
        <f t="shared" si="131"/>
        <v>0</v>
      </c>
      <c r="AD229" s="39"/>
      <c r="AE229" s="7"/>
      <c r="AF229" s="15"/>
      <c r="AG229" s="71" t="b">
        <f t="shared" si="132"/>
        <v>1</v>
      </c>
      <c r="AI229" s="71"/>
      <c r="AJ229" s="39"/>
      <c r="AK229" s="15"/>
      <c r="AL229" s="71" t="b">
        <f t="shared" si="134"/>
        <v>1</v>
      </c>
      <c r="AN229" s="65"/>
    </row>
    <row r="230" spans="2:40 16128:16147" ht="13" customHeight="1">
      <c r="B230" s="217"/>
      <c r="C230" s="23">
        <f t="shared" si="126"/>
        <v>2026091</v>
      </c>
      <c r="D230" s="23">
        <v>8</v>
      </c>
      <c r="E230" s="128">
        <v>0</v>
      </c>
      <c r="F230" s="126" t="e">
        <f>VLOOKUP(E230,'Códigos bancos'!$B$4:$C$29,2,0)</f>
        <v>#N/A</v>
      </c>
      <c r="G230" s="36">
        <v>1</v>
      </c>
      <c r="H230" s="126" t="str">
        <f>VLOOKUP(G230,'Códigos bancos'!$F$4:$G$14,2,0)</f>
        <v>Oficinas</v>
      </c>
      <c r="I230" s="130"/>
      <c r="J230" s="174">
        <v>0</v>
      </c>
      <c r="K230" s="174">
        <v>0</v>
      </c>
      <c r="L230" s="174">
        <v>0</v>
      </c>
      <c r="M230" s="174">
        <v>0</v>
      </c>
      <c r="N230" s="174">
        <v>0</v>
      </c>
      <c r="O230" s="174">
        <v>0</v>
      </c>
      <c r="P230" s="174">
        <v>0</v>
      </c>
      <c r="Q230" s="174">
        <v>0</v>
      </c>
      <c r="R230" s="174">
        <v>0</v>
      </c>
      <c r="S230" s="215">
        <v>0</v>
      </c>
      <c r="T230" s="71">
        <f t="shared" si="127"/>
        <v>0</v>
      </c>
      <c r="U230" s="71">
        <f t="shared" si="128"/>
        <v>0</v>
      </c>
      <c r="V230" s="117">
        <v>0</v>
      </c>
      <c r="W230" s="117">
        <v>0</v>
      </c>
      <c r="X230" s="71">
        <f t="shared" si="129"/>
        <v>0</v>
      </c>
      <c r="Y230" s="71">
        <f t="shared" si="130"/>
        <v>0</v>
      </c>
      <c r="AA230" s="65"/>
      <c r="AC230" s="71">
        <f t="shared" si="131"/>
        <v>0</v>
      </c>
      <c r="AD230" s="39"/>
      <c r="AE230" s="7"/>
      <c r="AF230" s="15"/>
      <c r="AG230" s="71" t="b">
        <f t="shared" si="132"/>
        <v>1</v>
      </c>
      <c r="AI230" s="71">
        <f>Y230</f>
        <v>0</v>
      </c>
      <c r="AJ230" s="39"/>
      <c r="AK230" s="15"/>
      <c r="AL230" s="71" t="b">
        <f t="shared" si="134"/>
        <v>1</v>
      </c>
      <c r="AN230" s="65"/>
    </row>
    <row r="231" spans="2:40 16128:16147" ht="13" customHeight="1">
      <c r="B231" s="217"/>
      <c r="C231" s="23">
        <f t="shared" si="126"/>
        <v>2026091</v>
      </c>
      <c r="D231" s="23">
        <v>8</v>
      </c>
      <c r="E231" s="128">
        <v>0</v>
      </c>
      <c r="F231" s="126" t="e">
        <f>VLOOKUP(E231,'Códigos bancos'!$B$4:$C$29,2,0)</f>
        <v>#N/A</v>
      </c>
      <c r="G231" s="36">
        <v>1</v>
      </c>
      <c r="H231" s="126" t="str">
        <f>VLOOKUP(G231,'Códigos bancos'!$F$4:$G$14,2,0)</f>
        <v>Oficinas</v>
      </c>
      <c r="I231" s="130"/>
      <c r="J231" s="174">
        <v>0</v>
      </c>
      <c r="K231" s="174">
        <v>0</v>
      </c>
      <c r="L231" s="174">
        <v>0</v>
      </c>
      <c r="M231" s="174">
        <v>0</v>
      </c>
      <c r="N231" s="174">
        <v>0</v>
      </c>
      <c r="O231" s="174">
        <v>0</v>
      </c>
      <c r="P231" s="174">
        <v>0</v>
      </c>
      <c r="Q231" s="174">
        <v>0</v>
      </c>
      <c r="R231" s="174">
        <v>0</v>
      </c>
      <c r="S231" s="215">
        <v>0</v>
      </c>
      <c r="T231" s="71">
        <f t="shared" si="127"/>
        <v>0</v>
      </c>
      <c r="U231" s="71">
        <f t="shared" si="128"/>
        <v>0</v>
      </c>
      <c r="V231" s="117">
        <v>0</v>
      </c>
      <c r="W231" s="117">
        <v>0</v>
      </c>
      <c r="X231" s="71">
        <f t="shared" si="129"/>
        <v>0</v>
      </c>
      <c r="Y231" s="71">
        <f t="shared" si="130"/>
        <v>0</v>
      </c>
      <c r="AA231" s="65"/>
      <c r="AC231" s="71">
        <f t="shared" si="131"/>
        <v>0</v>
      </c>
      <c r="AD231" s="39"/>
      <c r="AE231" s="7"/>
      <c r="AF231" s="15"/>
      <c r="AG231" s="71" t="b">
        <f t="shared" si="132"/>
        <v>1</v>
      </c>
      <c r="AI231" s="71"/>
      <c r="AJ231" s="39"/>
      <c r="AK231" s="15"/>
      <c r="AL231" s="71" t="b">
        <f t="shared" si="134"/>
        <v>1</v>
      </c>
      <c r="AN231" s="65"/>
    </row>
    <row r="232" spans="2:40 16128:16147" ht="13" customHeight="1">
      <c r="B232" s="217"/>
      <c r="C232" s="23">
        <f t="shared" si="126"/>
        <v>2026091</v>
      </c>
      <c r="D232" s="23">
        <v>8</v>
      </c>
      <c r="E232" s="128">
        <v>0</v>
      </c>
      <c r="F232" s="126" t="e">
        <f>VLOOKUP(E232,'Códigos bancos'!$B$4:$C$29,2,0)</f>
        <v>#N/A</v>
      </c>
      <c r="G232" s="36">
        <v>1</v>
      </c>
      <c r="H232" s="126" t="str">
        <f>VLOOKUP(G232,'Códigos bancos'!$F$4:$G$14,2,0)</f>
        <v>Oficinas</v>
      </c>
      <c r="I232" s="130"/>
      <c r="J232" s="174">
        <v>0</v>
      </c>
      <c r="K232" s="174">
        <v>0</v>
      </c>
      <c r="L232" s="174">
        <v>0</v>
      </c>
      <c r="M232" s="174">
        <v>0</v>
      </c>
      <c r="N232" s="174">
        <v>0</v>
      </c>
      <c r="O232" s="174">
        <v>0</v>
      </c>
      <c r="P232" s="174">
        <v>0</v>
      </c>
      <c r="Q232" s="174">
        <v>0</v>
      </c>
      <c r="R232" s="174">
        <v>0</v>
      </c>
      <c r="S232" s="215">
        <v>0</v>
      </c>
      <c r="T232" s="71">
        <f t="shared" si="127"/>
        <v>0</v>
      </c>
      <c r="U232" s="71">
        <f t="shared" si="128"/>
        <v>0</v>
      </c>
      <c r="V232" s="117">
        <v>0</v>
      </c>
      <c r="W232" s="117">
        <v>0</v>
      </c>
      <c r="X232" s="71">
        <f t="shared" si="129"/>
        <v>0</v>
      </c>
      <c r="Y232" s="71">
        <f t="shared" si="130"/>
        <v>0</v>
      </c>
      <c r="AA232" s="65"/>
      <c r="AC232" s="71">
        <f t="shared" si="131"/>
        <v>0</v>
      </c>
      <c r="AD232" s="39"/>
      <c r="AE232" s="7"/>
      <c r="AF232" s="15"/>
      <c r="AG232" s="71" t="b">
        <f t="shared" si="132"/>
        <v>1</v>
      </c>
      <c r="AI232" s="71">
        <f>Y232</f>
        <v>0</v>
      </c>
      <c r="AJ232" s="39"/>
      <c r="AK232" s="15"/>
      <c r="AL232" s="71" t="b">
        <f t="shared" si="134"/>
        <v>1</v>
      </c>
      <c r="AN232" s="65"/>
    </row>
    <row r="233" spans="2:40 16128:16147" ht="13" customHeight="1" thickBot="1">
      <c r="B233" s="217"/>
      <c r="C233" s="159">
        <f t="shared" si="126"/>
        <v>2026091</v>
      </c>
      <c r="D233" s="23">
        <v>8</v>
      </c>
      <c r="E233" s="128">
        <v>0</v>
      </c>
      <c r="F233" s="126" t="e">
        <f>VLOOKUP(E233,'Códigos bancos'!$B$4:$C$29,2,0)</f>
        <v>#N/A</v>
      </c>
      <c r="G233" s="36">
        <v>1</v>
      </c>
      <c r="H233" s="126" t="str">
        <f>VLOOKUP(G233,'Códigos bancos'!$F$4:$G$14,2,0)</f>
        <v>Oficinas</v>
      </c>
      <c r="I233" s="130"/>
      <c r="J233" s="174">
        <v>0</v>
      </c>
      <c r="K233" s="174">
        <v>0</v>
      </c>
      <c r="L233" s="174">
        <v>0</v>
      </c>
      <c r="M233" s="174">
        <v>0</v>
      </c>
      <c r="N233" s="174">
        <v>0</v>
      </c>
      <c r="O233" s="174">
        <v>0</v>
      </c>
      <c r="P233" s="174">
        <v>0</v>
      </c>
      <c r="Q233" s="174">
        <v>0</v>
      </c>
      <c r="R233" s="174">
        <v>0</v>
      </c>
      <c r="S233" s="215">
        <v>0</v>
      </c>
      <c r="T233" s="71">
        <f t="shared" si="127"/>
        <v>0</v>
      </c>
      <c r="U233" s="71">
        <f t="shared" si="128"/>
        <v>0</v>
      </c>
      <c r="V233" s="117">
        <v>0</v>
      </c>
      <c r="W233" s="117">
        <v>0</v>
      </c>
      <c r="X233" s="71">
        <f t="shared" si="129"/>
        <v>0</v>
      </c>
      <c r="Y233" s="71">
        <f t="shared" si="130"/>
        <v>0</v>
      </c>
      <c r="AA233" s="65"/>
      <c r="AC233" s="71">
        <f t="shared" si="131"/>
        <v>0</v>
      </c>
      <c r="AD233" s="39"/>
      <c r="AE233" s="7"/>
      <c r="AF233" s="15"/>
      <c r="AG233" s="71" t="b">
        <f t="shared" si="132"/>
        <v>1</v>
      </c>
      <c r="AI233" s="71">
        <f t="shared" si="133"/>
        <v>0</v>
      </c>
      <c r="AJ233" s="39"/>
      <c r="AK233" s="15"/>
      <c r="AL233" s="71" t="b">
        <f t="shared" si="134"/>
        <v>1</v>
      </c>
      <c r="AN233" s="65"/>
    </row>
    <row r="234" spans="2:40 16128:16147" ht="13" customHeight="1" thickBot="1">
      <c r="E234" s="120" t="s">
        <v>0</v>
      </c>
      <c r="F234" s="121" t="s">
        <v>53</v>
      </c>
      <c r="G234" s="121"/>
      <c r="H234" s="121"/>
      <c r="I234" s="121"/>
      <c r="J234" s="122">
        <f t="shared" ref="J234:Y234" si="144">SUM(J209:J233)</f>
        <v>0</v>
      </c>
      <c r="K234" s="122">
        <f t="shared" si="144"/>
        <v>0</v>
      </c>
      <c r="L234" s="122">
        <f t="shared" si="144"/>
        <v>0</v>
      </c>
      <c r="M234" s="122">
        <f t="shared" si="144"/>
        <v>0</v>
      </c>
      <c r="N234" s="122">
        <f t="shared" si="144"/>
        <v>0</v>
      </c>
      <c r="O234" s="122">
        <f t="shared" si="144"/>
        <v>0</v>
      </c>
      <c r="P234" s="122">
        <f t="shared" si="144"/>
        <v>0</v>
      </c>
      <c r="Q234" s="122">
        <f t="shared" si="144"/>
        <v>0</v>
      </c>
      <c r="R234" s="122">
        <f t="shared" si="144"/>
        <v>207</v>
      </c>
      <c r="S234" s="122">
        <f t="shared" si="144"/>
        <v>9922340</v>
      </c>
      <c r="T234" s="122">
        <f t="shared" si="144"/>
        <v>207</v>
      </c>
      <c r="U234" s="122">
        <f t="shared" si="144"/>
        <v>9922340</v>
      </c>
      <c r="V234" s="123">
        <f t="shared" si="144"/>
        <v>207</v>
      </c>
      <c r="W234" s="123">
        <f t="shared" si="144"/>
        <v>9922340</v>
      </c>
      <c r="X234" s="122">
        <f t="shared" si="144"/>
        <v>0</v>
      </c>
      <c r="Y234" s="123">
        <f t="shared" si="144"/>
        <v>0</v>
      </c>
      <c r="AA234" s="65"/>
      <c r="AC234" s="122">
        <f>SUM(AC209:AC233)</f>
        <v>0</v>
      </c>
      <c r="AD234" s="122">
        <f>SUM(AD209:AD233)</f>
        <v>0</v>
      </c>
      <c r="AE234" s="122">
        <f>SUM(AE209:AE233)</f>
        <v>0</v>
      </c>
      <c r="AF234" s="123">
        <f>SUM(AF209:AF233)</f>
        <v>0</v>
      </c>
      <c r="AG234" s="100"/>
      <c r="AI234" s="122">
        <f>SUM(AI209:AI233)</f>
        <v>0</v>
      </c>
      <c r="AJ234" s="122">
        <f>SUM(AJ209:AJ233)</f>
        <v>0</v>
      </c>
      <c r="AK234" s="123">
        <f>SUM(AK209:AK233)</f>
        <v>0</v>
      </c>
      <c r="AL234" s="100"/>
      <c r="AN234" s="65"/>
    </row>
    <row r="235" spans="2:40 16128:16147" ht="13" thickBot="1">
      <c r="AA235" s="65"/>
      <c r="AN235" s="65"/>
    </row>
    <row r="236" spans="2:40 16128:16147" ht="41.25" customHeight="1" thickBot="1">
      <c r="B236" s="112" t="s">
        <v>4</v>
      </c>
      <c r="C236" s="34" t="s">
        <v>6</v>
      </c>
      <c r="D236" s="34" t="s">
        <v>7</v>
      </c>
      <c r="E236" s="34" t="s">
        <v>49</v>
      </c>
      <c r="F236" s="34" t="s">
        <v>50</v>
      </c>
      <c r="G236" s="34" t="s">
        <v>51</v>
      </c>
      <c r="H236" s="34" t="s">
        <v>52</v>
      </c>
      <c r="I236" s="34" t="s">
        <v>13</v>
      </c>
      <c r="J236" s="12" t="s">
        <v>8</v>
      </c>
      <c r="K236" s="12" t="s">
        <v>36</v>
      </c>
      <c r="L236" s="12" t="s">
        <v>9</v>
      </c>
      <c r="M236" s="12" t="s">
        <v>37</v>
      </c>
      <c r="N236" s="87" t="s">
        <v>10</v>
      </c>
      <c r="O236" s="88" t="s">
        <v>38</v>
      </c>
      <c r="P236" s="87" t="s">
        <v>11</v>
      </c>
      <c r="Q236" s="88" t="s">
        <v>39</v>
      </c>
      <c r="R236" s="87" t="s">
        <v>12</v>
      </c>
      <c r="S236" s="88" t="s">
        <v>40</v>
      </c>
      <c r="T236" s="64" t="s">
        <v>41</v>
      </c>
      <c r="U236" s="64" t="s">
        <v>42</v>
      </c>
      <c r="V236" s="35" t="s">
        <v>32</v>
      </c>
      <c r="W236" s="67" t="s">
        <v>35</v>
      </c>
      <c r="X236" s="12" t="s">
        <v>34</v>
      </c>
      <c r="Y236" s="68" t="s">
        <v>33</v>
      </c>
      <c r="AA236" s="66"/>
      <c r="AC236" s="12" t="s">
        <v>34</v>
      </c>
      <c r="AD236" s="12" t="s">
        <v>45</v>
      </c>
      <c r="AE236" s="12" t="s">
        <v>43</v>
      </c>
      <c r="AF236" s="12" t="s">
        <v>44</v>
      </c>
      <c r="AG236" s="12" t="s">
        <v>46</v>
      </c>
      <c r="AI236" s="12" t="s">
        <v>33</v>
      </c>
      <c r="AJ236" s="12" t="s">
        <v>47</v>
      </c>
      <c r="AK236" s="12" t="s">
        <v>48</v>
      </c>
      <c r="AL236" s="12" t="s">
        <v>46</v>
      </c>
      <c r="AN236" s="66"/>
      <c r="WVH236" s="1"/>
      <c r="WVI236" s="1"/>
      <c r="WVZ236"/>
      <c r="WWA236"/>
    </row>
    <row r="237" spans="2:40 16128:16147" ht="13" customHeight="1">
      <c r="B237" s="217" t="s">
        <v>74</v>
      </c>
      <c r="C237" s="158">
        <f>IF(D237&lt;=15,$C$1,$C$2)</f>
        <v>2026091</v>
      </c>
      <c r="D237" s="24">
        <v>9</v>
      </c>
      <c r="E237" s="127">
        <v>20</v>
      </c>
      <c r="F237" s="125" t="str">
        <f>VLOOKUP(E237,'Códigos bancos'!$B$4:$C$29,2,0)</f>
        <v>Bancolombia ENERBIT</v>
      </c>
      <c r="G237" s="18">
        <v>1</v>
      </c>
      <c r="H237" s="125" t="str">
        <f>VLOOKUP(G237,'Códigos bancos'!$F$4:$G$14,2,0)</f>
        <v>Oficinas</v>
      </c>
      <c r="I237" s="129"/>
      <c r="J237" s="213">
        <v>0</v>
      </c>
      <c r="K237" s="213">
        <v>0</v>
      </c>
      <c r="L237" s="213">
        <v>0</v>
      </c>
      <c r="M237" s="213">
        <v>0</v>
      </c>
      <c r="N237" s="213">
        <v>0</v>
      </c>
      <c r="O237" s="213">
        <v>0</v>
      </c>
      <c r="P237" s="213">
        <v>0</v>
      </c>
      <c r="Q237" s="213">
        <v>0</v>
      </c>
      <c r="R237" s="174">
        <v>166</v>
      </c>
      <c r="S237" s="215">
        <v>7456710</v>
      </c>
      <c r="T237" s="70">
        <f>J237+L237+N237+P237+R237</f>
        <v>166</v>
      </c>
      <c r="U237" s="70">
        <f>K237+M237+O237+Q237+S237</f>
        <v>7456710</v>
      </c>
      <c r="V237" s="174">
        <v>166</v>
      </c>
      <c r="W237" s="215">
        <v>7456710</v>
      </c>
      <c r="X237" s="70">
        <f>V237-T237</f>
        <v>0</v>
      </c>
      <c r="Y237" s="70">
        <f>W237-U237</f>
        <v>0</v>
      </c>
      <c r="AA237" s="65"/>
      <c r="AC237" s="124">
        <f>X237</f>
        <v>0</v>
      </c>
      <c r="AD237" s="115"/>
      <c r="AE237" s="16"/>
      <c r="AF237" s="114"/>
      <c r="AG237" s="124" t="b">
        <f>AC237=(AD237+AE237+AF237)</f>
        <v>1</v>
      </c>
      <c r="AI237" s="70">
        <f>Y237</f>
        <v>0</v>
      </c>
      <c r="AJ237" s="115"/>
      <c r="AK237" s="114">
        <v>0</v>
      </c>
      <c r="AL237" s="70" t="b">
        <f>AI237=(AJ237+AK237)</f>
        <v>1</v>
      </c>
      <c r="AN237" s="65"/>
    </row>
    <row r="238" spans="2:40 16128:16147" ht="13" customHeight="1">
      <c r="B238" s="119"/>
      <c r="C238" s="159">
        <f t="shared" ref="C238:C261" si="145">IF(D238&lt;=15,$C$1,$C$2)</f>
        <v>2026091</v>
      </c>
      <c r="D238" s="23">
        <v>9</v>
      </c>
      <c r="E238" s="128">
        <v>0</v>
      </c>
      <c r="F238" s="126" t="e">
        <f>VLOOKUP(E238,'Códigos bancos'!$B$4:$C$29,2,0)</f>
        <v>#N/A</v>
      </c>
      <c r="G238" s="36">
        <v>1</v>
      </c>
      <c r="H238" s="126" t="str">
        <f>VLOOKUP(G238,'Códigos bancos'!$F$4:$G$14,2,0)</f>
        <v>Oficinas</v>
      </c>
      <c r="I238" s="130"/>
      <c r="J238" s="174">
        <v>0</v>
      </c>
      <c r="K238" s="174">
        <v>0</v>
      </c>
      <c r="L238" s="174">
        <v>0</v>
      </c>
      <c r="M238" s="174">
        <v>0</v>
      </c>
      <c r="N238" s="174">
        <v>0</v>
      </c>
      <c r="O238" s="174">
        <v>0</v>
      </c>
      <c r="P238" s="174">
        <v>0</v>
      </c>
      <c r="Q238" s="174">
        <v>0</v>
      </c>
      <c r="R238" s="174">
        <v>0</v>
      </c>
      <c r="S238" s="215">
        <v>0</v>
      </c>
      <c r="T238" s="71">
        <f t="shared" ref="T238:T261" si="146">J238+L238+N238+P238+R238</f>
        <v>0</v>
      </c>
      <c r="U238" s="71">
        <f t="shared" ref="U238:U261" si="147">K238+M238+O238+Q238+S238</f>
        <v>0</v>
      </c>
      <c r="V238" s="117">
        <v>0</v>
      </c>
      <c r="W238" s="117">
        <v>0</v>
      </c>
      <c r="X238" s="71">
        <f t="shared" ref="X238:X261" si="148">V238-T238</f>
        <v>0</v>
      </c>
      <c r="Y238" s="71">
        <f t="shared" ref="Y238:Y261" si="149">W238-U238</f>
        <v>0</v>
      </c>
      <c r="AA238" s="65"/>
      <c r="AC238" s="71">
        <f t="shared" ref="AC238:AC261" si="150">X238</f>
        <v>0</v>
      </c>
      <c r="AD238" s="39"/>
      <c r="AE238" s="7"/>
      <c r="AF238" s="15"/>
      <c r="AG238" s="71" t="b">
        <f t="shared" ref="AG238:AG261" si="151">AC238=(AD238+AE238+AF238)</f>
        <v>1</v>
      </c>
      <c r="AI238" s="71">
        <f t="shared" ref="AI238:AI261" si="152">Y238</f>
        <v>0</v>
      </c>
      <c r="AJ238" s="39"/>
      <c r="AK238" s="15">
        <v>0</v>
      </c>
      <c r="AL238" s="71" t="b">
        <f t="shared" ref="AL238:AL261" si="153">AI238=(AJ238+AK238)</f>
        <v>1</v>
      </c>
      <c r="AN238" s="65"/>
    </row>
    <row r="239" spans="2:40 16128:16147" ht="13" customHeight="1">
      <c r="B239" s="119"/>
      <c r="C239" s="159">
        <f t="shared" si="145"/>
        <v>2026091</v>
      </c>
      <c r="D239" s="23">
        <v>9</v>
      </c>
      <c r="E239" s="128">
        <v>0</v>
      </c>
      <c r="F239" s="126" t="e">
        <f>VLOOKUP(E239,'Códigos bancos'!$B$4:$C$29,2,0)</f>
        <v>#N/A</v>
      </c>
      <c r="G239" s="36">
        <v>1</v>
      </c>
      <c r="H239" s="126" t="str">
        <f>VLOOKUP(G239,'Códigos bancos'!$F$4:$G$14,2,0)</f>
        <v>Oficinas</v>
      </c>
      <c r="I239" s="130"/>
      <c r="J239" s="174">
        <v>0</v>
      </c>
      <c r="K239" s="174">
        <v>0</v>
      </c>
      <c r="L239" s="174">
        <v>0</v>
      </c>
      <c r="M239" s="174">
        <v>0</v>
      </c>
      <c r="N239" s="174">
        <v>0</v>
      </c>
      <c r="O239" s="174">
        <v>0</v>
      </c>
      <c r="P239" s="174">
        <v>0</v>
      </c>
      <c r="Q239" s="174">
        <v>0</v>
      </c>
      <c r="R239" s="174">
        <v>0</v>
      </c>
      <c r="S239" s="215">
        <v>0</v>
      </c>
      <c r="T239" s="71">
        <f t="shared" si="146"/>
        <v>0</v>
      </c>
      <c r="U239" s="71">
        <f t="shared" si="147"/>
        <v>0</v>
      </c>
      <c r="V239" s="117">
        <v>0</v>
      </c>
      <c r="W239" s="117">
        <v>0</v>
      </c>
      <c r="X239" s="71">
        <f t="shared" si="148"/>
        <v>0</v>
      </c>
      <c r="Y239" s="71">
        <f t="shared" si="149"/>
        <v>0</v>
      </c>
      <c r="AA239" s="65"/>
      <c r="AC239" s="71">
        <f t="shared" si="150"/>
        <v>0</v>
      </c>
      <c r="AD239" s="45"/>
      <c r="AE239" s="14"/>
      <c r="AF239" s="46"/>
      <c r="AG239" s="71" t="b">
        <f t="shared" si="151"/>
        <v>1</v>
      </c>
      <c r="AI239" s="71">
        <f t="shared" si="152"/>
        <v>0</v>
      </c>
      <c r="AJ239" s="45"/>
      <c r="AK239" s="46">
        <v>0</v>
      </c>
      <c r="AL239" s="71" t="b">
        <f t="shared" si="153"/>
        <v>1</v>
      </c>
      <c r="AN239" s="65"/>
    </row>
    <row r="240" spans="2:40 16128:16147" ht="13" customHeight="1">
      <c r="B240" s="119"/>
      <c r="C240" s="159">
        <f t="shared" si="145"/>
        <v>2026091</v>
      </c>
      <c r="D240" s="23">
        <v>9</v>
      </c>
      <c r="E240" s="128">
        <v>0</v>
      </c>
      <c r="F240" s="126" t="e">
        <f>VLOOKUP(E240,'Códigos bancos'!$B$4:$C$29,2,0)</f>
        <v>#N/A</v>
      </c>
      <c r="G240" s="36">
        <v>1</v>
      </c>
      <c r="H240" s="126" t="str">
        <f>VLOOKUP(G240,'Códigos bancos'!$F$4:$G$14,2,0)</f>
        <v>Oficinas</v>
      </c>
      <c r="I240" s="130"/>
      <c r="J240" s="174">
        <v>0</v>
      </c>
      <c r="K240" s="174">
        <v>0</v>
      </c>
      <c r="L240" s="174">
        <v>0</v>
      </c>
      <c r="M240" s="174">
        <v>0</v>
      </c>
      <c r="N240" s="174">
        <v>0</v>
      </c>
      <c r="O240" s="174">
        <v>0</v>
      </c>
      <c r="P240" s="174">
        <v>0</v>
      </c>
      <c r="Q240" s="174">
        <v>0</v>
      </c>
      <c r="R240" s="174">
        <v>0</v>
      </c>
      <c r="S240" s="215">
        <v>0</v>
      </c>
      <c r="T240" s="71">
        <f t="shared" si="146"/>
        <v>0</v>
      </c>
      <c r="U240" s="71">
        <f t="shared" si="147"/>
        <v>0</v>
      </c>
      <c r="V240" s="117">
        <v>0</v>
      </c>
      <c r="W240" s="117">
        <v>0</v>
      </c>
      <c r="X240" s="71">
        <f t="shared" si="148"/>
        <v>0</v>
      </c>
      <c r="Y240" s="71">
        <f t="shared" si="149"/>
        <v>0</v>
      </c>
      <c r="AA240" s="65"/>
      <c r="AC240" s="71">
        <f t="shared" si="150"/>
        <v>0</v>
      </c>
      <c r="AD240" s="39"/>
      <c r="AE240" s="7"/>
      <c r="AF240" s="15"/>
      <c r="AG240" s="71" t="b">
        <f t="shared" si="151"/>
        <v>1</v>
      </c>
      <c r="AI240" s="71">
        <f t="shared" si="152"/>
        <v>0</v>
      </c>
      <c r="AJ240" s="39"/>
      <c r="AK240" s="15">
        <v>0</v>
      </c>
      <c r="AL240" s="71" t="b">
        <f t="shared" si="153"/>
        <v>1</v>
      </c>
      <c r="AN240" s="65"/>
    </row>
    <row r="241" spans="2:40" ht="13" customHeight="1">
      <c r="B241" s="119"/>
      <c r="C241" s="159">
        <f t="shared" si="145"/>
        <v>2026091</v>
      </c>
      <c r="D241" s="23">
        <v>9</v>
      </c>
      <c r="E241" s="128">
        <v>0</v>
      </c>
      <c r="F241" s="126" t="e">
        <f>VLOOKUP(E241,'Códigos bancos'!$B$4:$C$29,2,0)</f>
        <v>#N/A</v>
      </c>
      <c r="G241" s="36">
        <v>1</v>
      </c>
      <c r="H241" s="126" t="str">
        <f>VLOOKUP(G241,'Códigos bancos'!$F$4:$G$14,2,0)</f>
        <v>Oficinas</v>
      </c>
      <c r="I241" s="130"/>
      <c r="J241" s="174">
        <v>0</v>
      </c>
      <c r="K241" s="174">
        <v>0</v>
      </c>
      <c r="L241" s="174">
        <v>0</v>
      </c>
      <c r="M241" s="174">
        <v>0</v>
      </c>
      <c r="N241" s="174">
        <v>0</v>
      </c>
      <c r="O241" s="174">
        <v>0</v>
      </c>
      <c r="P241" s="174">
        <v>0</v>
      </c>
      <c r="Q241" s="174">
        <v>0</v>
      </c>
      <c r="R241" s="174">
        <v>0</v>
      </c>
      <c r="S241" s="215">
        <v>0</v>
      </c>
      <c r="T241" s="71">
        <f t="shared" si="146"/>
        <v>0</v>
      </c>
      <c r="U241" s="71">
        <f t="shared" si="147"/>
        <v>0</v>
      </c>
      <c r="V241" s="117">
        <v>0</v>
      </c>
      <c r="W241" s="117">
        <v>0</v>
      </c>
      <c r="X241" s="71">
        <f t="shared" si="148"/>
        <v>0</v>
      </c>
      <c r="Y241" s="71">
        <f t="shared" si="149"/>
        <v>0</v>
      </c>
      <c r="AA241" s="65"/>
      <c r="AC241" s="71">
        <f t="shared" si="150"/>
        <v>0</v>
      </c>
      <c r="AD241" s="39"/>
      <c r="AE241" s="7"/>
      <c r="AF241" s="15"/>
      <c r="AG241" s="71" t="b">
        <f t="shared" si="151"/>
        <v>1</v>
      </c>
      <c r="AI241" s="71">
        <f t="shared" si="152"/>
        <v>0</v>
      </c>
      <c r="AJ241" s="39"/>
      <c r="AK241" s="15"/>
      <c r="AL241" s="71" t="b">
        <f t="shared" si="153"/>
        <v>1</v>
      </c>
      <c r="AN241" s="65"/>
    </row>
    <row r="242" spans="2:40" ht="13.5" customHeight="1">
      <c r="B242" s="119"/>
      <c r="C242" s="159">
        <f t="shared" si="145"/>
        <v>2026091</v>
      </c>
      <c r="D242" s="23">
        <v>9</v>
      </c>
      <c r="E242" s="128">
        <v>0</v>
      </c>
      <c r="F242" s="126" t="e">
        <f>VLOOKUP(E242,'Códigos bancos'!$B$4:$C$29,2,0)</f>
        <v>#N/A</v>
      </c>
      <c r="G242" s="36">
        <v>1</v>
      </c>
      <c r="H242" s="126" t="str">
        <f>VLOOKUP(G242,'Códigos bancos'!$F$4:$G$14,2,0)</f>
        <v>Oficinas</v>
      </c>
      <c r="I242" s="130"/>
      <c r="J242" s="174">
        <v>0</v>
      </c>
      <c r="K242" s="174">
        <v>0</v>
      </c>
      <c r="L242" s="174">
        <v>0</v>
      </c>
      <c r="M242" s="174">
        <v>0</v>
      </c>
      <c r="N242" s="174">
        <v>0</v>
      </c>
      <c r="O242" s="174">
        <v>0</v>
      </c>
      <c r="P242" s="174">
        <v>0</v>
      </c>
      <c r="Q242" s="174">
        <v>0</v>
      </c>
      <c r="R242" s="174">
        <v>0</v>
      </c>
      <c r="S242" s="215">
        <v>0</v>
      </c>
      <c r="T242" s="71">
        <f t="shared" si="146"/>
        <v>0</v>
      </c>
      <c r="U242" s="71">
        <f t="shared" si="147"/>
        <v>0</v>
      </c>
      <c r="V242" s="117">
        <v>0</v>
      </c>
      <c r="W242" s="117">
        <v>0</v>
      </c>
      <c r="X242" s="71">
        <f t="shared" si="148"/>
        <v>0</v>
      </c>
      <c r="Y242" s="71">
        <f t="shared" si="149"/>
        <v>0</v>
      </c>
      <c r="AA242" s="65"/>
      <c r="AC242" s="71">
        <f t="shared" si="150"/>
        <v>0</v>
      </c>
      <c r="AD242" s="39"/>
      <c r="AE242" s="7"/>
      <c r="AF242" s="15"/>
      <c r="AG242" s="71" t="b">
        <f t="shared" si="151"/>
        <v>1</v>
      </c>
      <c r="AI242" s="71">
        <f t="shared" si="152"/>
        <v>0</v>
      </c>
      <c r="AJ242" s="39"/>
      <c r="AK242" s="15"/>
      <c r="AL242" s="71" t="b">
        <f t="shared" si="153"/>
        <v>1</v>
      </c>
      <c r="AN242" s="65"/>
    </row>
    <row r="243" spans="2:40" ht="13" customHeight="1">
      <c r="B243" s="119"/>
      <c r="C243" s="159">
        <f t="shared" si="145"/>
        <v>2026091</v>
      </c>
      <c r="D243" s="23">
        <v>9</v>
      </c>
      <c r="E243" s="128">
        <v>0</v>
      </c>
      <c r="F243" s="126" t="e">
        <f>VLOOKUP(E243,'Códigos bancos'!$B$4:$C$29,2,0)</f>
        <v>#N/A</v>
      </c>
      <c r="G243" s="36">
        <v>1</v>
      </c>
      <c r="H243" s="126" t="str">
        <f>VLOOKUP(G243,'Códigos bancos'!$F$4:$G$14,2,0)</f>
        <v>Oficinas</v>
      </c>
      <c r="I243" s="130"/>
      <c r="J243" s="174">
        <v>0</v>
      </c>
      <c r="K243" s="174">
        <v>0</v>
      </c>
      <c r="L243" s="174">
        <v>0</v>
      </c>
      <c r="M243" s="174">
        <v>0</v>
      </c>
      <c r="N243" s="174">
        <v>0</v>
      </c>
      <c r="O243" s="174">
        <v>0</v>
      </c>
      <c r="P243" s="174">
        <v>0</v>
      </c>
      <c r="Q243" s="174">
        <v>0</v>
      </c>
      <c r="R243" s="174">
        <v>0</v>
      </c>
      <c r="S243" s="215">
        <v>0</v>
      </c>
      <c r="T243" s="71">
        <f t="shared" si="146"/>
        <v>0</v>
      </c>
      <c r="U243" s="71">
        <f t="shared" si="147"/>
        <v>0</v>
      </c>
      <c r="V243" s="117">
        <v>0</v>
      </c>
      <c r="W243" s="117">
        <v>0</v>
      </c>
      <c r="X243" s="71">
        <f t="shared" si="148"/>
        <v>0</v>
      </c>
      <c r="Y243" s="71">
        <f t="shared" si="149"/>
        <v>0</v>
      </c>
      <c r="AA243" s="65"/>
      <c r="AC243" s="71">
        <f t="shared" si="150"/>
        <v>0</v>
      </c>
      <c r="AD243" s="39"/>
      <c r="AE243" s="7"/>
      <c r="AF243" s="15"/>
      <c r="AG243" s="71" t="b">
        <f t="shared" si="151"/>
        <v>1</v>
      </c>
      <c r="AI243" s="71">
        <f t="shared" si="152"/>
        <v>0</v>
      </c>
      <c r="AJ243" s="39"/>
      <c r="AK243" s="15">
        <v>0</v>
      </c>
      <c r="AL243" s="71" t="b">
        <f t="shared" si="153"/>
        <v>1</v>
      </c>
      <c r="AN243" s="65"/>
    </row>
    <row r="244" spans="2:40" ht="13" customHeight="1">
      <c r="B244" s="119"/>
      <c r="C244" s="159">
        <f t="shared" si="145"/>
        <v>2026091</v>
      </c>
      <c r="D244" s="23">
        <v>9</v>
      </c>
      <c r="E244" s="128">
        <v>0</v>
      </c>
      <c r="F244" s="126" t="e">
        <f>VLOOKUP(E244,'Códigos bancos'!$B$4:$C$29,2,0)</f>
        <v>#N/A</v>
      </c>
      <c r="G244" s="36">
        <v>1</v>
      </c>
      <c r="H244" s="126" t="str">
        <f>VLOOKUP(G244,'Códigos bancos'!$F$4:$G$14,2,0)</f>
        <v>Oficinas</v>
      </c>
      <c r="I244" s="130"/>
      <c r="J244" s="174">
        <v>0</v>
      </c>
      <c r="K244" s="174">
        <v>0</v>
      </c>
      <c r="L244" s="174">
        <v>0</v>
      </c>
      <c r="M244" s="174">
        <v>0</v>
      </c>
      <c r="N244" s="174">
        <v>0</v>
      </c>
      <c r="O244" s="174">
        <v>0</v>
      </c>
      <c r="P244" s="174">
        <v>0</v>
      </c>
      <c r="Q244" s="174">
        <v>0</v>
      </c>
      <c r="R244" s="174">
        <v>0</v>
      </c>
      <c r="S244" s="215">
        <v>0</v>
      </c>
      <c r="T244" s="71">
        <f t="shared" si="146"/>
        <v>0</v>
      </c>
      <c r="U244" s="71">
        <f t="shared" si="147"/>
        <v>0</v>
      </c>
      <c r="V244" s="117">
        <v>0</v>
      </c>
      <c r="W244" s="117">
        <v>0</v>
      </c>
      <c r="X244" s="71">
        <f t="shared" si="148"/>
        <v>0</v>
      </c>
      <c r="Y244" s="71">
        <f t="shared" si="149"/>
        <v>0</v>
      </c>
      <c r="AA244" s="65"/>
      <c r="AC244" s="71">
        <f t="shared" si="150"/>
        <v>0</v>
      </c>
      <c r="AD244" s="39"/>
      <c r="AE244" s="7"/>
      <c r="AF244" s="15"/>
      <c r="AG244" s="71" t="b">
        <f t="shared" si="151"/>
        <v>1</v>
      </c>
      <c r="AI244" s="71">
        <f t="shared" si="152"/>
        <v>0</v>
      </c>
      <c r="AJ244" s="39"/>
      <c r="AK244" s="15">
        <v>0</v>
      </c>
      <c r="AL244" s="71" t="b">
        <f t="shared" si="153"/>
        <v>1</v>
      </c>
      <c r="AN244" s="65"/>
    </row>
    <row r="245" spans="2:40" ht="13" customHeight="1">
      <c r="B245" s="119"/>
      <c r="C245" s="159">
        <f t="shared" si="145"/>
        <v>2026091</v>
      </c>
      <c r="D245" s="23">
        <v>9</v>
      </c>
      <c r="E245" s="128">
        <v>0</v>
      </c>
      <c r="F245" s="126" t="e">
        <f>VLOOKUP(E245,'Códigos bancos'!$B$4:$C$29,2,0)</f>
        <v>#N/A</v>
      </c>
      <c r="G245" s="36">
        <v>1</v>
      </c>
      <c r="H245" s="126" t="str">
        <f>VLOOKUP(G245,'Códigos bancos'!$F$4:$G$14,2,0)</f>
        <v>Oficinas</v>
      </c>
      <c r="I245" s="130"/>
      <c r="J245" s="174">
        <v>0</v>
      </c>
      <c r="K245" s="174">
        <v>0</v>
      </c>
      <c r="L245" s="174">
        <v>0</v>
      </c>
      <c r="M245" s="174">
        <v>0</v>
      </c>
      <c r="N245" s="174">
        <v>0</v>
      </c>
      <c r="O245" s="174">
        <v>0</v>
      </c>
      <c r="P245" s="174">
        <v>0</v>
      </c>
      <c r="Q245" s="174">
        <v>0</v>
      </c>
      <c r="R245" s="174">
        <v>0</v>
      </c>
      <c r="S245" s="215">
        <v>0</v>
      </c>
      <c r="T245" s="71">
        <f t="shared" si="146"/>
        <v>0</v>
      </c>
      <c r="U245" s="71">
        <f t="shared" si="147"/>
        <v>0</v>
      </c>
      <c r="V245" s="117">
        <v>0</v>
      </c>
      <c r="W245" s="117">
        <v>0</v>
      </c>
      <c r="X245" s="71">
        <f t="shared" si="148"/>
        <v>0</v>
      </c>
      <c r="Y245" s="71">
        <f t="shared" si="149"/>
        <v>0</v>
      </c>
      <c r="AA245" s="65"/>
      <c r="AC245" s="71">
        <f t="shared" si="150"/>
        <v>0</v>
      </c>
      <c r="AD245" s="39"/>
      <c r="AE245" s="7"/>
      <c r="AF245" s="15"/>
      <c r="AG245" s="71" t="b">
        <f t="shared" si="151"/>
        <v>1</v>
      </c>
      <c r="AI245" s="71">
        <f t="shared" si="152"/>
        <v>0</v>
      </c>
      <c r="AJ245" s="39"/>
      <c r="AK245" s="15"/>
      <c r="AL245" s="71" t="b">
        <f t="shared" si="153"/>
        <v>1</v>
      </c>
      <c r="AN245" s="65"/>
    </row>
    <row r="246" spans="2:40" ht="13" customHeight="1">
      <c r="B246" s="119"/>
      <c r="C246" s="159">
        <f t="shared" si="145"/>
        <v>2026091</v>
      </c>
      <c r="D246" s="23">
        <v>9</v>
      </c>
      <c r="E246" s="128">
        <v>0</v>
      </c>
      <c r="F246" s="126" t="e">
        <f>VLOOKUP(E246,'Códigos bancos'!$B$4:$C$29,2,0)</f>
        <v>#N/A</v>
      </c>
      <c r="G246" s="36">
        <v>1</v>
      </c>
      <c r="H246" s="126" t="str">
        <f>VLOOKUP(G246,'Códigos bancos'!$F$4:$G$14,2,0)</f>
        <v>Oficinas</v>
      </c>
      <c r="I246" s="130"/>
      <c r="J246" s="174">
        <v>0</v>
      </c>
      <c r="K246" s="174">
        <v>0</v>
      </c>
      <c r="L246" s="174">
        <v>0</v>
      </c>
      <c r="M246" s="174">
        <v>0</v>
      </c>
      <c r="N246" s="174">
        <v>0</v>
      </c>
      <c r="O246" s="174">
        <v>0</v>
      </c>
      <c r="P246" s="174">
        <v>0</v>
      </c>
      <c r="Q246" s="174">
        <v>0</v>
      </c>
      <c r="R246" s="174">
        <v>0</v>
      </c>
      <c r="S246" s="215">
        <v>0</v>
      </c>
      <c r="T246" s="71">
        <f t="shared" si="146"/>
        <v>0</v>
      </c>
      <c r="U246" s="71">
        <f t="shared" si="147"/>
        <v>0</v>
      </c>
      <c r="V246" s="117">
        <v>0</v>
      </c>
      <c r="W246" s="117">
        <v>0</v>
      </c>
      <c r="X246" s="71">
        <f t="shared" si="148"/>
        <v>0</v>
      </c>
      <c r="Y246" s="71">
        <f t="shared" si="149"/>
        <v>0</v>
      </c>
      <c r="AA246" s="65"/>
      <c r="AC246" s="71">
        <f t="shared" si="150"/>
        <v>0</v>
      </c>
      <c r="AD246" s="39"/>
      <c r="AE246" s="7"/>
      <c r="AF246" s="15"/>
      <c r="AG246" s="71" t="b">
        <f t="shared" si="151"/>
        <v>1</v>
      </c>
      <c r="AI246" s="71">
        <f t="shared" si="152"/>
        <v>0</v>
      </c>
      <c r="AJ246" s="39"/>
      <c r="AK246" s="15">
        <v>0</v>
      </c>
      <c r="AL246" s="71" t="b">
        <f t="shared" si="153"/>
        <v>1</v>
      </c>
      <c r="AN246" s="65"/>
    </row>
    <row r="247" spans="2:40" ht="13" customHeight="1">
      <c r="B247" s="119"/>
      <c r="C247" s="159">
        <f t="shared" si="145"/>
        <v>2026091</v>
      </c>
      <c r="D247" s="23">
        <v>9</v>
      </c>
      <c r="E247" s="128">
        <v>0</v>
      </c>
      <c r="F247" s="126" t="e">
        <f>VLOOKUP(E247,'Códigos bancos'!$B$4:$C$29,2,0)</f>
        <v>#N/A</v>
      </c>
      <c r="G247" s="36">
        <v>1</v>
      </c>
      <c r="H247" s="126" t="str">
        <f>VLOOKUP(G247,'Códigos bancos'!$F$4:$G$14,2,0)</f>
        <v>Oficinas</v>
      </c>
      <c r="I247" s="130"/>
      <c r="J247" s="174">
        <v>0</v>
      </c>
      <c r="K247" s="174">
        <v>0</v>
      </c>
      <c r="L247" s="174">
        <v>0</v>
      </c>
      <c r="M247" s="174">
        <v>0</v>
      </c>
      <c r="N247" s="174">
        <v>0</v>
      </c>
      <c r="O247" s="174">
        <v>0</v>
      </c>
      <c r="P247" s="174">
        <v>0</v>
      </c>
      <c r="Q247" s="174">
        <v>0</v>
      </c>
      <c r="R247" s="174">
        <v>0</v>
      </c>
      <c r="S247" s="215">
        <v>0</v>
      </c>
      <c r="T247" s="71">
        <f t="shared" si="146"/>
        <v>0</v>
      </c>
      <c r="U247" s="71">
        <f t="shared" si="147"/>
        <v>0</v>
      </c>
      <c r="V247" s="117">
        <v>0</v>
      </c>
      <c r="W247" s="117">
        <v>0</v>
      </c>
      <c r="X247" s="71">
        <f t="shared" si="148"/>
        <v>0</v>
      </c>
      <c r="Y247" s="71">
        <f t="shared" si="149"/>
        <v>0</v>
      </c>
      <c r="AA247" s="65"/>
      <c r="AC247" s="71">
        <f t="shared" si="150"/>
        <v>0</v>
      </c>
      <c r="AD247" s="39"/>
      <c r="AE247" s="7"/>
      <c r="AF247" s="15"/>
      <c r="AG247" s="71" t="b">
        <f t="shared" si="151"/>
        <v>1</v>
      </c>
      <c r="AI247" s="71">
        <f t="shared" si="152"/>
        <v>0</v>
      </c>
      <c r="AJ247" s="39"/>
      <c r="AK247" s="15"/>
      <c r="AL247" s="71" t="b">
        <f t="shared" si="153"/>
        <v>1</v>
      </c>
      <c r="AN247" s="65"/>
    </row>
    <row r="248" spans="2:40" ht="13" customHeight="1">
      <c r="B248" s="119"/>
      <c r="C248" s="159">
        <f t="shared" si="145"/>
        <v>2026091</v>
      </c>
      <c r="D248" s="23">
        <v>9</v>
      </c>
      <c r="E248" s="128">
        <v>0</v>
      </c>
      <c r="F248" s="126" t="e">
        <f>VLOOKUP(E248,'Códigos bancos'!$B$4:$C$29,2,0)</f>
        <v>#N/A</v>
      </c>
      <c r="G248" s="36">
        <v>1</v>
      </c>
      <c r="H248" s="126" t="str">
        <f>VLOOKUP(G248,'Códigos bancos'!$F$4:$G$14,2,0)</f>
        <v>Oficinas</v>
      </c>
      <c r="I248" s="130"/>
      <c r="J248" s="174">
        <v>0</v>
      </c>
      <c r="K248" s="174">
        <v>0</v>
      </c>
      <c r="L248" s="174">
        <v>0</v>
      </c>
      <c r="M248" s="174">
        <v>0</v>
      </c>
      <c r="N248" s="174">
        <v>0</v>
      </c>
      <c r="O248" s="174">
        <v>0</v>
      </c>
      <c r="P248" s="174">
        <v>0</v>
      </c>
      <c r="Q248" s="174">
        <v>0</v>
      </c>
      <c r="R248" s="174">
        <v>0</v>
      </c>
      <c r="S248" s="215">
        <v>0</v>
      </c>
      <c r="T248" s="71">
        <f t="shared" si="146"/>
        <v>0</v>
      </c>
      <c r="U248" s="71">
        <f t="shared" si="147"/>
        <v>0</v>
      </c>
      <c r="V248" s="117">
        <v>0</v>
      </c>
      <c r="W248" s="117">
        <v>0</v>
      </c>
      <c r="X248" s="71">
        <f t="shared" si="148"/>
        <v>0</v>
      </c>
      <c r="Y248" s="71">
        <f t="shared" si="149"/>
        <v>0</v>
      </c>
      <c r="AA248" s="65"/>
      <c r="AC248" s="71">
        <f t="shared" si="150"/>
        <v>0</v>
      </c>
      <c r="AD248" s="39"/>
      <c r="AE248" s="7"/>
      <c r="AF248" s="15"/>
      <c r="AG248" s="71" t="b">
        <f t="shared" si="151"/>
        <v>1</v>
      </c>
      <c r="AI248" s="71">
        <f t="shared" si="152"/>
        <v>0</v>
      </c>
      <c r="AJ248" s="39"/>
      <c r="AK248" s="15"/>
      <c r="AL248" s="71" t="b">
        <f t="shared" si="153"/>
        <v>1</v>
      </c>
      <c r="AN248" s="65"/>
    </row>
    <row r="249" spans="2:40" ht="12.75" customHeight="1">
      <c r="B249" s="119"/>
      <c r="C249" s="159">
        <f t="shared" si="145"/>
        <v>2026091</v>
      </c>
      <c r="D249" s="23">
        <v>9</v>
      </c>
      <c r="E249" s="128">
        <v>0</v>
      </c>
      <c r="F249" s="126" t="e">
        <f>VLOOKUP(E249,'Códigos bancos'!$B$4:$C$29,2,0)</f>
        <v>#N/A</v>
      </c>
      <c r="G249" s="36">
        <v>1</v>
      </c>
      <c r="H249" s="126" t="str">
        <f>VLOOKUP(G249,'Códigos bancos'!$F$4:$G$14,2,0)</f>
        <v>Oficinas</v>
      </c>
      <c r="I249" s="130"/>
      <c r="J249" s="174">
        <v>0</v>
      </c>
      <c r="K249" s="174">
        <v>0</v>
      </c>
      <c r="L249" s="174">
        <v>0</v>
      </c>
      <c r="M249" s="174">
        <v>0</v>
      </c>
      <c r="N249" s="174">
        <v>0</v>
      </c>
      <c r="O249" s="174">
        <v>0</v>
      </c>
      <c r="P249" s="174">
        <v>0</v>
      </c>
      <c r="Q249" s="174">
        <v>0</v>
      </c>
      <c r="R249" s="174">
        <v>0</v>
      </c>
      <c r="S249" s="215">
        <v>0</v>
      </c>
      <c r="T249" s="71">
        <f t="shared" si="146"/>
        <v>0</v>
      </c>
      <c r="U249" s="71">
        <f t="shared" si="147"/>
        <v>0</v>
      </c>
      <c r="V249" s="117">
        <v>0</v>
      </c>
      <c r="W249" s="117">
        <v>0</v>
      </c>
      <c r="X249" s="71">
        <f t="shared" si="148"/>
        <v>0</v>
      </c>
      <c r="Y249" s="71">
        <f t="shared" si="149"/>
        <v>0</v>
      </c>
      <c r="AA249" s="65"/>
      <c r="AC249" s="71">
        <f t="shared" si="150"/>
        <v>0</v>
      </c>
      <c r="AD249" s="39"/>
      <c r="AE249" s="7"/>
      <c r="AF249" s="15"/>
      <c r="AG249" s="71" t="b">
        <f t="shared" si="151"/>
        <v>1</v>
      </c>
      <c r="AI249" s="71">
        <f t="shared" si="152"/>
        <v>0</v>
      </c>
      <c r="AJ249" s="39"/>
      <c r="AK249" s="15">
        <v>0</v>
      </c>
      <c r="AL249" s="71" t="b">
        <f t="shared" si="153"/>
        <v>1</v>
      </c>
      <c r="AN249" s="65"/>
    </row>
    <row r="250" spans="2:40" ht="13" customHeight="1">
      <c r="B250" s="119"/>
      <c r="C250" s="159">
        <f t="shared" si="145"/>
        <v>2026091</v>
      </c>
      <c r="D250" s="23">
        <v>9</v>
      </c>
      <c r="E250" s="128">
        <v>0</v>
      </c>
      <c r="F250" s="126" t="e">
        <f>VLOOKUP(E250,'Códigos bancos'!$B$4:$C$29,2,0)</f>
        <v>#N/A</v>
      </c>
      <c r="G250" s="36">
        <v>1</v>
      </c>
      <c r="H250" s="126" t="str">
        <f>VLOOKUP(G250,'Códigos bancos'!$F$4:$G$14,2,0)</f>
        <v>Oficinas</v>
      </c>
      <c r="I250" s="130"/>
      <c r="J250" s="174">
        <v>0</v>
      </c>
      <c r="K250" s="174">
        <v>0</v>
      </c>
      <c r="L250" s="174">
        <v>0</v>
      </c>
      <c r="M250" s="174">
        <v>0</v>
      </c>
      <c r="N250" s="174">
        <v>0</v>
      </c>
      <c r="O250" s="174">
        <v>0</v>
      </c>
      <c r="P250" s="174">
        <v>0</v>
      </c>
      <c r="Q250" s="174">
        <v>0</v>
      </c>
      <c r="R250" s="174">
        <v>0</v>
      </c>
      <c r="S250" s="215">
        <v>0</v>
      </c>
      <c r="T250" s="71">
        <f t="shared" si="146"/>
        <v>0</v>
      </c>
      <c r="U250" s="71">
        <f t="shared" si="147"/>
        <v>0</v>
      </c>
      <c r="V250" s="117">
        <v>0</v>
      </c>
      <c r="W250" s="117">
        <v>0</v>
      </c>
      <c r="X250" s="71">
        <f t="shared" si="148"/>
        <v>0</v>
      </c>
      <c r="Y250" s="71">
        <f t="shared" si="149"/>
        <v>0</v>
      </c>
      <c r="AA250" s="65"/>
      <c r="AC250" s="71">
        <f t="shared" si="150"/>
        <v>0</v>
      </c>
      <c r="AD250" s="39"/>
      <c r="AE250" s="7"/>
      <c r="AF250" s="15"/>
      <c r="AG250" s="71" t="b">
        <f t="shared" si="151"/>
        <v>1</v>
      </c>
      <c r="AI250" s="71">
        <f t="shared" si="152"/>
        <v>0</v>
      </c>
      <c r="AJ250" s="39"/>
      <c r="AK250" s="15"/>
      <c r="AL250" s="71" t="b">
        <f t="shared" si="153"/>
        <v>1</v>
      </c>
      <c r="AN250" s="65"/>
    </row>
    <row r="251" spans="2:40" ht="12.75" customHeight="1">
      <c r="B251" s="119"/>
      <c r="C251" s="159">
        <f t="shared" si="145"/>
        <v>2026091</v>
      </c>
      <c r="D251" s="23">
        <v>9</v>
      </c>
      <c r="E251" s="128">
        <v>0</v>
      </c>
      <c r="F251" s="126" t="e">
        <f>VLOOKUP(E251,'Códigos bancos'!$B$4:$C$29,2,0)</f>
        <v>#N/A</v>
      </c>
      <c r="G251" s="36">
        <v>1</v>
      </c>
      <c r="H251" s="126" t="str">
        <f>VLOOKUP(G251,'Códigos bancos'!$F$4:$G$14,2,0)</f>
        <v>Oficinas</v>
      </c>
      <c r="I251" s="130"/>
      <c r="J251" s="174">
        <v>0</v>
      </c>
      <c r="K251" s="174">
        <v>0</v>
      </c>
      <c r="L251" s="174">
        <v>0</v>
      </c>
      <c r="M251" s="174">
        <v>0</v>
      </c>
      <c r="N251" s="174">
        <v>0</v>
      </c>
      <c r="O251" s="174">
        <v>0</v>
      </c>
      <c r="P251" s="174">
        <v>0</v>
      </c>
      <c r="Q251" s="174">
        <v>0</v>
      </c>
      <c r="R251" s="174">
        <v>0</v>
      </c>
      <c r="S251" s="215">
        <v>0</v>
      </c>
      <c r="T251" s="71">
        <f t="shared" si="146"/>
        <v>0</v>
      </c>
      <c r="U251" s="71">
        <f t="shared" si="147"/>
        <v>0</v>
      </c>
      <c r="V251" s="117">
        <v>0</v>
      </c>
      <c r="W251" s="117">
        <v>0</v>
      </c>
      <c r="X251" s="71">
        <f t="shared" si="148"/>
        <v>0</v>
      </c>
      <c r="Y251" s="71">
        <f t="shared" si="149"/>
        <v>0</v>
      </c>
      <c r="AA251" s="65"/>
      <c r="AC251" s="71">
        <f t="shared" si="150"/>
        <v>0</v>
      </c>
      <c r="AD251" s="39"/>
      <c r="AE251" s="7"/>
      <c r="AF251" s="15"/>
      <c r="AG251" s="71" t="b">
        <f t="shared" si="151"/>
        <v>1</v>
      </c>
      <c r="AI251" s="71">
        <f t="shared" si="152"/>
        <v>0</v>
      </c>
      <c r="AJ251" s="39"/>
      <c r="AK251" s="15"/>
      <c r="AL251" s="71" t="b">
        <f t="shared" si="153"/>
        <v>1</v>
      </c>
      <c r="AN251" s="65"/>
    </row>
    <row r="252" spans="2:40" ht="13" customHeight="1">
      <c r="B252" s="119"/>
      <c r="C252" s="159">
        <f t="shared" si="145"/>
        <v>2026091</v>
      </c>
      <c r="D252" s="23">
        <v>9</v>
      </c>
      <c r="E252" s="128">
        <v>0</v>
      </c>
      <c r="F252" s="126" t="e">
        <f>VLOOKUP(E252,'Códigos bancos'!$B$4:$C$29,2,0)</f>
        <v>#N/A</v>
      </c>
      <c r="G252" s="36">
        <v>1</v>
      </c>
      <c r="H252" s="126" t="str">
        <f>VLOOKUP(G252,'Códigos bancos'!$F$4:$G$14,2,0)</f>
        <v>Oficinas</v>
      </c>
      <c r="I252" s="130"/>
      <c r="J252" s="174">
        <v>0</v>
      </c>
      <c r="K252" s="174">
        <v>0</v>
      </c>
      <c r="L252" s="174">
        <v>0</v>
      </c>
      <c r="M252" s="174">
        <v>0</v>
      </c>
      <c r="N252" s="174">
        <v>0</v>
      </c>
      <c r="O252" s="174">
        <v>0</v>
      </c>
      <c r="P252" s="174">
        <v>0</v>
      </c>
      <c r="Q252" s="174">
        <v>0</v>
      </c>
      <c r="R252" s="174">
        <v>0</v>
      </c>
      <c r="S252" s="215">
        <v>0</v>
      </c>
      <c r="T252" s="71">
        <f t="shared" si="146"/>
        <v>0</v>
      </c>
      <c r="U252" s="71">
        <f t="shared" si="147"/>
        <v>0</v>
      </c>
      <c r="V252" s="117">
        <v>0</v>
      </c>
      <c r="W252" s="117">
        <v>0</v>
      </c>
      <c r="X252" s="71">
        <f t="shared" si="148"/>
        <v>0</v>
      </c>
      <c r="Y252" s="71">
        <f t="shared" si="149"/>
        <v>0</v>
      </c>
      <c r="AA252" s="65"/>
      <c r="AC252" s="71">
        <f t="shared" si="150"/>
        <v>0</v>
      </c>
      <c r="AD252" s="39"/>
      <c r="AE252" s="7"/>
      <c r="AF252" s="15"/>
      <c r="AG252" s="71" t="b">
        <f t="shared" si="151"/>
        <v>1</v>
      </c>
      <c r="AI252" s="71">
        <f t="shared" si="152"/>
        <v>0</v>
      </c>
      <c r="AJ252" s="39"/>
      <c r="AK252" s="15"/>
      <c r="AL252" s="71" t="b">
        <f t="shared" si="153"/>
        <v>1</v>
      </c>
      <c r="AN252" s="65"/>
    </row>
    <row r="253" spans="2:40" ht="13" customHeight="1">
      <c r="B253" s="119"/>
      <c r="C253" s="159">
        <f t="shared" si="145"/>
        <v>2026091</v>
      </c>
      <c r="D253" s="23">
        <v>9</v>
      </c>
      <c r="E253" s="128">
        <v>0</v>
      </c>
      <c r="F253" s="126" t="e">
        <f>VLOOKUP(E253,'Códigos bancos'!$B$4:$C$29,2,0)</f>
        <v>#N/A</v>
      </c>
      <c r="G253" s="36">
        <v>1</v>
      </c>
      <c r="H253" s="126" t="str">
        <f>VLOOKUP(G253,'Códigos bancos'!$F$4:$G$14,2,0)</f>
        <v>Oficinas</v>
      </c>
      <c r="I253" s="130"/>
      <c r="J253" s="174">
        <v>0</v>
      </c>
      <c r="K253" s="174">
        <v>0</v>
      </c>
      <c r="L253" s="174">
        <v>0</v>
      </c>
      <c r="M253" s="174">
        <v>0</v>
      </c>
      <c r="N253" s="174">
        <v>0</v>
      </c>
      <c r="O253" s="174">
        <v>0</v>
      </c>
      <c r="P253" s="174">
        <v>0</v>
      </c>
      <c r="Q253" s="174">
        <v>0</v>
      </c>
      <c r="R253" s="174">
        <v>0</v>
      </c>
      <c r="S253" s="215">
        <v>0</v>
      </c>
      <c r="T253" s="71">
        <f t="shared" si="146"/>
        <v>0</v>
      </c>
      <c r="U253" s="71">
        <f t="shared" si="147"/>
        <v>0</v>
      </c>
      <c r="V253" s="117">
        <v>0</v>
      </c>
      <c r="W253" s="117">
        <v>0</v>
      </c>
      <c r="X253" s="71">
        <f t="shared" si="148"/>
        <v>0</v>
      </c>
      <c r="Y253" s="71">
        <f t="shared" si="149"/>
        <v>0</v>
      </c>
      <c r="AA253" s="65"/>
      <c r="AC253" s="71">
        <f t="shared" si="150"/>
        <v>0</v>
      </c>
      <c r="AD253" s="39"/>
      <c r="AE253" s="7"/>
      <c r="AF253" s="15"/>
      <c r="AG253" s="71" t="b">
        <f t="shared" si="151"/>
        <v>1</v>
      </c>
      <c r="AI253" s="71">
        <f t="shared" si="152"/>
        <v>0</v>
      </c>
      <c r="AJ253" s="39"/>
      <c r="AK253" s="15">
        <v>0</v>
      </c>
      <c r="AL253" s="71" t="b">
        <f t="shared" si="153"/>
        <v>1</v>
      </c>
      <c r="AN253" s="65"/>
    </row>
    <row r="254" spans="2:40" ht="13" customHeight="1">
      <c r="B254" s="119"/>
      <c r="C254" s="159">
        <f t="shared" si="145"/>
        <v>2026091</v>
      </c>
      <c r="D254" s="23">
        <v>9</v>
      </c>
      <c r="E254" s="128">
        <v>0</v>
      </c>
      <c r="F254" s="126" t="e">
        <f>VLOOKUP(E254,'Códigos bancos'!$B$4:$C$29,2,0)</f>
        <v>#N/A</v>
      </c>
      <c r="G254" s="36">
        <v>1</v>
      </c>
      <c r="H254" s="126" t="str">
        <f>VLOOKUP(G254,'Códigos bancos'!$F$4:$G$14,2,0)</f>
        <v>Oficinas</v>
      </c>
      <c r="I254" s="130"/>
      <c r="J254" s="174">
        <v>0</v>
      </c>
      <c r="K254" s="174">
        <v>0</v>
      </c>
      <c r="L254" s="174">
        <v>0</v>
      </c>
      <c r="M254" s="174">
        <v>0</v>
      </c>
      <c r="N254" s="174">
        <v>0</v>
      </c>
      <c r="O254" s="174">
        <v>0</v>
      </c>
      <c r="P254" s="174">
        <v>0</v>
      </c>
      <c r="Q254" s="174">
        <v>0</v>
      </c>
      <c r="R254" s="174">
        <v>0</v>
      </c>
      <c r="S254" s="215">
        <v>0</v>
      </c>
      <c r="T254" s="71">
        <f t="shared" si="146"/>
        <v>0</v>
      </c>
      <c r="U254" s="71">
        <f t="shared" si="147"/>
        <v>0</v>
      </c>
      <c r="V254" s="117">
        <v>0</v>
      </c>
      <c r="W254" s="117">
        <v>0</v>
      </c>
      <c r="X254" s="71">
        <f t="shared" si="148"/>
        <v>0</v>
      </c>
      <c r="Y254" s="71">
        <f t="shared" si="149"/>
        <v>0</v>
      </c>
      <c r="AA254" s="65"/>
      <c r="AC254" s="71">
        <f t="shared" si="150"/>
        <v>0</v>
      </c>
      <c r="AD254" s="39"/>
      <c r="AE254" s="7"/>
      <c r="AF254" s="15"/>
      <c r="AG254" s="71" t="b">
        <f t="shared" si="151"/>
        <v>1</v>
      </c>
      <c r="AI254" s="71">
        <f t="shared" si="152"/>
        <v>0</v>
      </c>
      <c r="AJ254" s="39"/>
      <c r="AK254" s="15"/>
      <c r="AL254" s="71" t="b">
        <f t="shared" si="153"/>
        <v>1</v>
      </c>
      <c r="AN254" s="65"/>
    </row>
    <row r="255" spans="2:40" ht="13" customHeight="1">
      <c r="B255" s="119"/>
      <c r="C255" s="159">
        <f t="shared" si="145"/>
        <v>2026091</v>
      </c>
      <c r="D255" s="23">
        <v>9</v>
      </c>
      <c r="E255" s="128">
        <v>0</v>
      </c>
      <c r="F255" s="126" t="e">
        <f>VLOOKUP(E255,'Códigos bancos'!$B$4:$C$29,2,0)</f>
        <v>#N/A</v>
      </c>
      <c r="G255" s="36">
        <v>1</v>
      </c>
      <c r="H255" s="126" t="str">
        <f>VLOOKUP(G255,'Códigos bancos'!$F$4:$G$14,2,0)</f>
        <v>Oficinas</v>
      </c>
      <c r="I255" s="130"/>
      <c r="J255" s="174">
        <v>0</v>
      </c>
      <c r="K255" s="174">
        <v>0</v>
      </c>
      <c r="L255" s="174">
        <v>0</v>
      </c>
      <c r="M255" s="174">
        <v>0</v>
      </c>
      <c r="N255" s="174">
        <v>0</v>
      </c>
      <c r="O255" s="174">
        <v>0</v>
      </c>
      <c r="P255" s="174">
        <v>0</v>
      </c>
      <c r="Q255" s="174">
        <v>0</v>
      </c>
      <c r="R255" s="174">
        <v>0</v>
      </c>
      <c r="S255" s="215">
        <v>0</v>
      </c>
      <c r="T255" s="71">
        <f t="shared" si="146"/>
        <v>0</v>
      </c>
      <c r="U255" s="71">
        <f t="shared" si="147"/>
        <v>0</v>
      </c>
      <c r="V255" s="117">
        <v>0</v>
      </c>
      <c r="W255" s="117">
        <v>0</v>
      </c>
      <c r="X255" s="71">
        <f t="shared" si="148"/>
        <v>0</v>
      </c>
      <c r="Y255" s="71">
        <f t="shared" si="149"/>
        <v>0</v>
      </c>
      <c r="AA255" s="65"/>
      <c r="AC255" s="71">
        <f t="shared" si="150"/>
        <v>0</v>
      </c>
      <c r="AD255" s="39"/>
      <c r="AE255" s="7"/>
      <c r="AF255" s="15"/>
      <c r="AG255" s="71" t="b">
        <f t="shared" si="151"/>
        <v>1</v>
      </c>
      <c r="AI255" s="71">
        <f t="shared" si="152"/>
        <v>0</v>
      </c>
      <c r="AJ255" s="39"/>
      <c r="AK255" s="15">
        <v>0</v>
      </c>
      <c r="AL255" s="71" t="b">
        <f t="shared" si="153"/>
        <v>1</v>
      </c>
      <c r="AN255" s="65"/>
    </row>
    <row r="256" spans="2:40" ht="13" customHeight="1">
      <c r="B256" s="119"/>
      <c r="C256" s="159">
        <f t="shared" ref="C256" si="154">IF(D256&lt;=15,$C$1,$C$2)</f>
        <v>2026091</v>
      </c>
      <c r="D256" s="23">
        <v>9</v>
      </c>
      <c r="E256" s="128">
        <v>0</v>
      </c>
      <c r="F256" s="126" t="e">
        <f>VLOOKUP(E256,'Códigos bancos'!$B$4:$C$29,2,0)</f>
        <v>#N/A</v>
      </c>
      <c r="G256" s="36">
        <v>1</v>
      </c>
      <c r="H256" s="126" t="str">
        <f>VLOOKUP(G256,'Códigos bancos'!$F$4:$G$14,2,0)</f>
        <v>Oficinas</v>
      </c>
      <c r="I256" s="130"/>
      <c r="J256" s="174">
        <v>0</v>
      </c>
      <c r="K256" s="174">
        <v>0</v>
      </c>
      <c r="L256" s="174">
        <v>0</v>
      </c>
      <c r="M256" s="174">
        <v>0</v>
      </c>
      <c r="N256" s="174">
        <v>0</v>
      </c>
      <c r="O256" s="174">
        <v>0</v>
      </c>
      <c r="P256" s="174">
        <v>0</v>
      </c>
      <c r="Q256" s="174">
        <v>0</v>
      </c>
      <c r="R256" s="174">
        <v>0</v>
      </c>
      <c r="S256" s="215">
        <v>0</v>
      </c>
      <c r="T256" s="71">
        <f t="shared" ref="T256" si="155">J256+L256+N256+P256+R256</f>
        <v>0</v>
      </c>
      <c r="U256" s="71">
        <f t="shared" ref="U256" si="156">K256+M256+O256+Q256+S256</f>
        <v>0</v>
      </c>
      <c r="V256" s="117">
        <v>0</v>
      </c>
      <c r="W256" s="117">
        <v>0</v>
      </c>
      <c r="X256" s="71">
        <f t="shared" ref="X256" si="157">V256-T256</f>
        <v>0</v>
      </c>
      <c r="Y256" s="71">
        <f t="shared" ref="Y256" si="158">W256-U256</f>
        <v>0</v>
      </c>
      <c r="AA256" s="65"/>
      <c r="AC256" s="71">
        <f t="shared" ref="AC256" si="159">X256</f>
        <v>0</v>
      </c>
      <c r="AD256" s="39"/>
      <c r="AE256" s="7"/>
      <c r="AF256" s="15"/>
      <c r="AG256" s="71" t="b">
        <f t="shared" ref="AG256" si="160">AC256=(AD256+AE256+AF256)</f>
        <v>1</v>
      </c>
      <c r="AI256" s="71">
        <f t="shared" ref="AI256" si="161">Y256</f>
        <v>0</v>
      </c>
      <c r="AJ256" s="39"/>
      <c r="AK256" s="15">
        <v>0</v>
      </c>
      <c r="AL256" s="71" t="b">
        <f t="shared" ref="AL256" si="162">AI256=(AJ256+AK256)</f>
        <v>1</v>
      </c>
      <c r="AN256" s="65"/>
    </row>
    <row r="257" spans="2:40 16128:16147" ht="13" customHeight="1">
      <c r="B257" s="119"/>
      <c r="C257" s="159">
        <f t="shared" si="145"/>
        <v>2026091</v>
      </c>
      <c r="D257" s="23">
        <v>9</v>
      </c>
      <c r="E257" s="128">
        <v>0</v>
      </c>
      <c r="F257" s="126" t="e">
        <f>VLOOKUP(E257,'Códigos bancos'!$B$4:$C$29,2,0)</f>
        <v>#N/A</v>
      </c>
      <c r="G257" s="36">
        <v>1</v>
      </c>
      <c r="H257" s="126" t="str">
        <f>VLOOKUP(G257,'Códigos bancos'!$F$4:$G$14,2,0)</f>
        <v>Oficinas</v>
      </c>
      <c r="I257" s="130"/>
      <c r="J257" s="174">
        <v>0</v>
      </c>
      <c r="K257" s="174">
        <v>0</v>
      </c>
      <c r="L257" s="174">
        <v>0</v>
      </c>
      <c r="M257" s="174">
        <v>0</v>
      </c>
      <c r="N257" s="174">
        <v>0</v>
      </c>
      <c r="O257" s="174">
        <v>0</v>
      </c>
      <c r="P257" s="174">
        <v>0</v>
      </c>
      <c r="Q257" s="174">
        <v>0</v>
      </c>
      <c r="R257" s="174">
        <v>0</v>
      </c>
      <c r="S257" s="215">
        <v>0</v>
      </c>
      <c r="T257" s="71">
        <f t="shared" si="146"/>
        <v>0</v>
      </c>
      <c r="U257" s="71">
        <f t="shared" si="147"/>
        <v>0</v>
      </c>
      <c r="V257" s="117">
        <v>0</v>
      </c>
      <c r="W257" s="117">
        <v>0</v>
      </c>
      <c r="X257" s="71">
        <f t="shared" si="148"/>
        <v>0</v>
      </c>
      <c r="Y257" s="71">
        <f t="shared" si="149"/>
        <v>0</v>
      </c>
      <c r="AA257" s="65"/>
      <c r="AC257" s="71">
        <f t="shared" si="150"/>
        <v>0</v>
      </c>
      <c r="AD257" s="39"/>
      <c r="AE257" s="7"/>
      <c r="AF257" s="15"/>
      <c r="AG257" s="71" t="b">
        <f t="shared" si="151"/>
        <v>1</v>
      </c>
      <c r="AI257" s="71">
        <f t="shared" si="152"/>
        <v>0</v>
      </c>
      <c r="AJ257" s="39"/>
      <c r="AK257" s="15"/>
      <c r="AL257" s="71" t="b">
        <f t="shared" si="153"/>
        <v>1</v>
      </c>
      <c r="AN257" s="65"/>
    </row>
    <row r="258" spans="2:40 16128:16147" ht="13" customHeight="1">
      <c r="B258" s="119"/>
      <c r="C258" s="23">
        <f t="shared" si="145"/>
        <v>2026091</v>
      </c>
      <c r="D258" s="23">
        <v>9</v>
      </c>
      <c r="E258" s="128">
        <v>0</v>
      </c>
      <c r="F258" s="126" t="e">
        <f>VLOOKUP(E258,'Códigos bancos'!$B$4:$C$29,2,0)</f>
        <v>#N/A</v>
      </c>
      <c r="G258" s="36">
        <v>1</v>
      </c>
      <c r="H258" s="126" t="str">
        <f>VLOOKUP(G258,'Códigos bancos'!$F$4:$G$14,2,0)</f>
        <v>Oficinas</v>
      </c>
      <c r="I258" s="130"/>
      <c r="J258" s="174">
        <v>0</v>
      </c>
      <c r="K258" s="174">
        <v>0</v>
      </c>
      <c r="L258" s="174">
        <v>0</v>
      </c>
      <c r="M258" s="174">
        <v>0</v>
      </c>
      <c r="N258" s="174">
        <v>0</v>
      </c>
      <c r="O258" s="174">
        <v>0</v>
      </c>
      <c r="P258" s="174">
        <v>0</v>
      </c>
      <c r="Q258" s="174">
        <v>0</v>
      </c>
      <c r="R258" s="174">
        <v>0</v>
      </c>
      <c r="S258" s="215">
        <v>0</v>
      </c>
      <c r="T258" s="71">
        <f t="shared" si="146"/>
        <v>0</v>
      </c>
      <c r="U258" s="71">
        <f t="shared" si="147"/>
        <v>0</v>
      </c>
      <c r="V258" s="117">
        <v>0</v>
      </c>
      <c r="W258" s="117">
        <v>0</v>
      </c>
      <c r="X258" s="71">
        <f t="shared" si="148"/>
        <v>0</v>
      </c>
      <c r="Y258" s="71">
        <f t="shared" si="149"/>
        <v>0</v>
      </c>
      <c r="AA258" s="65"/>
      <c r="AC258" s="71">
        <f t="shared" si="150"/>
        <v>0</v>
      </c>
      <c r="AD258" s="39"/>
      <c r="AE258" s="7"/>
      <c r="AF258" s="15"/>
      <c r="AG258" s="71" t="b">
        <f t="shared" si="151"/>
        <v>1</v>
      </c>
      <c r="AI258" s="71">
        <f t="shared" si="152"/>
        <v>0</v>
      </c>
      <c r="AJ258" s="39"/>
      <c r="AK258" s="15"/>
      <c r="AL258" s="71" t="b">
        <f t="shared" si="153"/>
        <v>1</v>
      </c>
      <c r="AN258" s="65"/>
    </row>
    <row r="259" spans="2:40 16128:16147" ht="13" customHeight="1">
      <c r="B259" s="119"/>
      <c r="C259" s="23">
        <f t="shared" si="145"/>
        <v>2026091</v>
      </c>
      <c r="D259" s="23">
        <v>9</v>
      </c>
      <c r="E259" s="128">
        <v>0</v>
      </c>
      <c r="F259" s="126" t="e">
        <f>VLOOKUP(E259,'Códigos bancos'!$B$4:$C$29,2,0)</f>
        <v>#N/A</v>
      </c>
      <c r="G259" s="36">
        <v>1</v>
      </c>
      <c r="H259" s="126" t="str">
        <f>VLOOKUP(G259,'Códigos bancos'!$F$4:$G$14,2,0)</f>
        <v>Oficinas</v>
      </c>
      <c r="I259" s="130"/>
      <c r="J259" s="174">
        <v>0</v>
      </c>
      <c r="K259" s="174">
        <v>0</v>
      </c>
      <c r="L259" s="174">
        <v>0</v>
      </c>
      <c r="M259" s="174">
        <v>0</v>
      </c>
      <c r="N259" s="174">
        <v>0</v>
      </c>
      <c r="O259" s="174">
        <v>0</v>
      </c>
      <c r="P259" s="174">
        <v>0</v>
      </c>
      <c r="Q259" s="174">
        <v>0</v>
      </c>
      <c r="R259" s="174">
        <v>0</v>
      </c>
      <c r="S259" s="215">
        <v>0</v>
      </c>
      <c r="T259" s="71">
        <f t="shared" si="146"/>
        <v>0</v>
      </c>
      <c r="U259" s="71">
        <f t="shared" si="147"/>
        <v>0</v>
      </c>
      <c r="V259" s="117">
        <v>0</v>
      </c>
      <c r="W259" s="117">
        <v>0</v>
      </c>
      <c r="X259" s="71">
        <f t="shared" si="148"/>
        <v>0</v>
      </c>
      <c r="Y259" s="71">
        <f t="shared" si="149"/>
        <v>0</v>
      </c>
      <c r="AA259" s="65"/>
      <c r="AC259" s="71">
        <f t="shared" si="150"/>
        <v>0</v>
      </c>
      <c r="AD259" s="39"/>
      <c r="AE259" s="7"/>
      <c r="AF259" s="15"/>
      <c r="AG259" s="71" t="b">
        <f t="shared" si="151"/>
        <v>1</v>
      </c>
      <c r="AI259" s="71"/>
      <c r="AJ259" s="39"/>
      <c r="AK259" s="15"/>
      <c r="AL259" s="71" t="b">
        <f t="shared" si="153"/>
        <v>1</v>
      </c>
      <c r="AN259" s="65"/>
    </row>
    <row r="260" spans="2:40 16128:16147" ht="13" customHeight="1">
      <c r="B260" s="119"/>
      <c r="C260" s="23">
        <f t="shared" si="145"/>
        <v>2026091</v>
      </c>
      <c r="D260" s="23">
        <v>9</v>
      </c>
      <c r="E260" s="128">
        <v>0</v>
      </c>
      <c r="F260" s="126" t="e">
        <f>VLOOKUP(E260,'Códigos bancos'!$B$4:$C$29,2,0)</f>
        <v>#N/A</v>
      </c>
      <c r="G260" s="36">
        <v>1</v>
      </c>
      <c r="H260" s="126" t="str">
        <f>VLOOKUP(G260,'Códigos bancos'!$F$4:$G$14,2,0)</f>
        <v>Oficinas</v>
      </c>
      <c r="I260" s="130"/>
      <c r="J260" s="174">
        <v>0</v>
      </c>
      <c r="K260" s="174">
        <v>0</v>
      </c>
      <c r="L260" s="174">
        <v>0</v>
      </c>
      <c r="M260" s="174">
        <v>0</v>
      </c>
      <c r="N260" s="174">
        <v>0</v>
      </c>
      <c r="O260" s="174">
        <v>0</v>
      </c>
      <c r="P260" s="174">
        <v>0</v>
      </c>
      <c r="Q260" s="174">
        <v>0</v>
      </c>
      <c r="R260" s="174">
        <v>0</v>
      </c>
      <c r="S260" s="215">
        <v>0</v>
      </c>
      <c r="T260" s="71">
        <f t="shared" si="146"/>
        <v>0</v>
      </c>
      <c r="U260" s="71">
        <f t="shared" si="147"/>
        <v>0</v>
      </c>
      <c r="V260" s="117">
        <v>0</v>
      </c>
      <c r="W260" s="117">
        <v>0</v>
      </c>
      <c r="X260" s="71">
        <f t="shared" si="148"/>
        <v>0</v>
      </c>
      <c r="Y260" s="71">
        <f t="shared" si="149"/>
        <v>0</v>
      </c>
      <c r="AA260" s="65"/>
      <c r="AC260" s="71">
        <f t="shared" si="150"/>
        <v>0</v>
      </c>
      <c r="AD260" s="39"/>
      <c r="AE260" s="7"/>
      <c r="AF260" s="15"/>
      <c r="AG260" s="71" t="b">
        <f t="shared" si="151"/>
        <v>1</v>
      </c>
      <c r="AI260" s="71">
        <f>Y260</f>
        <v>0</v>
      </c>
      <c r="AJ260" s="39"/>
      <c r="AK260" s="15"/>
      <c r="AL260" s="71" t="b">
        <f t="shared" si="153"/>
        <v>1</v>
      </c>
      <c r="AN260" s="65"/>
    </row>
    <row r="261" spans="2:40 16128:16147" ht="13" customHeight="1" thickBot="1">
      <c r="B261" s="119"/>
      <c r="C261" s="159">
        <f t="shared" si="145"/>
        <v>2026091</v>
      </c>
      <c r="D261" s="23">
        <v>9</v>
      </c>
      <c r="E261" s="128">
        <v>0</v>
      </c>
      <c r="F261" s="126" t="e">
        <f>VLOOKUP(E261,'Códigos bancos'!$B$4:$C$29,2,0)</f>
        <v>#N/A</v>
      </c>
      <c r="G261" s="36">
        <v>1</v>
      </c>
      <c r="H261" s="126" t="str">
        <f>VLOOKUP(G261,'Códigos bancos'!$F$4:$G$14,2,0)</f>
        <v>Oficinas</v>
      </c>
      <c r="I261" s="130"/>
      <c r="J261" s="174">
        <v>0</v>
      </c>
      <c r="K261" s="174">
        <v>0</v>
      </c>
      <c r="L261" s="174">
        <v>0</v>
      </c>
      <c r="M261" s="174">
        <v>0</v>
      </c>
      <c r="N261" s="174">
        <v>0</v>
      </c>
      <c r="O261" s="174">
        <v>0</v>
      </c>
      <c r="P261" s="174">
        <v>0</v>
      </c>
      <c r="Q261" s="174">
        <v>0</v>
      </c>
      <c r="R261" s="174">
        <v>0</v>
      </c>
      <c r="S261" s="215">
        <v>0</v>
      </c>
      <c r="T261" s="71">
        <f t="shared" si="146"/>
        <v>0</v>
      </c>
      <c r="U261" s="71">
        <f t="shared" si="147"/>
        <v>0</v>
      </c>
      <c r="V261" s="117">
        <v>0</v>
      </c>
      <c r="W261" s="117">
        <v>0</v>
      </c>
      <c r="X261" s="71">
        <f t="shared" si="148"/>
        <v>0</v>
      </c>
      <c r="Y261" s="71">
        <f t="shared" si="149"/>
        <v>0</v>
      </c>
      <c r="AA261" s="65"/>
      <c r="AC261" s="71">
        <f t="shared" si="150"/>
        <v>0</v>
      </c>
      <c r="AD261" s="39"/>
      <c r="AE261" s="7"/>
      <c r="AF261" s="15"/>
      <c r="AG261" s="71" t="b">
        <f t="shared" si="151"/>
        <v>1</v>
      </c>
      <c r="AI261" s="71">
        <f t="shared" si="152"/>
        <v>0</v>
      </c>
      <c r="AJ261" s="39"/>
      <c r="AK261" s="15"/>
      <c r="AL261" s="71" t="b">
        <f t="shared" si="153"/>
        <v>1</v>
      </c>
      <c r="AN261" s="65"/>
    </row>
    <row r="262" spans="2:40 16128:16147" ht="13" customHeight="1" thickBot="1">
      <c r="E262" s="120" t="s">
        <v>0</v>
      </c>
      <c r="F262" s="121" t="s">
        <v>53</v>
      </c>
      <c r="G262" s="121"/>
      <c r="H262" s="121"/>
      <c r="I262" s="121"/>
      <c r="J262" s="122">
        <f t="shared" ref="J262:Y262" si="163">SUM(J237:J261)</f>
        <v>0</v>
      </c>
      <c r="K262" s="122">
        <f t="shared" si="163"/>
        <v>0</v>
      </c>
      <c r="L262" s="122">
        <f t="shared" si="163"/>
        <v>0</v>
      </c>
      <c r="M262" s="122">
        <f t="shared" si="163"/>
        <v>0</v>
      </c>
      <c r="N262" s="122">
        <f t="shared" si="163"/>
        <v>0</v>
      </c>
      <c r="O262" s="122">
        <f t="shared" si="163"/>
        <v>0</v>
      </c>
      <c r="P262" s="122">
        <f t="shared" si="163"/>
        <v>0</v>
      </c>
      <c r="Q262" s="122">
        <f t="shared" si="163"/>
        <v>0</v>
      </c>
      <c r="R262" s="122">
        <f t="shared" si="163"/>
        <v>166</v>
      </c>
      <c r="S262" s="122">
        <f t="shared" si="163"/>
        <v>7456710</v>
      </c>
      <c r="T262" s="122">
        <f t="shared" si="163"/>
        <v>166</v>
      </c>
      <c r="U262" s="122">
        <f t="shared" si="163"/>
        <v>7456710</v>
      </c>
      <c r="V262" s="123">
        <f t="shared" si="163"/>
        <v>166</v>
      </c>
      <c r="W262" s="123">
        <f t="shared" si="163"/>
        <v>7456710</v>
      </c>
      <c r="X262" s="122">
        <f t="shared" si="163"/>
        <v>0</v>
      </c>
      <c r="Y262" s="123">
        <f t="shared" si="163"/>
        <v>0</v>
      </c>
      <c r="AA262" s="65"/>
      <c r="AC262" s="122">
        <f>SUM(AC237:AC261)</f>
        <v>0</v>
      </c>
      <c r="AD262" s="122">
        <f>SUM(AD237:AD261)</f>
        <v>0</v>
      </c>
      <c r="AE262" s="122">
        <f>SUM(AE237:AE261)</f>
        <v>0</v>
      </c>
      <c r="AF262" s="123">
        <f>SUM(AF237:AF261)</f>
        <v>0</v>
      </c>
      <c r="AG262" s="100"/>
      <c r="AI262" s="122">
        <f>SUM(AI237:AI261)</f>
        <v>0</v>
      </c>
      <c r="AJ262" s="122">
        <f>SUM(AJ237:AJ261)</f>
        <v>0</v>
      </c>
      <c r="AK262" s="123">
        <f>SUM(AK237:AK261)</f>
        <v>0</v>
      </c>
      <c r="AL262" s="100"/>
      <c r="AN262" s="65"/>
    </row>
    <row r="263" spans="2:40 16128:16147" ht="13" thickBot="1">
      <c r="AA263" s="65"/>
      <c r="AN263" s="65"/>
    </row>
    <row r="264" spans="2:40 16128:16147" ht="41.25" customHeight="1" thickBot="1">
      <c r="B264" s="112" t="s">
        <v>4</v>
      </c>
      <c r="C264" s="157" t="s">
        <v>6</v>
      </c>
      <c r="D264" s="34" t="s">
        <v>7</v>
      </c>
      <c r="E264" s="34" t="s">
        <v>49</v>
      </c>
      <c r="F264" s="34" t="s">
        <v>50</v>
      </c>
      <c r="G264" s="34" t="s">
        <v>51</v>
      </c>
      <c r="H264" s="34" t="s">
        <v>52</v>
      </c>
      <c r="I264" s="34" t="s">
        <v>13</v>
      </c>
      <c r="J264" s="12" t="s">
        <v>8</v>
      </c>
      <c r="K264" s="12" t="s">
        <v>36</v>
      </c>
      <c r="L264" s="12" t="s">
        <v>9</v>
      </c>
      <c r="M264" s="12" t="s">
        <v>37</v>
      </c>
      <c r="N264" s="87" t="s">
        <v>10</v>
      </c>
      <c r="O264" s="88" t="s">
        <v>38</v>
      </c>
      <c r="P264" s="87" t="s">
        <v>11</v>
      </c>
      <c r="Q264" s="88" t="s">
        <v>39</v>
      </c>
      <c r="R264" s="87" t="s">
        <v>12</v>
      </c>
      <c r="S264" s="88" t="s">
        <v>40</v>
      </c>
      <c r="T264" s="64" t="s">
        <v>41</v>
      </c>
      <c r="U264" s="64" t="s">
        <v>42</v>
      </c>
      <c r="V264" s="35" t="s">
        <v>32</v>
      </c>
      <c r="W264" s="67" t="s">
        <v>35</v>
      </c>
      <c r="X264" s="12" t="s">
        <v>34</v>
      </c>
      <c r="Y264" s="68" t="s">
        <v>33</v>
      </c>
      <c r="AA264" s="66"/>
      <c r="AC264" s="12" t="s">
        <v>34</v>
      </c>
      <c r="AD264" s="12" t="s">
        <v>45</v>
      </c>
      <c r="AE264" s="12" t="s">
        <v>43</v>
      </c>
      <c r="AF264" s="12" t="s">
        <v>44</v>
      </c>
      <c r="AG264" s="12" t="s">
        <v>46</v>
      </c>
      <c r="AI264" s="12" t="s">
        <v>33</v>
      </c>
      <c r="AJ264" s="12" t="s">
        <v>47</v>
      </c>
      <c r="AK264" s="12" t="s">
        <v>48</v>
      </c>
      <c r="AL264" s="12" t="s">
        <v>46</v>
      </c>
      <c r="AN264" s="66"/>
      <c r="WVH264" s="1"/>
      <c r="WVI264" s="1"/>
      <c r="WVZ264"/>
      <c r="WWA264"/>
    </row>
    <row r="265" spans="2:40 16128:16147" ht="13" customHeight="1">
      <c r="B265" s="119" t="s">
        <v>75</v>
      </c>
      <c r="C265" s="158">
        <f>IF(D265&lt;=15,$C$1,$C$2)</f>
        <v>2026091</v>
      </c>
      <c r="D265" s="24">
        <v>10</v>
      </c>
      <c r="E265" s="127">
        <v>20</v>
      </c>
      <c r="F265" s="125" t="str">
        <f>VLOOKUP(E265,'Códigos bancos'!$B$4:$C$29,2,0)</f>
        <v>Bancolombia ENERBIT</v>
      </c>
      <c r="G265" s="18">
        <v>1</v>
      </c>
      <c r="H265" s="125" t="str">
        <f>VLOOKUP(G265,'Códigos bancos'!$F$4:$G$14,2,0)</f>
        <v>Oficinas</v>
      </c>
      <c r="I265" s="129"/>
      <c r="J265" s="213">
        <v>0</v>
      </c>
      <c r="K265" s="213">
        <v>0</v>
      </c>
      <c r="L265" s="213">
        <v>0</v>
      </c>
      <c r="M265" s="213">
        <v>0</v>
      </c>
      <c r="N265" s="213">
        <v>0</v>
      </c>
      <c r="O265" s="213">
        <v>0</v>
      </c>
      <c r="P265" s="213">
        <v>0</v>
      </c>
      <c r="Q265" s="213">
        <v>0</v>
      </c>
      <c r="R265" s="213">
        <v>199</v>
      </c>
      <c r="S265" s="214">
        <v>9984190</v>
      </c>
      <c r="T265" s="70">
        <f>J265+L265+N265+P265+R265</f>
        <v>199</v>
      </c>
      <c r="U265" s="70">
        <f>K265+M265+O265+Q265+S265</f>
        <v>9984190</v>
      </c>
      <c r="V265" s="116">
        <v>199</v>
      </c>
      <c r="W265" s="116">
        <v>9984190</v>
      </c>
      <c r="X265" s="70">
        <f>V265-T265</f>
        <v>0</v>
      </c>
      <c r="Y265" s="70">
        <f>W265-U265</f>
        <v>0</v>
      </c>
      <c r="AA265" s="65"/>
      <c r="AC265" s="124">
        <f>X265</f>
        <v>0</v>
      </c>
      <c r="AD265" s="115"/>
      <c r="AE265" s="16"/>
      <c r="AF265" s="114"/>
      <c r="AG265" s="124" t="b">
        <f>AC265=(AD265+AE265+AF265)</f>
        <v>1</v>
      </c>
      <c r="AI265" s="70">
        <f>Y265</f>
        <v>0</v>
      </c>
      <c r="AJ265" s="115"/>
      <c r="AK265" s="114"/>
      <c r="AL265" s="70" t="b">
        <f>AI265=(AJ265+AK265)</f>
        <v>1</v>
      </c>
      <c r="AN265" s="65"/>
    </row>
    <row r="266" spans="2:40 16128:16147" ht="13" customHeight="1">
      <c r="B266" s="119"/>
      <c r="C266" s="159">
        <f t="shared" ref="C266:C289" si="164">IF(D266&lt;=15,$C$1,$C$2)</f>
        <v>2026091</v>
      </c>
      <c r="D266" s="23">
        <v>10</v>
      </c>
      <c r="E266" s="128">
        <v>0</v>
      </c>
      <c r="F266" s="126" t="e">
        <f>VLOOKUP(E266,'Códigos bancos'!$B$4:$C$29,2,0)</f>
        <v>#N/A</v>
      </c>
      <c r="G266" s="36">
        <v>1</v>
      </c>
      <c r="H266" s="126" t="str">
        <f>VLOOKUP(G266,'Códigos bancos'!$F$4:$G$14,2,0)</f>
        <v>Oficinas</v>
      </c>
      <c r="I266" s="130"/>
      <c r="J266" s="174">
        <v>0</v>
      </c>
      <c r="K266" s="174">
        <v>0</v>
      </c>
      <c r="L266" s="174">
        <v>0</v>
      </c>
      <c r="M266" s="174">
        <v>0</v>
      </c>
      <c r="N266" s="174">
        <v>0</v>
      </c>
      <c r="O266" s="174">
        <v>0</v>
      </c>
      <c r="P266" s="174">
        <v>0</v>
      </c>
      <c r="Q266" s="174">
        <v>0</v>
      </c>
      <c r="R266" s="174">
        <v>0</v>
      </c>
      <c r="S266" s="215">
        <v>0</v>
      </c>
      <c r="T266" s="71">
        <f t="shared" ref="T266:T289" si="165">J266+L266+N266+P266+R266</f>
        <v>0</v>
      </c>
      <c r="U266" s="71">
        <f t="shared" ref="U266:U289" si="166">K266+M266+O266+Q266+S266</f>
        <v>0</v>
      </c>
      <c r="V266" s="117">
        <v>0</v>
      </c>
      <c r="W266" s="117">
        <v>0</v>
      </c>
      <c r="X266" s="71">
        <f t="shared" ref="X266:X289" si="167">V266-T266</f>
        <v>0</v>
      </c>
      <c r="Y266" s="71">
        <f t="shared" ref="Y266:Y289" si="168">W266-U266</f>
        <v>0</v>
      </c>
      <c r="AA266" s="65"/>
      <c r="AC266" s="71">
        <f t="shared" ref="AC266:AC289" si="169">X266</f>
        <v>0</v>
      </c>
      <c r="AD266" s="39"/>
      <c r="AE266" s="7"/>
      <c r="AF266" s="15"/>
      <c r="AG266" s="71" t="b">
        <f t="shared" ref="AG266:AG289" si="170">AC266=(AD266+AE266+AF266)</f>
        <v>1</v>
      </c>
      <c r="AI266" s="71">
        <f t="shared" ref="AI266:AI289" si="171">Y266</f>
        <v>0</v>
      </c>
      <c r="AJ266" s="39"/>
      <c r="AK266" s="15"/>
      <c r="AL266" s="71" t="b">
        <f t="shared" ref="AL266:AL289" si="172">AI266=(AJ266+AK266)</f>
        <v>1</v>
      </c>
      <c r="AN266" s="65"/>
    </row>
    <row r="267" spans="2:40 16128:16147" ht="13" customHeight="1">
      <c r="B267" s="119"/>
      <c r="C267" s="159">
        <f t="shared" si="164"/>
        <v>2026091</v>
      </c>
      <c r="D267" s="23">
        <v>10</v>
      </c>
      <c r="E267" s="128">
        <v>0</v>
      </c>
      <c r="F267" s="126" t="e">
        <f>VLOOKUP(E267,'Códigos bancos'!$B$4:$C$29,2,0)</f>
        <v>#N/A</v>
      </c>
      <c r="G267" s="36">
        <v>1</v>
      </c>
      <c r="H267" s="126" t="str">
        <f>VLOOKUP(G267,'Códigos bancos'!$F$4:$G$14,2,0)</f>
        <v>Oficinas</v>
      </c>
      <c r="I267" s="130"/>
      <c r="J267" s="174">
        <v>0</v>
      </c>
      <c r="K267" s="174">
        <v>0</v>
      </c>
      <c r="L267" s="174">
        <v>0</v>
      </c>
      <c r="M267" s="174">
        <v>0</v>
      </c>
      <c r="N267" s="174">
        <v>0</v>
      </c>
      <c r="O267" s="174">
        <v>0</v>
      </c>
      <c r="P267" s="174">
        <v>0</v>
      </c>
      <c r="Q267" s="174">
        <v>0</v>
      </c>
      <c r="R267" s="174">
        <v>0</v>
      </c>
      <c r="S267" s="215">
        <v>0</v>
      </c>
      <c r="T267" s="71">
        <f t="shared" si="165"/>
        <v>0</v>
      </c>
      <c r="U267" s="71">
        <f t="shared" si="166"/>
        <v>0</v>
      </c>
      <c r="V267" s="117">
        <v>0</v>
      </c>
      <c r="W267" s="117">
        <v>0</v>
      </c>
      <c r="X267" s="71">
        <f t="shared" si="167"/>
        <v>0</v>
      </c>
      <c r="Y267" s="71">
        <f t="shared" si="168"/>
        <v>0</v>
      </c>
      <c r="AA267" s="65"/>
      <c r="AC267" s="71">
        <f t="shared" si="169"/>
        <v>0</v>
      </c>
      <c r="AD267" s="45"/>
      <c r="AE267" s="14"/>
      <c r="AF267" s="46"/>
      <c r="AG267" s="71" t="b">
        <f t="shared" si="170"/>
        <v>1</v>
      </c>
      <c r="AI267" s="71">
        <f t="shared" si="171"/>
        <v>0</v>
      </c>
      <c r="AJ267" s="45"/>
      <c r="AK267" s="46"/>
      <c r="AL267" s="71" t="b">
        <f t="shared" si="172"/>
        <v>1</v>
      </c>
      <c r="AN267" s="65"/>
    </row>
    <row r="268" spans="2:40 16128:16147" ht="13" customHeight="1">
      <c r="B268" s="119"/>
      <c r="C268" s="159">
        <f t="shared" si="164"/>
        <v>2026091</v>
      </c>
      <c r="D268" s="23">
        <v>10</v>
      </c>
      <c r="E268" s="128">
        <v>0</v>
      </c>
      <c r="F268" s="126" t="e">
        <f>VLOOKUP(E268,'Códigos bancos'!$B$4:$C$29,2,0)</f>
        <v>#N/A</v>
      </c>
      <c r="G268" s="36">
        <v>1</v>
      </c>
      <c r="H268" s="126" t="str">
        <f>VLOOKUP(G268,'Códigos bancos'!$F$4:$G$14,2,0)</f>
        <v>Oficinas</v>
      </c>
      <c r="I268" s="130"/>
      <c r="J268" s="174">
        <v>0</v>
      </c>
      <c r="K268" s="174">
        <v>0</v>
      </c>
      <c r="L268" s="174">
        <v>0</v>
      </c>
      <c r="M268" s="174">
        <v>0</v>
      </c>
      <c r="N268" s="174">
        <v>0</v>
      </c>
      <c r="O268" s="174">
        <v>0</v>
      </c>
      <c r="P268" s="174">
        <v>0</v>
      </c>
      <c r="Q268" s="174">
        <v>0</v>
      </c>
      <c r="R268" s="174">
        <v>0</v>
      </c>
      <c r="S268" s="215">
        <v>0</v>
      </c>
      <c r="T268" s="71">
        <f t="shared" si="165"/>
        <v>0</v>
      </c>
      <c r="U268" s="71">
        <f t="shared" si="166"/>
        <v>0</v>
      </c>
      <c r="V268" s="117">
        <v>0</v>
      </c>
      <c r="W268" s="117">
        <v>0</v>
      </c>
      <c r="X268" s="71">
        <f t="shared" si="167"/>
        <v>0</v>
      </c>
      <c r="Y268" s="71">
        <f t="shared" si="168"/>
        <v>0</v>
      </c>
      <c r="AA268" s="65"/>
      <c r="AC268" s="71">
        <f t="shared" si="169"/>
        <v>0</v>
      </c>
      <c r="AD268" s="39"/>
      <c r="AE268" s="7"/>
      <c r="AF268" s="15"/>
      <c r="AG268" s="71" t="b">
        <f t="shared" si="170"/>
        <v>1</v>
      </c>
      <c r="AI268" s="71">
        <f t="shared" si="171"/>
        <v>0</v>
      </c>
      <c r="AJ268" s="39"/>
      <c r="AK268" s="15"/>
      <c r="AL268" s="71" t="b">
        <f t="shared" si="172"/>
        <v>1</v>
      </c>
      <c r="AN268" s="65"/>
    </row>
    <row r="269" spans="2:40 16128:16147" ht="13" customHeight="1">
      <c r="B269" s="119"/>
      <c r="C269" s="159">
        <f t="shared" si="164"/>
        <v>2026091</v>
      </c>
      <c r="D269" s="23">
        <v>10</v>
      </c>
      <c r="E269" s="128">
        <v>0</v>
      </c>
      <c r="F269" s="126" t="e">
        <f>VLOOKUP(E269,'Códigos bancos'!$B$4:$C$29,2,0)</f>
        <v>#N/A</v>
      </c>
      <c r="G269" s="36">
        <v>1</v>
      </c>
      <c r="H269" s="126" t="str">
        <f>VLOOKUP(G269,'Códigos bancos'!$F$4:$G$14,2,0)</f>
        <v>Oficinas</v>
      </c>
      <c r="I269" s="130"/>
      <c r="J269" s="174">
        <v>0</v>
      </c>
      <c r="K269" s="174">
        <v>0</v>
      </c>
      <c r="L269" s="174">
        <v>0</v>
      </c>
      <c r="M269" s="174">
        <v>0</v>
      </c>
      <c r="N269" s="174">
        <v>0</v>
      </c>
      <c r="O269" s="174">
        <v>0</v>
      </c>
      <c r="P269" s="174">
        <v>0</v>
      </c>
      <c r="Q269" s="174">
        <v>0</v>
      </c>
      <c r="R269" s="174">
        <v>0</v>
      </c>
      <c r="S269" s="215">
        <v>0</v>
      </c>
      <c r="T269" s="71">
        <f t="shared" si="165"/>
        <v>0</v>
      </c>
      <c r="U269" s="71">
        <f t="shared" si="166"/>
        <v>0</v>
      </c>
      <c r="V269" s="117">
        <v>0</v>
      </c>
      <c r="W269" s="117">
        <v>0</v>
      </c>
      <c r="X269" s="71">
        <f t="shared" si="167"/>
        <v>0</v>
      </c>
      <c r="Y269" s="71">
        <f t="shared" si="168"/>
        <v>0</v>
      </c>
      <c r="AA269" s="65"/>
      <c r="AC269" s="71">
        <f t="shared" si="169"/>
        <v>0</v>
      </c>
      <c r="AD269" s="39"/>
      <c r="AE269" s="7"/>
      <c r="AF269" s="15"/>
      <c r="AG269" s="71" t="b">
        <f t="shared" si="170"/>
        <v>1</v>
      </c>
      <c r="AI269" s="71">
        <f t="shared" si="171"/>
        <v>0</v>
      </c>
      <c r="AJ269" s="39"/>
      <c r="AK269" s="15"/>
      <c r="AL269" s="71" t="b">
        <f t="shared" si="172"/>
        <v>1</v>
      </c>
      <c r="AN269" s="65"/>
    </row>
    <row r="270" spans="2:40 16128:16147" ht="13" customHeight="1">
      <c r="B270" s="119"/>
      <c r="C270" s="159">
        <f t="shared" si="164"/>
        <v>2026091</v>
      </c>
      <c r="D270" s="23">
        <v>10</v>
      </c>
      <c r="E270" s="128">
        <v>0</v>
      </c>
      <c r="F270" s="126" t="e">
        <f>VLOOKUP(E270,'Códigos bancos'!$B$4:$C$29,2,0)</f>
        <v>#N/A</v>
      </c>
      <c r="G270" s="36">
        <v>1</v>
      </c>
      <c r="H270" s="126" t="str">
        <f>VLOOKUP(G270,'Códigos bancos'!$F$4:$G$14,2,0)</f>
        <v>Oficinas</v>
      </c>
      <c r="I270" s="130"/>
      <c r="J270" s="174">
        <v>0</v>
      </c>
      <c r="K270" s="174">
        <v>0</v>
      </c>
      <c r="L270" s="174">
        <v>0</v>
      </c>
      <c r="M270" s="174">
        <v>0</v>
      </c>
      <c r="N270" s="174">
        <v>0</v>
      </c>
      <c r="O270" s="174">
        <v>0</v>
      </c>
      <c r="P270" s="174">
        <v>0</v>
      </c>
      <c r="Q270" s="174">
        <v>0</v>
      </c>
      <c r="R270" s="174">
        <v>0</v>
      </c>
      <c r="S270" s="215">
        <v>0</v>
      </c>
      <c r="T270" s="71">
        <f t="shared" si="165"/>
        <v>0</v>
      </c>
      <c r="U270" s="71">
        <f t="shared" si="166"/>
        <v>0</v>
      </c>
      <c r="V270" s="117">
        <v>0</v>
      </c>
      <c r="W270" s="117">
        <v>0</v>
      </c>
      <c r="X270" s="71">
        <f t="shared" si="167"/>
        <v>0</v>
      </c>
      <c r="Y270" s="71">
        <f t="shared" si="168"/>
        <v>0</v>
      </c>
      <c r="AA270" s="65"/>
      <c r="AC270" s="71">
        <f t="shared" si="169"/>
        <v>0</v>
      </c>
      <c r="AD270" s="39"/>
      <c r="AE270" s="7"/>
      <c r="AF270" s="15"/>
      <c r="AG270" s="71" t="b">
        <f t="shared" si="170"/>
        <v>1</v>
      </c>
      <c r="AI270" s="71">
        <f t="shared" si="171"/>
        <v>0</v>
      </c>
      <c r="AJ270" s="39"/>
      <c r="AK270" s="15"/>
      <c r="AL270" s="71" t="b">
        <f t="shared" si="172"/>
        <v>1</v>
      </c>
      <c r="AN270" s="65"/>
    </row>
    <row r="271" spans="2:40 16128:16147" ht="13" customHeight="1">
      <c r="B271" s="119"/>
      <c r="C271" s="159">
        <f t="shared" si="164"/>
        <v>2026091</v>
      </c>
      <c r="D271" s="23">
        <v>10</v>
      </c>
      <c r="E271" s="128">
        <v>0</v>
      </c>
      <c r="F271" s="126" t="e">
        <f>VLOOKUP(E271,'Códigos bancos'!$B$4:$C$29,2,0)</f>
        <v>#N/A</v>
      </c>
      <c r="G271" s="36">
        <v>1</v>
      </c>
      <c r="H271" s="126" t="str">
        <f>VLOOKUP(G271,'Códigos bancos'!$F$4:$G$14,2,0)</f>
        <v>Oficinas</v>
      </c>
      <c r="I271" s="130"/>
      <c r="J271" s="174">
        <v>0</v>
      </c>
      <c r="K271" s="174">
        <v>0</v>
      </c>
      <c r="L271" s="174">
        <v>0</v>
      </c>
      <c r="M271" s="174">
        <v>0</v>
      </c>
      <c r="N271" s="174">
        <v>0</v>
      </c>
      <c r="O271" s="174">
        <v>0</v>
      </c>
      <c r="P271" s="174">
        <v>0</v>
      </c>
      <c r="Q271" s="174">
        <v>0</v>
      </c>
      <c r="R271" s="174">
        <v>0</v>
      </c>
      <c r="S271" s="215">
        <v>0</v>
      </c>
      <c r="T271" s="71">
        <f t="shared" si="165"/>
        <v>0</v>
      </c>
      <c r="U271" s="71">
        <f t="shared" si="166"/>
        <v>0</v>
      </c>
      <c r="V271" s="117">
        <v>0</v>
      </c>
      <c r="W271" s="117">
        <v>0</v>
      </c>
      <c r="X271" s="71">
        <f t="shared" si="167"/>
        <v>0</v>
      </c>
      <c r="Y271" s="71">
        <f t="shared" si="168"/>
        <v>0</v>
      </c>
      <c r="AA271" s="65"/>
      <c r="AC271" s="71">
        <f t="shared" si="169"/>
        <v>0</v>
      </c>
      <c r="AD271" s="39"/>
      <c r="AE271" s="7"/>
      <c r="AF271" s="15"/>
      <c r="AG271" s="71" t="b">
        <f t="shared" si="170"/>
        <v>1</v>
      </c>
      <c r="AI271" s="71">
        <f t="shared" si="171"/>
        <v>0</v>
      </c>
      <c r="AJ271" s="39"/>
      <c r="AK271" s="15"/>
      <c r="AL271" s="71" t="b">
        <f t="shared" si="172"/>
        <v>1</v>
      </c>
      <c r="AN271" s="65"/>
    </row>
    <row r="272" spans="2:40 16128:16147" ht="13" customHeight="1">
      <c r="B272" s="119"/>
      <c r="C272" s="159">
        <f t="shared" si="164"/>
        <v>2026091</v>
      </c>
      <c r="D272" s="23">
        <v>10</v>
      </c>
      <c r="E272" s="128">
        <v>0</v>
      </c>
      <c r="F272" s="126" t="e">
        <f>VLOOKUP(E272,'Códigos bancos'!$B$4:$C$29,2,0)</f>
        <v>#N/A</v>
      </c>
      <c r="G272" s="36">
        <v>1</v>
      </c>
      <c r="H272" s="126" t="str">
        <f>VLOOKUP(G272,'Códigos bancos'!$F$4:$G$14,2,0)</f>
        <v>Oficinas</v>
      </c>
      <c r="I272" s="130"/>
      <c r="J272" s="174">
        <v>0</v>
      </c>
      <c r="K272" s="174">
        <v>0</v>
      </c>
      <c r="L272" s="174">
        <v>0</v>
      </c>
      <c r="M272" s="174">
        <v>0</v>
      </c>
      <c r="N272" s="174">
        <v>0</v>
      </c>
      <c r="O272" s="174">
        <v>0</v>
      </c>
      <c r="P272" s="174">
        <v>0</v>
      </c>
      <c r="Q272" s="174">
        <v>0</v>
      </c>
      <c r="R272" s="174">
        <v>0</v>
      </c>
      <c r="S272" s="215">
        <v>0</v>
      </c>
      <c r="T272" s="71">
        <f t="shared" si="165"/>
        <v>0</v>
      </c>
      <c r="U272" s="71">
        <f t="shared" si="166"/>
        <v>0</v>
      </c>
      <c r="V272" s="117">
        <v>0</v>
      </c>
      <c r="W272" s="117">
        <v>0</v>
      </c>
      <c r="X272" s="71">
        <f t="shared" si="167"/>
        <v>0</v>
      </c>
      <c r="Y272" s="71">
        <f t="shared" si="168"/>
        <v>0</v>
      </c>
      <c r="AA272" s="65"/>
      <c r="AC272" s="71">
        <f t="shared" si="169"/>
        <v>0</v>
      </c>
      <c r="AD272" s="39"/>
      <c r="AE272" s="7"/>
      <c r="AF272" s="15"/>
      <c r="AG272" s="71" t="b">
        <f t="shared" si="170"/>
        <v>1</v>
      </c>
      <c r="AI272" s="71">
        <f t="shared" si="171"/>
        <v>0</v>
      </c>
      <c r="AJ272" s="39"/>
      <c r="AK272" s="15"/>
      <c r="AL272" s="71" t="b">
        <f t="shared" si="172"/>
        <v>1</v>
      </c>
      <c r="AN272" s="65"/>
    </row>
    <row r="273" spans="2:40" ht="13" customHeight="1">
      <c r="B273" s="119"/>
      <c r="C273" s="159">
        <f t="shared" si="164"/>
        <v>2026091</v>
      </c>
      <c r="D273" s="23">
        <v>10</v>
      </c>
      <c r="E273" s="128">
        <v>0</v>
      </c>
      <c r="F273" s="126" t="e">
        <f>VLOOKUP(E273,'Códigos bancos'!$B$4:$C$29,2,0)</f>
        <v>#N/A</v>
      </c>
      <c r="G273" s="36">
        <v>1</v>
      </c>
      <c r="H273" s="126" t="str">
        <f>VLOOKUP(G273,'Códigos bancos'!$F$4:$G$14,2,0)</f>
        <v>Oficinas</v>
      </c>
      <c r="I273" s="130"/>
      <c r="J273" s="174">
        <v>0</v>
      </c>
      <c r="K273" s="174">
        <v>0</v>
      </c>
      <c r="L273" s="174">
        <v>0</v>
      </c>
      <c r="M273" s="174">
        <v>0</v>
      </c>
      <c r="N273" s="174">
        <v>0</v>
      </c>
      <c r="O273" s="174">
        <v>0</v>
      </c>
      <c r="P273" s="174">
        <v>0</v>
      </c>
      <c r="Q273" s="174">
        <v>0</v>
      </c>
      <c r="R273" s="174">
        <v>0</v>
      </c>
      <c r="S273" s="215">
        <v>0</v>
      </c>
      <c r="T273" s="71">
        <f t="shared" si="165"/>
        <v>0</v>
      </c>
      <c r="U273" s="71">
        <f t="shared" si="166"/>
        <v>0</v>
      </c>
      <c r="V273" s="117">
        <v>0</v>
      </c>
      <c r="W273" s="117">
        <v>0</v>
      </c>
      <c r="X273" s="71">
        <f t="shared" si="167"/>
        <v>0</v>
      </c>
      <c r="Y273" s="71">
        <f t="shared" si="168"/>
        <v>0</v>
      </c>
      <c r="AA273" s="65"/>
      <c r="AC273" s="71">
        <f t="shared" si="169"/>
        <v>0</v>
      </c>
      <c r="AD273" s="39"/>
      <c r="AE273" s="7"/>
      <c r="AF273" s="15"/>
      <c r="AG273" s="71" t="b">
        <f t="shared" si="170"/>
        <v>1</v>
      </c>
      <c r="AI273" s="71">
        <f t="shared" si="171"/>
        <v>0</v>
      </c>
      <c r="AJ273" s="39"/>
      <c r="AK273" s="15"/>
      <c r="AL273" s="71" t="b">
        <f t="shared" si="172"/>
        <v>1</v>
      </c>
      <c r="AN273" s="65"/>
    </row>
    <row r="274" spans="2:40" ht="13" customHeight="1">
      <c r="B274" s="119"/>
      <c r="C274" s="159">
        <f t="shared" si="164"/>
        <v>2026091</v>
      </c>
      <c r="D274" s="23">
        <v>10</v>
      </c>
      <c r="E274" s="128">
        <v>0</v>
      </c>
      <c r="F274" s="126" t="e">
        <f>VLOOKUP(E274,'Códigos bancos'!$B$4:$C$29,2,0)</f>
        <v>#N/A</v>
      </c>
      <c r="G274" s="36">
        <v>1</v>
      </c>
      <c r="H274" s="126" t="str">
        <f>VLOOKUP(G274,'Códigos bancos'!$F$4:$G$14,2,0)</f>
        <v>Oficinas</v>
      </c>
      <c r="I274" s="130"/>
      <c r="J274" s="174">
        <v>0</v>
      </c>
      <c r="K274" s="174">
        <v>0</v>
      </c>
      <c r="L274" s="174">
        <v>0</v>
      </c>
      <c r="M274" s="174">
        <v>0</v>
      </c>
      <c r="N274" s="174">
        <v>0</v>
      </c>
      <c r="O274" s="174">
        <v>0</v>
      </c>
      <c r="P274" s="174">
        <v>0</v>
      </c>
      <c r="Q274" s="174">
        <v>0</v>
      </c>
      <c r="R274" s="174">
        <v>0</v>
      </c>
      <c r="S274" s="215">
        <v>0</v>
      </c>
      <c r="T274" s="71">
        <f t="shared" si="165"/>
        <v>0</v>
      </c>
      <c r="U274" s="71">
        <f t="shared" si="166"/>
        <v>0</v>
      </c>
      <c r="V274" s="117">
        <v>0</v>
      </c>
      <c r="W274" s="117">
        <v>0</v>
      </c>
      <c r="X274" s="71">
        <f t="shared" si="167"/>
        <v>0</v>
      </c>
      <c r="Y274" s="71">
        <f t="shared" si="168"/>
        <v>0</v>
      </c>
      <c r="AA274" s="65"/>
      <c r="AC274" s="71">
        <f t="shared" si="169"/>
        <v>0</v>
      </c>
      <c r="AD274" s="39"/>
      <c r="AE274" s="7"/>
      <c r="AF274" s="15"/>
      <c r="AG274" s="71" t="b">
        <f t="shared" si="170"/>
        <v>1</v>
      </c>
      <c r="AI274" s="71">
        <f t="shared" si="171"/>
        <v>0</v>
      </c>
      <c r="AJ274" s="39"/>
      <c r="AK274" s="15"/>
      <c r="AL274" s="71" t="b">
        <f t="shared" si="172"/>
        <v>1</v>
      </c>
      <c r="AN274" s="65"/>
    </row>
    <row r="275" spans="2:40" ht="13" customHeight="1">
      <c r="B275" s="119"/>
      <c r="C275" s="159">
        <f t="shared" si="164"/>
        <v>2026091</v>
      </c>
      <c r="D275" s="23">
        <v>10</v>
      </c>
      <c r="E275" s="128">
        <v>0</v>
      </c>
      <c r="F275" s="126" t="e">
        <f>VLOOKUP(E275,'Códigos bancos'!$B$4:$C$29,2,0)</f>
        <v>#N/A</v>
      </c>
      <c r="G275" s="36">
        <v>1</v>
      </c>
      <c r="H275" s="126" t="str">
        <f>VLOOKUP(G275,'Códigos bancos'!$F$4:$G$14,2,0)</f>
        <v>Oficinas</v>
      </c>
      <c r="I275" s="130"/>
      <c r="J275" s="174">
        <v>0</v>
      </c>
      <c r="K275" s="174">
        <v>0</v>
      </c>
      <c r="L275" s="174">
        <v>0</v>
      </c>
      <c r="M275" s="174">
        <v>0</v>
      </c>
      <c r="N275" s="174">
        <v>0</v>
      </c>
      <c r="O275" s="174">
        <v>0</v>
      </c>
      <c r="P275" s="174">
        <v>0</v>
      </c>
      <c r="Q275" s="174">
        <v>0</v>
      </c>
      <c r="R275" s="174">
        <v>0</v>
      </c>
      <c r="S275" s="215">
        <v>0</v>
      </c>
      <c r="T275" s="71">
        <f t="shared" si="165"/>
        <v>0</v>
      </c>
      <c r="U275" s="71">
        <f t="shared" si="166"/>
        <v>0</v>
      </c>
      <c r="V275" s="117">
        <v>0</v>
      </c>
      <c r="W275" s="117">
        <v>0</v>
      </c>
      <c r="X275" s="71">
        <f t="shared" si="167"/>
        <v>0</v>
      </c>
      <c r="Y275" s="71">
        <f t="shared" si="168"/>
        <v>0</v>
      </c>
      <c r="AA275" s="65"/>
      <c r="AC275" s="71">
        <f t="shared" si="169"/>
        <v>0</v>
      </c>
      <c r="AD275" s="39"/>
      <c r="AE275" s="7"/>
      <c r="AF275" s="15"/>
      <c r="AG275" s="71" t="b">
        <f t="shared" si="170"/>
        <v>1</v>
      </c>
      <c r="AI275" s="71">
        <f t="shared" si="171"/>
        <v>0</v>
      </c>
      <c r="AJ275" s="39"/>
      <c r="AK275" s="15"/>
      <c r="AL275" s="71" t="b">
        <f t="shared" si="172"/>
        <v>1</v>
      </c>
      <c r="AN275" s="65"/>
    </row>
    <row r="276" spans="2:40" ht="13" customHeight="1">
      <c r="B276" s="119"/>
      <c r="C276" s="159">
        <f t="shared" si="164"/>
        <v>2026091</v>
      </c>
      <c r="D276" s="23">
        <v>10</v>
      </c>
      <c r="E276" s="128">
        <v>0</v>
      </c>
      <c r="F276" s="126" t="e">
        <f>VLOOKUP(E276,'Códigos bancos'!$B$4:$C$29,2,0)</f>
        <v>#N/A</v>
      </c>
      <c r="G276" s="36">
        <v>1</v>
      </c>
      <c r="H276" s="126" t="str">
        <f>VLOOKUP(G276,'Códigos bancos'!$F$4:$G$14,2,0)</f>
        <v>Oficinas</v>
      </c>
      <c r="I276" s="130"/>
      <c r="J276" s="174">
        <v>0</v>
      </c>
      <c r="K276" s="174">
        <v>0</v>
      </c>
      <c r="L276" s="174">
        <v>0</v>
      </c>
      <c r="M276" s="174">
        <v>0</v>
      </c>
      <c r="N276" s="174">
        <v>0</v>
      </c>
      <c r="O276" s="174">
        <v>0</v>
      </c>
      <c r="P276" s="174">
        <v>0</v>
      </c>
      <c r="Q276" s="174">
        <v>0</v>
      </c>
      <c r="R276" s="174">
        <v>0</v>
      </c>
      <c r="S276" s="215">
        <v>0</v>
      </c>
      <c r="T276" s="71">
        <f t="shared" si="165"/>
        <v>0</v>
      </c>
      <c r="U276" s="71">
        <f t="shared" si="166"/>
        <v>0</v>
      </c>
      <c r="V276" s="117">
        <v>0</v>
      </c>
      <c r="W276" s="117">
        <v>0</v>
      </c>
      <c r="X276" s="71">
        <f t="shared" si="167"/>
        <v>0</v>
      </c>
      <c r="Y276" s="71">
        <f t="shared" si="168"/>
        <v>0</v>
      </c>
      <c r="AA276" s="65"/>
      <c r="AC276" s="71">
        <f t="shared" si="169"/>
        <v>0</v>
      </c>
      <c r="AD276" s="39"/>
      <c r="AE276" s="7"/>
      <c r="AF276" s="15"/>
      <c r="AG276" s="71" t="b">
        <f t="shared" si="170"/>
        <v>1</v>
      </c>
      <c r="AI276" s="71">
        <f t="shared" si="171"/>
        <v>0</v>
      </c>
      <c r="AJ276" s="39"/>
      <c r="AK276" s="15"/>
      <c r="AL276" s="71" t="b">
        <f t="shared" si="172"/>
        <v>1</v>
      </c>
      <c r="AN276" s="65"/>
    </row>
    <row r="277" spans="2:40" ht="13" customHeight="1">
      <c r="B277" s="119"/>
      <c r="C277" s="159">
        <f t="shared" si="164"/>
        <v>2026091</v>
      </c>
      <c r="D277" s="23">
        <v>10</v>
      </c>
      <c r="E277" s="128">
        <v>0</v>
      </c>
      <c r="F277" s="126" t="e">
        <f>VLOOKUP(E277,'Códigos bancos'!$B$4:$C$29,2,0)</f>
        <v>#N/A</v>
      </c>
      <c r="G277" s="36">
        <v>1</v>
      </c>
      <c r="H277" s="126" t="str">
        <f>VLOOKUP(G277,'Códigos bancos'!$F$4:$G$14,2,0)</f>
        <v>Oficinas</v>
      </c>
      <c r="I277" s="130"/>
      <c r="J277" s="174">
        <v>0</v>
      </c>
      <c r="K277" s="174">
        <v>0</v>
      </c>
      <c r="L277" s="174">
        <v>0</v>
      </c>
      <c r="M277" s="174">
        <v>0</v>
      </c>
      <c r="N277" s="174">
        <v>0</v>
      </c>
      <c r="O277" s="174">
        <v>0</v>
      </c>
      <c r="P277" s="174">
        <v>0</v>
      </c>
      <c r="Q277" s="174">
        <v>0</v>
      </c>
      <c r="R277" s="174">
        <v>0</v>
      </c>
      <c r="S277" s="215">
        <v>0</v>
      </c>
      <c r="T277" s="71">
        <f t="shared" si="165"/>
        <v>0</v>
      </c>
      <c r="U277" s="71">
        <f t="shared" si="166"/>
        <v>0</v>
      </c>
      <c r="V277" s="117">
        <v>0</v>
      </c>
      <c r="W277" s="117">
        <v>0</v>
      </c>
      <c r="X277" s="71">
        <f t="shared" si="167"/>
        <v>0</v>
      </c>
      <c r="Y277" s="71">
        <f t="shared" si="168"/>
        <v>0</v>
      </c>
      <c r="AA277" s="65"/>
      <c r="AC277" s="71">
        <f t="shared" si="169"/>
        <v>0</v>
      </c>
      <c r="AD277" s="39"/>
      <c r="AE277" s="7"/>
      <c r="AF277" s="15"/>
      <c r="AG277" s="71" t="b">
        <f t="shared" si="170"/>
        <v>1</v>
      </c>
      <c r="AI277" s="71">
        <f t="shared" si="171"/>
        <v>0</v>
      </c>
      <c r="AJ277" s="39"/>
      <c r="AK277" s="15"/>
      <c r="AL277" s="71" t="b">
        <f t="shared" si="172"/>
        <v>1</v>
      </c>
      <c r="AN277" s="65"/>
    </row>
    <row r="278" spans="2:40" ht="13" customHeight="1">
      <c r="B278" s="119"/>
      <c r="C278" s="23">
        <f t="shared" si="164"/>
        <v>2026091</v>
      </c>
      <c r="D278" s="23">
        <v>10</v>
      </c>
      <c r="E278" s="128">
        <v>0</v>
      </c>
      <c r="F278" s="126" t="e">
        <f>VLOOKUP(E278,'Códigos bancos'!$B$4:$C$29,2,0)</f>
        <v>#N/A</v>
      </c>
      <c r="G278" s="36">
        <v>1</v>
      </c>
      <c r="H278" s="126" t="str">
        <f>VLOOKUP(G278,'Códigos bancos'!$F$4:$G$14,2,0)</f>
        <v>Oficinas</v>
      </c>
      <c r="I278" s="130"/>
      <c r="J278" s="174">
        <v>0</v>
      </c>
      <c r="K278" s="174">
        <v>0</v>
      </c>
      <c r="L278" s="174">
        <v>0</v>
      </c>
      <c r="M278" s="174">
        <v>0</v>
      </c>
      <c r="N278" s="174">
        <v>0</v>
      </c>
      <c r="O278" s="174">
        <v>0</v>
      </c>
      <c r="P278" s="174">
        <v>0</v>
      </c>
      <c r="Q278" s="174">
        <v>0</v>
      </c>
      <c r="R278" s="174">
        <v>0</v>
      </c>
      <c r="S278" s="215">
        <v>0</v>
      </c>
      <c r="T278" s="71">
        <f t="shared" si="165"/>
        <v>0</v>
      </c>
      <c r="U278" s="71">
        <f t="shared" si="166"/>
        <v>0</v>
      </c>
      <c r="V278" s="117">
        <v>0</v>
      </c>
      <c r="W278" s="117">
        <v>0</v>
      </c>
      <c r="X278" s="71">
        <f t="shared" si="167"/>
        <v>0</v>
      </c>
      <c r="Y278" s="71">
        <f t="shared" si="168"/>
        <v>0</v>
      </c>
      <c r="AA278" s="65"/>
      <c r="AC278" s="71">
        <f t="shared" si="169"/>
        <v>0</v>
      </c>
      <c r="AD278" s="39"/>
      <c r="AE278" s="7"/>
      <c r="AF278" s="15"/>
      <c r="AG278" s="71" t="b">
        <f t="shared" si="170"/>
        <v>1</v>
      </c>
      <c r="AI278" s="71">
        <f t="shared" si="171"/>
        <v>0</v>
      </c>
      <c r="AJ278" s="39"/>
      <c r="AK278" s="15"/>
      <c r="AL278" s="71" t="b">
        <f t="shared" si="172"/>
        <v>1</v>
      </c>
      <c r="AN278" s="65"/>
    </row>
    <row r="279" spans="2:40" ht="13" customHeight="1">
      <c r="B279" s="119"/>
      <c r="C279" s="159">
        <f t="shared" si="164"/>
        <v>2026091</v>
      </c>
      <c r="D279" s="23">
        <v>10</v>
      </c>
      <c r="E279" s="128">
        <v>0</v>
      </c>
      <c r="F279" s="126" t="e">
        <f>VLOOKUP(E279,'Códigos bancos'!$B$4:$C$29,2,0)</f>
        <v>#N/A</v>
      </c>
      <c r="G279" s="36">
        <v>1</v>
      </c>
      <c r="H279" s="126" t="str">
        <f>VLOOKUP(G279,'Códigos bancos'!$F$4:$G$14,2,0)</f>
        <v>Oficinas</v>
      </c>
      <c r="I279" s="130"/>
      <c r="J279" s="174">
        <v>0</v>
      </c>
      <c r="K279" s="174">
        <v>0</v>
      </c>
      <c r="L279" s="174">
        <v>0</v>
      </c>
      <c r="M279" s="174">
        <v>0</v>
      </c>
      <c r="N279" s="174">
        <v>0</v>
      </c>
      <c r="O279" s="174">
        <v>0</v>
      </c>
      <c r="P279" s="174">
        <v>0</v>
      </c>
      <c r="Q279" s="174">
        <v>0</v>
      </c>
      <c r="R279" s="174">
        <v>0</v>
      </c>
      <c r="S279" s="215">
        <v>0</v>
      </c>
      <c r="T279" s="71">
        <f t="shared" si="165"/>
        <v>0</v>
      </c>
      <c r="U279" s="71">
        <f t="shared" si="166"/>
        <v>0</v>
      </c>
      <c r="V279" s="117">
        <v>0</v>
      </c>
      <c r="W279" s="117">
        <v>0</v>
      </c>
      <c r="X279" s="71">
        <f t="shared" si="167"/>
        <v>0</v>
      </c>
      <c r="Y279" s="71">
        <f t="shared" si="168"/>
        <v>0</v>
      </c>
      <c r="AA279" s="65"/>
      <c r="AC279" s="71">
        <f t="shared" si="169"/>
        <v>0</v>
      </c>
      <c r="AD279" s="39"/>
      <c r="AE279" s="7"/>
      <c r="AF279" s="15"/>
      <c r="AG279" s="71" t="b">
        <f t="shared" si="170"/>
        <v>1</v>
      </c>
      <c r="AI279" s="71">
        <f t="shared" si="171"/>
        <v>0</v>
      </c>
      <c r="AJ279" s="39"/>
      <c r="AK279" s="15"/>
      <c r="AL279" s="71" t="b">
        <f t="shared" si="172"/>
        <v>1</v>
      </c>
      <c r="AN279" s="65"/>
    </row>
    <row r="280" spans="2:40" ht="13" customHeight="1">
      <c r="B280" s="119"/>
      <c r="C280" s="159">
        <f t="shared" si="164"/>
        <v>2026091</v>
      </c>
      <c r="D280" s="23">
        <v>10</v>
      </c>
      <c r="E280" s="128">
        <v>0</v>
      </c>
      <c r="F280" s="126" t="e">
        <f>VLOOKUP(E280,'Códigos bancos'!$B$4:$C$29,2,0)</f>
        <v>#N/A</v>
      </c>
      <c r="G280" s="36">
        <v>1</v>
      </c>
      <c r="H280" s="126" t="str">
        <f>VLOOKUP(G280,'Códigos bancos'!$F$4:$G$14,2,0)</f>
        <v>Oficinas</v>
      </c>
      <c r="I280" s="130"/>
      <c r="J280" s="174">
        <v>0</v>
      </c>
      <c r="K280" s="174">
        <v>0</v>
      </c>
      <c r="L280" s="174">
        <v>0</v>
      </c>
      <c r="M280" s="174">
        <v>0</v>
      </c>
      <c r="N280" s="174">
        <v>0</v>
      </c>
      <c r="O280" s="174">
        <v>0</v>
      </c>
      <c r="P280" s="174">
        <v>0</v>
      </c>
      <c r="Q280" s="174">
        <v>0</v>
      </c>
      <c r="R280" s="174">
        <v>0</v>
      </c>
      <c r="S280" s="215">
        <v>0</v>
      </c>
      <c r="T280" s="71">
        <f t="shared" si="165"/>
        <v>0</v>
      </c>
      <c r="U280" s="71">
        <f t="shared" si="166"/>
        <v>0</v>
      </c>
      <c r="V280" s="117">
        <v>0</v>
      </c>
      <c r="W280" s="117">
        <v>0</v>
      </c>
      <c r="X280" s="71">
        <f t="shared" si="167"/>
        <v>0</v>
      </c>
      <c r="Y280" s="71">
        <f t="shared" si="168"/>
        <v>0</v>
      </c>
      <c r="AA280" s="65"/>
      <c r="AC280" s="71">
        <f t="shared" si="169"/>
        <v>0</v>
      </c>
      <c r="AD280" s="39"/>
      <c r="AE280" s="7"/>
      <c r="AF280" s="15"/>
      <c r="AG280" s="71" t="b">
        <f t="shared" si="170"/>
        <v>1</v>
      </c>
      <c r="AI280" s="71">
        <f t="shared" si="171"/>
        <v>0</v>
      </c>
      <c r="AJ280" s="39"/>
      <c r="AK280" s="15"/>
      <c r="AL280" s="71" t="b">
        <f t="shared" si="172"/>
        <v>1</v>
      </c>
      <c r="AN280" s="65"/>
    </row>
    <row r="281" spans="2:40" ht="13" customHeight="1">
      <c r="B281" s="119"/>
      <c r="C281" s="159">
        <f t="shared" si="164"/>
        <v>2026091</v>
      </c>
      <c r="D281" s="23">
        <v>10</v>
      </c>
      <c r="E281" s="128">
        <v>0</v>
      </c>
      <c r="F281" s="126" t="e">
        <f>VLOOKUP(E281,'Códigos bancos'!$B$4:$C$29,2,0)</f>
        <v>#N/A</v>
      </c>
      <c r="G281" s="36">
        <v>1</v>
      </c>
      <c r="H281" s="126" t="str">
        <f>VLOOKUP(G281,'Códigos bancos'!$F$4:$G$14,2,0)</f>
        <v>Oficinas</v>
      </c>
      <c r="I281" s="130"/>
      <c r="J281" s="174">
        <v>0</v>
      </c>
      <c r="K281" s="174">
        <v>0</v>
      </c>
      <c r="L281" s="174">
        <v>0</v>
      </c>
      <c r="M281" s="174">
        <v>0</v>
      </c>
      <c r="N281" s="174">
        <v>0</v>
      </c>
      <c r="O281" s="174">
        <v>0</v>
      </c>
      <c r="P281" s="174">
        <v>0</v>
      </c>
      <c r="Q281" s="174">
        <v>0</v>
      </c>
      <c r="R281" s="174">
        <v>0</v>
      </c>
      <c r="S281" s="215">
        <v>0</v>
      </c>
      <c r="T281" s="71">
        <f t="shared" si="165"/>
        <v>0</v>
      </c>
      <c r="U281" s="71">
        <f t="shared" si="166"/>
        <v>0</v>
      </c>
      <c r="V281" s="117">
        <v>0</v>
      </c>
      <c r="W281" s="117">
        <v>0</v>
      </c>
      <c r="X281" s="71">
        <f t="shared" si="167"/>
        <v>0</v>
      </c>
      <c r="Y281" s="71">
        <f t="shared" si="168"/>
        <v>0</v>
      </c>
      <c r="AA281" s="65"/>
      <c r="AC281" s="71">
        <f t="shared" si="169"/>
        <v>0</v>
      </c>
      <c r="AD281" s="39"/>
      <c r="AE281" s="7"/>
      <c r="AF281" s="15"/>
      <c r="AG281" s="71" t="b">
        <f t="shared" si="170"/>
        <v>1</v>
      </c>
      <c r="AI281" s="71">
        <f t="shared" si="171"/>
        <v>0</v>
      </c>
      <c r="AJ281" s="39"/>
      <c r="AK281" s="15"/>
      <c r="AL281" s="71" t="b">
        <f t="shared" si="172"/>
        <v>1</v>
      </c>
      <c r="AN281" s="65"/>
    </row>
    <row r="282" spans="2:40" ht="13" customHeight="1">
      <c r="B282" s="119"/>
      <c r="C282" s="159">
        <f t="shared" si="164"/>
        <v>2026091</v>
      </c>
      <c r="D282" s="23">
        <v>10</v>
      </c>
      <c r="E282" s="128">
        <v>0</v>
      </c>
      <c r="F282" s="126" t="e">
        <f>VLOOKUP(E282,'Códigos bancos'!$B$4:$C$29,2,0)</f>
        <v>#N/A</v>
      </c>
      <c r="G282" s="36">
        <v>1</v>
      </c>
      <c r="H282" s="126" t="str">
        <f>VLOOKUP(G282,'Códigos bancos'!$F$4:$G$14,2,0)</f>
        <v>Oficinas</v>
      </c>
      <c r="I282" s="130"/>
      <c r="J282" s="174">
        <v>0</v>
      </c>
      <c r="K282" s="174">
        <v>0</v>
      </c>
      <c r="L282" s="174">
        <v>0</v>
      </c>
      <c r="M282" s="174">
        <v>0</v>
      </c>
      <c r="N282" s="174">
        <v>0</v>
      </c>
      <c r="O282" s="174">
        <v>0</v>
      </c>
      <c r="P282" s="174">
        <v>0</v>
      </c>
      <c r="Q282" s="174">
        <v>0</v>
      </c>
      <c r="R282" s="174">
        <v>0</v>
      </c>
      <c r="S282" s="215">
        <v>0</v>
      </c>
      <c r="T282" s="71">
        <f t="shared" si="165"/>
        <v>0</v>
      </c>
      <c r="U282" s="71">
        <f t="shared" si="166"/>
        <v>0</v>
      </c>
      <c r="V282" s="117">
        <v>0</v>
      </c>
      <c r="W282" s="117">
        <v>0</v>
      </c>
      <c r="X282" s="71">
        <f t="shared" si="167"/>
        <v>0</v>
      </c>
      <c r="Y282" s="71">
        <f t="shared" si="168"/>
        <v>0</v>
      </c>
      <c r="AA282" s="65"/>
      <c r="AC282" s="71">
        <f t="shared" si="169"/>
        <v>0</v>
      </c>
      <c r="AD282" s="39"/>
      <c r="AE282" s="7"/>
      <c r="AF282" s="15"/>
      <c r="AG282" s="71" t="b">
        <f t="shared" si="170"/>
        <v>1</v>
      </c>
      <c r="AI282" s="71">
        <f t="shared" si="171"/>
        <v>0</v>
      </c>
      <c r="AJ282" s="39"/>
      <c r="AK282" s="15"/>
      <c r="AL282" s="71" t="b">
        <f t="shared" si="172"/>
        <v>1</v>
      </c>
      <c r="AN282" s="65"/>
    </row>
    <row r="283" spans="2:40" ht="13" customHeight="1">
      <c r="B283" s="119"/>
      <c r="C283" s="159">
        <f t="shared" si="164"/>
        <v>2026091</v>
      </c>
      <c r="D283" s="23">
        <v>10</v>
      </c>
      <c r="E283" s="128">
        <v>0</v>
      </c>
      <c r="F283" s="126" t="e">
        <f>VLOOKUP(E283,'Códigos bancos'!$B$4:$C$29,2,0)</f>
        <v>#N/A</v>
      </c>
      <c r="G283" s="36">
        <v>1</v>
      </c>
      <c r="H283" s="126" t="str">
        <f>VLOOKUP(G283,'Códigos bancos'!$F$4:$G$14,2,0)</f>
        <v>Oficinas</v>
      </c>
      <c r="I283" s="130"/>
      <c r="J283" s="174">
        <v>0</v>
      </c>
      <c r="K283" s="174">
        <v>0</v>
      </c>
      <c r="L283" s="174">
        <v>0</v>
      </c>
      <c r="M283" s="174">
        <v>0</v>
      </c>
      <c r="N283" s="174">
        <v>0</v>
      </c>
      <c r="O283" s="174">
        <v>0</v>
      </c>
      <c r="P283" s="174">
        <v>0</v>
      </c>
      <c r="Q283" s="174">
        <v>0</v>
      </c>
      <c r="R283" s="174">
        <v>0</v>
      </c>
      <c r="S283" s="215">
        <v>0</v>
      </c>
      <c r="T283" s="71">
        <f t="shared" si="165"/>
        <v>0</v>
      </c>
      <c r="U283" s="71">
        <f t="shared" si="166"/>
        <v>0</v>
      </c>
      <c r="V283" s="117">
        <v>0</v>
      </c>
      <c r="W283" s="117">
        <v>0</v>
      </c>
      <c r="X283" s="71">
        <f t="shared" si="167"/>
        <v>0</v>
      </c>
      <c r="Y283" s="71">
        <f t="shared" si="168"/>
        <v>0</v>
      </c>
      <c r="AA283" s="65"/>
      <c r="AC283" s="71">
        <f t="shared" si="169"/>
        <v>0</v>
      </c>
      <c r="AD283" s="39"/>
      <c r="AE283" s="7"/>
      <c r="AF283" s="15"/>
      <c r="AG283" s="71" t="b">
        <f t="shared" si="170"/>
        <v>1</v>
      </c>
      <c r="AI283" s="71">
        <f t="shared" si="171"/>
        <v>0</v>
      </c>
      <c r="AJ283" s="39"/>
      <c r="AK283" s="15"/>
      <c r="AL283" s="71" t="b">
        <f t="shared" si="172"/>
        <v>1</v>
      </c>
      <c r="AN283" s="65"/>
    </row>
    <row r="284" spans="2:40" ht="13" customHeight="1">
      <c r="B284" s="119"/>
      <c r="C284" s="159">
        <f t="shared" ref="C284" si="173">IF(D284&lt;=15,$C$1,$C$2)</f>
        <v>2026091</v>
      </c>
      <c r="D284" s="23">
        <v>10</v>
      </c>
      <c r="E284" s="128">
        <v>0</v>
      </c>
      <c r="F284" s="126" t="e">
        <f>VLOOKUP(E284,'Códigos bancos'!$B$4:$C$29,2,0)</f>
        <v>#N/A</v>
      </c>
      <c r="G284" s="36">
        <v>1</v>
      </c>
      <c r="H284" s="126" t="str">
        <f>VLOOKUP(G284,'Códigos bancos'!$F$4:$G$14,2,0)</f>
        <v>Oficinas</v>
      </c>
      <c r="I284" s="130"/>
      <c r="J284" s="174">
        <v>0</v>
      </c>
      <c r="K284" s="174">
        <v>0</v>
      </c>
      <c r="L284" s="174">
        <v>0</v>
      </c>
      <c r="M284" s="174">
        <v>0</v>
      </c>
      <c r="N284" s="174">
        <v>0</v>
      </c>
      <c r="O284" s="174">
        <v>0</v>
      </c>
      <c r="P284" s="174">
        <v>0</v>
      </c>
      <c r="Q284" s="174">
        <v>0</v>
      </c>
      <c r="R284" s="174">
        <v>0</v>
      </c>
      <c r="S284" s="215">
        <v>0</v>
      </c>
      <c r="T284" s="71">
        <f t="shared" ref="T284" si="174">J284+L284+N284+P284+R284</f>
        <v>0</v>
      </c>
      <c r="U284" s="71">
        <f t="shared" ref="U284" si="175">K284+M284+O284+Q284+S284</f>
        <v>0</v>
      </c>
      <c r="V284" s="117">
        <v>0</v>
      </c>
      <c r="W284" s="117">
        <v>0</v>
      </c>
      <c r="X284" s="71">
        <f t="shared" ref="X284" si="176">V284-T284</f>
        <v>0</v>
      </c>
      <c r="Y284" s="71">
        <f t="shared" ref="Y284" si="177">W284-U284</f>
        <v>0</v>
      </c>
      <c r="AA284" s="65"/>
      <c r="AC284" s="71">
        <f t="shared" ref="AC284" si="178">X284</f>
        <v>0</v>
      </c>
      <c r="AD284" s="39"/>
      <c r="AE284" s="7"/>
      <c r="AF284" s="15"/>
      <c r="AG284" s="71" t="b">
        <f t="shared" ref="AG284" si="179">AC284=(AD284+AE284+AF284)</f>
        <v>1</v>
      </c>
      <c r="AI284" s="71">
        <f t="shared" ref="AI284" si="180">Y284</f>
        <v>0</v>
      </c>
      <c r="AJ284" s="39"/>
      <c r="AK284" s="15"/>
      <c r="AL284" s="71" t="b">
        <f t="shared" ref="AL284" si="181">AI284=(AJ284+AK284)</f>
        <v>1</v>
      </c>
      <c r="AN284" s="65"/>
    </row>
    <row r="285" spans="2:40" ht="13" customHeight="1">
      <c r="B285" s="119"/>
      <c r="C285" s="159">
        <f t="shared" si="164"/>
        <v>2026091</v>
      </c>
      <c r="D285" s="23">
        <v>10</v>
      </c>
      <c r="E285" s="128">
        <v>0</v>
      </c>
      <c r="F285" s="126" t="e">
        <f>VLOOKUP(E285,'Códigos bancos'!$B$4:$C$29,2,0)</f>
        <v>#N/A</v>
      </c>
      <c r="G285" s="36">
        <v>1</v>
      </c>
      <c r="H285" s="126" t="str">
        <f>VLOOKUP(G285,'Códigos bancos'!$F$4:$G$14,2,0)</f>
        <v>Oficinas</v>
      </c>
      <c r="I285" s="130"/>
      <c r="J285" s="174">
        <v>0</v>
      </c>
      <c r="K285" s="174">
        <v>0</v>
      </c>
      <c r="L285" s="174">
        <v>0</v>
      </c>
      <c r="M285" s="174">
        <v>0</v>
      </c>
      <c r="N285" s="174">
        <v>0</v>
      </c>
      <c r="O285" s="174">
        <v>0</v>
      </c>
      <c r="P285" s="174">
        <v>0</v>
      </c>
      <c r="Q285" s="174">
        <v>0</v>
      </c>
      <c r="R285" s="174">
        <v>0</v>
      </c>
      <c r="S285" s="215">
        <v>0</v>
      </c>
      <c r="T285" s="71">
        <f t="shared" si="165"/>
        <v>0</v>
      </c>
      <c r="U285" s="71">
        <f t="shared" si="166"/>
        <v>0</v>
      </c>
      <c r="V285" s="117">
        <v>0</v>
      </c>
      <c r="W285" s="117">
        <v>0</v>
      </c>
      <c r="X285" s="71">
        <f t="shared" si="167"/>
        <v>0</v>
      </c>
      <c r="Y285" s="71">
        <f t="shared" si="168"/>
        <v>0</v>
      </c>
      <c r="AA285" s="65"/>
      <c r="AC285" s="71">
        <f t="shared" si="169"/>
        <v>0</v>
      </c>
      <c r="AD285" s="39"/>
      <c r="AE285" s="7"/>
      <c r="AF285" s="15"/>
      <c r="AG285" s="71" t="b">
        <f t="shared" si="170"/>
        <v>1</v>
      </c>
      <c r="AI285" s="71">
        <f t="shared" si="171"/>
        <v>0</v>
      </c>
      <c r="AJ285" s="39"/>
      <c r="AK285" s="15"/>
      <c r="AL285" s="71" t="b">
        <f t="shared" si="172"/>
        <v>1</v>
      </c>
      <c r="AN285" s="65"/>
    </row>
    <row r="286" spans="2:40" ht="13" customHeight="1">
      <c r="B286" s="119"/>
      <c r="C286" s="23">
        <f t="shared" si="164"/>
        <v>2026091</v>
      </c>
      <c r="D286" s="23">
        <v>10</v>
      </c>
      <c r="E286" s="128">
        <v>0</v>
      </c>
      <c r="F286" s="126" t="e">
        <f>VLOOKUP(E286,'Códigos bancos'!$B$4:$C$29,2,0)</f>
        <v>#N/A</v>
      </c>
      <c r="G286" s="36">
        <v>1</v>
      </c>
      <c r="H286" s="126" t="str">
        <f>VLOOKUP(G286,'Códigos bancos'!$F$4:$G$14,2,0)</f>
        <v>Oficinas</v>
      </c>
      <c r="I286" s="130"/>
      <c r="J286" s="174">
        <v>0</v>
      </c>
      <c r="K286" s="174">
        <v>0</v>
      </c>
      <c r="L286" s="174">
        <v>0</v>
      </c>
      <c r="M286" s="174">
        <v>0</v>
      </c>
      <c r="N286" s="174">
        <v>0</v>
      </c>
      <c r="O286" s="174">
        <v>0</v>
      </c>
      <c r="P286" s="174">
        <v>0</v>
      </c>
      <c r="Q286" s="174">
        <v>0</v>
      </c>
      <c r="R286" s="174">
        <v>0</v>
      </c>
      <c r="S286" s="215">
        <v>0</v>
      </c>
      <c r="T286" s="71">
        <f t="shared" si="165"/>
        <v>0</v>
      </c>
      <c r="U286" s="71">
        <f t="shared" si="166"/>
        <v>0</v>
      </c>
      <c r="V286" s="117">
        <v>0</v>
      </c>
      <c r="W286" s="117">
        <v>0</v>
      </c>
      <c r="X286" s="71">
        <f t="shared" si="167"/>
        <v>0</v>
      </c>
      <c r="Y286" s="71">
        <f t="shared" si="168"/>
        <v>0</v>
      </c>
      <c r="AA286" s="65"/>
      <c r="AC286" s="71">
        <f t="shared" si="169"/>
        <v>0</v>
      </c>
      <c r="AD286" s="39"/>
      <c r="AE286" s="7"/>
      <c r="AF286" s="15"/>
      <c r="AG286" s="71" t="b">
        <f t="shared" si="170"/>
        <v>1</v>
      </c>
      <c r="AI286" s="71">
        <f t="shared" si="171"/>
        <v>0</v>
      </c>
      <c r="AJ286" s="39"/>
      <c r="AK286" s="15"/>
      <c r="AL286" s="71" t="b">
        <f t="shared" si="172"/>
        <v>1</v>
      </c>
      <c r="AN286" s="65"/>
    </row>
    <row r="287" spans="2:40" ht="13" customHeight="1">
      <c r="B287" s="119"/>
      <c r="C287" s="23">
        <f t="shared" si="164"/>
        <v>2026091</v>
      </c>
      <c r="D287" s="23">
        <v>10</v>
      </c>
      <c r="E287" s="128">
        <v>0</v>
      </c>
      <c r="F287" s="126" t="e">
        <f>VLOOKUP(E287,'Códigos bancos'!$B$4:$C$29,2,0)</f>
        <v>#N/A</v>
      </c>
      <c r="G287" s="36">
        <v>1</v>
      </c>
      <c r="H287" s="126" t="str">
        <f>VLOOKUP(G287,'Códigos bancos'!$F$4:$G$14,2,0)</f>
        <v>Oficinas</v>
      </c>
      <c r="I287" s="130"/>
      <c r="J287" s="174">
        <v>0</v>
      </c>
      <c r="K287" s="174">
        <v>0</v>
      </c>
      <c r="L287" s="174">
        <v>0</v>
      </c>
      <c r="M287" s="174">
        <v>0</v>
      </c>
      <c r="N287" s="174">
        <v>0</v>
      </c>
      <c r="O287" s="174">
        <v>0</v>
      </c>
      <c r="P287" s="174">
        <v>0</v>
      </c>
      <c r="Q287" s="174">
        <v>0</v>
      </c>
      <c r="R287" s="174">
        <v>0</v>
      </c>
      <c r="S287" s="215">
        <v>0</v>
      </c>
      <c r="T287" s="71">
        <f t="shared" si="165"/>
        <v>0</v>
      </c>
      <c r="U287" s="71">
        <f t="shared" si="166"/>
        <v>0</v>
      </c>
      <c r="V287" s="117">
        <v>0</v>
      </c>
      <c r="W287" s="117">
        <v>0</v>
      </c>
      <c r="X287" s="71">
        <f t="shared" si="167"/>
        <v>0</v>
      </c>
      <c r="Y287" s="71">
        <f t="shared" si="168"/>
        <v>0</v>
      </c>
      <c r="AA287" s="65"/>
      <c r="AC287" s="71">
        <f t="shared" si="169"/>
        <v>0</v>
      </c>
      <c r="AD287" s="39"/>
      <c r="AE287" s="7"/>
      <c r="AF287" s="15"/>
      <c r="AG287" s="71" t="b">
        <f t="shared" si="170"/>
        <v>1</v>
      </c>
      <c r="AI287" s="71"/>
      <c r="AJ287" s="39"/>
      <c r="AK287" s="15"/>
      <c r="AL287" s="71" t="b">
        <f t="shared" si="172"/>
        <v>1</v>
      </c>
      <c r="AN287" s="65"/>
    </row>
    <row r="288" spans="2:40" ht="13" customHeight="1">
      <c r="B288" s="119"/>
      <c r="C288" s="23">
        <f t="shared" si="164"/>
        <v>2026091</v>
      </c>
      <c r="D288" s="23">
        <v>10</v>
      </c>
      <c r="E288" s="128">
        <v>0</v>
      </c>
      <c r="F288" s="126" t="e">
        <f>VLOOKUP(E288,'Códigos bancos'!$B$4:$C$29,2,0)</f>
        <v>#N/A</v>
      </c>
      <c r="G288" s="36">
        <v>1</v>
      </c>
      <c r="H288" s="126" t="str">
        <f>VLOOKUP(G288,'Códigos bancos'!$F$4:$G$14,2,0)</f>
        <v>Oficinas</v>
      </c>
      <c r="I288" s="130"/>
      <c r="J288" s="174">
        <v>0</v>
      </c>
      <c r="K288" s="174">
        <v>0</v>
      </c>
      <c r="L288" s="174">
        <v>0</v>
      </c>
      <c r="M288" s="174">
        <v>0</v>
      </c>
      <c r="N288" s="174">
        <v>0</v>
      </c>
      <c r="O288" s="174">
        <v>0</v>
      </c>
      <c r="P288" s="174">
        <v>0</v>
      </c>
      <c r="Q288" s="174">
        <v>0</v>
      </c>
      <c r="R288" s="174">
        <v>0</v>
      </c>
      <c r="S288" s="215">
        <v>0</v>
      </c>
      <c r="T288" s="71">
        <f t="shared" si="165"/>
        <v>0</v>
      </c>
      <c r="U288" s="71">
        <f t="shared" si="166"/>
        <v>0</v>
      </c>
      <c r="V288" s="117">
        <v>0</v>
      </c>
      <c r="W288" s="117">
        <v>0</v>
      </c>
      <c r="X288" s="71">
        <f t="shared" si="167"/>
        <v>0</v>
      </c>
      <c r="Y288" s="71">
        <f t="shared" si="168"/>
        <v>0</v>
      </c>
      <c r="AA288" s="65"/>
      <c r="AC288" s="71">
        <f t="shared" si="169"/>
        <v>0</v>
      </c>
      <c r="AD288" s="39"/>
      <c r="AE288" s="7"/>
      <c r="AF288" s="15"/>
      <c r="AG288" s="71" t="b">
        <f t="shared" si="170"/>
        <v>1</v>
      </c>
      <c r="AI288" s="71">
        <f>Y288</f>
        <v>0</v>
      </c>
      <c r="AJ288" s="39"/>
      <c r="AK288" s="15"/>
      <c r="AL288" s="71" t="b">
        <f t="shared" si="172"/>
        <v>1</v>
      </c>
      <c r="AN288" s="65"/>
    </row>
    <row r="289" spans="2:40 16128:16147" ht="13" customHeight="1" thickBot="1">
      <c r="B289" s="119"/>
      <c r="C289" s="159">
        <f t="shared" si="164"/>
        <v>2026091</v>
      </c>
      <c r="D289" s="23">
        <v>10</v>
      </c>
      <c r="E289" s="128">
        <v>0</v>
      </c>
      <c r="F289" s="126" t="e">
        <f>VLOOKUP(E289,'Códigos bancos'!$B$4:$C$29,2,0)</f>
        <v>#N/A</v>
      </c>
      <c r="G289" s="36">
        <v>1</v>
      </c>
      <c r="H289" s="126" t="str">
        <f>VLOOKUP(G289,'Códigos bancos'!$F$4:$G$14,2,0)</f>
        <v>Oficinas</v>
      </c>
      <c r="I289" s="130"/>
      <c r="J289" s="174">
        <v>0</v>
      </c>
      <c r="K289" s="174">
        <v>0</v>
      </c>
      <c r="L289" s="174">
        <v>0</v>
      </c>
      <c r="M289" s="174">
        <v>0</v>
      </c>
      <c r="N289" s="174">
        <v>0</v>
      </c>
      <c r="O289" s="174">
        <v>0</v>
      </c>
      <c r="P289" s="174">
        <v>0</v>
      </c>
      <c r="Q289" s="174">
        <v>0</v>
      </c>
      <c r="R289" s="174">
        <v>0</v>
      </c>
      <c r="S289" s="215">
        <v>0</v>
      </c>
      <c r="T289" s="71">
        <f t="shared" si="165"/>
        <v>0</v>
      </c>
      <c r="U289" s="71">
        <f t="shared" si="166"/>
        <v>0</v>
      </c>
      <c r="V289" s="117">
        <v>0</v>
      </c>
      <c r="W289" s="117">
        <v>0</v>
      </c>
      <c r="X289" s="71">
        <f t="shared" si="167"/>
        <v>0</v>
      </c>
      <c r="Y289" s="71">
        <f t="shared" si="168"/>
        <v>0</v>
      </c>
      <c r="AA289" s="65"/>
      <c r="AC289" s="71">
        <f t="shared" si="169"/>
        <v>0</v>
      </c>
      <c r="AD289" s="39"/>
      <c r="AE289" s="7"/>
      <c r="AF289" s="15"/>
      <c r="AG289" s="71" t="b">
        <f t="shared" si="170"/>
        <v>1</v>
      </c>
      <c r="AI289" s="71">
        <f t="shared" si="171"/>
        <v>0</v>
      </c>
      <c r="AJ289" s="39"/>
      <c r="AK289" s="15"/>
      <c r="AL289" s="71" t="b">
        <f t="shared" si="172"/>
        <v>1</v>
      </c>
      <c r="AN289" s="65"/>
    </row>
    <row r="290" spans="2:40 16128:16147" ht="13" customHeight="1" thickBot="1">
      <c r="E290" s="120" t="s">
        <v>0</v>
      </c>
      <c r="F290" s="121" t="s">
        <v>53</v>
      </c>
      <c r="G290" s="121"/>
      <c r="H290" s="121"/>
      <c r="I290" s="121"/>
      <c r="J290" s="122">
        <f t="shared" ref="J290:Y290" si="182">SUM(J265:J289)</f>
        <v>0</v>
      </c>
      <c r="K290" s="122">
        <f t="shared" si="182"/>
        <v>0</v>
      </c>
      <c r="L290" s="122">
        <f t="shared" si="182"/>
        <v>0</v>
      </c>
      <c r="M290" s="122">
        <f t="shared" si="182"/>
        <v>0</v>
      </c>
      <c r="N290" s="122">
        <f t="shared" si="182"/>
        <v>0</v>
      </c>
      <c r="O290" s="122">
        <f t="shared" si="182"/>
        <v>0</v>
      </c>
      <c r="P290" s="122">
        <f t="shared" si="182"/>
        <v>0</v>
      </c>
      <c r="Q290" s="122">
        <f t="shared" si="182"/>
        <v>0</v>
      </c>
      <c r="R290" s="122">
        <f t="shared" si="182"/>
        <v>199</v>
      </c>
      <c r="S290" s="122">
        <f t="shared" si="182"/>
        <v>9984190</v>
      </c>
      <c r="T290" s="122">
        <f t="shared" si="182"/>
        <v>199</v>
      </c>
      <c r="U290" s="122">
        <f t="shared" si="182"/>
        <v>9984190</v>
      </c>
      <c r="V290" s="123">
        <f t="shared" si="182"/>
        <v>199</v>
      </c>
      <c r="W290" s="123">
        <f t="shared" si="182"/>
        <v>9984190</v>
      </c>
      <c r="X290" s="122">
        <f t="shared" si="182"/>
        <v>0</v>
      </c>
      <c r="Y290" s="123">
        <f t="shared" si="182"/>
        <v>0</v>
      </c>
      <c r="AA290" s="65"/>
      <c r="AC290" s="122">
        <f>SUM(AC265:AC289)</f>
        <v>0</v>
      </c>
      <c r="AD290" s="122">
        <f>SUM(AD265:AD289)</f>
        <v>0</v>
      </c>
      <c r="AE290" s="122">
        <f>SUM(AE265:AE289)</f>
        <v>0</v>
      </c>
      <c r="AF290" s="123">
        <f>SUM(AF265:AF289)</f>
        <v>0</v>
      </c>
      <c r="AG290" s="100"/>
      <c r="AI290" s="122">
        <f>SUM(AI265:AI289)</f>
        <v>0</v>
      </c>
      <c r="AJ290" s="122">
        <f>SUM(AJ265:AJ289)</f>
        <v>0</v>
      </c>
      <c r="AK290" s="123">
        <f>SUM(AK265:AK289)</f>
        <v>0</v>
      </c>
      <c r="AL290" s="100"/>
      <c r="AN290" s="65"/>
    </row>
    <row r="291" spans="2:40 16128:16147" ht="13" thickBot="1">
      <c r="AA291" s="65"/>
      <c r="AN291" s="65"/>
    </row>
    <row r="292" spans="2:40 16128:16147" ht="41.25" customHeight="1" thickBot="1">
      <c r="B292" s="112" t="s">
        <v>4</v>
      </c>
      <c r="C292" s="157" t="s">
        <v>6</v>
      </c>
      <c r="D292" s="34" t="s">
        <v>7</v>
      </c>
      <c r="E292" s="34" t="s">
        <v>49</v>
      </c>
      <c r="F292" s="34" t="s">
        <v>50</v>
      </c>
      <c r="G292" s="34" t="s">
        <v>51</v>
      </c>
      <c r="H292" s="34" t="s">
        <v>52</v>
      </c>
      <c r="I292" s="34" t="s">
        <v>13</v>
      </c>
      <c r="J292" s="12" t="s">
        <v>8</v>
      </c>
      <c r="K292" s="12" t="s">
        <v>36</v>
      </c>
      <c r="L292" s="12" t="s">
        <v>9</v>
      </c>
      <c r="M292" s="12" t="s">
        <v>37</v>
      </c>
      <c r="N292" s="87" t="s">
        <v>10</v>
      </c>
      <c r="O292" s="88" t="s">
        <v>38</v>
      </c>
      <c r="P292" s="87" t="s">
        <v>11</v>
      </c>
      <c r="Q292" s="88" t="s">
        <v>39</v>
      </c>
      <c r="R292" s="87" t="s">
        <v>12</v>
      </c>
      <c r="S292" s="88" t="s">
        <v>40</v>
      </c>
      <c r="T292" s="64" t="s">
        <v>41</v>
      </c>
      <c r="U292" s="64" t="s">
        <v>42</v>
      </c>
      <c r="V292" s="35" t="s">
        <v>32</v>
      </c>
      <c r="W292" s="67" t="s">
        <v>35</v>
      </c>
      <c r="X292" s="12" t="s">
        <v>34</v>
      </c>
      <c r="Y292" s="68" t="s">
        <v>33</v>
      </c>
      <c r="AA292" s="66"/>
      <c r="AC292" s="12" t="s">
        <v>34</v>
      </c>
      <c r="AD292" s="12" t="s">
        <v>45</v>
      </c>
      <c r="AE292" s="12" t="s">
        <v>43</v>
      </c>
      <c r="AF292" s="12" t="s">
        <v>44</v>
      </c>
      <c r="AG292" s="12" t="s">
        <v>46</v>
      </c>
      <c r="AI292" s="12" t="s">
        <v>33</v>
      </c>
      <c r="AJ292" s="12" t="s">
        <v>47</v>
      </c>
      <c r="AK292" s="12" t="s">
        <v>48</v>
      </c>
      <c r="AL292" s="12" t="s">
        <v>46</v>
      </c>
      <c r="AN292" s="66"/>
      <c r="WVH292" s="1"/>
      <c r="WVI292" s="1"/>
      <c r="WVZ292"/>
      <c r="WWA292"/>
    </row>
    <row r="293" spans="2:40 16128:16147" ht="13" customHeight="1">
      <c r="B293" s="119" t="s">
        <v>76</v>
      </c>
      <c r="C293" s="158">
        <f>IF(D293&lt;=15,$C$1,$C$2)</f>
        <v>2026091</v>
      </c>
      <c r="D293" s="24">
        <v>11</v>
      </c>
      <c r="E293" s="127">
        <v>20</v>
      </c>
      <c r="F293" s="125" t="str">
        <f>VLOOKUP(E293,'Códigos bancos'!$B$4:$C$29,2,0)</f>
        <v>Bancolombia ENERBIT</v>
      </c>
      <c r="G293" s="18">
        <v>1</v>
      </c>
      <c r="H293" s="125" t="str">
        <f>VLOOKUP(G293,'Códigos bancos'!$F$4:$G$14,2,0)</f>
        <v>Oficinas</v>
      </c>
      <c r="I293" s="129"/>
      <c r="J293" s="213">
        <v>0</v>
      </c>
      <c r="K293" s="213">
        <v>0</v>
      </c>
      <c r="L293" s="213">
        <v>0</v>
      </c>
      <c r="M293" s="213">
        <v>0</v>
      </c>
      <c r="N293" s="213">
        <v>0</v>
      </c>
      <c r="O293" s="213">
        <v>0</v>
      </c>
      <c r="P293" s="213">
        <v>0</v>
      </c>
      <c r="Q293" s="213">
        <v>0</v>
      </c>
      <c r="R293" s="174">
        <v>190</v>
      </c>
      <c r="S293" s="215">
        <v>9005030</v>
      </c>
      <c r="T293" s="70">
        <f>J293+L293+N293+P293+R293</f>
        <v>190</v>
      </c>
      <c r="U293" s="70">
        <f>K293+M293+O293+Q293+S293</f>
        <v>9005030</v>
      </c>
      <c r="V293" s="174">
        <v>190</v>
      </c>
      <c r="W293" s="215">
        <v>9005030</v>
      </c>
      <c r="X293" s="70">
        <f>V293-T293</f>
        <v>0</v>
      </c>
      <c r="Y293" s="70">
        <f>W293-U293</f>
        <v>0</v>
      </c>
      <c r="AA293" s="65"/>
      <c r="AC293" s="124">
        <f>X293</f>
        <v>0</v>
      </c>
      <c r="AD293" s="115"/>
      <c r="AE293" s="16"/>
      <c r="AF293" s="114"/>
      <c r="AG293" s="124" t="b">
        <f>AC293=(AD293+AE293+AF293)</f>
        <v>1</v>
      </c>
      <c r="AI293" s="70">
        <f>Y293</f>
        <v>0</v>
      </c>
      <c r="AJ293" s="115"/>
      <c r="AK293" s="114"/>
      <c r="AL293" s="70" t="b">
        <f>AI293=(AJ293+AK293)</f>
        <v>1</v>
      </c>
      <c r="AN293" s="65"/>
    </row>
    <row r="294" spans="2:40 16128:16147" ht="13.5" customHeight="1">
      <c r="B294" s="119"/>
      <c r="C294" s="159">
        <f t="shared" ref="C294:C317" si="183">IF(D294&lt;=15,$C$1,$C$2)</f>
        <v>2026091</v>
      </c>
      <c r="D294" s="23">
        <v>11</v>
      </c>
      <c r="E294" s="128">
        <v>0</v>
      </c>
      <c r="F294" s="126" t="e">
        <f>VLOOKUP(E294,'Códigos bancos'!$B$4:$C$29,2,0)</f>
        <v>#N/A</v>
      </c>
      <c r="G294" s="36">
        <v>1</v>
      </c>
      <c r="H294" s="126" t="str">
        <f>VLOOKUP(G294,'Códigos bancos'!$F$4:$G$14,2,0)</f>
        <v>Oficinas</v>
      </c>
      <c r="I294" s="130"/>
      <c r="J294" s="174">
        <v>0</v>
      </c>
      <c r="K294" s="174">
        <v>0</v>
      </c>
      <c r="L294" s="174">
        <v>0</v>
      </c>
      <c r="M294" s="174">
        <v>0</v>
      </c>
      <c r="N294" s="174">
        <v>0</v>
      </c>
      <c r="O294" s="174">
        <v>0</v>
      </c>
      <c r="P294" s="174">
        <v>0</v>
      </c>
      <c r="Q294" s="174">
        <v>0</v>
      </c>
      <c r="R294" s="174">
        <v>0</v>
      </c>
      <c r="S294" s="215">
        <v>0</v>
      </c>
      <c r="T294" s="71">
        <f t="shared" ref="T294:T317" si="184">J294+L294+N294+P294+R294</f>
        <v>0</v>
      </c>
      <c r="U294" s="71">
        <f t="shared" ref="U294:U317" si="185">K294+M294+O294+Q294+S294</f>
        <v>0</v>
      </c>
      <c r="V294" s="117">
        <v>0</v>
      </c>
      <c r="W294" s="117">
        <v>0</v>
      </c>
      <c r="X294" s="71">
        <f t="shared" ref="X294:X317" si="186">V294-T294</f>
        <v>0</v>
      </c>
      <c r="Y294" s="71">
        <f t="shared" ref="Y294:Y317" si="187">W294-U294</f>
        <v>0</v>
      </c>
      <c r="AA294" s="65"/>
      <c r="AC294" s="71">
        <f t="shared" ref="AC294:AC317" si="188">X294</f>
        <v>0</v>
      </c>
      <c r="AD294" s="39"/>
      <c r="AE294" s="7"/>
      <c r="AF294" s="15"/>
      <c r="AG294" s="71" t="b">
        <f t="shared" ref="AG294:AG317" si="189">AC294=(AD294+AE294+AF294)</f>
        <v>1</v>
      </c>
      <c r="AI294" s="71">
        <f t="shared" ref="AI294:AI317" si="190">Y294</f>
        <v>0</v>
      </c>
      <c r="AJ294" s="39"/>
      <c r="AK294" s="15"/>
      <c r="AL294" s="71" t="b">
        <f t="shared" ref="AL294:AL317" si="191">AI294=(AJ294+AK294)</f>
        <v>1</v>
      </c>
      <c r="AN294" s="65"/>
    </row>
    <row r="295" spans="2:40 16128:16147" ht="13" customHeight="1">
      <c r="B295" s="119"/>
      <c r="C295" s="159">
        <f t="shared" si="183"/>
        <v>2026091</v>
      </c>
      <c r="D295" s="23">
        <v>11</v>
      </c>
      <c r="E295" s="128">
        <v>0</v>
      </c>
      <c r="F295" s="126" t="e">
        <f>VLOOKUP(E295,'Códigos bancos'!$B$4:$C$29,2,0)</f>
        <v>#N/A</v>
      </c>
      <c r="G295" s="36">
        <v>1</v>
      </c>
      <c r="H295" s="126" t="str">
        <f>VLOOKUP(G295,'Códigos bancos'!$F$4:$G$14,2,0)</f>
        <v>Oficinas</v>
      </c>
      <c r="I295" s="130"/>
      <c r="J295" s="174">
        <v>0</v>
      </c>
      <c r="K295" s="174">
        <v>0</v>
      </c>
      <c r="L295" s="174">
        <v>0</v>
      </c>
      <c r="M295" s="174">
        <v>0</v>
      </c>
      <c r="N295" s="174">
        <v>0</v>
      </c>
      <c r="O295" s="174">
        <v>0</v>
      </c>
      <c r="P295" s="174">
        <v>0</v>
      </c>
      <c r="Q295" s="174">
        <v>0</v>
      </c>
      <c r="R295" s="174">
        <v>0</v>
      </c>
      <c r="S295" s="215">
        <v>0</v>
      </c>
      <c r="T295" s="71">
        <f t="shared" si="184"/>
        <v>0</v>
      </c>
      <c r="U295" s="71">
        <f t="shared" si="185"/>
        <v>0</v>
      </c>
      <c r="V295" s="117">
        <v>0</v>
      </c>
      <c r="W295" s="117">
        <v>0</v>
      </c>
      <c r="X295" s="71">
        <f t="shared" si="186"/>
        <v>0</v>
      </c>
      <c r="Y295" s="71">
        <f t="shared" si="187"/>
        <v>0</v>
      </c>
      <c r="AA295" s="65"/>
      <c r="AC295" s="71">
        <f t="shared" si="188"/>
        <v>0</v>
      </c>
      <c r="AD295" s="45"/>
      <c r="AE295" s="14"/>
      <c r="AF295" s="46"/>
      <c r="AG295" s="71" t="b">
        <f t="shared" si="189"/>
        <v>1</v>
      </c>
      <c r="AI295" s="71">
        <f t="shared" si="190"/>
        <v>0</v>
      </c>
      <c r="AJ295" s="45"/>
      <c r="AK295" s="46"/>
      <c r="AL295" s="71" t="b">
        <f t="shared" si="191"/>
        <v>1</v>
      </c>
      <c r="AN295" s="65"/>
    </row>
    <row r="296" spans="2:40 16128:16147" ht="13" customHeight="1">
      <c r="B296" s="119"/>
      <c r="C296" s="159">
        <f t="shared" si="183"/>
        <v>2026091</v>
      </c>
      <c r="D296" s="23">
        <v>11</v>
      </c>
      <c r="E296" s="128">
        <v>0</v>
      </c>
      <c r="F296" s="126" t="e">
        <f>VLOOKUP(E296,'Códigos bancos'!$B$4:$C$29,2,0)</f>
        <v>#N/A</v>
      </c>
      <c r="G296" s="36">
        <v>1</v>
      </c>
      <c r="H296" s="126" t="str">
        <f>VLOOKUP(G296,'Códigos bancos'!$F$4:$G$14,2,0)</f>
        <v>Oficinas</v>
      </c>
      <c r="I296" s="130"/>
      <c r="J296" s="174">
        <v>0</v>
      </c>
      <c r="K296" s="174">
        <v>0</v>
      </c>
      <c r="L296" s="174">
        <v>0</v>
      </c>
      <c r="M296" s="174">
        <v>0</v>
      </c>
      <c r="N296" s="174">
        <v>0</v>
      </c>
      <c r="O296" s="174">
        <v>0</v>
      </c>
      <c r="P296" s="174">
        <v>0</v>
      </c>
      <c r="Q296" s="174">
        <v>0</v>
      </c>
      <c r="R296" s="174">
        <v>0</v>
      </c>
      <c r="S296" s="215">
        <v>0</v>
      </c>
      <c r="T296" s="71">
        <f t="shared" si="184"/>
        <v>0</v>
      </c>
      <c r="U296" s="71">
        <f t="shared" si="185"/>
        <v>0</v>
      </c>
      <c r="V296" s="117">
        <v>0</v>
      </c>
      <c r="W296" s="117">
        <v>0</v>
      </c>
      <c r="X296" s="71">
        <f t="shared" si="186"/>
        <v>0</v>
      </c>
      <c r="Y296" s="71">
        <f t="shared" si="187"/>
        <v>0</v>
      </c>
      <c r="AA296" s="65"/>
      <c r="AC296" s="71">
        <f t="shared" si="188"/>
        <v>0</v>
      </c>
      <c r="AD296" s="39"/>
      <c r="AE296" s="7"/>
      <c r="AF296" s="15"/>
      <c r="AG296" s="71" t="b">
        <f t="shared" si="189"/>
        <v>1</v>
      </c>
      <c r="AI296" s="71">
        <f t="shared" si="190"/>
        <v>0</v>
      </c>
      <c r="AJ296" s="39"/>
      <c r="AK296" s="15"/>
      <c r="AL296" s="71" t="b">
        <f t="shared" si="191"/>
        <v>1</v>
      </c>
      <c r="AN296" s="65"/>
    </row>
    <row r="297" spans="2:40 16128:16147" ht="13" customHeight="1">
      <c r="B297" s="119"/>
      <c r="C297" s="159">
        <f t="shared" si="183"/>
        <v>2026091</v>
      </c>
      <c r="D297" s="23">
        <v>11</v>
      </c>
      <c r="E297" s="128">
        <v>0</v>
      </c>
      <c r="F297" s="126" t="e">
        <f>VLOOKUP(E297,'Códigos bancos'!$B$4:$C$29,2,0)</f>
        <v>#N/A</v>
      </c>
      <c r="G297" s="36">
        <v>1</v>
      </c>
      <c r="H297" s="126" t="str">
        <f>VLOOKUP(G297,'Códigos bancos'!$F$4:$G$14,2,0)</f>
        <v>Oficinas</v>
      </c>
      <c r="I297" s="130"/>
      <c r="J297" s="174">
        <v>0</v>
      </c>
      <c r="K297" s="174">
        <v>0</v>
      </c>
      <c r="L297" s="174">
        <v>0</v>
      </c>
      <c r="M297" s="174">
        <v>0</v>
      </c>
      <c r="N297" s="174">
        <v>0</v>
      </c>
      <c r="O297" s="174">
        <v>0</v>
      </c>
      <c r="P297" s="174">
        <v>0</v>
      </c>
      <c r="Q297" s="174">
        <v>0</v>
      </c>
      <c r="R297" s="174">
        <v>0</v>
      </c>
      <c r="S297" s="215">
        <v>0</v>
      </c>
      <c r="T297" s="71">
        <f t="shared" si="184"/>
        <v>0</v>
      </c>
      <c r="U297" s="71">
        <f t="shared" si="185"/>
        <v>0</v>
      </c>
      <c r="V297" s="117">
        <v>0</v>
      </c>
      <c r="W297" s="117">
        <v>0</v>
      </c>
      <c r="X297" s="71">
        <f t="shared" si="186"/>
        <v>0</v>
      </c>
      <c r="Y297" s="71">
        <f t="shared" si="187"/>
        <v>0</v>
      </c>
      <c r="AA297" s="65"/>
      <c r="AC297" s="71">
        <f t="shared" si="188"/>
        <v>0</v>
      </c>
      <c r="AD297" s="39"/>
      <c r="AE297" s="7"/>
      <c r="AF297" s="15"/>
      <c r="AG297" s="71" t="b">
        <f t="shared" si="189"/>
        <v>1</v>
      </c>
      <c r="AI297" s="71">
        <f t="shared" si="190"/>
        <v>0</v>
      </c>
      <c r="AJ297" s="39"/>
      <c r="AK297" s="15"/>
      <c r="AL297" s="71" t="b">
        <f t="shared" si="191"/>
        <v>1</v>
      </c>
      <c r="AN297" s="65"/>
    </row>
    <row r="298" spans="2:40 16128:16147" ht="12.75" customHeight="1">
      <c r="B298" s="119"/>
      <c r="C298" s="159">
        <f t="shared" si="183"/>
        <v>2026091</v>
      </c>
      <c r="D298" s="23">
        <v>11</v>
      </c>
      <c r="E298" s="128">
        <v>0</v>
      </c>
      <c r="F298" s="126" t="e">
        <f>VLOOKUP(E298,'Códigos bancos'!$B$4:$C$29,2,0)</f>
        <v>#N/A</v>
      </c>
      <c r="G298" s="36">
        <v>1</v>
      </c>
      <c r="H298" s="126" t="str">
        <f>VLOOKUP(G298,'Códigos bancos'!$F$4:$G$14,2,0)</f>
        <v>Oficinas</v>
      </c>
      <c r="I298" s="130"/>
      <c r="J298" s="174">
        <v>0</v>
      </c>
      <c r="K298" s="174">
        <v>0</v>
      </c>
      <c r="L298" s="174">
        <v>0</v>
      </c>
      <c r="M298" s="174">
        <v>0</v>
      </c>
      <c r="N298" s="174">
        <v>0</v>
      </c>
      <c r="O298" s="174">
        <v>0</v>
      </c>
      <c r="P298" s="174">
        <v>0</v>
      </c>
      <c r="Q298" s="174">
        <v>0</v>
      </c>
      <c r="R298" s="174">
        <v>0</v>
      </c>
      <c r="S298" s="215">
        <v>0</v>
      </c>
      <c r="T298" s="71">
        <f t="shared" si="184"/>
        <v>0</v>
      </c>
      <c r="U298" s="71">
        <f t="shared" si="185"/>
        <v>0</v>
      </c>
      <c r="V298" s="117">
        <v>0</v>
      </c>
      <c r="W298" s="117">
        <v>0</v>
      </c>
      <c r="X298" s="71">
        <f t="shared" si="186"/>
        <v>0</v>
      </c>
      <c r="Y298" s="71">
        <f t="shared" si="187"/>
        <v>0</v>
      </c>
      <c r="AA298" s="65"/>
      <c r="AC298" s="71">
        <f t="shared" si="188"/>
        <v>0</v>
      </c>
      <c r="AD298" s="39"/>
      <c r="AE298" s="7"/>
      <c r="AF298" s="15"/>
      <c r="AG298" s="71" t="b">
        <f t="shared" si="189"/>
        <v>1</v>
      </c>
      <c r="AI298" s="71">
        <f t="shared" si="190"/>
        <v>0</v>
      </c>
      <c r="AJ298" s="39"/>
      <c r="AK298" s="15"/>
      <c r="AL298" s="71" t="b">
        <f t="shared" si="191"/>
        <v>1</v>
      </c>
      <c r="AN298" s="65"/>
    </row>
    <row r="299" spans="2:40 16128:16147" ht="13" customHeight="1">
      <c r="B299" s="119"/>
      <c r="C299" s="159">
        <f t="shared" si="183"/>
        <v>2026091</v>
      </c>
      <c r="D299" s="23">
        <v>11</v>
      </c>
      <c r="E299" s="128">
        <v>0</v>
      </c>
      <c r="F299" s="126" t="e">
        <f>VLOOKUP(E299,'Códigos bancos'!$B$4:$C$29,2,0)</f>
        <v>#N/A</v>
      </c>
      <c r="G299" s="36">
        <v>1</v>
      </c>
      <c r="H299" s="126" t="str">
        <f>VLOOKUP(G299,'Códigos bancos'!$F$4:$G$14,2,0)</f>
        <v>Oficinas</v>
      </c>
      <c r="I299" s="130"/>
      <c r="J299" s="174">
        <v>0</v>
      </c>
      <c r="K299" s="174">
        <v>0</v>
      </c>
      <c r="L299" s="174">
        <v>0</v>
      </c>
      <c r="M299" s="174">
        <v>0</v>
      </c>
      <c r="N299" s="174">
        <v>0</v>
      </c>
      <c r="O299" s="174">
        <v>0</v>
      </c>
      <c r="P299" s="174">
        <v>0</v>
      </c>
      <c r="Q299" s="174">
        <v>0</v>
      </c>
      <c r="R299" s="174">
        <v>0</v>
      </c>
      <c r="S299" s="215">
        <v>0</v>
      </c>
      <c r="T299" s="71">
        <f t="shared" si="184"/>
        <v>0</v>
      </c>
      <c r="U299" s="71">
        <f t="shared" si="185"/>
        <v>0</v>
      </c>
      <c r="V299" s="117">
        <v>0</v>
      </c>
      <c r="W299" s="117">
        <v>0</v>
      </c>
      <c r="X299" s="71">
        <f t="shared" si="186"/>
        <v>0</v>
      </c>
      <c r="Y299" s="71">
        <f t="shared" si="187"/>
        <v>0</v>
      </c>
      <c r="AA299" s="65"/>
      <c r="AC299" s="71">
        <f t="shared" si="188"/>
        <v>0</v>
      </c>
      <c r="AD299" s="39"/>
      <c r="AE299" s="7"/>
      <c r="AF299" s="15"/>
      <c r="AG299" s="71" t="b">
        <f t="shared" si="189"/>
        <v>1</v>
      </c>
      <c r="AI299" s="71">
        <f t="shared" si="190"/>
        <v>0</v>
      </c>
      <c r="AJ299" s="39"/>
      <c r="AK299" s="15"/>
      <c r="AL299" s="71" t="b">
        <f t="shared" si="191"/>
        <v>1</v>
      </c>
      <c r="AN299" s="65"/>
    </row>
    <row r="300" spans="2:40 16128:16147" ht="13" customHeight="1">
      <c r="B300" s="119"/>
      <c r="C300" s="159">
        <f t="shared" si="183"/>
        <v>2026091</v>
      </c>
      <c r="D300" s="23">
        <v>11</v>
      </c>
      <c r="E300" s="128">
        <v>0</v>
      </c>
      <c r="F300" s="126" t="e">
        <f>VLOOKUP(E300,'Códigos bancos'!$B$4:$C$29,2,0)</f>
        <v>#N/A</v>
      </c>
      <c r="G300" s="36">
        <v>1</v>
      </c>
      <c r="H300" s="126" t="str">
        <f>VLOOKUP(G300,'Códigos bancos'!$F$4:$G$14,2,0)</f>
        <v>Oficinas</v>
      </c>
      <c r="I300" s="130"/>
      <c r="J300" s="174">
        <v>0</v>
      </c>
      <c r="K300" s="174">
        <v>0</v>
      </c>
      <c r="L300" s="174">
        <v>0</v>
      </c>
      <c r="M300" s="174">
        <v>0</v>
      </c>
      <c r="N300" s="174">
        <v>0</v>
      </c>
      <c r="O300" s="174">
        <v>0</v>
      </c>
      <c r="P300" s="174">
        <v>0</v>
      </c>
      <c r="Q300" s="174">
        <v>0</v>
      </c>
      <c r="R300" s="174">
        <v>0</v>
      </c>
      <c r="S300" s="215">
        <v>0</v>
      </c>
      <c r="T300" s="71">
        <f t="shared" si="184"/>
        <v>0</v>
      </c>
      <c r="U300" s="71">
        <f t="shared" si="185"/>
        <v>0</v>
      </c>
      <c r="V300" s="117">
        <v>0</v>
      </c>
      <c r="W300" s="117">
        <v>0</v>
      </c>
      <c r="X300" s="71">
        <f t="shared" si="186"/>
        <v>0</v>
      </c>
      <c r="Y300" s="71">
        <f t="shared" si="187"/>
        <v>0</v>
      </c>
      <c r="AA300" s="65"/>
      <c r="AC300" s="71">
        <f t="shared" si="188"/>
        <v>0</v>
      </c>
      <c r="AD300" s="39"/>
      <c r="AE300" s="7"/>
      <c r="AF300" s="15"/>
      <c r="AG300" s="71" t="b">
        <f t="shared" si="189"/>
        <v>1</v>
      </c>
      <c r="AI300" s="71">
        <f t="shared" si="190"/>
        <v>0</v>
      </c>
      <c r="AJ300" s="39"/>
      <c r="AK300" s="15"/>
      <c r="AL300" s="71" t="b">
        <f t="shared" si="191"/>
        <v>1</v>
      </c>
      <c r="AN300" s="65"/>
    </row>
    <row r="301" spans="2:40 16128:16147" ht="13" customHeight="1">
      <c r="B301" s="119"/>
      <c r="C301" s="159">
        <f t="shared" si="183"/>
        <v>2026091</v>
      </c>
      <c r="D301" s="23">
        <v>11</v>
      </c>
      <c r="E301" s="128">
        <v>0</v>
      </c>
      <c r="F301" s="126" t="e">
        <f>VLOOKUP(E301,'Códigos bancos'!$B$4:$C$29,2,0)</f>
        <v>#N/A</v>
      </c>
      <c r="G301" s="36">
        <v>1</v>
      </c>
      <c r="H301" s="126" t="str">
        <f>VLOOKUP(G301,'Códigos bancos'!$F$4:$G$14,2,0)</f>
        <v>Oficinas</v>
      </c>
      <c r="I301" s="130"/>
      <c r="J301" s="174">
        <v>0</v>
      </c>
      <c r="K301" s="174">
        <v>0</v>
      </c>
      <c r="L301" s="174">
        <v>0</v>
      </c>
      <c r="M301" s="174">
        <v>0</v>
      </c>
      <c r="N301" s="174">
        <v>0</v>
      </c>
      <c r="O301" s="174">
        <v>0</v>
      </c>
      <c r="P301" s="174">
        <v>0</v>
      </c>
      <c r="Q301" s="174">
        <v>0</v>
      </c>
      <c r="R301" s="174">
        <v>0</v>
      </c>
      <c r="S301" s="215">
        <v>0</v>
      </c>
      <c r="T301" s="71">
        <f t="shared" si="184"/>
        <v>0</v>
      </c>
      <c r="U301" s="71">
        <f t="shared" si="185"/>
        <v>0</v>
      </c>
      <c r="V301" s="117">
        <v>0</v>
      </c>
      <c r="W301" s="117">
        <v>0</v>
      </c>
      <c r="X301" s="71">
        <f t="shared" si="186"/>
        <v>0</v>
      </c>
      <c r="Y301" s="71">
        <f t="shared" si="187"/>
        <v>0</v>
      </c>
      <c r="AA301" s="65"/>
      <c r="AC301" s="71">
        <f t="shared" si="188"/>
        <v>0</v>
      </c>
      <c r="AD301" s="39"/>
      <c r="AE301" s="7"/>
      <c r="AF301" s="15"/>
      <c r="AG301" s="71" t="b">
        <f t="shared" si="189"/>
        <v>1</v>
      </c>
      <c r="AI301" s="71">
        <f t="shared" si="190"/>
        <v>0</v>
      </c>
      <c r="AJ301" s="39"/>
      <c r="AK301" s="15"/>
      <c r="AL301" s="71" t="b">
        <f t="shared" si="191"/>
        <v>1</v>
      </c>
      <c r="AN301" s="65"/>
    </row>
    <row r="302" spans="2:40 16128:16147" ht="13" customHeight="1">
      <c r="B302" s="119"/>
      <c r="C302" s="159">
        <f t="shared" si="183"/>
        <v>2026091</v>
      </c>
      <c r="D302" s="23">
        <v>11</v>
      </c>
      <c r="E302" s="128">
        <v>0</v>
      </c>
      <c r="F302" s="126" t="e">
        <f>VLOOKUP(E302,'Códigos bancos'!$B$4:$C$29,2,0)</f>
        <v>#N/A</v>
      </c>
      <c r="G302" s="36">
        <v>1</v>
      </c>
      <c r="H302" s="126" t="str">
        <f>VLOOKUP(G302,'Códigos bancos'!$F$4:$G$14,2,0)</f>
        <v>Oficinas</v>
      </c>
      <c r="I302" s="130"/>
      <c r="J302" s="174">
        <v>0</v>
      </c>
      <c r="K302" s="174">
        <v>0</v>
      </c>
      <c r="L302" s="174">
        <v>0</v>
      </c>
      <c r="M302" s="174">
        <v>0</v>
      </c>
      <c r="N302" s="174">
        <v>0</v>
      </c>
      <c r="O302" s="174">
        <v>0</v>
      </c>
      <c r="P302" s="174">
        <v>0</v>
      </c>
      <c r="Q302" s="174">
        <v>0</v>
      </c>
      <c r="R302" s="174">
        <v>0</v>
      </c>
      <c r="S302" s="215">
        <v>0</v>
      </c>
      <c r="T302" s="71">
        <f t="shared" si="184"/>
        <v>0</v>
      </c>
      <c r="U302" s="71">
        <f t="shared" si="185"/>
        <v>0</v>
      </c>
      <c r="V302" s="117">
        <v>0</v>
      </c>
      <c r="W302" s="117">
        <v>0</v>
      </c>
      <c r="X302" s="71">
        <f t="shared" si="186"/>
        <v>0</v>
      </c>
      <c r="Y302" s="71">
        <f t="shared" si="187"/>
        <v>0</v>
      </c>
      <c r="AA302" s="65"/>
      <c r="AC302" s="71">
        <f t="shared" si="188"/>
        <v>0</v>
      </c>
      <c r="AD302" s="39"/>
      <c r="AE302" s="7"/>
      <c r="AF302" s="15"/>
      <c r="AG302" s="71" t="b">
        <f t="shared" si="189"/>
        <v>1</v>
      </c>
      <c r="AI302" s="71">
        <f t="shared" si="190"/>
        <v>0</v>
      </c>
      <c r="AJ302" s="39"/>
      <c r="AK302" s="15"/>
      <c r="AL302" s="71" t="b">
        <f t="shared" si="191"/>
        <v>1</v>
      </c>
      <c r="AN302" s="65"/>
    </row>
    <row r="303" spans="2:40 16128:16147" ht="13" customHeight="1">
      <c r="B303" s="119"/>
      <c r="C303" s="159">
        <f t="shared" si="183"/>
        <v>2026091</v>
      </c>
      <c r="D303" s="23">
        <v>11</v>
      </c>
      <c r="E303" s="128">
        <v>0</v>
      </c>
      <c r="F303" s="126" t="e">
        <f>VLOOKUP(E303,'Códigos bancos'!$B$4:$C$29,2,0)</f>
        <v>#N/A</v>
      </c>
      <c r="G303" s="36">
        <v>1</v>
      </c>
      <c r="H303" s="126" t="str">
        <f>VLOOKUP(G303,'Códigos bancos'!$F$4:$G$14,2,0)</f>
        <v>Oficinas</v>
      </c>
      <c r="I303" s="130"/>
      <c r="J303" s="174">
        <v>0</v>
      </c>
      <c r="K303" s="174">
        <v>0</v>
      </c>
      <c r="L303" s="174">
        <v>0</v>
      </c>
      <c r="M303" s="174">
        <v>0</v>
      </c>
      <c r="N303" s="174">
        <v>0</v>
      </c>
      <c r="O303" s="174">
        <v>0</v>
      </c>
      <c r="P303" s="174">
        <v>0</v>
      </c>
      <c r="Q303" s="174">
        <v>0</v>
      </c>
      <c r="R303" s="174">
        <v>0</v>
      </c>
      <c r="S303" s="215">
        <v>0</v>
      </c>
      <c r="T303" s="71">
        <f t="shared" si="184"/>
        <v>0</v>
      </c>
      <c r="U303" s="71">
        <f t="shared" si="185"/>
        <v>0</v>
      </c>
      <c r="V303" s="117">
        <v>0</v>
      </c>
      <c r="W303" s="117">
        <v>0</v>
      </c>
      <c r="X303" s="71">
        <f t="shared" si="186"/>
        <v>0</v>
      </c>
      <c r="Y303" s="71">
        <f t="shared" si="187"/>
        <v>0</v>
      </c>
      <c r="AA303" s="65"/>
      <c r="AC303" s="71">
        <f t="shared" si="188"/>
        <v>0</v>
      </c>
      <c r="AD303" s="39"/>
      <c r="AE303" s="7"/>
      <c r="AF303" s="15"/>
      <c r="AG303" s="71" t="b">
        <f t="shared" si="189"/>
        <v>1</v>
      </c>
      <c r="AI303" s="71">
        <f t="shared" si="190"/>
        <v>0</v>
      </c>
      <c r="AJ303" s="39"/>
      <c r="AK303" s="15"/>
      <c r="AL303" s="71" t="b">
        <f t="shared" si="191"/>
        <v>1</v>
      </c>
      <c r="AN303" s="65"/>
    </row>
    <row r="304" spans="2:40 16128:16147" ht="13" customHeight="1">
      <c r="B304" s="119"/>
      <c r="C304" s="159">
        <f t="shared" si="183"/>
        <v>2026091</v>
      </c>
      <c r="D304" s="23">
        <v>11</v>
      </c>
      <c r="E304" s="128">
        <v>0</v>
      </c>
      <c r="F304" s="126" t="e">
        <f>VLOOKUP(E304,'Códigos bancos'!$B$4:$C$29,2,0)</f>
        <v>#N/A</v>
      </c>
      <c r="G304" s="36">
        <v>1</v>
      </c>
      <c r="H304" s="126" t="str">
        <f>VLOOKUP(G304,'Códigos bancos'!$F$4:$G$14,2,0)</f>
        <v>Oficinas</v>
      </c>
      <c r="I304" s="130"/>
      <c r="J304" s="174">
        <v>0</v>
      </c>
      <c r="K304" s="174">
        <v>0</v>
      </c>
      <c r="L304" s="174">
        <v>0</v>
      </c>
      <c r="M304" s="174">
        <v>0</v>
      </c>
      <c r="N304" s="174">
        <v>0</v>
      </c>
      <c r="O304" s="174">
        <v>0</v>
      </c>
      <c r="P304" s="174">
        <v>0</v>
      </c>
      <c r="Q304" s="174">
        <v>0</v>
      </c>
      <c r="R304" s="174">
        <v>0</v>
      </c>
      <c r="S304" s="215">
        <v>0</v>
      </c>
      <c r="T304" s="71">
        <f t="shared" si="184"/>
        <v>0</v>
      </c>
      <c r="U304" s="71">
        <f t="shared" si="185"/>
        <v>0</v>
      </c>
      <c r="V304" s="117">
        <v>0</v>
      </c>
      <c r="W304" s="117">
        <v>0</v>
      </c>
      <c r="X304" s="71">
        <f t="shared" si="186"/>
        <v>0</v>
      </c>
      <c r="Y304" s="71">
        <f t="shared" si="187"/>
        <v>0</v>
      </c>
      <c r="AA304" s="65"/>
      <c r="AC304" s="71">
        <f t="shared" si="188"/>
        <v>0</v>
      </c>
      <c r="AD304" s="39"/>
      <c r="AE304" s="7"/>
      <c r="AF304" s="15"/>
      <c r="AG304" s="71" t="b">
        <f t="shared" si="189"/>
        <v>1</v>
      </c>
      <c r="AI304" s="71">
        <f t="shared" si="190"/>
        <v>0</v>
      </c>
      <c r="AJ304" s="39"/>
      <c r="AK304" s="15"/>
      <c r="AL304" s="71" t="b">
        <f t="shared" si="191"/>
        <v>1</v>
      </c>
      <c r="AN304" s="65"/>
    </row>
    <row r="305" spans="2:40 16128:16147" ht="13" customHeight="1">
      <c r="B305" s="119"/>
      <c r="C305" s="159">
        <f t="shared" si="183"/>
        <v>2026091</v>
      </c>
      <c r="D305" s="23">
        <v>11</v>
      </c>
      <c r="E305" s="128">
        <v>0</v>
      </c>
      <c r="F305" s="126" t="e">
        <f>VLOOKUP(E305,'Códigos bancos'!$B$4:$C$29,2,0)</f>
        <v>#N/A</v>
      </c>
      <c r="G305" s="36">
        <v>1</v>
      </c>
      <c r="H305" s="126" t="str">
        <f>VLOOKUP(G305,'Códigos bancos'!$F$4:$G$14,2,0)</f>
        <v>Oficinas</v>
      </c>
      <c r="I305" s="130"/>
      <c r="J305" s="174">
        <v>0</v>
      </c>
      <c r="K305" s="174">
        <v>0</v>
      </c>
      <c r="L305" s="174">
        <v>0</v>
      </c>
      <c r="M305" s="174">
        <v>0</v>
      </c>
      <c r="N305" s="174">
        <v>0</v>
      </c>
      <c r="O305" s="174">
        <v>0</v>
      </c>
      <c r="P305" s="174">
        <v>0</v>
      </c>
      <c r="Q305" s="174">
        <v>0</v>
      </c>
      <c r="R305" s="174">
        <v>0</v>
      </c>
      <c r="S305" s="215">
        <v>0</v>
      </c>
      <c r="T305" s="71">
        <f t="shared" si="184"/>
        <v>0</v>
      </c>
      <c r="U305" s="71">
        <f t="shared" si="185"/>
        <v>0</v>
      </c>
      <c r="V305" s="117">
        <v>0</v>
      </c>
      <c r="W305" s="117">
        <v>0</v>
      </c>
      <c r="X305" s="71">
        <f t="shared" si="186"/>
        <v>0</v>
      </c>
      <c r="Y305" s="71">
        <f t="shared" si="187"/>
        <v>0</v>
      </c>
      <c r="AA305" s="65"/>
      <c r="AC305" s="71">
        <f t="shared" si="188"/>
        <v>0</v>
      </c>
      <c r="AD305" s="39"/>
      <c r="AE305" s="7"/>
      <c r="AF305" s="15"/>
      <c r="AG305" s="71" t="b">
        <f t="shared" si="189"/>
        <v>1</v>
      </c>
      <c r="AI305" s="71">
        <f t="shared" si="190"/>
        <v>0</v>
      </c>
      <c r="AJ305" s="39"/>
      <c r="AK305" s="15"/>
      <c r="AL305" s="71" t="b">
        <f t="shared" si="191"/>
        <v>1</v>
      </c>
      <c r="AN305" s="65"/>
    </row>
    <row r="306" spans="2:40 16128:16147" ht="13" customHeight="1">
      <c r="B306" s="119"/>
      <c r="C306" s="23">
        <f t="shared" si="183"/>
        <v>2026091</v>
      </c>
      <c r="D306" s="23">
        <v>11</v>
      </c>
      <c r="E306" s="128">
        <v>0</v>
      </c>
      <c r="F306" s="126" t="e">
        <f>VLOOKUP(E306,'Códigos bancos'!$B$4:$C$29,2,0)</f>
        <v>#N/A</v>
      </c>
      <c r="G306" s="36">
        <v>1</v>
      </c>
      <c r="H306" s="126" t="str">
        <f>VLOOKUP(G306,'Códigos bancos'!$F$4:$G$14,2,0)</f>
        <v>Oficinas</v>
      </c>
      <c r="I306" s="130"/>
      <c r="J306" s="174">
        <v>0</v>
      </c>
      <c r="K306" s="174">
        <v>0</v>
      </c>
      <c r="L306" s="174">
        <v>0</v>
      </c>
      <c r="M306" s="174">
        <v>0</v>
      </c>
      <c r="N306" s="174">
        <v>0</v>
      </c>
      <c r="O306" s="174">
        <v>0</v>
      </c>
      <c r="P306" s="174">
        <v>0</v>
      </c>
      <c r="Q306" s="174">
        <v>0</v>
      </c>
      <c r="R306" s="174">
        <v>0</v>
      </c>
      <c r="S306" s="215">
        <v>0</v>
      </c>
      <c r="T306" s="71">
        <f t="shared" si="184"/>
        <v>0</v>
      </c>
      <c r="U306" s="71">
        <f t="shared" si="185"/>
        <v>0</v>
      </c>
      <c r="V306" s="117">
        <v>0</v>
      </c>
      <c r="W306" s="117">
        <v>0</v>
      </c>
      <c r="X306" s="71">
        <f t="shared" si="186"/>
        <v>0</v>
      </c>
      <c r="Y306" s="71">
        <f t="shared" si="187"/>
        <v>0</v>
      </c>
      <c r="AA306" s="65"/>
      <c r="AC306" s="71">
        <f t="shared" si="188"/>
        <v>0</v>
      </c>
      <c r="AD306" s="39"/>
      <c r="AE306" s="7"/>
      <c r="AF306" s="15"/>
      <c r="AG306" s="71" t="b">
        <f t="shared" si="189"/>
        <v>1</v>
      </c>
      <c r="AI306" s="71">
        <f t="shared" si="190"/>
        <v>0</v>
      </c>
      <c r="AJ306" s="39"/>
      <c r="AK306" s="15"/>
      <c r="AL306" s="71" t="b">
        <f t="shared" si="191"/>
        <v>1</v>
      </c>
      <c r="AN306" s="65"/>
    </row>
    <row r="307" spans="2:40 16128:16147" ht="13" customHeight="1">
      <c r="B307" s="119"/>
      <c r="C307" s="159">
        <f t="shared" si="183"/>
        <v>2026091</v>
      </c>
      <c r="D307" s="23">
        <v>11</v>
      </c>
      <c r="E307" s="128">
        <v>0</v>
      </c>
      <c r="F307" s="126" t="e">
        <f>VLOOKUP(E307,'Códigos bancos'!$B$4:$C$29,2,0)</f>
        <v>#N/A</v>
      </c>
      <c r="G307" s="36">
        <v>1</v>
      </c>
      <c r="H307" s="126" t="str">
        <f>VLOOKUP(G307,'Códigos bancos'!$F$4:$G$14,2,0)</f>
        <v>Oficinas</v>
      </c>
      <c r="I307" s="130"/>
      <c r="J307" s="174">
        <v>0</v>
      </c>
      <c r="K307" s="174">
        <v>0</v>
      </c>
      <c r="L307" s="174">
        <v>0</v>
      </c>
      <c r="M307" s="174">
        <v>0</v>
      </c>
      <c r="N307" s="174">
        <v>0</v>
      </c>
      <c r="O307" s="174">
        <v>0</v>
      </c>
      <c r="P307" s="174">
        <v>0</v>
      </c>
      <c r="Q307" s="174">
        <v>0</v>
      </c>
      <c r="R307" s="174">
        <v>0</v>
      </c>
      <c r="S307" s="215">
        <v>0</v>
      </c>
      <c r="T307" s="71">
        <f t="shared" si="184"/>
        <v>0</v>
      </c>
      <c r="U307" s="71">
        <f t="shared" si="185"/>
        <v>0</v>
      </c>
      <c r="V307" s="117">
        <v>0</v>
      </c>
      <c r="W307" s="117">
        <v>0</v>
      </c>
      <c r="X307" s="71">
        <f t="shared" si="186"/>
        <v>0</v>
      </c>
      <c r="Y307" s="71">
        <f t="shared" si="187"/>
        <v>0</v>
      </c>
      <c r="AA307" s="65"/>
      <c r="AC307" s="71">
        <f t="shared" si="188"/>
        <v>0</v>
      </c>
      <c r="AD307" s="39"/>
      <c r="AE307" s="7"/>
      <c r="AF307" s="15"/>
      <c r="AG307" s="71" t="b">
        <f t="shared" si="189"/>
        <v>1</v>
      </c>
      <c r="AI307" s="71">
        <f t="shared" si="190"/>
        <v>0</v>
      </c>
      <c r="AJ307" s="39"/>
      <c r="AK307" s="15"/>
      <c r="AL307" s="71" t="b">
        <f t="shared" si="191"/>
        <v>1</v>
      </c>
      <c r="AN307" s="65"/>
    </row>
    <row r="308" spans="2:40 16128:16147" ht="13" customHeight="1">
      <c r="B308" s="119"/>
      <c r="C308" s="159">
        <f t="shared" si="183"/>
        <v>2026091</v>
      </c>
      <c r="D308" s="23">
        <v>11</v>
      </c>
      <c r="E308" s="128">
        <v>0</v>
      </c>
      <c r="F308" s="126" t="e">
        <f>VLOOKUP(E308,'Códigos bancos'!$B$4:$C$29,2,0)</f>
        <v>#N/A</v>
      </c>
      <c r="G308" s="36">
        <v>1</v>
      </c>
      <c r="H308" s="126" t="str">
        <f>VLOOKUP(G308,'Códigos bancos'!$F$4:$G$14,2,0)</f>
        <v>Oficinas</v>
      </c>
      <c r="I308" s="130"/>
      <c r="J308" s="174">
        <v>0</v>
      </c>
      <c r="K308" s="174">
        <v>0</v>
      </c>
      <c r="L308" s="174">
        <v>0</v>
      </c>
      <c r="M308" s="174">
        <v>0</v>
      </c>
      <c r="N308" s="174">
        <v>0</v>
      </c>
      <c r="O308" s="174">
        <v>0</v>
      </c>
      <c r="P308" s="174">
        <v>0</v>
      </c>
      <c r="Q308" s="174">
        <v>0</v>
      </c>
      <c r="R308" s="174">
        <v>0</v>
      </c>
      <c r="S308" s="215">
        <v>0</v>
      </c>
      <c r="T308" s="71">
        <f t="shared" si="184"/>
        <v>0</v>
      </c>
      <c r="U308" s="71">
        <f t="shared" si="185"/>
        <v>0</v>
      </c>
      <c r="V308" s="117">
        <v>0</v>
      </c>
      <c r="W308" s="117">
        <v>0</v>
      </c>
      <c r="X308" s="71">
        <f t="shared" si="186"/>
        <v>0</v>
      </c>
      <c r="Y308" s="71">
        <f t="shared" si="187"/>
        <v>0</v>
      </c>
      <c r="AA308" s="65"/>
      <c r="AC308" s="71">
        <f t="shared" si="188"/>
        <v>0</v>
      </c>
      <c r="AD308" s="39"/>
      <c r="AE308" s="7"/>
      <c r="AF308" s="15"/>
      <c r="AG308" s="71" t="b">
        <f t="shared" si="189"/>
        <v>1</v>
      </c>
      <c r="AI308" s="71">
        <f t="shared" si="190"/>
        <v>0</v>
      </c>
      <c r="AJ308" s="39"/>
      <c r="AK308" s="15"/>
      <c r="AL308" s="71" t="b">
        <f t="shared" si="191"/>
        <v>1</v>
      </c>
      <c r="AN308" s="65"/>
    </row>
    <row r="309" spans="2:40 16128:16147" ht="13" customHeight="1">
      <c r="B309" s="119"/>
      <c r="C309" s="159">
        <f t="shared" si="183"/>
        <v>2026091</v>
      </c>
      <c r="D309" s="23">
        <v>11</v>
      </c>
      <c r="E309" s="128">
        <v>0</v>
      </c>
      <c r="F309" s="126" t="e">
        <f>VLOOKUP(E309,'Códigos bancos'!$B$4:$C$29,2,0)</f>
        <v>#N/A</v>
      </c>
      <c r="G309" s="36">
        <v>1</v>
      </c>
      <c r="H309" s="126" t="str">
        <f>VLOOKUP(G309,'Códigos bancos'!$F$4:$G$14,2,0)</f>
        <v>Oficinas</v>
      </c>
      <c r="I309" s="130"/>
      <c r="J309" s="174">
        <v>0</v>
      </c>
      <c r="K309" s="174">
        <v>0</v>
      </c>
      <c r="L309" s="174">
        <v>0</v>
      </c>
      <c r="M309" s="174">
        <v>0</v>
      </c>
      <c r="N309" s="174">
        <v>0</v>
      </c>
      <c r="O309" s="174">
        <v>0</v>
      </c>
      <c r="P309" s="174">
        <v>0</v>
      </c>
      <c r="Q309" s="174">
        <v>0</v>
      </c>
      <c r="R309" s="174">
        <v>0</v>
      </c>
      <c r="S309" s="215">
        <v>0</v>
      </c>
      <c r="T309" s="71">
        <f t="shared" si="184"/>
        <v>0</v>
      </c>
      <c r="U309" s="71">
        <f t="shared" si="185"/>
        <v>0</v>
      </c>
      <c r="V309" s="117">
        <v>0</v>
      </c>
      <c r="W309" s="117">
        <v>0</v>
      </c>
      <c r="X309" s="71">
        <f t="shared" si="186"/>
        <v>0</v>
      </c>
      <c r="Y309" s="71">
        <f t="shared" si="187"/>
        <v>0</v>
      </c>
      <c r="AA309" s="65"/>
      <c r="AC309" s="71">
        <f t="shared" si="188"/>
        <v>0</v>
      </c>
      <c r="AD309" s="39"/>
      <c r="AE309" s="7"/>
      <c r="AF309" s="15"/>
      <c r="AG309" s="71" t="b">
        <f t="shared" si="189"/>
        <v>1</v>
      </c>
      <c r="AI309" s="71">
        <f t="shared" si="190"/>
        <v>0</v>
      </c>
      <c r="AJ309" s="39"/>
      <c r="AK309" s="15"/>
      <c r="AL309" s="71" t="b">
        <f t="shared" si="191"/>
        <v>1</v>
      </c>
      <c r="AN309" s="65"/>
    </row>
    <row r="310" spans="2:40 16128:16147" ht="13" customHeight="1">
      <c r="B310" s="119"/>
      <c r="C310" s="159">
        <f t="shared" si="183"/>
        <v>2026091</v>
      </c>
      <c r="D310" s="23">
        <v>11</v>
      </c>
      <c r="E310" s="128">
        <v>0</v>
      </c>
      <c r="F310" s="126" t="e">
        <f>VLOOKUP(E310,'Códigos bancos'!$B$4:$C$29,2,0)</f>
        <v>#N/A</v>
      </c>
      <c r="G310" s="36">
        <v>1</v>
      </c>
      <c r="H310" s="126" t="str">
        <f>VLOOKUP(G310,'Códigos bancos'!$F$4:$G$14,2,0)</f>
        <v>Oficinas</v>
      </c>
      <c r="I310" s="130"/>
      <c r="J310" s="174">
        <v>0</v>
      </c>
      <c r="K310" s="174">
        <v>0</v>
      </c>
      <c r="L310" s="174">
        <v>0</v>
      </c>
      <c r="M310" s="174">
        <v>0</v>
      </c>
      <c r="N310" s="174">
        <v>0</v>
      </c>
      <c r="O310" s="174">
        <v>0</v>
      </c>
      <c r="P310" s="174">
        <v>0</v>
      </c>
      <c r="Q310" s="174">
        <v>0</v>
      </c>
      <c r="R310" s="174">
        <v>0</v>
      </c>
      <c r="S310" s="215">
        <v>0</v>
      </c>
      <c r="T310" s="71">
        <f t="shared" si="184"/>
        <v>0</v>
      </c>
      <c r="U310" s="71">
        <f t="shared" si="185"/>
        <v>0</v>
      </c>
      <c r="V310" s="117">
        <v>0</v>
      </c>
      <c r="W310" s="117">
        <v>0</v>
      </c>
      <c r="X310" s="71">
        <f t="shared" si="186"/>
        <v>0</v>
      </c>
      <c r="Y310" s="71">
        <f t="shared" si="187"/>
        <v>0</v>
      </c>
      <c r="AA310" s="65"/>
      <c r="AC310" s="71">
        <f t="shared" si="188"/>
        <v>0</v>
      </c>
      <c r="AD310" s="39"/>
      <c r="AE310" s="7"/>
      <c r="AF310" s="15"/>
      <c r="AG310" s="71" t="b">
        <f t="shared" si="189"/>
        <v>1</v>
      </c>
      <c r="AI310" s="71">
        <f t="shared" si="190"/>
        <v>0</v>
      </c>
      <c r="AJ310" s="39"/>
      <c r="AK310" s="15"/>
      <c r="AL310" s="71" t="b">
        <f t="shared" si="191"/>
        <v>1</v>
      </c>
      <c r="AN310" s="65"/>
    </row>
    <row r="311" spans="2:40 16128:16147" ht="13" customHeight="1">
      <c r="B311" s="119"/>
      <c r="C311" s="159">
        <f t="shared" si="183"/>
        <v>2026091</v>
      </c>
      <c r="D311" s="23">
        <v>11</v>
      </c>
      <c r="E311" s="128">
        <v>0</v>
      </c>
      <c r="F311" s="126" t="e">
        <f>VLOOKUP(E311,'Códigos bancos'!$B$4:$C$29,2,0)</f>
        <v>#N/A</v>
      </c>
      <c r="G311" s="36">
        <v>1</v>
      </c>
      <c r="H311" s="126" t="str">
        <f>VLOOKUP(G311,'Códigos bancos'!$F$4:$G$14,2,0)</f>
        <v>Oficinas</v>
      </c>
      <c r="I311" s="130"/>
      <c r="J311" s="174">
        <v>0</v>
      </c>
      <c r="K311" s="174">
        <v>0</v>
      </c>
      <c r="L311" s="174">
        <v>0</v>
      </c>
      <c r="M311" s="174">
        <v>0</v>
      </c>
      <c r="N311" s="174">
        <v>0</v>
      </c>
      <c r="O311" s="174">
        <v>0</v>
      </c>
      <c r="P311" s="174">
        <v>0</v>
      </c>
      <c r="Q311" s="174">
        <v>0</v>
      </c>
      <c r="R311" s="174">
        <v>0</v>
      </c>
      <c r="S311" s="215">
        <v>0</v>
      </c>
      <c r="T311" s="71">
        <f t="shared" si="184"/>
        <v>0</v>
      </c>
      <c r="U311" s="71">
        <f t="shared" si="185"/>
        <v>0</v>
      </c>
      <c r="V311" s="117">
        <v>0</v>
      </c>
      <c r="W311" s="117">
        <v>0</v>
      </c>
      <c r="X311" s="71">
        <f t="shared" si="186"/>
        <v>0</v>
      </c>
      <c r="Y311" s="71">
        <f t="shared" si="187"/>
        <v>0</v>
      </c>
      <c r="AA311" s="65"/>
      <c r="AC311" s="71">
        <f t="shared" si="188"/>
        <v>0</v>
      </c>
      <c r="AD311" s="39"/>
      <c r="AE311" s="7"/>
      <c r="AF311" s="15"/>
      <c r="AG311" s="71" t="b">
        <f t="shared" si="189"/>
        <v>1</v>
      </c>
      <c r="AI311" s="71">
        <f t="shared" si="190"/>
        <v>0</v>
      </c>
      <c r="AJ311" s="39"/>
      <c r="AK311" s="15"/>
      <c r="AL311" s="71" t="b">
        <f t="shared" si="191"/>
        <v>1</v>
      </c>
      <c r="AN311" s="65"/>
    </row>
    <row r="312" spans="2:40 16128:16147" ht="13" customHeight="1">
      <c r="B312" s="119"/>
      <c r="C312" s="159">
        <f t="shared" ref="C312" si="192">IF(D312&lt;=15,$C$1,$C$2)</f>
        <v>2026091</v>
      </c>
      <c r="D312" s="23">
        <v>11</v>
      </c>
      <c r="E312" s="128">
        <v>0</v>
      </c>
      <c r="F312" s="126" t="e">
        <f>VLOOKUP(E312,'Códigos bancos'!$B$4:$C$29,2,0)</f>
        <v>#N/A</v>
      </c>
      <c r="G312" s="36">
        <v>1</v>
      </c>
      <c r="H312" s="126" t="str">
        <f>VLOOKUP(G312,'Códigos bancos'!$F$4:$G$14,2,0)</f>
        <v>Oficinas</v>
      </c>
      <c r="I312" s="130"/>
      <c r="J312" s="174">
        <v>0</v>
      </c>
      <c r="K312" s="174">
        <v>0</v>
      </c>
      <c r="L312" s="174">
        <v>0</v>
      </c>
      <c r="M312" s="174">
        <v>0</v>
      </c>
      <c r="N312" s="174">
        <v>0</v>
      </c>
      <c r="O312" s="174">
        <v>0</v>
      </c>
      <c r="P312" s="174">
        <v>0</v>
      </c>
      <c r="Q312" s="174">
        <v>0</v>
      </c>
      <c r="R312" s="174">
        <v>0</v>
      </c>
      <c r="S312" s="215">
        <v>0</v>
      </c>
      <c r="T312" s="71">
        <f t="shared" ref="T312" si="193">J312+L312+N312+P312+R312</f>
        <v>0</v>
      </c>
      <c r="U312" s="71">
        <f t="shared" ref="U312" si="194">K312+M312+O312+Q312+S312</f>
        <v>0</v>
      </c>
      <c r="V312" s="117">
        <v>0</v>
      </c>
      <c r="W312" s="117">
        <v>0</v>
      </c>
      <c r="X312" s="71">
        <f t="shared" ref="X312" si="195">V312-T312</f>
        <v>0</v>
      </c>
      <c r="Y312" s="71">
        <f t="shared" ref="Y312" si="196">W312-U312</f>
        <v>0</v>
      </c>
      <c r="AA312" s="65"/>
      <c r="AC312" s="71">
        <f t="shared" ref="AC312" si="197">X312</f>
        <v>0</v>
      </c>
      <c r="AD312" s="39"/>
      <c r="AE312" s="7"/>
      <c r="AF312" s="15"/>
      <c r="AG312" s="71" t="b">
        <f t="shared" ref="AG312" si="198">AC312=(AD312+AE312+AF312)</f>
        <v>1</v>
      </c>
      <c r="AI312" s="71">
        <f t="shared" ref="AI312" si="199">Y312</f>
        <v>0</v>
      </c>
      <c r="AJ312" s="39"/>
      <c r="AK312" s="15"/>
      <c r="AL312" s="71" t="b">
        <f t="shared" ref="AL312" si="200">AI312=(AJ312+AK312)</f>
        <v>1</v>
      </c>
      <c r="AN312" s="65"/>
    </row>
    <row r="313" spans="2:40 16128:16147" ht="13" customHeight="1">
      <c r="B313" s="119"/>
      <c r="C313" s="159">
        <f t="shared" si="183"/>
        <v>2026091</v>
      </c>
      <c r="D313" s="23">
        <v>11</v>
      </c>
      <c r="E313" s="128">
        <v>0</v>
      </c>
      <c r="F313" s="126" t="e">
        <f>VLOOKUP(E313,'Códigos bancos'!$B$4:$C$29,2,0)</f>
        <v>#N/A</v>
      </c>
      <c r="G313" s="36">
        <v>1</v>
      </c>
      <c r="H313" s="126" t="str">
        <f>VLOOKUP(G313,'Códigos bancos'!$F$4:$G$14,2,0)</f>
        <v>Oficinas</v>
      </c>
      <c r="I313" s="130"/>
      <c r="J313" s="174">
        <v>0</v>
      </c>
      <c r="K313" s="174">
        <v>0</v>
      </c>
      <c r="L313" s="174">
        <v>0</v>
      </c>
      <c r="M313" s="174">
        <v>0</v>
      </c>
      <c r="N313" s="174">
        <v>0</v>
      </c>
      <c r="O313" s="174">
        <v>0</v>
      </c>
      <c r="P313" s="174">
        <v>0</v>
      </c>
      <c r="Q313" s="174">
        <v>0</v>
      </c>
      <c r="R313" s="174">
        <v>0</v>
      </c>
      <c r="S313" s="215">
        <v>0</v>
      </c>
      <c r="T313" s="71">
        <f t="shared" si="184"/>
        <v>0</v>
      </c>
      <c r="U313" s="71">
        <f t="shared" si="185"/>
        <v>0</v>
      </c>
      <c r="V313" s="117">
        <v>0</v>
      </c>
      <c r="W313" s="117">
        <v>0</v>
      </c>
      <c r="X313" s="71">
        <f t="shared" si="186"/>
        <v>0</v>
      </c>
      <c r="Y313" s="71">
        <f t="shared" si="187"/>
        <v>0</v>
      </c>
      <c r="AA313" s="65"/>
      <c r="AC313" s="71">
        <f t="shared" si="188"/>
        <v>0</v>
      </c>
      <c r="AD313" s="39"/>
      <c r="AE313" s="7"/>
      <c r="AF313" s="15"/>
      <c r="AG313" s="71" t="b">
        <f t="shared" si="189"/>
        <v>1</v>
      </c>
      <c r="AI313" s="71">
        <f t="shared" si="190"/>
        <v>0</v>
      </c>
      <c r="AJ313" s="39"/>
      <c r="AK313" s="15"/>
      <c r="AL313" s="71" t="b">
        <f t="shared" si="191"/>
        <v>1</v>
      </c>
      <c r="AN313" s="65"/>
    </row>
    <row r="314" spans="2:40 16128:16147" ht="13" customHeight="1">
      <c r="B314" s="119"/>
      <c r="C314" s="23">
        <f t="shared" si="183"/>
        <v>2026091</v>
      </c>
      <c r="D314" s="23">
        <v>11</v>
      </c>
      <c r="E314" s="128">
        <v>0</v>
      </c>
      <c r="F314" s="126" t="e">
        <f>VLOOKUP(E314,'Códigos bancos'!$B$4:$C$29,2,0)</f>
        <v>#N/A</v>
      </c>
      <c r="G314" s="36">
        <v>1</v>
      </c>
      <c r="H314" s="126" t="str">
        <f>VLOOKUP(G314,'Códigos bancos'!$F$4:$G$14,2,0)</f>
        <v>Oficinas</v>
      </c>
      <c r="I314" s="130"/>
      <c r="J314" s="174">
        <v>0</v>
      </c>
      <c r="K314" s="174">
        <v>0</v>
      </c>
      <c r="L314" s="174">
        <v>0</v>
      </c>
      <c r="M314" s="174">
        <v>0</v>
      </c>
      <c r="N314" s="174">
        <v>0</v>
      </c>
      <c r="O314" s="174">
        <v>0</v>
      </c>
      <c r="P314" s="174">
        <v>0</v>
      </c>
      <c r="Q314" s="174">
        <v>0</v>
      </c>
      <c r="R314" s="174">
        <v>0</v>
      </c>
      <c r="S314" s="215">
        <v>0</v>
      </c>
      <c r="T314" s="71">
        <f t="shared" si="184"/>
        <v>0</v>
      </c>
      <c r="U314" s="71">
        <f t="shared" si="185"/>
        <v>0</v>
      </c>
      <c r="V314" s="117">
        <v>0</v>
      </c>
      <c r="W314" s="117">
        <v>0</v>
      </c>
      <c r="X314" s="71">
        <f t="shared" si="186"/>
        <v>0</v>
      </c>
      <c r="Y314" s="71">
        <f t="shared" si="187"/>
        <v>0</v>
      </c>
      <c r="AA314" s="65"/>
      <c r="AC314" s="71">
        <f t="shared" si="188"/>
        <v>0</v>
      </c>
      <c r="AD314" s="39"/>
      <c r="AE314" s="7"/>
      <c r="AF314" s="15"/>
      <c r="AG314" s="71" t="b">
        <f t="shared" si="189"/>
        <v>1</v>
      </c>
      <c r="AI314" s="71">
        <f t="shared" si="190"/>
        <v>0</v>
      </c>
      <c r="AJ314" s="39"/>
      <c r="AK314" s="15"/>
      <c r="AL314" s="71" t="b">
        <f t="shared" si="191"/>
        <v>1</v>
      </c>
      <c r="AN314" s="65"/>
    </row>
    <row r="315" spans="2:40 16128:16147" ht="13" customHeight="1">
      <c r="B315" s="119"/>
      <c r="C315" s="23">
        <f t="shared" si="183"/>
        <v>2026091</v>
      </c>
      <c r="D315" s="23">
        <v>11</v>
      </c>
      <c r="E315" s="128">
        <v>0</v>
      </c>
      <c r="F315" s="126" t="e">
        <f>VLOOKUP(E315,'Códigos bancos'!$B$4:$C$29,2,0)</f>
        <v>#N/A</v>
      </c>
      <c r="G315" s="36">
        <v>1</v>
      </c>
      <c r="H315" s="126" t="str">
        <f>VLOOKUP(G315,'Códigos bancos'!$F$4:$G$14,2,0)</f>
        <v>Oficinas</v>
      </c>
      <c r="I315" s="130"/>
      <c r="J315" s="174">
        <v>0</v>
      </c>
      <c r="K315" s="174">
        <v>0</v>
      </c>
      <c r="L315" s="174">
        <v>0</v>
      </c>
      <c r="M315" s="174">
        <v>0</v>
      </c>
      <c r="N315" s="174">
        <v>0</v>
      </c>
      <c r="O315" s="174">
        <v>0</v>
      </c>
      <c r="P315" s="174">
        <v>0</v>
      </c>
      <c r="Q315" s="174">
        <v>0</v>
      </c>
      <c r="R315" s="174">
        <v>0</v>
      </c>
      <c r="S315" s="215">
        <v>0</v>
      </c>
      <c r="T315" s="71">
        <f t="shared" si="184"/>
        <v>0</v>
      </c>
      <c r="U315" s="71">
        <f t="shared" si="185"/>
        <v>0</v>
      </c>
      <c r="V315" s="117">
        <v>0</v>
      </c>
      <c r="W315" s="117">
        <v>0</v>
      </c>
      <c r="X315" s="71">
        <f t="shared" si="186"/>
        <v>0</v>
      </c>
      <c r="Y315" s="71">
        <f t="shared" si="187"/>
        <v>0</v>
      </c>
      <c r="AA315" s="65"/>
      <c r="AC315" s="71">
        <f t="shared" si="188"/>
        <v>0</v>
      </c>
      <c r="AD315" s="39"/>
      <c r="AE315" s="7"/>
      <c r="AF315" s="15"/>
      <c r="AG315" s="71" t="b">
        <f t="shared" si="189"/>
        <v>1</v>
      </c>
      <c r="AI315" s="71"/>
      <c r="AJ315" s="39"/>
      <c r="AK315" s="15"/>
      <c r="AL315" s="71" t="b">
        <f t="shared" si="191"/>
        <v>1</v>
      </c>
      <c r="AN315" s="65"/>
    </row>
    <row r="316" spans="2:40 16128:16147" ht="13" customHeight="1">
      <c r="B316" s="119"/>
      <c r="C316" s="23">
        <f t="shared" si="183"/>
        <v>2026091</v>
      </c>
      <c r="D316" s="23">
        <v>11</v>
      </c>
      <c r="E316" s="128">
        <v>0</v>
      </c>
      <c r="F316" s="126" t="e">
        <f>VLOOKUP(E316,'Códigos bancos'!$B$4:$C$29,2,0)</f>
        <v>#N/A</v>
      </c>
      <c r="G316" s="36">
        <v>1</v>
      </c>
      <c r="H316" s="126" t="str">
        <f>VLOOKUP(G316,'Códigos bancos'!$F$4:$G$14,2,0)</f>
        <v>Oficinas</v>
      </c>
      <c r="I316" s="130"/>
      <c r="J316" s="174">
        <v>0</v>
      </c>
      <c r="K316" s="174">
        <v>0</v>
      </c>
      <c r="L316" s="174">
        <v>0</v>
      </c>
      <c r="M316" s="174">
        <v>0</v>
      </c>
      <c r="N316" s="174">
        <v>0</v>
      </c>
      <c r="O316" s="174">
        <v>0</v>
      </c>
      <c r="P316" s="174">
        <v>0</v>
      </c>
      <c r="Q316" s="174">
        <v>0</v>
      </c>
      <c r="R316" s="174">
        <v>0</v>
      </c>
      <c r="S316" s="215">
        <v>0</v>
      </c>
      <c r="T316" s="71">
        <f t="shared" si="184"/>
        <v>0</v>
      </c>
      <c r="U316" s="71">
        <f t="shared" si="185"/>
        <v>0</v>
      </c>
      <c r="V316" s="117">
        <v>0</v>
      </c>
      <c r="W316" s="117">
        <v>0</v>
      </c>
      <c r="X316" s="71">
        <f t="shared" si="186"/>
        <v>0</v>
      </c>
      <c r="Y316" s="71">
        <f t="shared" si="187"/>
        <v>0</v>
      </c>
      <c r="AA316" s="65"/>
      <c r="AC316" s="71">
        <f t="shared" si="188"/>
        <v>0</v>
      </c>
      <c r="AD316" s="39"/>
      <c r="AE316" s="7"/>
      <c r="AF316" s="15"/>
      <c r="AG316" s="71" t="b">
        <f t="shared" si="189"/>
        <v>1</v>
      </c>
      <c r="AI316" s="71">
        <f>Y316</f>
        <v>0</v>
      </c>
      <c r="AJ316" s="39"/>
      <c r="AK316" s="15"/>
      <c r="AL316" s="71" t="b">
        <f t="shared" si="191"/>
        <v>1</v>
      </c>
      <c r="AN316" s="65"/>
    </row>
    <row r="317" spans="2:40 16128:16147" ht="13" customHeight="1" thickBot="1">
      <c r="B317" s="119"/>
      <c r="C317" s="159">
        <f t="shared" si="183"/>
        <v>2026091</v>
      </c>
      <c r="D317" s="23">
        <v>11</v>
      </c>
      <c r="E317" s="128">
        <v>0</v>
      </c>
      <c r="F317" s="126" t="e">
        <f>VLOOKUP(E317,'Códigos bancos'!$B$4:$C$29,2,0)</f>
        <v>#N/A</v>
      </c>
      <c r="G317" s="36">
        <v>1</v>
      </c>
      <c r="H317" s="126" t="str">
        <f>VLOOKUP(G317,'Códigos bancos'!$F$4:$G$14,2,0)</f>
        <v>Oficinas</v>
      </c>
      <c r="I317" s="130"/>
      <c r="J317" s="174">
        <v>0</v>
      </c>
      <c r="K317" s="174">
        <v>0</v>
      </c>
      <c r="L317" s="174">
        <v>0</v>
      </c>
      <c r="M317" s="174">
        <v>0</v>
      </c>
      <c r="N317" s="174">
        <v>0</v>
      </c>
      <c r="O317" s="174">
        <v>0</v>
      </c>
      <c r="P317" s="174">
        <v>0</v>
      </c>
      <c r="Q317" s="174">
        <v>0</v>
      </c>
      <c r="R317" s="174">
        <v>0</v>
      </c>
      <c r="S317" s="215">
        <v>0</v>
      </c>
      <c r="T317" s="71">
        <f t="shared" si="184"/>
        <v>0</v>
      </c>
      <c r="U317" s="71">
        <f t="shared" si="185"/>
        <v>0</v>
      </c>
      <c r="V317" s="117">
        <v>0</v>
      </c>
      <c r="W317" s="117">
        <v>0</v>
      </c>
      <c r="X317" s="71">
        <f t="shared" si="186"/>
        <v>0</v>
      </c>
      <c r="Y317" s="71">
        <f t="shared" si="187"/>
        <v>0</v>
      </c>
      <c r="AA317" s="65"/>
      <c r="AC317" s="71">
        <f t="shared" si="188"/>
        <v>0</v>
      </c>
      <c r="AD317" s="39"/>
      <c r="AE317" s="7"/>
      <c r="AF317" s="15"/>
      <c r="AG317" s="71" t="b">
        <f t="shared" si="189"/>
        <v>1</v>
      </c>
      <c r="AI317" s="71">
        <f t="shared" si="190"/>
        <v>0</v>
      </c>
      <c r="AJ317" s="39"/>
      <c r="AK317" s="15"/>
      <c r="AL317" s="71" t="b">
        <f t="shared" si="191"/>
        <v>1</v>
      </c>
      <c r="AN317" s="65"/>
    </row>
    <row r="318" spans="2:40 16128:16147" ht="13" customHeight="1" thickBot="1">
      <c r="E318" s="120" t="s">
        <v>0</v>
      </c>
      <c r="F318" s="121" t="s">
        <v>53</v>
      </c>
      <c r="G318" s="121"/>
      <c r="H318" s="121"/>
      <c r="I318" s="121"/>
      <c r="J318" s="122">
        <f t="shared" ref="J318:Y318" si="201">SUM(J293:J317)</f>
        <v>0</v>
      </c>
      <c r="K318" s="122">
        <f t="shared" si="201"/>
        <v>0</v>
      </c>
      <c r="L318" s="122">
        <f t="shared" si="201"/>
        <v>0</v>
      </c>
      <c r="M318" s="122">
        <f t="shared" si="201"/>
        <v>0</v>
      </c>
      <c r="N318" s="122">
        <f t="shared" si="201"/>
        <v>0</v>
      </c>
      <c r="O318" s="122">
        <f t="shared" si="201"/>
        <v>0</v>
      </c>
      <c r="P318" s="122">
        <f t="shared" si="201"/>
        <v>0</v>
      </c>
      <c r="Q318" s="122">
        <f t="shared" si="201"/>
        <v>0</v>
      </c>
      <c r="R318" s="122">
        <f t="shared" si="201"/>
        <v>190</v>
      </c>
      <c r="S318" s="122">
        <f t="shared" si="201"/>
        <v>9005030</v>
      </c>
      <c r="T318" s="122">
        <f t="shared" si="201"/>
        <v>190</v>
      </c>
      <c r="U318" s="122">
        <f t="shared" si="201"/>
        <v>9005030</v>
      </c>
      <c r="V318" s="123">
        <f t="shared" si="201"/>
        <v>190</v>
      </c>
      <c r="W318" s="123">
        <f t="shared" si="201"/>
        <v>9005030</v>
      </c>
      <c r="X318" s="122">
        <f t="shared" si="201"/>
        <v>0</v>
      </c>
      <c r="Y318" s="123">
        <f t="shared" si="201"/>
        <v>0</v>
      </c>
      <c r="AA318" s="65"/>
      <c r="AC318" s="122">
        <f>SUM(AC293:AC317)</f>
        <v>0</v>
      </c>
      <c r="AD318" s="122">
        <f>SUM(AD293:AD317)</f>
        <v>0</v>
      </c>
      <c r="AE318" s="122">
        <f>SUM(AE293:AE317)</f>
        <v>0</v>
      </c>
      <c r="AF318" s="123">
        <f>SUM(AF293:AF317)</f>
        <v>0</v>
      </c>
      <c r="AG318" s="100"/>
      <c r="AI318" s="122">
        <f>SUM(AI293:AI317)</f>
        <v>0</v>
      </c>
      <c r="AJ318" s="122">
        <f>SUM(AJ293:AJ317)</f>
        <v>0</v>
      </c>
      <c r="AK318" s="123">
        <f>SUM(AK293:AK317)</f>
        <v>0</v>
      </c>
      <c r="AL318" s="100"/>
      <c r="AN318" s="65"/>
    </row>
    <row r="319" spans="2:40 16128:16147" ht="13" thickBot="1">
      <c r="AA319" s="65"/>
      <c r="AN319" s="65"/>
    </row>
    <row r="320" spans="2:40 16128:16147" ht="41.25" customHeight="1" thickBot="1">
      <c r="B320" s="112" t="s">
        <v>4</v>
      </c>
      <c r="C320" s="157" t="s">
        <v>6</v>
      </c>
      <c r="D320" s="34" t="s">
        <v>7</v>
      </c>
      <c r="E320" s="34" t="s">
        <v>49</v>
      </c>
      <c r="F320" s="34" t="s">
        <v>50</v>
      </c>
      <c r="G320" s="34" t="s">
        <v>51</v>
      </c>
      <c r="H320" s="34" t="s">
        <v>52</v>
      </c>
      <c r="I320" s="34" t="s">
        <v>13</v>
      </c>
      <c r="J320" s="12" t="s">
        <v>8</v>
      </c>
      <c r="K320" s="12" t="s">
        <v>36</v>
      </c>
      <c r="L320" s="12" t="s">
        <v>9</v>
      </c>
      <c r="M320" s="12" t="s">
        <v>37</v>
      </c>
      <c r="N320" s="87" t="s">
        <v>10</v>
      </c>
      <c r="O320" s="88" t="s">
        <v>38</v>
      </c>
      <c r="P320" s="87" t="s">
        <v>11</v>
      </c>
      <c r="Q320" s="88" t="s">
        <v>39</v>
      </c>
      <c r="R320" s="87" t="s">
        <v>12</v>
      </c>
      <c r="S320" s="88" t="s">
        <v>40</v>
      </c>
      <c r="T320" s="64" t="s">
        <v>41</v>
      </c>
      <c r="U320" s="64" t="s">
        <v>42</v>
      </c>
      <c r="V320" s="35" t="s">
        <v>32</v>
      </c>
      <c r="W320" s="67" t="s">
        <v>35</v>
      </c>
      <c r="X320" s="12" t="s">
        <v>34</v>
      </c>
      <c r="Y320" s="68" t="s">
        <v>33</v>
      </c>
      <c r="AA320" s="66"/>
      <c r="AC320" s="12" t="s">
        <v>34</v>
      </c>
      <c r="AD320" s="12" t="s">
        <v>45</v>
      </c>
      <c r="AE320" s="12" t="s">
        <v>43</v>
      </c>
      <c r="AF320" s="12" t="s">
        <v>44</v>
      </c>
      <c r="AG320" s="12" t="s">
        <v>46</v>
      </c>
      <c r="AI320" s="12" t="s">
        <v>33</v>
      </c>
      <c r="AJ320" s="12" t="s">
        <v>47</v>
      </c>
      <c r="AK320" s="12" t="s">
        <v>48</v>
      </c>
      <c r="AL320" s="12" t="s">
        <v>46</v>
      </c>
      <c r="AN320" s="66"/>
      <c r="WVH320" s="1"/>
      <c r="WVI320" s="1"/>
      <c r="WVZ320"/>
      <c r="WWA320"/>
    </row>
    <row r="321" spans="2:40" ht="13" customHeight="1">
      <c r="B321" s="119" t="s">
        <v>76</v>
      </c>
      <c r="C321" s="158">
        <f>IF(D321&lt;=15,$C$1,$C$2)</f>
        <v>2026091</v>
      </c>
      <c r="D321" s="24">
        <v>12</v>
      </c>
      <c r="E321" s="127">
        <v>20</v>
      </c>
      <c r="F321" s="125" t="str">
        <f>VLOOKUP(E321,'Códigos bancos'!$B$4:$C$29,2,0)</f>
        <v>Bancolombia ENERBIT</v>
      </c>
      <c r="G321" s="18">
        <v>1</v>
      </c>
      <c r="H321" s="125" t="str">
        <f>VLOOKUP(G321,'Códigos bancos'!$F$4:$G$14,2,0)</f>
        <v>Oficinas</v>
      </c>
      <c r="I321" s="129"/>
      <c r="J321" s="213">
        <v>0</v>
      </c>
      <c r="K321" s="213">
        <v>0</v>
      </c>
      <c r="L321" s="213">
        <v>0</v>
      </c>
      <c r="M321" s="213">
        <v>0</v>
      </c>
      <c r="N321" s="213">
        <v>0</v>
      </c>
      <c r="O321" s="213">
        <v>0</v>
      </c>
      <c r="P321" s="213">
        <v>0</v>
      </c>
      <c r="Q321" s="213">
        <v>0</v>
      </c>
      <c r="R321" s="213">
        <v>133</v>
      </c>
      <c r="S321" s="214">
        <v>5833970</v>
      </c>
      <c r="T321" s="70">
        <f>J321+L321+N321+P321+R321</f>
        <v>133</v>
      </c>
      <c r="U321" s="70">
        <f>K321+M321+O321+Q321+S321</f>
        <v>5833970</v>
      </c>
      <c r="V321" s="116">
        <v>133</v>
      </c>
      <c r="W321" s="116">
        <v>5833970</v>
      </c>
      <c r="X321" s="70">
        <f>V321-T321</f>
        <v>0</v>
      </c>
      <c r="Y321" s="70">
        <f>W321-U321</f>
        <v>0</v>
      </c>
      <c r="AA321" s="65"/>
      <c r="AC321" s="124">
        <f>X321</f>
        <v>0</v>
      </c>
      <c r="AD321" s="115"/>
      <c r="AE321" s="16"/>
      <c r="AF321" s="114"/>
      <c r="AG321" s="124" t="b">
        <f>AC321=(AD321+AE321+AF321)</f>
        <v>1</v>
      </c>
      <c r="AI321" s="70">
        <f>Y321</f>
        <v>0</v>
      </c>
      <c r="AJ321" s="115"/>
      <c r="AK321" s="114"/>
      <c r="AL321" s="70" t="b">
        <f>AI321=(AJ321+AK321)</f>
        <v>1</v>
      </c>
      <c r="AN321" s="65"/>
    </row>
    <row r="322" spans="2:40" ht="13" customHeight="1">
      <c r="B322" s="119"/>
      <c r="C322" s="159">
        <f t="shared" ref="C322:C345" si="202">IF(D322&lt;=15,$C$1,$C$2)</f>
        <v>2026091</v>
      </c>
      <c r="D322" s="23">
        <v>12</v>
      </c>
      <c r="E322" s="128">
        <v>0</v>
      </c>
      <c r="F322" s="126" t="e">
        <f>VLOOKUP(E322,'Códigos bancos'!$B$4:$C$29,2,0)</f>
        <v>#N/A</v>
      </c>
      <c r="G322" s="36">
        <v>1</v>
      </c>
      <c r="H322" s="126" t="str">
        <f>VLOOKUP(G322,'Códigos bancos'!$F$4:$G$14,2,0)</f>
        <v>Oficinas</v>
      </c>
      <c r="I322" s="130"/>
      <c r="J322" s="174">
        <v>0</v>
      </c>
      <c r="K322" s="174">
        <v>0</v>
      </c>
      <c r="L322" s="174">
        <v>0</v>
      </c>
      <c r="M322" s="174">
        <v>0</v>
      </c>
      <c r="N322" s="174">
        <v>0</v>
      </c>
      <c r="O322" s="174">
        <v>0</v>
      </c>
      <c r="P322" s="174">
        <v>0</v>
      </c>
      <c r="Q322" s="174">
        <v>0</v>
      </c>
      <c r="R322" s="174">
        <v>0</v>
      </c>
      <c r="S322" s="215">
        <v>0</v>
      </c>
      <c r="T322" s="71">
        <f t="shared" ref="T322:T345" si="203">J322+L322+N322+P322+R322</f>
        <v>0</v>
      </c>
      <c r="U322" s="71">
        <f t="shared" ref="U322:U345" si="204">K322+M322+O322+Q322+S322</f>
        <v>0</v>
      </c>
      <c r="V322" s="117">
        <v>0</v>
      </c>
      <c r="W322" s="117">
        <v>0</v>
      </c>
      <c r="X322" s="71">
        <f t="shared" ref="X322:X345" si="205">V322-T322</f>
        <v>0</v>
      </c>
      <c r="Y322" s="71">
        <f t="shared" ref="Y322:Y345" si="206">W322-U322</f>
        <v>0</v>
      </c>
      <c r="AA322" s="65"/>
      <c r="AC322" s="71">
        <f t="shared" ref="AC322:AC345" si="207">X322</f>
        <v>0</v>
      </c>
      <c r="AD322" s="39"/>
      <c r="AE322" s="7"/>
      <c r="AF322" s="15"/>
      <c r="AG322" s="71" t="b">
        <f t="shared" ref="AG322:AG345" si="208">AC322=(AD322+AE322+AF322)</f>
        <v>1</v>
      </c>
      <c r="AI322" s="71">
        <f t="shared" ref="AI322:AI345" si="209">Y322</f>
        <v>0</v>
      </c>
      <c r="AJ322" s="39"/>
      <c r="AK322" s="15"/>
      <c r="AL322" s="71" t="b">
        <f t="shared" ref="AL322:AL345" si="210">AI322=(AJ322+AK322)</f>
        <v>1</v>
      </c>
      <c r="AN322" s="65"/>
    </row>
    <row r="323" spans="2:40" ht="13" customHeight="1">
      <c r="B323" s="119"/>
      <c r="C323" s="159">
        <f t="shared" si="202"/>
        <v>2026091</v>
      </c>
      <c r="D323" s="23">
        <v>12</v>
      </c>
      <c r="E323" s="128">
        <v>0</v>
      </c>
      <c r="F323" s="126" t="e">
        <f>VLOOKUP(E323,'Códigos bancos'!$B$4:$C$29,2,0)</f>
        <v>#N/A</v>
      </c>
      <c r="G323" s="36">
        <v>1</v>
      </c>
      <c r="H323" s="126" t="str">
        <f>VLOOKUP(G323,'Códigos bancos'!$F$4:$G$14,2,0)</f>
        <v>Oficinas</v>
      </c>
      <c r="I323" s="130"/>
      <c r="J323" s="174">
        <v>0</v>
      </c>
      <c r="K323" s="174">
        <v>0</v>
      </c>
      <c r="L323" s="174">
        <v>0</v>
      </c>
      <c r="M323" s="174">
        <v>0</v>
      </c>
      <c r="N323" s="174">
        <v>0</v>
      </c>
      <c r="O323" s="174">
        <v>0</v>
      </c>
      <c r="P323" s="174">
        <v>0</v>
      </c>
      <c r="Q323" s="174">
        <v>0</v>
      </c>
      <c r="R323" s="174">
        <v>0</v>
      </c>
      <c r="S323" s="215">
        <v>0</v>
      </c>
      <c r="T323" s="71">
        <f t="shared" si="203"/>
        <v>0</v>
      </c>
      <c r="U323" s="71">
        <f t="shared" si="204"/>
        <v>0</v>
      </c>
      <c r="V323" s="117">
        <v>0</v>
      </c>
      <c r="W323" s="117">
        <v>0</v>
      </c>
      <c r="X323" s="71">
        <f t="shared" si="205"/>
        <v>0</v>
      </c>
      <c r="Y323" s="71">
        <f t="shared" si="206"/>
        <v>0</v>
      </c>
      <c r="AA323" s="65"/>
      <c r="AC323" s="71">
        <f t="shared" si="207"/>
        <v>0</v>
      </c>
      <c r="AD323" s="45"/>
      <c r="AE323" s="14"/>
      <c r="AF323" s="46"/>
      <c r="AG323" s="71" t="b">
        <f t="shared" si="208"/>
        <v>1</v>
      </c>
      <c r="AI323" s="71">
        <f t="shared" si="209"/>
        <v>0</v>
      </c>
      <c r="AJ323" s="45"/>
      <c r="AK323" s="46"/>
      <c r="AL323" s="71" t="b">
        <f t="shared" si="210"/>
        <v>1</v>
      </c>
      <c r="AN323" s="65"/>
    </row>
    <row r="324" spans="2:40" ht="13" customHeight="1">
      <c r="B324" s="119"/>
      <c r="C324" s="159">
        <f t="shared" si="202"/>
        <v>2026091</v>
      </c>
      <c r="D324" s="23">
        <v>12</v>
      </c>
      <c r="E324" s="128">
        <v>0</v>
      </c>
      <c r="F324" s="126" t="e">
        <f>VLOOKUP(E324,'Códigos bancos'!$B$4:$C$29,2,0)</f>
        <v>#N/A</v>
      </c>
      <c r="G324" s="36">
        <v>1</v>
      </c>
      <c r="H324" s="126" t="str">
        <f>VLOOKUP(G324,'Códigos bancos'!$F$4:$G$14,2,0)</f>
        <v>Oficinas</v>
      </c>
      <c r="I324" s="130"/>
      <c r="J324" s="174">
        <v>0</v>
      </c>
      <c r="K324" s="174">
        <v>0</v>
      </c>
      <c r="L324" s="174">
        <v>0</v>
      </c>
      <c r="M324" s="174">
        <v>0</v>
      </c>
      <c r="N324" s="174">
        <v>0</v>
      </c>
      <c r="O324" s="174">
        <v>0</v>
      </c>
      <c r="P324" s="174">
        <v>0</v>
      </c>
      <c r="Q324" s="174">
        <v>0</v>
      </c>
      <c r="R324" s="174">
        <v>0</v>
      </c>
      <c r="S324" s="215">
        <v>0</v>
      </c>
      <c r="T324" s="71">
        <f t="shared" si="203"/>
        <v>0</v>
      </c>
      <c r="U324" s="71">
        <f t="shared" si="204"/>
        <v>0</v>
      </c>
      <c r="V324" s="117">
        <v>0</v>
      </c>
      <c r="W324" s="117">
        <v>0</v>
      </c>
      <c r="X324" s="71">
        <f t="shared" si="205"/>
        <v>0</v>
      </c>
      <c r="Y324" s="71">
        <f t="shared" si="206"/>
        <v>0</v>
      </c>
      <c r="AA324" s="65"/>
      <c r="AC324" s="71">
        <f t="shared" si="207"/>
        <v>0</v>
      </c>
      <c r="AD324" s="39"/>
      <c r="AE324" s="7"/>
      <c r="AF324" s="15"/>
      <c r="AG324" s="71" t="b">
        <f t="shared" si="208"/>
        <v>1</v>
      </c>
      <c r="AI324" s="71">
        <f t="shared" si="209"/>
        <v>0</v>
      </c>
      <c r="AJ324" s="39"/>
      <c r="AK324" s="15"/>
      <c r="AL324" s="71" t="b">
        <f t="shared" si="210"/>
        <v>1</v>
      </c>
      <c r="AN324" s="65"/>
    </row>
    <row r="325" spans="2:40" ht="13" customHeight="1">
      <c r="B325" s="119"/>
      <c r="C325" s="159">
        <f t="shared" si="202"/>
        <v>2026091</v>
      </c>
      <c r="D325" s="23">
        <v>12</v>
      </c>
      <c r="E325" s="128">
        <v>0</v>
      </c>
      <c r="F325" s="126" t="e">
        <f>VLOOKUP(E325,'Códigos bancos'!$B$4:$C$29,2,0)</f>
        <v>#N/A</v>
      </c>
      <c r="G325" s="36">
        <v>1</v>
      </c>
      <c r="H325" s="126" t="str">
        <f>VLOOKUP(G325,'Códigos bancos'!$F$4:$G$14,2,0)</f>
        <v>Oficinas</v>
      </c>
      <c r="I325" s="130"/>
      <c r="J325" s="174">
        <v>0</v>
      </c>
      <c r="K325" s="174">
        <v>0</v>
      </c>
      <c r="L325" s="174">
        <v>0</v>
      </c>
      <c r="M325" s="174">
        <v>0</v>
      </c>
      <c r="N325" s="174">
        <v>0</v>
      </c>
      <c r="O325" s="174">
        <v>0</v>
      </c>
      <c r="P325" s="174">
        <v>0</v>
      </c>
      <c r="Q325" s="174">
        <v>0</v>
      </c>
      <c r="R325" s="174">
        <v>0</v>
      </c>
      <c r="S325" s="215">
        <v>0</v>
      </c>
      <c r="T325" s="71">
        <f t="shared" si="203"/>
        <v>0</v>
      </c>
      <c r="U325" s="71">
        <f t="shared" si="204"/>
        <v>0</v>
      </c>
      <c r="V325" s="117">
        <v>0</v>
      </c>
      <c r="W325" s="117">
        <v>0</v>
      </c>
      <c r="X325" s="71">
        <f t="shared" si="205"/>
        <v>0</v>
      </c>
      <c r="Y325" s="71">
        <f t="shared" si="206"/>
        <v>0</v>
      </c>
      <c r="AA325" s="65"/>
      <c r="AC325" s="71">
        <f t="shared" si="207"/>
        <v>0</v>
      </c>
      <c r="AD325" s="39"/>
      <c r="AE325" s="7"/>
      <c r="AF325" s="15"/>
      <c r="AG325" s="71" t="b">
        <f t="shared" si="208"/>
        <v>1</v>
      </c>
      <c r="AI325" s="71">
        <f t="shared" si="209"/>
        <v>0</v>
      </c>
      <c r="AJ325" s="39"/>
      <c r="AK325" s="15"/>
      <c r="AL325" s="71" t="b">
        <f t="shared" si="210"/>
        <v>1</v>
      </c>
      <c r="AN325" s="65"/>
    </row>
    <row r="326" spans="2:40" ht="13" customHeight="1">
      <c r="B326" s="119"/>
      <c r="C326" s="159">
        <f t="shared" si="202"/>
        <v>2026091</v>
      </c>
      <c r="D326" s="23">
        <v>12</v>
      </c>
      <c r="E326" s="128">
        <v>0</v>
      </c>
      <c r="F326" s="126" t="e">
        <f>VLOOKUP(E326,'Códigos bancos'!$B$4:$C$29,2,0)</f>
        <v>#N/A</v>
      </c>
      <c r="G326" s="36">
        <v>1</v>
      </c>
      <c r="H326" s="126" t="str">
        <f>VLOOKUP(G326,'Códigos bancos'!$F$4:$G$14,2,0)</f>
        <v>Oficinas</v>
      </c>
      <c r="I326" s="130"/>
      <c r="J326" s="174">
        <v>0</v>
      </c>
      <c r="K326" s="174">
        <v>0</v>
      </c>
      <c r="L326" s="174">
        <v>0</v>
      </c>
      <c r="M326" s="174">
        <v>0</v>
      </c>
      <c r="N326" s="174">
        <v>0</v>
      </c>
      <c r="O326" s="174">
        <v>0</v>
      </c>
      <c r="P326" s="174">
        <v>0</v>
      </c>
      <c r="Q326" s="174">
        <v>0</v>
      </c>
      <c r="R326" s="174">
        <v>0</v>
      </c>
      <c r="S326" s="215">
        <v>0</v>
      </c>
      <c r="T326" s="71">
        <f t="shared" si="203"/>
        <v>0</v>
      </c>
      <c r="U326" s="71">
        <f t="shared" si="204"/>
        <v>0</v>
      </c>
      <c r="V326" s="117">
        <v>0</v>
      </c>
      <c r="W326" s="117">
        <v>0</v>
      </c>
      <c r="X326" s="71">
        <f t="shared" si="205"/>
        <v>0</v>
      </c>
      <c r="Y326" s="71">
        <f t="shared" si="206"/>
        <v>0</v>
      </c>
      <c r="AA326" s="65"/>
      <c r="AC326" s="71">
        <f t="shared" si="207"/>
        <v>0</v>
      </c>
      <c r="AD326" s="39"/>
      <c r="AE326" s="7"/>
      <c r="AF326" s="15"/>
      <c r="AG326" s="71" t="b">
        <f t="shared" si="208"/>
        <v>1</v>
      </c>
      <c r="AI326" s="71">
        <f t="shared" si="209"/>
        <v>0</v>
      </c>
      <c r="AJ326" s="39"/>
      <c r="AK326" s="15"/>
      <c r="AL326" s="71" t="b">
        <f t="shared" si="210"/>
        <v>1</v>
      </c>
      <c r="AN326" s="65"/>
    </row>
    <row r="327" spans="2:40" ht="13" customHeight="1">
      <c r="B327" s="119"/>
      <c r="C327" s="159">
        <f t="shared" si="202"/>
        <v>2026091</v>
      </c>
      <c r="D327" s="23">
        <v>12</v>
      </c>
      <c r="E327" s="128">
        <v>0</v>
      </c>
      <c r="F327" s="126" t="e">
        <f>VLOOKUP(E327,'Códigos bancos'!$B$4:$C$29,2,0)</f>
        <v>#N/A</v>
      </c>
      <c r="G327" s="36">
        <v>1</v>
      </c>
      <c r="H327" s="126" t="str">
        <f>VLOOKUP(G327,'Códigos bancos'!$F$4:$G$14,2,0)</f>
        <v>Oficinas</v>
      </c>
      <c r="I327" s="130"/>
      <c r="J327" s="174">
        <v>0</v>
      </c>
      <c r="K327" s="174">
        <v>0</v>
      </c>
      <c r="L327" s="174">
        <v>0</v>
      </c>
      <c r="M327" s="174">
        <v>0</v>
      </c>
      <c r="N327" s="174">
        <v>0</v>
      </c>
      <c r="O327" s="174">
        <v>0</v>
      </c>
      <c r="P327" s="174">
        <v>0</v>
      </c>
      <c r="Q327" s="174">
        <v>0</v>
      </c>
      <c r="R327" s="174">
        <v>0</v>
      </c>
      <c r="S327" s="215">
        <v>0</v>
      </c>
      <c r="T327" s="71">
        <f t="shared" si="203"/>
        <v>0</v>
      </c>
      <c r="U327" s="71">
        <f t="shared" si="204"/>
        <v>0</v>
      </c>
      <c r="V327" s="117">
        <v>0</v>
      </c>
      <c r="W327" s="117">
        <v>0</v>
      </c>
      <c r="X327" s="71">
        <f t="shared" si="205"/>
        <v>0</v>
      </c>
      <c r="Y327" s="71">
        <f t="shared" si="206"/>
        <v>0</v>
      </c>
      <c r="AA327" s="65"/>
      <c r="AC327" s="71">
        <f t="shared" si="207"/>
        <v>0</v>
      </c>
      <c r="AD327" s="39"/>
      <c r="AE327" s="7"/>
      <c r="AF327" s="15"/>
      <c r="AG327" s="71" t="b">
        <f t="shared" si="208"/>
        <v>1</v>
      </c>
      <c r="AI327" s="71">
        <f t="shared" si="209"/>
        <v>0</v>
      </c>
      <c r="AJ327" s="39"/>
      <c r="AK327" s="15"/>
      <c r="AL327" s="71" t="b">
        <f t="shared" si="210"/>
        <v>1</v>
      </c>
      <c r="AN327" s="65"/>
    </row>
    <row r="328" spans="2:40" ht="13" customHeight="1">
      <c r="B328" s="119"/>
      <c r="C328" s="159">
        <f t="shared" si="202"/>
        <v>2026091</v>
      </c>
      <c r="D328" s="23">
        <v>12</v>
      </c>
      <c r="E328" s="128">
        <v>0</v>
      </c>
      <c r="F328" s="126" t="e">
        <f>VLOOKUP(E328,'Códigos bancos'!$B$4:$C$29,2,0)</f>
        <v>#N/A</v>
      </c>
      <c r="G328" s="36">
        <v>1</v>
      </c>
      <c r="H328" s="126" t="str">
        <f>VLOOKUP(G328,'Códigos bancos'!$F$4:$G$14,2,0)</f>
        <v>Oficinas</v>
      </c>
      <c r="I328" s="130"/>
      <c r="J328" s="174">
        <v>0</v>
      </c>
      <c r="K328" s="174">
        <v>0</v>
      </c>
      <c r="L328" s="174">
        <v>0</v>
      </c>
      <c r="M328" s="174">
        <v>0</v>
      </c>
      <c r="N328" s="174">
        <v>0</v>
      </c>
      <c r="O328" s="174">
        <v>0</v>
      </c>
      <c r="P328" s="174">
        <v>0</v>
      </c>
      <c r="Q328" s="174">
        <v>0</v>
      </c>
      <c r="R328" s="174">
        <v>0</v>
      </c>
      <c r="S328" s="215">
        <v>0</v>
      </c>
      <c r="T328" s="71">
        <f t="shared" si="203"/>
        <v>0</v>
      </c>
      <c r="U328" s="71">
        <f t="shared" si="204"/>
        <v>0</v>
      </c>
      <c r="V328" s="117">
        <v>0</v>
      </c>
      <c r="W328" s="117">
        <v>0</v>
      </c>
      <c r="X328" s="71">
        <f t="shared" si="205"/>
        <v>0</v>
      </c>
      <c r="Y328" s="71">
        <f t="shared" si="206"/>
        <v>0</v>
      </c>
      <c r="AA328" s="65"/>
      <c r="AC328" s="71">
        <f t="shared" si="207"/>
        <v>0</v>
      </c>
      <c r="AD328" s="39"/>
      <c r="AE328" s="7"/>
      <c r="AF328" s="15"/>
      <c r="AG328" s="71" t="b">
        <f t="shared" si="208"/>
        <v>1</v>
      </c>
      <c r="AI328" s="71">
        <f t="shared" si="209"/>
        <v>0</v>
      </c>
      <c r="AJ328" s="39"/>
      <c r="AK328" s="15"/>
      <c r="AL328" s="71" t="b">
        <f t="shared" si="210"/>
        <v>1</v>
      </c>
      <c r="AN328" s="65"/>
    </row>
    <row r="329" spans="2:40" ht="13" customHeight="1">
      <c r="B329" s="119"/>
      <c r="C329" s="159">
        <f t="shared" si="202"/>
        <v>2026091</v>
      </c>
      <c r="D329" s="23">
        <v>12</v>
      </c>
      <c r="E329" s="128">
        <v>0</v>
      </c>
      <c r="F329" s="126" t="e">
        <f>VLOOKUP(E329,'Códigos bancos'!$B$4:$C$29,2,0)</f>
        <v>#N/A</v>
      </c>
      <c r="G329" s="36">
        <v>1</v>
      </c>
      <c r="H329" s="126" t="str">
        <f>VLOOKUP(G329,'Códigos bancos'!$F$4:$G$14,2,0)</f>
        <v>Oficinas</v>
      </c>
      <c r="I329" s="130"/>
      <c r="J329" s="174">
        <v>0</v>
      </c>
      <c r="K329" s="174">
        <v>0</v>
      </c>
      <c r="L329" s="174">
        <v>0</v>
      </c>
      <c r="M329" s="174">
        <v>0</v>
      </c>
      <c r="N329" s="174">
        <v>0</v>
      </c>
      <c r="O329" s="174">
        <v>0</v>
      </c>
      <c r="P329" s="174">
        <v>0</v>
      </c>
      <c r="Q329" s="174">
        <v>0</v>
      </c>
      <c r="R329" s="174">
        <v>0</v>
      </c>
      <c r="S329" s="215">
        <v>0</v>
      </c>
      <c r="T329" s="71">
        <f t="shared" si="203"/>
        <v>0</v>
      </c>
      <c r="U329" s="71">
        <f t="shared" si="204"/>
        <v>0</v>
      </c>
      <c r="V329" s="117">
        <v>0</v>
      </c>
      <c r="W329" s="117">
        <v>0</v>
      </c>
      <c r="X329" s="71">
        <f t="shared" si="205"/>
        <v>0</v>
      </c>
      <c r="Y329" s="71">
        <f t="shared" si="206"/>
        <v>0</v>
      </c>
      <c r="AA329" s="65"/>
      <c r="AC329" s="71">
        <f t="shared" si="207"/>
        <v>0</v>
      </c>
      <c r="AD329" s="39"/>
      <c r="AE329" s="7"/>
      <c r="AF329" s="15"/>
      <c r="AG329" s="71" t="b">
        <f t="shared" si="208"/>
        <v>1</v>
      </c>
      <c r="AI329" s="71">
        <f t="shared" si="209"/>
        <v>0</v>
      </c>
      <c r="AJ329" s="39"/>
      <c r="AK329" s="15"/>
      <c r="AL329" s="71" t="b">
        <f t="shared" si="210"/>
        <v>1</v>
      </c>
      <c r="AN329" s="65"/>
    </row>
    <row r="330" spans="2:40" ht="13" customHeight="1">
      <c r="B330" s="119"/>
      <c r="C330" s="159">
        <f t="shared" si="202"/>
        <v>2026091</v>
      </c>
      <c r="D330" s="23">
        <v>12</v>
      </c>
      <c r="E330" s="128">
        <v>0</v>
      </c>
      <c r="F330" s="126" t="e">
        <f>VLOOKUP(E330,'Códigos bancos'!$B$4:$C$29,2,0)</f>
        <v>#N/A</v>
      </c>
      <c r="G330" s="36">
        <v>1</v>
      </c>
      <c r="H330" s="126" t="str">
        <f>VLOOKUP(G330,'Códigos bancos'!$F$4:$G$14,2,0)</f>
        <v>Oficinas</v>
      </c>
      <c r="I330" s="130"/>
      <c r="J330" s="174">
        <v>0</v>
      </c>
      <c r="K330" s="174">
        <v>0</v>
      </c>
      <c r="L330" s="174">
        <v>0</v>
      </c>
      <c r="M330" s="174">
        <v>0</v>
      </c>
      <c r="N330" s="174">
        <v>0</v>
      </c>
      <c r="O330" s="174">
        <v>0</v>
      </c>
      <c r="P330" s="174">
        <v>0</v>
      </c>
      <c r="Q330" s="174">
        <v>0</v>
      </c>
      <c r="R330" s="174">
        <v>0</v>
      </c>
      <c r="S330" s="215">
        <v>0</v>
      </c>
      <c r="T330" s="71">
        <f t="shared" si="203"/>
        <v>0</v>
      </c>
      <c r="U330" s="71">
        <f t="shared" si="204"/>
        <v>0</v>
      </c>
      <c r="V330" s="117">
        <v>0</v>
      </c>
      <c r="W330" s="117">
        <v>0</v>
      </c>
      <c r="X330" s="71">
        <f t="shared" si="205"/>
        <v>0</v>
      </c>
      <c r="Y330" s="71">
        <f t="shared" si="206"/>
        <v>0</v>
      </c>
      <c r="AA330" s="65"/>
      <c r="AC330" s="71">
        <f t="shared" si="207"/>
        <v>0</v>
      </c>
      <c r="AD330" s="39"/>
      <c r="AE330" s="7"/>
      <c r="AF330" s="15"/>
      <c r="AG330" s="71" t="b">
        <f t="shared" si="208"/>
        <v>1</v>
      </c>
      <c r="AI330" s="71">
        <f t="shared" si="209"/>
        <v>0</v>
      </c>
      <c r="AJ330" s="39"/>
      <c r="AK330" s="15"/>
      <c r="AL330" s="71" t="b">
        <f t="shared" si="210"/>
        <v>1</v>
      </c>
      <c r="AN330" s="65"/>
    </row>
    <row r="331" spans="2:40" ht="13" customHeight="1">
      <c r="B331" s="119"/>
      <c r="C331" s="159">
        <f t="shared" si="202"/>
        <v>2026091</v>
      </c>
      <c r="D331" s="23">
        <v>12</v>
      </c>
      <c r="E331" s="128">
        <v>0</v>
      </c>
      <c r="F331" s="126" t="e">
        <f>VLOOKUP(E331,'Códigos bancos'!$B$4:$C$29,2,0)</f>
        <v>#N/A</v>
      </c>
      <c r="G331" s="36">
        <v>1</v>
      </c>
      <c r="H331" s="126" t="str">
        <f>VLOOKUP(G331,'Códigos bancos'!$F$4:$G$14,2,0)</f>
        <v>Oficinas</v>
      </c>
      <c r="I331" s="130"/>
      <c r="J331" s="174">
        <v>0</v>
      </c>
      <c r="K331" s="174">
        <v>0</v>
      </c>
      <c r="L331" s="174">
        <v>0</v>
      </c>
      <c r="M331" s="174">
        <v>0</v>
      </c>
      <c r="N331" s="174">
        <v>0</v>
      </c>
      <c r="O331" s="174">
        <v>0</v>
      </c>
      <c r="P331" s="174">
        <v>0</v>
      </c>
      <c r="Q331" s="174">
        <v>0</v>
      </c>
      <c r="R331" s="174">
        <v>0</v>
      </c>
      <c r="S331" s="215">
        <v>0</v>
      </c>
      <c r="T331" s="71">
        <f t="shared" si="203"/>
        <v>0</v>
      </c>
      <c r="U331" s="71">
        <f t="shared" si="204"/>
        <v>0</v>
      </c>
      <c r="V331" s="117">
        <v>0</v>
      </c>
      <c r="W331" s="117">
        <v>0</v>
      </c>
      <c r="X331" s="71">
        <f t="shared" si="205"/>
        <v>0</v>
      </c>
      <c r="Y331" s="71">
        <f t="shared" si="206"/>
        <v>0</v>
      </c>
      <c r="AA331" s="65"/>
      <c r="AC331" s="71">
        <f t="shared" si="207"/>
        <v>0</v>
      </c>
      <c r="AD331" s="39"/>
      <c r="AE331" s="7"/>
      <c r="AF331" s="15"/>
      <c r="AG331" s="71" t="b">
        <f t="shared" si="208"/>
        <v>1</v>
      </c>
      <c r="AI331" s="71">
        <f t="shared" si="209"/>
        <v>0</v>
      </c>
      <c r="AJ331" s="39"/>
      <c r="AK331" s="15"/>
      <c r="AL331" s="71" t="b">
        <f t="shared" si="210"/>
        <v>1</v>
      </c>
      <c r="AN331" s="65"/>
    </row>
    <row r="332" spans="2:40" ht="13" customHeight="1">
      <c r="B332" s="119"/>
      <c r="C332" s="159">
        <f t="shared" si="202"/>
        <v>2026091</v>
      </c>
      <c r="D332" s="23">
        <v>12</v>
      </c>
      <c r="E332" s="128">
        <v>0</v>
      </c>
      <c r="F332" s="126" t="e">
        <f>VLOOKUP(E332,'Códigos bancos'!$B$4:$C$29,2,0)</f>
        <v>#N/A</v>
      </c>
      <c r="G332" s="36">
        <v>1</v>
      </c>
      <c r="H332" s="126" t="str">
        <f>VLOOKUP(G332,'Códigos bancos'!$F$4:$G$14,2,0)</f>
        <v>Oficinas</v>
      </c>
      <c r="I332" s="130"/>
      <c r="J332" s="174">
        <v>0</v>
      </c>
      <c r="K332" s="174">
        <v>0</v>
      </c>
      <c r="L332" s="174">
        <v>0</v>
      </c>
      <c r="M332" s="174">
        <v>0</v>
      </c>
      <c r="N332" s="174">
        <v>0</v>
      </c>
      <c r="O332" s="174">
        <v>0</v>
      </c>
      <c r="P332" s="174">
        <v>0</v>
      </c>
      <c r="Q332" s="174">
        <v>0</v>
      </c>
      <c r="R332" s="174">
        <v>0</v>
      </c>
      <c r="S332" s="215">
        <v>0</v>
      </c>
      <c r="T332" s="71">
        <f t="shared" si="203"/>
        <v>0</v>
      </c>
      <c r="U332" s="71">
        <f t="shared" si="204"/>
        <v>0</v>
      </c>
      <c r="V332" s="117">
        <v>0</v>
      </c>
      <c r="W332" s="117">
        <v>0</v>
      </c>
      <c r="X332" s="71">
        <f t="shared" si="205"/>
        <v>0</v>
      </c>
      <c r="Y332" s="71">
        <f t="shared" si="206"/>
        <v>0</v>
      </c>
      <c r="AA332" s="65"/>
      <c r="AC332" s="71">
        <f t="shared" si="207"/>
        <v>0</v>
      </c>
      <c r="AD332" s="39"/>
      <c r="AE332" s="7"/>
      <c r="AF332" s="15"/>
      <c r="AG332" s="71" t="b">
        <f t="shared" si="208"/>
        <v>1</v>
      </c>
      <c r="AI332" s="71">
        <f t="shared" si="209"/>
        <v>0</v>
      </c>
      <c r="AJ332" s="39"/>
      <c r="AK332" s="15"/>
      <c r="AL332" s="71" t="b">
        <f t="shared" si="210"/>
        <v>1</v>
      </c>
      <c r="AN332" s="65"/>
    </row>
    <row r="333" spans="2:40" ht="13" customHeight="1">
      <c r="B333" s="119"/>
      <c r="C333" s="159">
        <f t="shared" si="202"/>
        <v>2026091</v>
      </c>
      <c r="D333" s="23">
        <v>12</v>
      </c>
      <c r="E333" s="128">
        <v>0</v>
      </c>
      <c r="F333" s="126" t="e">
        <f>VLOOKUP(E333,'Códigos bancos'!$B$4:$C$29,2,0)</f>
        <v>#N/A</v>
      </c>
      <c r="G333" s="36">
        <v>1</v>
      </c>
      <c r="H333" s="126" t="str">
        <f>VLOOKUP(G333,'Códigos bancos'!$F$4:$G$14,2,0)</f>
        <v>Oficinas</v>
      </c>
      <c r="I333" s="130"/>
      <c r="J333" s="174">
        <v>0</v>
      </c>
      <c r="K333" s="174">
        <v>0</v>
      </c>
      <c r="L333" s="174">
        <v>0</v>
      </c>
      <c r="M333" s="174">
        <v>0</v>
      </c>
      <c r="N333" s="174">
        <v>0</v>
      </c>
      <c r="O333" s="174">
        <v>0</v>
      </c>
      <c r="P333" s="174">
        <v>0</v>
      </c>
      <c r="Q333" s="174">
        <v>0</v>
      </c>
      <c r="R333" s="174">
        <v>0</v>
      </c>
      <c r="S333" s="215">
        <v>0</v>
      </c>
      <c r="T333" s="71">
        <f t="shared" si="203"/>
        <v>0</v>
      </c>
      <c r="U333" s="71">
        <f t="shared" si="204"/>
        <v>0</v>
      </c>
      <c r="V333" s="117">
        <v>0</v>
      </c>
      <c r="W333" s="117">
        <v>0</v>
      </c>
      <c r="X333" s="71">
        <f t="shared" si="205"/>
        <v>0</v>
      </c>
      <c r="Y333" s="71">
        <f t="shared" si="206"/>
        <v>0</v>
      </c>
      <c r="AA333" s="65"/>
      <c r="AC333" s="71">
        <f t="shared" si="207"/>
        <v>0</v>
      </c>
      <c r="AD333" s="39"/>
      <c r="AE333" s="7"/>
      <c r="AF333" s="15"/>
      <c r="AG333" s="71" t="b">
        <f t="shared" si="208"/>
        <v>1</v>
      </c>
      <c r="AI333" s="71">
        <f t="shared" si="209"/>
        <v>0</v>
      </c>
      <c r="AJ333" s="39"/>
      <c r="AK333" s="15"/>
      <c r="AL333" s="71" t="b">
        <f t="shared" si="210"/>
        <v>1</v>
      </c>
      <c r="AN333" s="65"/>
    </row>
    <row r="334" spans="2:40" ht="13" customHeight="1">
      <c r="B334" s="119"/>
      <c r="C334" s="23">
        <f t="shared" si="202"/>
        <v>2026091</v>
      </c>
      <c r="D334" s="23">
        <v>12</v>
      </c>
      <c r="E334" s="128">
        <v>0</v>
      </c>
      <c r="F334" s="126" t="e">
        <f>VLOOKUP(E334,'Códigos bancos'!$B$4:$C$29,2,0)</f>
        <v>#N/A</v>
      </c>
      <c r="G334" s="36">
        <v>1</v>
      </c>
      <c r="H334" s="126" t="str">
        <f>VLOOKUP(G334,'Códigos bancos'!$F$4:$G$14,2,0)</f>
        <v>Oficinas</v>
      </c>
      <c r="I334" s="130"/>
      <c r="J334" s="174">
        <v>0</v>
      </c>
      <c r="K334" s="174">
        <v>0</v>
      </c>
      <c r="L334" s="174">
        <v>0</v>
      </c>
      <c r="M334" s="174">
        <v>0</v>
      </c>
      <c r="N334" s="174">
        <v>0</v>
      </c>
      <c r="O334" s="174">
        <v>0</v>
      </c>
      <c r="P334" s="174">
        <v>0</v>
      </c>
      <c r="Q334" s="174">
        <v>0</v>
      </c>
      <c r="R334" s="174">
        <v>0</v>
      </c>
      <c r="S334" s="215">
        <v>0</v>
      </c>
      <c r="T334" s="71">
        <f t="shared" si="203"/>
        <v>0</v>
      </c>
      <c r="U334" s="71">
        <f t="shared" si="204"/>
        <v>0</v>
      </c>
      <c r="V334" s="117">
        <v>0</v>
      </c>
      <c r="W334" s="117">
        <v>0</v>
      </c>
      <c r="X334" s="71">
        <f t="shared" si="205"/>
        <v>0</v>
      </c>
      <c r="Y334" s="71">
        <f t="shared" si="206"/>
        <v>0</v>
      </c>
      <c r="AA334" s="65"/>
      <c r="AC334" s="71">
        <f t="shared" si="207"/>
        <v>0</v>
      </c>
      <c r="AD334" s="39"/>
      <c r="AE334" s="7"/>
      <c r="AF334" s="15"/>
      <c r="AG334" s="71" t="b">
        <f t="shared" si="208"/>
        <v>1</v>
      </c>
      <c r="AI334" s="71">
        <f t="shared" si="209"/>
        <v>0</v>
      </c>
      <c r="AJ334" s="39"/>
      <c r="AK334" s="15"/>
      <c r="AL334" s="71" t="b">
        <f t="shared" si="210"/>
        <v>1</v>
      </c>
      <c r="AN334" s="65"/>
    </row>
    <row r="335" spans="2:40" ht="13" customHeight="1">
      <c r="B335" s="119"/>
      <c r="C335" s="159">
        <f t="shared" si="202"/>
        <v>2026091</v>
      </c>
      <c r="D335" s="23">
        <v>12</v>
      </c>
      <c r="E335" s="128">
        <v>0</v>
      </c>
      <c r="F335" s="126" t="e">
        <f>VLOOKUP(E335,'Códigos bancos'!$B$4:$C$29,2,0)</f>
        <v>#N/A</v>
      </c>
      <c r="G335" s="36">
        <v>1</v>
      </c>
      <c r="H335" s="126" t="str">
        <f>VLOOKUP(G335,'Códigos bancos'!$F$4:$G$14,2,0)</f>
        <v>Oficinas</v>
      </c>
      <c r="I335" s="130"/>
      <c r="J335" s="174">
        <v>0</v>
      </c>
      <c r="K335" s="174">
        <v>0</v>
      </c>
      <c r="L335" s="174">
        <v>0</v>
      </c>
      <c r="M335" s="174">
        <v>0</v>
      </c>
      <c r="N335" s="174">
        <v>0</v>
      </c>
      <c r="O335" s="174">
        <v>0</v>
      </c>
      <c r="P335" s="174">
        <v>0</v>
      </c>
      <c r="Q335" s="174">
        <v>0</v>
      </c>
      <c r="R335" s="174">
        <v>0</v>
      </c>
      <c r="S335" s="215">
        <v>0</v>
      </c>
      <c r="T335" s="71">
        <f t="shared" si="203"/>
        <v>0</v>
      </c>
      <c r="U335" s="71">
        <f t="shared" si="204"/>
        <v>0</v>
      </c>
      <c r="V335" s="117">
        <v>0</v>
      </c>
      <c r="W335" s="117">
        <v>0</v>
      </c>
      <c r="X335" s="71">
        <f t="shared" si="205"/>
        <v>0</v>
      </c>
      <c r="Y335" s="71">
        <f t="shared" si="206"/>
        <v>0</v>
      </c>
      <c r="AA335" s="65"/>
      <c r="AC335" s="71">
        <f t="shared" si="207"/>
        <v>0</v>
      </c>
      <c r="AD335" s="39"/>
      <c r="AE335" s="7"/>
      <c r="AF335" s="15"/>
      <c r="AG335" s="71" t="b">
        <f t="shared" si="208"/>
        <v>1</v>
      </c>
      <c r="AI335" s="71">
        <f t="shared" si="209"/>
        <v>0</v>
      </c>
      <c r="AJ335" s="39"/>
      <c r="AK335" s="15"/>
      <c r="AL335" s="71" t="b">
        <f t="shared" si="210"/>
        <v>1</v>
      </c>
      <c r="AN335" s="65"/>
    </row>
    <row r="336" spans="2:40" ht="13" customHeight="1">
      <c r="B336" s="119"/>
      <c r="C336" s="159">
        <f t="shared" si="202"/>
        <v>2026091</v>
      </c>
      <c r="D336" s="23">
        <v>12</v>
      </c>
      <c r="E336" s="128">
        <v>0</v>
      </c>
      <c r="F336" s="126" t="e">
        <f>VLOOKUP(E336,'Códigos bancos'!$B$4:$C$29,2,0)</f>
        <v>#N/A</v>
      </c>
      <c r="G336" s="36">
        <v>1</v>
      </c>
      <c r="H336" s="126" t="str">
        <f>VLOOKUP(G336,'Códigos bancos'!$F$4:$G$14,2,0)</f>
        <v>Oficinas</v>
      </c>
      <c r="I336" s="130"/>
      <c r="J336" s="174">
        <v>0</v>
      </c>
      <c r="K336" s="174">
        <v>0</v>
      </c>
      <c r="L336" s="174">
        <v>0</v>
      </c>
      <c r="M336" s="174">
        <v>0</v>
      </c>
      <c r="N336" s="174">
        <v>0</v>
      </c>
      <c r="O336" s="174">
        <v>0</v>
      </c>
      <c r="P336" s="174">
        <v>0</v>
      </c>
      <c r="Q336" s="174">
        <v>0</v>
      </c>
      <c r="R336" s="174">
        <v>0</v>
      </c>
      <c r="S336" s="215">
        <v>0</v>
      </c>
      <c r="T336" s="71">
        <f t="shared" si="203"/>
        <v>0</v>
      </c>
      <c r="U336" s="71">
        <f t="shared" si="204"/>
        <v>0</v>
      </c>
      <c r="V336" s="117">
        <v>0</v>
      </c>
      <c r="W336" s="117">
        <v>0</v>
      </c>
      <c r="X336" s="71">
        <f t="shared" si="205"/>
        <v>0</v>
      </c>
      <c r="Y336" s="71">
        <f t="shared" si="206"/>
        <v>0</v>
      </c>
      <c r="AA336" s="65"/>
      <c r="AC336" s="71">
        <f t="shared" si="207"/>
        <v>0</v>
      </c>
      <c r="AD336" s="39"/>
      <c r="AE336" s="7"/>
      <c r="AF336" s="15"/>
      <c r="AG336" s="71" t="b">
        <f t="shared" si="208"/>
        <v>1</v>
      </c>
      <c r="AI336" s="71">
        <f t="shared" si="209"/>
        <v>0</v>
      </c>
      <c r="AJ336" s="39"/>
      <c r="AK336" s="15"/>
      <c r="AL336" s="71" t="b">
        <f t="shared" si="210"/>
        <v>1</v>
      </c>
      <c r="AN336" s="65"/>
    </row>
    <row r="337" spans="2:40 16128:16147" ht="13" customHeight="1">
      <c r="B337" s="119"/>
      <c r="C337" s="159">
        <f t="shared" si="202"/>
        <v>2026091</v>
      </c>
      <c r="D337" s="23">
        <v>12</v>
      </c>
      <c r="E337" s="128">
        <v>0</v>
      </c>
      <c r="F337" s="126" t="e">
        <f>VLOOKUP(E337,'Códigos bancos'!$B$4:$C$29,2,0)</f>
        <v>#N/A</v>
      </c>
      <c r="G337" s="36">
        <v>1</v>
      </c>
      <c r="H337" s="126" t="str">
        <f>VLOOKUP(G337,'Códigos bancos'!$F$4:$G$14,2,0)</f>
        <v>Oficinas</v>
      </c>
      <c r="I337" s="130"/>
      <c r="J337" s="174">
        <v>0</v>
      </c>
      <c r="K337" s="174">
        <v>0</v>
      </c>
      <c r="L337" s="174">
        <v>0</v>
      </c>
      <c r="M337" s="174">
        <v>0</v>
      </c>
      <c r="N337" s="174">
        <v>0</v>
      </c>
      <c r="O337" s="174">
        <v>0</v>
      </c>
      <c r="P337" s="174">
        <v>0</v>
      </c>
      <c r="Q337" s="174">
        <v>0</v>
      </c>
      <c r="R337" s="174">
        <v>0</v>
      </c>
      <c r="S337" s="215">
        <v>0</v>
      </c>
      <c r="T337" s="71">
        <f t="shared" si="203"/>
        <v>0</v>
      </c>
      <c r="U337" s="71">
        <f t="shared" si="204"/>
        <v>0</v>
      </c>
      <c r="V337" s="117">
        <v>0</v>
      </c>
      <c r="W337" s="117">
        <v>0</v>
      </c>
      <c r="X337" s="71">
        <f t="shared" si="205"/>
        <v>0</v>
      </c>
      <c r="Y337" s="71">
        <f t="shared" si="206"/>
        <v>0</v>
      </c>
      <c r="AA337" s="65"/>
      <c r="AC337" s="71">
        <f t="shared" si="207"/>
        <v>0</v>
      </c>
      <c r="AD337" s="39"/>
      <c r="AE337" s="7"/>
      <c r="AF337" s="15"/>
      <c r="AG337" s="71" t="b">
        <f t="shared" si="208"/>
        <v>1</v>
      </c>
      <c r="AI337" s="71">
        <f t="shared" si="209"/>
        <v>0</v>
      </c>
      <c r="AJ337" s="39"/>
      <c r="AK337" s="15"/>
      <c r="AL337" s="71" t="b">
        <f t="shared" si="210"/>
        <v>1</v>
      </c>
      <c r="AN337" s="65"/>
    </row>
    <row r="338" spans="2:40 16128:16147" ht="13" customHeight="1">
      <c r="B338" s="119"/>
      <c r="C338" s="159">
        <f t="shared" si="202"/>
        <v>2026091</v>
      </c>
      <c r="D338" s="23">
        <v>12</v>
      </c>
      <c r="E338" s="128">
        <v>0</v>
      </c>
      <c r="F338" s="126" t="e">
        <f>VLOOKUP(E338,'Códigos bancos'!$B$4:$C$29,2,0)</f>
        <v>#N/A</v>
      </c>
      <c r="G338" s="36">
        <v>1</v>
      </c>
      <c r="H338" s="126" t="str">
        <f>VLOOKUP(G338,'Códigos bancos'!$F$4:$G$14,2,0)</f>
        <v>Oficinas</v>
      </c>
      <c r="I338" s="130"/>
      <c r="J338" s="174">
        <v>0</v>
      </c>
      <c r="K338" s="174">
        <v>0</v>
      </c>
      <c r="L338" s="174">
        <v>0</v>
      </c>
      <c r="M338" s="174">
        <v>0</v>
      </c>
      <c r="N338" s="174">
        <v>0</v>
      </c>
      <c r="O338" s="174">
        <v>0</v>
      </c>
      <c r="P338" s="174">
        <v>0</v>
      </c>
      <c r="Q338" s="174">
        <v>0</v>
      </c>
      <c r="R338" s="174">
        <v>0</v>
      </c>
      <c r="S338" s="215">
        <v>0</v>
      </c>
      <c r="T338" s="71">
        <f t="shared" si="203"/>
        <v>0</v>
      </c>
      <c r="U338" s="71">
        <f t="shared" si="204"/>
        <v>0</v>
      </c>
      <c r="V338" s="117">
        <v>0</v>
      </c>
      <c r="W338" s="117">
        <v>0</v>
      </c>
      <c r="X338" s="71">
        <f t="shared" si="205"/>
        <v>0</v>
      </c>
      <c r="Y338" s="71">
        <f t="shared" si="206"/>
        <v>0</v>
      </c>
      <c r="AA338" s="65"/>
      <c r="AC338" s="71">
        <f t="shared" si="207"/>
        <v>0</v>
      </c>
      <c r="AD338" s="39"/>
      <c r="AE338" s="7"/>
      <c r="AF338" s="15"/>
      <c r="AG338" s="71" t="b">
        <f t="shared" si="208"/>
        <v>1</v>
      </c>
      <c r="AI338" s="71">
        <f t="shared" si="209"/>
        <v>0</v>
      </c>
      <c r="AJ338" s="39"/>
      <c r="AK338" s="15"/>
      <c r="AL338" s="71" t="b">
        <f t="shared" si="210"/>
        <v>1</v>
      </c>
      <c r="AN338" s="65"/>
    </row>
    <row r="339" spans="2:40 16128:16147" ht="13" customHeight="1">
      <c r="B339" s="119"/>
      <c r="C339" s="159">
        <f t="shared" si="202"/>
        <v>2026091</v>
      </c>
      <c r="D339" s="23">
        <v>12</v>
      </c>
      <c r="E339" s="128">
        <v>0</v>
      </c>
      <c r="F339" s="126" t="e">
        <f>VLOOKUP(E339,'Códigos bancos'!$B$4:$C$29,2,0)</f>
        <v>#N/A</v>
      </c>
      <c r="G339" s="36">
        <v>1</v>
      </c>
      <c r="H339" s="126" t="str">
        <f>VLOOKUP(G339,'Códigos bancos'!$F$4:$G$14,2,0)</f>
        <v>Oficinas</v>
      </c>
      <c r="I339" s="130"/>
      <c r="J339" s="174">
        <v>0</v>
      </c>
      <c r="K339" s="174">
        <v>0</v>
      </c>
      <c r="L339" s="174">
        <v>0</v>
      </c>
      <c r="M339" s="174">
        <v>0</v>
      </c>
      <c r="N339" s="174">
        <v>0</v>
      </c>
      <c r="O339" s="174">
        <v>0</v>
      </c>
      <c r="P339" s="174">
        <v>0</v>
      </c>
      <c r="Q339" s="174">
        <v>0</v>
      </c>
      <c r="R339" s="174">
        <v>0</v>
      </c>
      <c r="S339" s="215">
        <v>0</v>
      </c>
      <c r="T339" s="71">
        <f t="shared" si="203"/>
        <v>0</v>
      </c>
      <c r="U339" s="71">
        <f t="shared" si="204"/>
        <v>0</v>
      </c>
      <c r="V339" s="117">
        <v>0</v>
      </c>
      <c r="W339" s="117">
        <v>0</v>
      </c>
      <c r="X339" s="71">
        <f t="shared" si="205"/>
        <v>0</v>
      </c>
      <c r="Y339" s="71">
        <f t="shared" si="206"/>
        <v>0</v>
      </c>
      <c r="AA339" s="65"/>
      <c r="AC339" s="71">
        <f t="shared" si="207"/>
        <v>0</v>
      </c>
      <c r="AD339" s="39"/>
      <c r="AE339" s="7"/>
      <c r="AF339" s="15"/>
      <c r="AG339" s="71" t="b">
        <f t="shared" si="208"/>
        <v>1</v>
      </c>
      <c r="AI339" s="71">
        <f t="shared" si="209"/>
        <v>0</v>
      </c>
      <c r="AJ339" s="39"/>
      <c r="AK339" s="15"/>
      <c r="AL339" s="71" t="b">
        <f t="shared" si="210"/>
        <v>1</v>
      </c>
      <c r="AN339" s="65"/>
    </row>
    <row r="340" spans="2:40 16128:16147" ht="13" customHeight="1">
      <c r="B340" s="119"/>
      <c r="C340" s="159">
        <f t="shared" ref="C340" si="211">IF(D340&lt;=15,$C$1,$C$2)</f>
        <v>2026091</v>
      </c>
      <c r="D340" s="23">
        <v>12</v>
      </c>
      <c r="E340" s="128">
        <v>0</v>
      </c>
      <c r="F340" s="126" t="e">
        <f>VLOOKUP(E340,'Códigos bancos'!$B$4:$C$29,2,0)</f>
        <v>#N/A</v>
      </c>
      <c r="G340" s="36">
        <v>1</v>
      </c>
      <c r="H340" s="126" t="str">
        <f>VLOOKUP(G340,'Códigos bancos'!$F$4:$G$14,2,0)</f>
        <v>Oficinas</v>
      </c>
      <c r="I340" s="130"/>
      <c r="J340" s="174">
        <v>0</v>
      </c>
      <c r="K340" s="174">
        <v>0</v>
      </c>
      <c r="L340" s="174">
        <v>0</v>
      </c>
      <c r="M340" s="174">
        <v>0</v>
      </c>
      <c r="N340" s="174">
        <v>0</v>
      </c>
      <c r="O340" s="174">
        <v>0</v>
      </c>
      <c r="P340" s="174">
        <v>0</v>
      </c>
      <c r="Q340" s="174">
        <v>0</v>
      </c>
      <c r="R340" s="174">
        <v>0</v>
      </c>
      <c r="S340" s="215">
        <v>0</v>
      </c>
      <c r="T340" s="71">
        <f t="shared" ref="T340" si="212">J340+L340+N340+P340+R340</f>
        <v>0</v>
      </c>
      <c r="U340" s="71">
        <f t="shared" ref="U340" si="213">K340+M340+O340+Q340+S340</f>
        <v>0</v>
      </c>
      <c r="V340" s="117">
        <v>0</v>
      </c>
      <c r="W340" s="117">
        <v>0</v>
      </c>
      <c r="X340" s="71">
        <f t="shared" ref="X340" si="214">V340-T340</f>
        <v>0</v>
      </c>
      <c r="Y340" s="71">
        <f t="shared" ref="Y340" si="215">W340-U340</f>
        <v>0</v>
      </c>
      <c r="AA340" s="65"/>
      <c r="AC340" s="71">
        <f t="shared" ref="AC340" si="216">X340</f>
        <v>0</v>
      </c>
      <c r="AD340" s="39"/>
      <c r="AE340" s="7"/>
      <c r="AF340" s="15"/>
      <c r="AG340" s="71" t="b">
        <f t="shared" ref="AG340" si="217">AC340=(AD340+AE340+AF340)</f>
        <v>1</v>
      </c>
      <c r="AI340" s="71">
        <f t="shared" ref="AI340" si="218">Y340</f>
        <v>0</v>
      </c>
      <c r="AJ340" s="39"/>
      <c r="AK340" s="15"/>
      <c r="AL340" s="71" t="b">
        <f t="shared" ref="AL340" si="219">AI340=(AJ340+AK340)</f>
        <v>1</v>
      </c>
      <c r="AN340" s="65"/>
    </row>
    <row r="341" spans="2:40 16128:16147" ht="13" customHeight="1">
      <c r="B341" s="119"/>
      <c r="C341" s="159">
        <f t="shared" si="202"/>
        <v>2026091</v>
      </c>
      <c r="D341" s="23">
        <v>12</v>
      </c>
      <c r="E341" s="128">
        <v>0</v>
      </c>
      <c r="F341" s="126" t="e">
        <f>VLOOKUP(E341,'Códigos bancos'!$B$4:$C$29,2,0)</f>
        <v>#N/A</v>
      </c>
      <c r="G341" s="36">
        <v>1</v>
      </c>
      <c r="H341" s="126" t="str">
        <f>VLOOKUP(G341,'Códigos bancos'!$F$4:$G$14,2,0)</f>
        <v>Oficinas</v>
      </c>
      <c r="I341" s="130"/>
      <c r="J341" s="174">
        <v>0</v>
      </c>
      <c r="K341" s="174">
        <v>0</v>
      </c>
      <c r="L341" s="174">
        <v>0</v>
      </c>
      <c r="M341" s="174">
        <v>0</v>
      </c>
      <c r="N341" s="174">
        <v>0</v>
      </c>
      <c r="O341" s="174">
        <v>0</v>
      </c>
      <c r="P341" s="174">
        <v>0</v>
      </c>
      <c r="Q341" s="174">
        <v>0</v>
      </c>
      <c r="R341" s="174">
        <v>0</v>
      </c>
      <c r="S341" s="215">
        <v>0</v>
      </c>
      <c r="T341" s="71">
        <f t="shared" si="203"/>
        <v>0</v>
      </c>
      <c r="U341" s="71">
        <f t="shared" si="204"/>
        <v>0</v>
      </c>
      <c r="V341" s="117">
        <v>0</v>
      </c>
      <c r="W341" s="117">
        <v>0</v>
      </c>
      <c r="X341" s="71">
        <f t="shared" si="205"/>
        <v>0</v>
      </c>
      <c r="Y341" s="71">
        <f t="shared" si="206"/>
        <v>0</v>
      </c>
      <c r="AA341" s="65"/>
      <c r="AC341" s="71">
        <f t="shared" si="207"/>
        <v>0</v>
      </c>
      <c r="AD341" s="39"/>
      <c r="AE341" s="7"/>
      <c r="AF341" s="15"/>
      <c r="AG341" s="71" t="b">
        <f t="shared" si="208"/>
        <v>1</v>
      </c>
      <c r="AI341" s="71">
        <f t="shared" si="209"/>
        <v>0</v>
      </c>
      <c r="AJ341" s="39"/>
      <c r="AK341" s="15"/>
      <c r="AL341" s="71" t="b">
        <f t="shared" si="210"/>
        <v>1</v>
      </c>
      <c r="AN341" s="65"/>
    </row>
    <row r="342" spans="2:40 16128:16147" ht="13" customHeight="1">
      <c r="B342" s="119"/>
      <c r="C342" s="23">
        <f t="shared" si="202"/>
        <v>2026091</v>
      </c>
      <c r="D342" s="23">
        <v>12</v>
      </c>
      <c r="E342" s="128">
        <v>0</v>
      </c>
      <c r="F342" s="126" t="e">
        <f>VLOOKUP(E342,'Códigos bancos'!$B$4:$C$29,2,0)</f>
        <v>#N/A</v>
      </c>
      <c r="G342" s="36">
        <v>1</v>
      </c>
      <c r="H342" s="126" t="str">
        <f>VLOOKUP(G342,'Códigos bancos'!$F$4:$G$14,2,0)</f>
        <v>Oficinas</v>
      </c>
      <c r="I342" s="130"/>
      <c r="J342" s="174">
        <v>0</v>
      </c>
      <c r="K342" s="174">
        <v>0</v>
      </c>
      <c r="L342" s="174">
        <v>0</v>
      </c>
      <c r="M342" s="174">
        <v>0</v>
      </c>
      <c r="N342" s="174">
        <v>0</v>
      </c>
      <c r="O342" s="174">
        <v>0</v>
      </c>
      <c r="P342" s="174">
        <v>0</v>
      </c>
      <c r="Q342" s="174">
        <v>0</v>
      </c>
      <c r="R342" s="174">
        <v>0</v>
      </c>
      <c r="S342" s="215">
        <v>0</v>
      </c>
      <c r="T342" s="71">
        <f t="shared" si="203"/>
        <v>0</v>
      </c>
      <c r="U342" s="71">
        <f t="shared" si="204"/>
        <v>0</v>
      </c>
      <c r="V342" s="117">
        <v>0</v>
      </c>
      <c r="W342" s="117">
        <v>0</v>
      </c>
      <c r="X342" s="71">
        <f t="shared" si="205"/>
        <v>0</v>
      </c>
      <c r="Y342" s="71">
        <f t="shared" si="206"/>
        <v>0</v>
      </c>
      <c r="AA342" s="65"/>
      <c r="AC342" s="71">
        <f t="shared" si="207"/>
        <v>0</v>
      </c>
      <c r="AD342" s="39"/>
      <c r="AE342" s="7"/>
      <c r="AF342" s="15"/>
      <c r="AG342" s="71" t="b">
        <f t="shared" si="208"/>
        <v>1</v>
      </c>
      <c r="AI342" s="71">
        <f t="shared" si="209"/>
        <v>0</v>
      </c>
      <c r="AJ342" s="39"/>
      <c r="AK342" s="15"/>
      <c r="AL342" s="71" t="b">
        <f t="shared" si="210"/>
        <v>1</v>
      </c>
      <c r="AN342" s="65"/>
    </row>
    <row r="343" spans="2:40 16128:16147" ht="13" customHeight="1">
      <c r="B343" s="119"/>
      <c r="C343" s="23">
        <f t="shared" si="202"/>
        <v>2026091</v>
      </c>
      <c r="D343" s="23">
        <v>12</v>
      </c>
      <c r="E343" s="128">
        <v>0</v>
      </c>
      <c r="F343" s="126" t="e">
        <f>VLOOKUP(E343,'Códigos bancos'!$B$4:$C$29,2,0)</f>
        <v>#N/A</v>
      </c>
      <c r="G343" s="36">
        <v>1</v>
      </c>
      <c r="H343" s="126" t="str">
        <f>VLOOKUP(G343,'Códigos bancos'!$F$4:$G$14,2,0)</f>
        <v>Oficinas</v>
      </c>
      <c r="I343" s="130"/>
      <c r="J343" s="174">
        <v>0</v>
      </c>
      <c r="K343" s="174">
        <v>0</v>
      </c>
      <c r="L343" s="174">
        <v>0</v>
      </c>
      <c r="M343" s="174">
        <v>0</v>
      </c>
      <c r="N343" s="174">
        <v>0</v>
      </c>
      <c r="O343" s="174">
        <v>0</v>
      </c>
      <c r="P343" s="174">
        <v>0</v>
      </c>
      <c r="Q343" s="174">
        <v>0</v>
      </c>
      <c r="R343" s="174">
        <v>0</v>
      </c>
      <c r="S343" s="215">
        <v>0</v>
      </c>
      <c r="T343" s="71">
        <f t="shared" si="203"/>
        <v>0</v>
      </c>
      <c r="U343" s="71">
        <f t="shared" si="204"/>
        <v>0</v>
      </c>
      <c r="V343" s="117">
        <v>0</v>
      </c>
      <c r="W343" s="117">
        <v>0</v>
      </c>
      <c r="X343" s="71">
        <f t="shared" si="205"/>
        <v>0</v>
      </c>
      <c r="Y343" s="71">
        <f t="shared" si="206"/>
        <v>0</v>
      </c>
      <c r="AA343" s="65"/>
      <c r="AC343" s="71">
        <f t="shared" si="207"/>
        <v>0</v>
      </c>
      <c r="AD343" s="39"/>
      <c r="AE343" s="7"/>
      <c r="AF343" s="15"/>
      <c r="AG343" s="71" t="b">
        <f t="shared" si="208"/>
        <v>1</v>
      </c>
      <c r="AI343" s="71"/>
      <c r="AJ343" s="39"/>
      <c r="AK343" s="15"/>
      <c r="AL343" s="71" t="b">
        <f t="shared" si="210"/>
        <v>1</v>
      </c>
      <c r="AN343" s="65"/>
    </row>
    <row r="344" spans="2:40 16128:16147" ht="13" customHeight="1">
      <c r="B344" s="119"/>
      <c r="C344" s="23">
        <f t="shared" si="202"/>
        <v>2026091</v>
      </c>
      <c r="D344" s="23">
        <v>12</v>
      </c>
      <c r="E344" s="128">
        <v>0</v>
      </c>
      <c r="F344" s="126" t="e">
        <f>VLOOKUP(E344,'Códigos bancos'!$B$4:$C$29,2,0)</f>
        <v>#N/A</v>
      </c>
      <c r="G344" s="36">
        <v>1</v>
      </c>
      <c r="H344" s="126" t="str">
        <f>VLOOKUP(G344,'Códigos bancos'!$F$4:$G$14,2,0)</f>
        <v>Oficinas</v>
      </c>
      <c r="I344" s="130"/>
      <c r="J344" s="174">
        <v>0</v>
      </c>
      <c r="K344" s="174">
        <v>0</v>
      </c>
      <c r="L344" s="174">
        <v>0</v>
      </c>
      <c r="M344" s="174">
        <v>0</v>
      </c>
      <c r="N344" s="174">
        <v>0</v>
      </c>
      <c r="O344" s="174">
        <v>0</v>
      </c>
      <c r="P344" s="174">
        <v>0</v>
      </c>
      <c r="Q344" s="174">
        <v>0</v>
      </c>
      <c r="R344" s="174">
        <v>0</v>
      </c>
      <c r="S344" s="215">
        <v>0</v>
      </c>
      <c r="T344" s="71">
        <f t="shared" si="203"/>
        <v>0</v>
      </c>
      <c r="U344" s="71">
        <f t="shared" si="204"/>
        <v>0</v>
      </c>
      <c r="V344" s="117">
        <v>0</v>
      </c>
      <c r="W344" s="117">
        <v>0</v>
      </c>
      <c r="X344" s="71">
        <f t="shared" si="205"/>
        <v>0</v>
      </c>
      <c r="Y344" s="71">
        <f t="shared" si="206"/>
        <v>0</v>
      </c>
      <c r="AA344" s="65"/>
      <c r="AC344" s="71">
        <f t="shared" si="207"/>
        <v>0</v>
      </c>
      <c r="AD344" s="39"/>
      <c r="AE344" s="7"/>
      <c r="AF344" s="15"/>
      <c r="AG344" s="71" t="b">
        <f t="shared" si="208"/>
        <v>1</v>
      </c>
      <c r="AI344" s="71">
        <f>Y344</f>
        <v>0</v>
      </c>
      <c r="AJ344" s="39"/>
      <c r="AK344" s="15"/>
      <c r="AL344" s="71" t="b">
        <f t="shared" si="210"/>
        <v>1</v>
      </c>
      <c r="AN344" s="65"/>
    </row>
    <row r="345" spans="2:40 16128:16147" ht="13" customHeight="1" thickBot="1">
      <c r="B345" s="119"/>
      <c r="C345" s="159">
        <f t="shared" si="202"/>
        <v>2026091</v>
      </c>
      <c r="D345" s="23">
        <v>12</v>
      </c>
      <c r="E345" s="128">
        <v>0</v>
      </c>
      <c r="F345" s="126" t="e">
        <f>VLOOKUP(E345,'Códigos bancos'!$B$4:$C$29,2,0)</f>
        <v>#N/A</v>
      </c>
      <c r="G345" s="36">
        <v>1</v>
      </c>
      <c r="H345" s="126" t="str">
        <f>VLOOKUP(G345,'Códigos bancos'!$F$4:$G$14,2,0)</f>
        <v>Oficinas</v>
      </c>
      <c r="I345" s="130"/>
      <c r="J345" s="174">
        <v>0</v>
      </c>
      <c r="K345" s="174">
        <v>0</v>
      </c>
      <c r="L345" s="174">
        <v>0</v>
      </c>
      <c r="M345" s="174">
        <v>0</v>
      </c>
      <c r="N345" s="174">
        <v>0</v>
      </c>
      <c r="O345" s="174">
        <v>0</v>
      </c>
      <c r="P345" s="174">
        <v>0</v>
      </c>
      <c r="Q345" s="174">
        <v>0</v>
      </c>
      <c r="R345" s="174">
        <v>0</v>
      </c>
      <c r="S345" s="215">
        <v>0</v>
      </c>
      <c r="T345" s="71">
        <f t="shared" si="203"/>
        <v>0</v>
      </c>
      <c r="U345" s="71">
        <f t="shared" si="204"/>
        <v>0</v>
      </c>
      <c r="V345" s="117">
        <v>0</v>
      </c>
      <c r="W345" s="117">
        <v>0</v>
      </c>
      <c r="X345" s="71">
        <f t="shared" si="205"/>
        <v>0</v>
      </c>
      <c r="Y345" s="71">
        <f t="shared" si="206"/>
        <v>0</v>
      </c>
      <c r="AA345" s="65"/>
      <c r="AC345" s="71">
        <f t="shared" si="207"/>
        <v>0</v>
      </c>
      <c r="AD345" s="39"/>
      <c r="AE345" s="7"/>
      <c r="AF345" s="15"/>
      <c r="AG345" s="71" t="b">
        <f t="shared" si="208"/>
        <v>1</v>
      </c>
      <c r="AI345" s="71">
        <f t="shared" si="209"/>
        <v>0</v>
      </c>
      <c r="AJ345" s="39"/>
      <c r="AK345" s="15"/>
      <c r="AL345" s="71" t="b">
        <f t="shared" si="210"/>
        <v>1</v>
      </c>
      <c r="AN345" s="65"/>
    </row>
    <row r="346" spans="2:40 16128:16147" ht="13" customHeight="1" thickBot="1">
      <c r="E346" s="120" t="s">
        <v>0</v>
      </c>
      <c r="F346" s="121" t="s">
        <v>53</v>
      </c>
      <c r="G346" s="121"/>
      <c r="H346" s="121"/>
      <c r="I346" s="121"/>
      <c r="J346" s="122">
        <f t="shared" ref="J346:Y346" si="220">SUM(J321:J345)</f>
        <v>0</v>
      </c>
      <c r="K346" s="122">
        <f t="shared" si="220"/>
        <v>0</v>
      </c>
      <c r="L346" s="122">
        <f t="shared" si="220"/>
        <v>0</v>
      </c>
      <c r="M346" s="122">
        <f t="shared" si="220"/>
        <v>0</v>
      </c>
      <c r="N346" s="122">
        <f t="shared" si="220"/>
        <v>0</v>
      </c>
      <c r="O346" s="122">
        <f t="shared" si="220"/>
        <v>0</v>
      </c>
      <c r="P346" s="122">
        <f t="shared" si="220"/>
        <v>0</v>
      </c>
      <c r="Q346" s="122">
        <f t="shared" si="220"/>
        <v>0</v>
      </c>
      <c r="R346" s="122">
        <f t="shared" si="220"/>
        <v>133</v>
      </c>
      <c r="S346" s="122">
        <f t="shared" si="220"/>
        <v>5833970</v>
      </c>
      <c r="T346" s="122">
        <f t="shared" si="220"/>
        <v>133</v>
      </c>
      <c r="U346" s="122">
        <f t="shared" si="220"/>
        <v>5833970</v>
      </c>
      <c r="V346" s="123">
        <f t="shared" si="220"/>
        <v>133</v>
      </c>
      <c r="W346" s="123">
        <f t="shared" si="220"/>
        <v>5833970</v>
      </c>
      <c r="X346" s="122">
        <f t="shared" si="220"/>
        <v>0</v>
      </c>
      <c r="Y346" s="123">
        <f t="shared" si="220"/>
        <v>0</v>
      </c>
      <c r="AA346" s="65"/>
      <c r="AC346" s="122">
        <f>SUM(AC321:AC345)</f>
        <v>0</v>
      </c>
      <c r="AD346" s="122">
        <f>SUM(AD321:AD345)</f>
        <v>0</v>
      </c>
      <c r="AE346" s="122">
        <f>SUM(AE321:AE345)</f>
        <v>0</v>
      </c>
      <c r="AF346" s="123">
        <f>SUM(AF321:AF345)</f>
        <v>0</v>
      </c>
      <c r="AG346" s="100"/>
      <c r="AI346" s="122">
        <f>SUM(AI321:AI345)</f>
        <v>0</v>
      </c>
      <c r="AJ346" s="122">
        <f>SUM(AJ321:AJ345)</f>
        <v>0</v>
      </c>
      <c r="AK346" s="123">
        <f>SUM(AK321:AK345)</f>
        <v>0</v>
      </c>
      <c r="AL346" s="100"/>
      <c r="AN346" s="65"/>
    </row>
    <row r="347" spans="2:40 16128:16147" ht="13" thickBot="1">
      <c r="AA347" s="65"/>
      <c r="AN347" s="65"/>
    </row>
    <row r="348" spans="2:40 16128:16147" ht="41.25" customHeight="1" thickBot="1">
      <c r="B348" s="112" t="s">
        <v>4</v>
      </c>
      <c r="C348" s="34" t="s">
        <v>6</v>
      </c>
      <c r="D348" s="34" t="s">
        <v>7</v>
      </c>
      <c r="E348" s="34" t="s">
        <v>49</v>
      </c>
      <c r="F348" s="34" t="s">
        <v>50</v>
      </c>
      <c r="G348" s="34" t="s">
        <v>51</v>
      </c>
      <c r="H348" s="34" t="s">
        <v>52</v>
      </c>
      <c r="I348" s="34" t="s">
        <v>13</v>
      </c>
      <c r="J348" s="12" t="s">
        <v>8</v>
      </c>
      <c r="K348" s="12" t="s">
        <v>36</v>
      </c>
      <c r="L348" s="12" t="s">
        <v>9</v>
      </c>
      <c r="M348" s="12" t="s">
        <v>37</v>
      </c>
      <c r="N348" s="87" t="s">
        <v>10</v>
      </c>
      <c r="O348" s="88" t="s">
        <v>38</v>
      </c>
      <c r="P348" s="87" t="s">
        <v>11</v>
      </c>
      <c r="Q348" s="88" t="s">
        <v>39</v>
      </c>
      <c r="R348" s="87" t="s">
        <v>12</v>
      </c>
      <c r="S348" s="88" t="s">
        <v>40</v>
      </c>
      <c r="T348" s="64" t="s">
        <v>41</v>
      </c>
      <c r="U348" s="64" t="s">
        <v>42</v>
      </c>
      <c r="V348" s="35" t="s">
        <v>32</v>
      </c>
      <c r="W348" s="67" t="s">
        <v>35</v>
      </c>
      <c r="X348" s="12" t="s">
        <v>34</v>
      </c>
      <c r="Y348" s="68" t="s">
        <v>33</v>
      </c>
      <c r="AA348" s="66"/>
      <c r="AC348" s="12" t="s">
        <v>34</v>
      </c>
      <c r="AD348" s="12" t="s">
        <v>45</v>
      </c>
      <c r="AE348" s="12" t="s">
        <v>43</v>
      </c>
      <c r="AF348" s="12" t="s">
        <v>44</v>
      </c>
      <c r="AG348" s="12" t="s">
        <v>46</v>
      </c>
      <c r="AI348" s="12" t="s">
        <v>33</v>
      </c>
      <c r="AJ348" s="12" t="s">
        <v>47</v>
      </c>
      <c r="AK348" s="12" t="s">
        <v>48</v>
      </c>
      <c r="AL348" s="12" t="s">
        <v>46</v>
      </c>
      <c r="AN348" s="66"/>
      <c r="WVH348" s="1"/>
      <c r="WVI348" s="1"/>
      <c r="WVZ348"/>
      <c r="WWA348"/>
    </row>
    <row r="349" spans="2:40 16128:16147" ht="13" customHeight="1">
      <c r="B349" s="119" t="s">
        <v>76</v>
      </c>
      <c r="C349" s="158">
        <f>IF(D349&lt;=15,$C$1,$C$2)</f>
        <v>2026091</v>
      </c>
      <c r="D349" s="24">
        <v>13</v>
      </c>
      <c r="E349" s="127">
        <v>20</v>
      </c>
      <c r="F349" s="125" t="str">
        <f>VLOOKUP(E349,'Códigos bancos'!$B$4:$C$29,2,0)</f>
        <v>Bancolombia ENERBIT</v>
      </c>
      <c r="G349" s="18">
        <v>1</v>
      </c>
      <c r="H349" s="125" t="str">
        <f>VLOOKUP(G349,'Códigos bancos'!$F$4:$G$14,2,0)</f>
        <v>Oficinas</v>
      </c>
      <c r="I349" s="129"/>
      <c r="J349" s="213">
        <v>0</v>
      </c>
      <c r="K349" s="213">
        <v>0</v>
      </c>
      <c r="L349" s="213">
        <v>0</v>
      </c>
      <c r="M349" s="213">
        <v>0</v>
      </c>
      <c r="N349" s="213">
        <v>0</v>
      </c>
      <c r="O349" s="213">
        <v>0</v>
      </c>
      <c r="P349" s="213">
        <v>0</v>
      </c>
      <c r="Q349" s="213">
        <v>0</v>
      </c>
      <c r="R349" s="174">
        <v>69</v>
      </c>
      <c r="S349" s="215">
        <v>3403290</v>
      </c>
      <c r="T349" s="70">
        <f>J349+L349+N349+P349+R349</f>
        <v>69</v>
      </c>
      <c r="U349" s="70">
        <f>K349+M349+O349+Q349+S349</f>
        <v>3403290</v>
      </c>
      <c r="V349" s="174">
        <v>69</v>
      </c>
      <c r="W349" s="215">
        <v>3403290</v>
      </c>
      <c r="X349" s="70">
        <f>V349-T349</f>
        <v>0</v>
      </c>
      <c r="Y349" s="70">
        <f>W349-U349</f>
        <v>0</v>
      </c>
      <c r="AA349" s="65"/>
      <c r="AC349" s="124">
        <f>X349</f>
        <v>0</v>
      </c>
      <c r="AD349" s="115"/>
      <c r="AE349" s="16"/>
      <c r="AF349" s="114"/>
      <c r="AG349" s="124" t="b">
        <f>AC349=(AD349+AE349+AF349)</f>
        <v>1</v>
      </c>
      <c r="AI349" s="70">
        <f>Y349</f>
        <v>0</v>
      </c>
      <c r="AJ349" s="115"/>
      <c r="AK349" s="114"/>
      <c r="AL349" s="70" t="b">
        <f>AI349=(AJ349+AK349)</f>
        <v>1</v>
      </c>
      <c r="AN349" s="65"/>
    </row>
    <row r="350" spans="2:40 16128:16147" ht="13" customHeight="1">
      <c r="B350" s="119"/>
      <c r="C350" s="159">
        <f t="shared" ref="C350:C373" si="221">IF(D350&lt;=15,$C$1,$C$2)</f>
        <v>2026091</v>
      </c>
      <c r="D350" s="23">
        <v>13</v>
      </c>
      <c r="E350" s="128">
        <v>0</v>
      </c>
      <c r="F350" s="126" t="e">
        <f>VLOOKUP(E350,'Códigos bancos'!$B$4:$C$29,2,0)</f>
        <v>#N/A</v>
      </c>
      <c r="G350" s="36">
        <v>1</v>
      </c>
      <c r="H350" s="126" t="str">
        <f>VLOOKUP(G350,'Códigos bancos'!$F$4:$G$14,2,0)</f>
        <v>Oficinas</v>
      </c>
      <c r="I350" s="130"/>
      <c r="J350" s="174">
        <v>0</v>
      </c>
      <c r="K350" s="174">
        <v>0</v>
      </c>
      <c r="L350" s="174">
        <v>0</v>
      </c>
      <c r="M350" s="174">
        <v>0</v>
      </c>
      <c r="N350" s="174">
        <v>0</v>
      </c>
      <c r="O350" s="174">
        <v>0</v>
      </c>
      <c r="P350" s="174">
        <v>0</v>
      </c>
      <c r="Q350" s="174">
        <v>0</v>
      </c>
      <c r="R350" s="174">
        <v>0</v>
      </c>
      <c r="S350" s="215"/>
      <c r="T350" s="71">
        <f t="shared" ref="T350:T373" si="222">J350+L350+N350+P350+R350</f>
        <v>0</v>
      </c>
      <c r="U350" s="71">
        <f t="shared" ref="U350:U373" si="223">K350+M350+O350+Q350+S350</f>
        <v>0</v>
      </c>
      <c r="V350" s="117">
        <v>0</v>
      </c>
      <c r="W350" s="117"/>
      <c r="X350" s="71">
        <f t="shared" ref="X350:X373" si="224">V350-T350</f>
        <v>0</v>
      </c>
      <c r="Y350" s="71">
        <f t="shared" ref="Y350:Y373" si="225">W350-U350</f>
        <v>0</v>
      </c>
      <c r="AA350" s="65"/>
      <c r="AC350" s="71">
        <f t="shared" ref="AC350:AC373" si="226">X350</f>
        <v>0</v>
      </c>
      <c r="AD350" s="39"/>
      <c r="AE350" s="7"/>
      <c r="AF350" s="15"/>
      <c r="AG350" s="71" t="b">
        <f t="shared" ref="AG350:AG373" si="227">AC350=(AD350+AE350+AF350)</f>
        <v>1</v>
      </c>
      <c r="AI350" s="71">
        <f t="shared" ref="AI350:AI373" si="228">Y350</f>
        <v>0</v>
      </c>
      <c r="AJ350" s="39"/>
      <c r="AK350" s="15"/>
      <c r="AL350" s="71" t="b">
        <f t="shared" ref="AL350:AL373" si="229">AI350=(AJ350+AK350)</f>
        <v>1</v>
      </c>
      <c r="AN350" s="65"/>
    </row>
    <row r="351" spans="2:40 16128:16147" ht="13" customHeight="1">
      <c r="B351" s="119"/>
      <c r="C351" s="159">
        <f t="shared" si="221"/>
        <v>2026091</v>
      </c>
      <c r="D351" s="23">
        <v>13</v>
      </c>
      <c r="E351" s="128">
        <v>0</v>
      </c>
      <c r="F351" s="126" t="e">
        <f>VLOOKUP(E351,'Códigos bancos'!$B$4:$C$29,2,0)</f>
        <v>#N/A</v>
      </c>
      <c r="G351" s="36">
        <v>1</v>
      </c>
      <c r="H351" s="126" t="str">
        <f>VLOOKUP(G351,'Códigos bancos'!$F$4:$G$14,2,0)</f>
        <v>Oficinas</v>
      </c>
      <c r="I351" s="130"/>
      <c r="J351" s="174">
        <v>0</v>
      </c>
      <c r="K351" s="174">
        <v>0</v>
      </c>
      <c r="L351" s="174">
        <v>0</v>
      </c>
      <c r="M351" s="174">
        <v>0</v>
      </c>
      <c r="N351" s="174">
        <v>0</v>
      </c>
      <c r="O351" s="174">
        <v>0</v>
      </c>
      <c r="P351" s="174">
        <v>0</v>
      </c>
      <c r="Q351" s="174">
        <v>0</v>
      </c>
      <c r="R351" s="174">
        <v>0</v>
      </c>
      <c r="S351" s="215">
        <v>0</v>
      </c>
      <c r="T351" s="71">
        <f t="shared" si="222"/>
        <v>0</v>
      </c>
      <c r="U351" s="71">
        <f t="shared" si="223"/>
        <v>0</v>
      </c>
      <c r="V351" s="117">
        <v>0</v>
      </c>
      <c r="W351" s="117">
        <v>0</v>
      </c>
      <c r="X351" s="71">
        <f t="shared" si="224"/>
        <v>0</v>
      </c>
      <c r="Y351" s="71">
        <f t="shared" si="225"/>
        <v>0</v>
      </c>
      <c r="AA351" s="65"/>
      <c r="AC351" s="71">
        <f t="shared" si="226"/>
        <v>0</v>
      </c>
      <c r="AD351" s="45"/>
      <c r="AE351" s="14"/>
      <c r="AF351" s="46"/>
      <c r="AG351" s="71" t="b">
        <f t="shared" si="227"/>
        <v>1</v>
      </c>
      <c r="AI351" s="71">
        <f t="shared" si="228"/>
        <v>0</v>
      </c>
      <c r="AJ351" s="45"/>
      <c r="AK351" s="46"/>
      <c r="AL351" s="71" t="b">
        <f t="shared" si="229"/>
        <v>1</v>
      </c>
      <c r="AN351" s="65"/>
    </row>
    <row r="352" spans="2:40 16128:16147" ht="13" customHeight="1">
      <c r="B352" s="119"/>
      <c r="C352" s="159">
        <f t="shared" si="221"/>
        <v>2026091</v>
      </c>
      <c r="D352" s="23">
        <v>13</v>
      </c>
      <c r="E352" s="128">
        <v>0</v>
      </c>
      <c r="F352" s="126" t="e">
        <f>VLOOKUP(E352,'Códigos bancos'!$B$4:$C$29,2,0)</f>
        <v>#N/A</v>
      </c>
      <c r="G352" s="36">
        <v>1</v>
      </c>
      <c r="H352" s="126" t="str">
        <f>VLOOKUP(G352,'Códigos bancos'!$F$4:$G$14,2,0)</f>
        <v>Oficinas</v>
      </c>
      <c r="I352" s="130"/>
      <c r="J352" s="174">
        <v>0</v>
      </c>
      <c r="K352" s="174">
        <v>0</v>
      </c>
      <c r="L352" s="174">
        <v>0</v>
      </c>
      <c r="M352" s="174">
        <v>0</v>
      </c>
      <c r="N352" s="174">
        <v>0</v>
      </c>
      <c r="O352" s="174">
        <v>0</v>
      </c>
      <c r="P352" s="174">
        <v>0</v>
      </c>
      <c r="Q352" s="174">
        <v>0</v>
      </c>
      <c r="R352" s="174">
        <v>0</v>
      </c>
      <c r="S352" s="215">
        <v>0</v>
      </c>
      <c r="T352" s="71">
        <f t="shared" si="222"/>
        <v>0</v>
      </c>
      <c r="U352" s="71">
        <f t="shared" si="223"/>
        <v>0</v>
      </c>
      <c r="V352" s="117">
        <v>0</v>
      </c>
      <c r="W352" s="117">
        <v>0</v>
      </c>
      <c r="X352" s="71">
        <f t="shared" si="224"/>
        <v>0</v>
      </c>
      <c r="Y352" s="71">
        <f t="shared" si="225"/>
        <v>0</v>
      </c>
      <c r="AA352" s="65"/>
      <c r="AC352" s="71">
        <f t="shared" si="226"/>
        <v>0</v>
      </c>
      <c r="AD352" s="39"/>
      <c r="AE352" s="7"/>
      <c r="AF352" s="15"/>
      <c r="AG352" s="71" t="b">
        <f t="shared" si="227"/>
        <v>1</v>
      </c>
      <c r="AI352" s="71">
        <f t="shared" si="228"/>
        <v>0</v>
      </c>
      <c r="AJ352" s="39"/>
      <c r="AK352" s="15"/>
      <c r="AL352" s="71" t="b">
        <f t="shared" si="229"/>
        <v>1</v>
      </c>
      <c r="AN352" s="65"/>
    </row>
    <row r="353" spans="2:40" ht="13" customHeight="1">
      <c r="B353" s="119"/>
      <c r="C353" s="159">
        <f t="shared" si="221"/>
        <v>2026091</v>
      </c>
      <c r="D353" s="23">
        <v>13</v>
      </c>
      <c r="E353" s="128">
        <v>0</v>
      </c>
      <c r="F353" s="126" t="e">
        <f>VLOOKUP(E353,'Códigos bancos'!$B$4:$C$29,2,0)</f>
        <v>#N/A</v>
      </c>
      <c r="G353" s="36">
        <v>1</v>
      </c>
      <c r="H353" s="126" t="str">
        <f>VLOOKUP(G353,'Códigos bancos'!$F$4:$G$14,2,0)</f>
        <v>Oficinas</v>
      </c>
      <c r="I353" s="130"/>
      <c r="J353" s="174">
        <v>0</v>
      </c>
      <c r="K353" s="174">
        <v>0</v>
      </c>
      <c r="L353" s="174">
        <v>0</v>
      </c>
      <c r="M353" s="174">
        <v>0</v>
      </c>
      <c r="N353" s="174">
        <v>0</v>
      </c>
      <c r="O353" s="174">
        <v>0</v>
      </c>
      <c r="P353" s="174">
        <v>0</v>
      </c>
      <c r="Q353" s="174">
        <v>0</v>
      </c>
      <c r="R353" s="174">
        <v>0</v>
      </c>
      <c r="S353" s="215">
        <v>0</v>
      </c>
      <c r="T353" s="71">
        <f t="shared" si="222"/>
        <v>0</v>
      </c>
      <c r="U353" s="71">
        <f t="shared" si="223"/>
        <v>0</v>
      </c>
      <c r="V353" s="117">
        <v>0</v>
      </c>
      <c r="W353" s="117">
        <v>0</v>
      </c>
      <c r="X353" s="71">
        <f t="shared" si="224"/>
        <v>0</v>
      </c>
      <c r="Y353" s="71">
        <f t="shared" si="225"/>
        <v>0</v>
      </c>
      <c r="AA353" s="65"/>
      <c r="AC353" s="71">
        <f t="shared" si="226"/>
        <v>0</v>
      </c>
      <c r="AD353" s="39"/>
      <c r="AE353" s="7"/>
      <c r="AF353" s="15"/>
      <c r="AG353" s="71" t="b">
        <f t="shared" si="227"/>
        <v>1</v>
      </c>
      <c r="AI353" s="71">
        <f t="shared" si="228"/>
        <v>0</v>
      </c>
      <c r="AJ353" s="39"/>
      <c r="AK353" s="15"/>
      <c r="AL353" s="71" t="b">
        <f t="shared" si="229"/>
        <v>1</v>
      </c>
      <c r="AN353" s="65"/>
    </row>
    <row r="354" spans="2:40" ht="13" customHeight="1">
      <c r="B354" s="119"/>
      <c r="C354" s="159">
        <f t="shared" si="221"/>
        <v>2026091</v>
      </c>
      <c r="D354" s="23">
        <v>13</v>
      </c>
      <c r="E354" s="128">
        <v>0</v>
      </c>
      <c r="F354" s="126" t="e">
        <f>VLOOKUP(E354,'Códigos bancos'!$B$4:$C$29,2,0)</f>
        <v>#N/A</v>
      </c>
      <c r="G354" s="36">
        <v>1</v>
      </c>
      <c r="H354" s="126" t="str">
        <f>VLOOKUP(G354,'Códigos bancos'!$F$4:$G$14,2,0)</f>
        <v>Oficinas</v>
      </c>
      <c r="I354" s="130"/>
      <c r="J354" s="174">
        <v>0</v>
      </c>
      <c r="K354" s="174">
        <v>0</v>
      </c>
      <c r="L354" s="174">
        <v>0</v>
      </c>
      <c r="M354" s="174">
        <v>0</v>
      </c>
      <c r="N354" s="174">
        <v>0</v>
      </c>
      <c r="O354" s="174">
        <v>0</v>
      </c>
      <c r="P354" s="174">
        <v>0</v>
      </c>
      <c r="Q354" s="174">
        <v>0</v>
      </c>
      <c r="R354" s="174">
        <v>0</v>
      </c>
      <c r="S354" s="215">
        <v>0</v>
      </c>
      <c r="T354" s="71">
        <f t="shared" si="222"/>
        <v>0</v>
      </c>
      <c r="U354" s="71">
        <f t="shared" si="223"/>
        <v>0</v>
      </c>
      <c r="V354" s="117">
        <v>0</v>
      </c>
      <c r="W354" s="117">
        <v>0</v>
      </c>
      <c r="X354" s="71">
        <f t="shared" si="224"/>
        <v>0</v>
      </c>
      <c r="Y354" s="71">
        <f t="shared" si="225"/>
        <v>0</v>
      </c>
      <c r="AA354" s="65"/>
      <c r="AC354" s="71">
        <f t="shared" si="226"/>
        <v>0</v>
      </c>
      <c r="AD354" s="39"/>
      <c r="AE354" s="7"/>
      <c r="AF354" s="15"/>
      <c r="AG354" s="71" t="b">
        <f t="shared" si="227"/>
        <v>1</v>
      </c>
      <c r="AI354" s="71">
        <f t="shared" si="228"/>
        <v>0</v>
      </c>
      <c r="AJ354" s="39"/>
      <c r="AK354" s="15"/>
      <c r="AL354" s="71" t="b">
        <f t="shared" si="229"/>
        <v>1</v>
      </c>
      <c r="AN354" s="65"/>
    </row>
    <row r="355" spans="2:40" ht="13" customHeight="1">
      <c r="B355" s="119"/>
      <c r="C355" s="159">
        <f t="shared" si="221"/>
        <v>2026091</v>
      </c>
      <c r="D355" s="23">
        <v>13</v>
      </c>
      <c r="E355" s="128">
        <v>0</v>
      </c>
      <c r="F355" s="126" t="e">
        <f>VLOOKUP(E355,'Códigos bancos'!$B$4:$C$29,2,0)</f>
        <v>#N/A</v>
      </c>
      <c r="G355" s="36">
        <v>1</v>
      </c>
      <c r="H355" s="126" t="str">
        <f>VLOOKUP(G355,'Códigos bancos'!$F$4:$G$14,2,0)</f>
        <v>Oficinas</v>
      </c>
      <c r="I355" s="130"/>
      <c r="J355" s="174">
        <v>0</v>
      </c>
      <c r="K355" s="174">
        <v>0</v>
      </c>
      <c r="L355" s="174">
        <v>0</v>
      </c>
      <c r="M355" s="174">
        <v>0</v>
      </c>
      <c r="N355" s="174">
        <v>0</v>
      </c>
      <c r="O355" s="174">
        <v>0</v>
      </c>
      <c r="P355" s="174">
        <v>0</v>
      </c>
      <c r="Q355" s="174">
        <v>0</v>
      </c>
      <c r="R355" s="174">
        <v>0</v>
      </c>
      <c r="S355" s="215">
        <v>0</v>
      </c>
      <c r="T355" s="71">
        <f t="shared" si="222"/>
        <v>0</v>
      </c>
      <c r="U355" s="71">
        <f t="shared" si="223"/>
        <v>0</v>
      </c>
      <c r="V355" s="117">
        <v>0</v>
      </c>
      <c r="W355" s="117">
        <v>0</v>
      </c>
      <c r="X355" s="71">
        <f t="shared" si="224"/>
        <v>0</v>
      </c>
      <c r="Y355" s="71">
        <f t="shared" si="225"/>
        <v>0</v>
      </c>
      <c r="AA355" s="65"/>
      <c r="AC355" s="71">
        <f t="shared" si="226"/>
        <v>0</v>
      </c>
      <c r="AD355" s="39"/>
      <c r="AE355" s="7"/>
      <c r="AF355" s="15"/>
      <c r="AG355" s="71" t="b">
        <f t="shared" si="227"/>
        <v>1</v>
      </c>
      <c r="AI355" s="71">
        <f t="shared" si="228"/>
        <v>0</v>
      </c>
      <c r="AJ355" s="39"/>
      <c r="AK355" s="15"/>
      <c r="AL355" s="71" t="b">
        <f t="shared" si="229"/>
        <v>1</v>
      </c>
      <c r="AN355" s="65"/>
    </row>
    <row r="356" spans="2:40" ht="13" customHeight="1">
      <c r="B356" s="119"/>
      <c r="C356" s="159">
        <f t="shared" si="221"/>
        <v>2026091</v>
      </c>
      <c r="D356" s="23">
        <v>13</v>
      </c>
      <c r="E356" s="128">
        <v>0</v>
      </c>
      <c r="F356" s="126" t="e">
        <f>VLOOKUP(E356,'Códigos bancos'!$B$4:$C$29,2,0)</f>
        <v>#N/A</v>
      </c>
      <c r="G356" s="36">
        <v>1</v>
      </c>
      <c r="H356" s="126" t="str">
        <f>VLOOKUP(G356,'Códigos bancos'!$F$4:$G$14,2,0)</f>
        <v>Oficinas</v>
      </c>
      <c r="I356" s="130"/>
      <c r="J356" s="174">
        <v>0</v>
      </c>
      <c r="K356" s="174">
        <v>0</v>
      </c>
      <c r="L356" s="174">
        <v>0</v>
      </c>
      <c r="M356" s="174">
        <v>0</v>
      </c>
      <c r="N356" s="174">
        <v>0</v>
      </c>
      <c r="O356" s="174">
        <v>0</v>
      </c>
      <c r="P356" s="174">
        <v>0</v>
      </c>
      <c r="Q356" s="174">
        <v>0</v>
      </c>
      <c r="R356" s="174">
        <v>0</v>
      </c>
      <c r="S356" s="215">
        <v>0</v>
      </c>
      <c r="T356" s="71">
        <f t="shared" si="222"/>
        <v>0</v>
      </c>
      <c r="U356" s="71">
        <f t="shared" si="223"/>
        <v>0</v>
      </c>
      <c r="V356" s="117">
        <v>0</v>
      </c>
      <c r="W356" s="117">
        <v>0</v>
      </c>
      <c r="X356" s="71">
        <f t="shared" si="224"/>
        <v>0</v>
      </c>
      <c r="Y356" s="71">
        <f t="shared" si="225"/>
        <v>0</v>
      </c>
      <c r="AA356" s="65"/>
      <c r="AC356" s="71">
        <f t="shared" si="226"/>
        <v>0</v>
      </c>
      <c r="AD356" s="39"/>
      <c r="AE356" s="7"/>
      <c r="AF356" s="15"/>
      <c r="AG356" s="71" t="b">
        <f t="shared" si="227"/>
        <v>1</v>
      </c>
      <c r="AI356" s="71">
        <f t="shared" si="228"/>
        <v>0</v>
      </c>
      <c r="AJ356" s="39"/>
      <c r="AK356" s="15"/>
      <c r="AL356" s="71" t="b">
        <f t="shared" si="229"/>
        <v>1</v>
      </c>
      <c r="AN356" s="65"/>
    </row>
    <row r="357" spans="2:40" ht="13" customHeight="1">
      <c r="B357" s="119"/>
      <c r="C357" s="159">
        <f t="shared" si="221"/>
        <v>2026091</v>
      </c>
      <c r="D357" s="23">
        <v>13</v>
      </c>
      <c r="E357" s="128">
        <v>0</v>
      </c>
      <c r="F357" s="126" t="e">
        <f>VLOOKUP(E357,'Códigos bancos'!$B$4:$C$29,2,0)</f>
        <v>#N/A</v>
      </c>
      <c r="G357" s="36">
        <v>1</v>
      </c>
      <c r="H357" s="126" t="str">
        <f>VLOOKUP(G357,'Códigos bancos'!$F$4:$G$14,2,0)</f>
        <v>Oficinas</v>
      </c>
      <c r="I357" s="130"/>
      <c r="J357" s="174">
        <v>0</v>
      </c>
      <c r="K357" s="174">
        <v>0</v>
      </c>
      <c r="L357" s="174">
        <v>0</v>
      </c>
      <c r="M357" s="174">
        <v>0</v>
      </c>
      <c r="N357" s="174">
        <v>0</v>
      </c>
      <c r="O357" s="174">
        <v>0</v>
      </c>
      <c r="P357" s="174">
        <v>0</v>
      </c>
      <c r="Q357" s="174">
        <v>0</v>
      </c>
      <c r="R357" s="174">
        <v>0</v>
      </c>
      <c r="S357" s="215">
        <v>0</v>
      </c>
      <c r="T357" s="71">
        <f t="shared" si="222"/>
        <v>0</v>
      </c>
      <c r="U357" s="71">
        <f t="shared" si="223"/>
        <v>0</v>
      </c>
      <c r="V357" s="117">
        <v>0</v>
      </c>
      <c r="W357" s="117">
        <v>0</v>
      </c>
      <c r="X357" s="71">
        <f t="shared" si="224"/>
        <v>0</v>
      </c>
      <c r="Y357" s="71">
        <f t="shared" si="225"/>
        <v>0</v>
      </c>
      <c r="AA357" s="65"/>
      <c r="AC357" s="71">
        <f t="shared" si="226"/>
        <v>0</v>
      </c>
      <c r="AD357" s="39"/>
      <c r="AE357" s="7"/>
      <c r="AF357" s="15"/>
      <c r="AG357" s="71" t="b">
        <f t="shared" si="227"/>
        <v>1</v>
      </c>
      <c r="AI357" s="71">
        <f t="shared" si="228"/>
        <v>0</v>
      </c>
      <c r="AJ357" s="39"/>
      <c r="AK357" s="15"/>
      <c r="AL357" s="71" t="b">
        <f t="shared" si="229"/>
        <v>1</v>
      </c>
      <c r="AN357" s="65"/>
    </row>
    <row r="358" spans="2:40" ht="13" customHeight="1">
      <c r="B358" s="119"/>
      <c r="C358" s="159">
        <f t="shared" si="221"/>
        <v>2026091</v>
      </c>
      <c r="D358" s="23">
        <v>13</v>
      </c>
      <c r="E358" s="128">
        <v>0</v>
      </c>
      <c r="F358" s="126" t="e">
        <f>VLOOKUP(E358,'Códigos bancos'!$B$4:$C$29,2,0)</f>
        <v>#N/A</v>
      </c>
      <c r="G358" s="36">
        <v>1</v>
      </c>
      <c r="H358" s="126" t="str">
        <f>VLOOKUP(G358,'Códigos bancos'!$F$4:$G$14,2,0)</f>
        <v>Oficinas</v>
      </c>
      <c r="I358" s="130"/>
      <c r="J358" s="174">
        <v>0</v>
      </c>
      <c r="K358" s="174">
        <v>0</v>
      </c>
      <c r="L358" s="174">
        <v>0</v>
      </c>
      <c r="M358" s="174">
        <v>0</v>
      </c>
      <c r="N358" s="174">
        <v>0</v>
      </c>
      <c r="O358" s="174">
        <v>0</v>
      </c>
      <c r="P358" s="174">
        <v>0</v>
      </c>
      <c r="Q358" s="174">
        <v>0</v>
      </c>
      <c r="R358" s="174">
        <v>0</v>
      </c>
      <c r="S358" s="215">
        <v>0</v>
      </c>
      <c r="T358" s="71">
        <f t="shared" si="222"/>
        <v>0</v>
      </c>
      <c r="U358" s="71">
        <f t="shared" si="223"/>
        <v>0</v>
      </c>
      <c r="V358" s="117">
        <v>0</v>
      </c>
      <c r="W358" s="117">
        <v>0</v>
      </c>
      <c r="X358" s="71">
        <f t="shared" si="224"/>
        <v>0</v>
      </c>
      <c r="Y358" s="71">
        <f t="shared" si="225"/>
        <v>0</v>
      </c>
      <c r="AA358" s="65"/>
      <c r="AC358" s="71">
        <f t="shared" si="226"/>
        <v>0</v>
      </c>
      <c r="AD358" s="39"/>
      <c r="AE358" s="7"/>
      <c r="AF358" s="15"/>
      <c r="AG358" s="71" t="b">
        <f t="shared" si="227"/>
        <v>1</v>
      </c>
      <c r="AI358" s="71">
        <f t="shared" si="228"/>
        <v>0</v>
      </c>
      <c r="AJ358" s="39"/>
      <c r="AK358" s="15"/>
      <c r="AL358" s="71" t="b">
        <f t="shared" si="229"/>
        <v>1</v>
      </c>
      <c r="AN358" s="65"/>
    </row>
    <row r="359" spans="2:40" ht="13" customHeight="1">
      <c r="B359" s="119"/>
      <c r="C359" s="159">
        <f t="shared" si="221"/>
        <v>2026091</v>
      </c>
      <c r="D359" s="23">
        <v>13</v>
      </c>
      <c r="E359" s="128">
        <v>0</v>
      </c>
      <c r="F359" s="126" t="e">
        <f>VLOOKUP(E359,'Códigos bancos'!$B$4:$C$29,2,0)</f>
        <v>#N/A</v>
      </c>
      <c r="G359" s="36">
        <v>1</v>
      </c>
      <c r="H359" s="126" t="str">
        <f>VLOOKUP(G359,'Códigos bancos'!$F$4:$G$14,2,0)</f>
        <v>Oficinas</v>
      </c>
      <c r="I359" s="130"/>
      <c r="J359" s="174">
        <v>0</v>
      </c>
      <c r="K359" s="174">
        <v>0</v>
      </c>
      <c r="L359" s="174">
        <v>0</v>
      </c>
      <c r="M359" s="174">
        <v>0</v>
      </c>
      <c r="N359" s="174">
        <v>0</v>
      </c>
      <c r="O359" s="174">
        <v>0</v>
      </c>
      <c r="P359" s="174">
        <v>0</v>
      </c>
      <c r="Q359" s="174">
        <v>0</v>
      </c>
      <c r="R359" s="174">
        <v>0</v>
      </c>
      <c r="S359" s="215">
        <v>0</v>
      </c>
      <c r="T359" s="71">
        <f t="shared" si="222"/>
        <v>0</v>
      </c>
      <c r="U359" s="71">
        <f t="shared" si="223"/>
        <v>0</v>
      </c>
      <c r="V359" s="117">
        <v>0</v>
      </c>
      <c r="W359" s="117">
        <v>0</v>
      </c>
      <c r="X359" s="71">
        <f t="shared" si="224"/>
        <v>0</v>
      </c>
      <c r="Y359" s="71">
        <f t="shared" si="225"/>
        <v>0</v>
      </c>
      <c r="AA359" s="65"/>
      <c r="AC359" s="71">
        <f t="shared" si="226"/>
        <v>0</v>
      </c>
      <c r="AD359" s="39"/>
      <c r="AE359" s="7"/>
      <c r="AF359" s="15"/>
      <c r="AG359" s="71" t="b">
        <f t="shared" si="227"/>
        <v>1</v>
      </c>
      <c r="AI359" s="71">
        <f t="shared" si="228"/>
        <v>0</v>
      </c>
      <c r="AJ359" s="39"/>
      <c r="AK359" s="15"/>
      <c r="AL359" s="71" t="b">
        <f t="shared" si="229"/>
        <v>1</v>
      </c>
      <c r="AN359" s="65"/>
    </row>
    <row r="360" spans="2:40" ht="13" customHeight="1">
      <c r="B360" s="119"/>
      <c r="C360" s="159">
        <f t="shared" si="221"/>
        <v>2026091</v>
      </c>
      <c r="D360" s="23">
        <v>13</v>
      </c>
      <c r="E360" s="128">
        <v>0</v>
      </c>
      <c r="F360" s="126" t="e">
        <f>VLOOKUP(E360,'Códigos bancos'!$B$4:$C$29,2,0)</f>
        <v>#N/A</v>
      </c>
      <c r="G360" s="36">
        <v>1</v>
      </c>
      <c r="H360" s="126" t="str">
        <f>VLOOKUP(G360,'Códigos bancos'!$F$4:$G$14,2,0)</f>
        <v>Oficinas</v>
      </c>
      <c r="I360" s="130"/>
      <c r="J360" s="174">
        <v>0</v>
      </c>
      <c r="K360" s="174">
        <v>0</v>
      </c>
      <c r="L360" s="174">
        <v>0</v>
      </c>
      <c r="M360" s="174">
        <v>0</v>
      </c>
      <c r="N360" s="174">
        <v>0</v>
      </c>
      <c r="O360" s="174">
        <v>0</v>
      </c>
      <c r="P360" s="174">
        <v>0</v>
      </c>
      <c r="Q360" s="174">
        <v>0</v>
      </c>
      <c r="R360" s="174">
        <v>0</v>
      </c>
      <c r="S360" s="215">
        <v>0</v>
      </c>
      <c r="T360" s="71">
        <f t="shared" si="222"/>
        <v>0</v>
      </c>
      <c r="U360" s="71">
        <f t="shared" si="223"/>
        <v>0</v>
      </c>
      <c r="V360" s="117">
        <v>0</v>
      </c>
      <c r="W360" s="117">
        <v>0</v>
      </c>
      <c r="X360" s="71">
        <f t="shared" si="224"/>
        <v>0</v>
      </c>
      <c r="Y360" s="71">
        <f t="shared" si="225"/>
        <v>0</v>
      </c>
      <c r="AA360" s="65"/>
      <c r="AC360" s="71">
        <f t="shared" si="226"/>
        <v>0</v>
      </c>
      <c r="AD360" s="39"/>
      <c r="AE360" s="7"/>
      <c r="AF360" s="15"/>
      <c r="AG360" s="71" t="b">
        <f t="shared" si="227"/>
        <v>1</v>
      </c>
      <c r="AI360" s="71">
        <f t="shared" si="228"/>
        <v>0</v>
      </c>
      <c r="AJ360" s="39"/>
      <c r="AK360" s="15"/>
      <c r="AL360" s="71" t="b">
        <f t="shared" si="229"/>
        <v>1</v>
      </c>
      <c r="AN360" s="65"/>
    </row>
    <row r="361" spans="2:40" ht="13" customHeight="1">
      <c r="B361" s="119"/>
      <c r="C361" s="159">
        <f t="shared" si="221"/>
        <v>2026091</v>
      </c>
      <c r="D361" s="23">
        <v>13</v>
      </c>
      <c r="E361" s="128">
        <v>0</v>
      </c>
      <c r="F361" s="126" t="e">
        <f>VLOOKUP(E361,'Códigos bancos'!$B$4:$C$29,2,0)</f>
        <v>#N/A</v>
      </c>
      <c r="G361" s="36">
        <v>1</v>
      </c>
      <c r="H361" s="126" t="str">
        <f>VLOOKUP(G361,'Códigos bancos'!$F$4:$G$14,2,0)</f>
        <v>Oficinas</v>
      </c>
      <c r="I361" s="130"/>
      <c r="J361" s="174">
        <v>0</v>
      </c>
      <c r="K361" s="174">
        <v>0</v>
      </c>
      <c r="L361" s="174">
        <v>0</v>
      </c>
      <c r="M361" s="174">
        <v>0</v>
      </c>
      <c r="N361" s="174">
        <v>0</v>
      </c>
      <c r="O361" s="174">
        <v>0</v>
      </c>
      <c r="P361" s="174">
        <v>0</v>
      </c>
      <c r="Q361" s="174">
        <v>0</v>
      </c>
      <c r="R361" s="174">
        <v>0</v>
      </c>
      <c r="S361" s="215">
        <v>0</v>
      </c>
      <c r="T361" s="71">
        <f t="shared" si="222"/>
        <v>0</v>
      </c>
      <c r="U361" s="71">
        <f t="shared" si="223"/>
        <v>0</v>
      </c>
      <c r="V361" s="117">
        <v>0</v>
      </c>
      <c r="W361" s="117">
        <v>0</v>
      </c>
      <c r="X361" s="71">
        <f t="shared" si="224"/>
        <v>0</v>
      </c>
      <c r="Y361" s="71">
        <f t="shared" si="225"/>
        <v>0</v>
      </c>
      <c r="AA361" s="65"/>
      <c r="AC361" s="71">
        <f t="shared" si="226"/>
        <v>0</v>
      </c>
      <c r="AD361" s="39"/>
      <c r="AE361" s="7"/>
      <c r="AF361" s="15"/>
      <c r="AG361" s="71" t="b">
        <f t="shared" si="227"/>
        <v>1</v>
      </c>
      <c r="AI361" s="71">
        <f t="shared" si="228"/>
        <v>0</v>
      </c>
      <c r="AJ361" s="39"/>
      <c r="AK361" s="15"/>
      <c r="AL361" s="71" t="b">
        <f t="shared" si="229"/>
        <v>1</v>
      </c>
      <c r="AN361" s="65"/>
    </row>
    <row r="362" spans="2:40" ht="13" customHeight="1">
      <c r="B362" s="119"/>
      <c r="C362" s="23">
        <f t="shared" si="221"/>
        <v>2026091</v>
      </c>
      <c r="D362" s="23">
        <v>13</v>
      </c>
      <c r="E362" s="128">
        <v>0</v>
      </c>
      <c r="F362" s="126" t="e">
        <f>VLOOKUP(E362,'Códigos bancos'!$B$4:$C$29,2,0)</f>
        <v>#N/A</v>
      </c>
      <c r="G362" s="36">
        <v>1</v>
      </c>
      <c r="H362" s="126" t="str">
        <f>VLOOKUP(G362,'Códigos bancos'!$F$4:$G$14,2,0)</f>
        <v>Oficinas</v>
      </c>
      <c r="I362" s="130"/>
      <c r="J362" s="174">
        <v>0</v>
      </c>
      <c r="K362" s="174">
        <v>0</v>
      </c>
      <c r="L362" s="174">
        <v>0</v>
      </c>
      <c r="M362" s="174">
        <v>0</v>
      </c>
      <c r="N362" s="174">
        <v>0</v>
      </c>
      <c r="O362" s="174">
        <v>0</v>
      </c>
      <c r="P362" s="174">
        <v>0</v>
      </c>
      <c r="Q362" s="174">
        <v>0</v>
      </c>
      <c r="R362" s="174">
        <v>0</v>
      </c>
      <c r="S362" s="215">
        <v>0</v>
      </c>
      <c r="T362" s="71">
        <f t="shared" si="222"/>
        <v>0</v>
      </c>
      <c r="U362" s="71">
        <f t="shared" si="223"/>
        <v>0</v>
      </c>
      <c r="V362" s="117">
        <v>0</v>
      </c>
      <c r="W362" s="117">
        <v>0</v>
      </c>
      <c r="X362" s="71">
        <f t="shared" si="224"/>
        <v>0</v>
      </c>
      <c r="Y362" s="71">
        <f t="shared" si="225"/>
        <v>0</v>
      </c>
      <c r="AA362" s="65"/>
      <c r="AC362" s="71">
        <f t="shared" si="226"/>
        <v>0</v>
      </c>
      <c r="AD362" s="39"/>
      <c r="AE362" s="7"/>
      <c r="AF362" s="15"/>
      <c r="AG362" s="71" t="b">
        <f t="shared" si="227"/>
        <v>1</v>
      </c>
      <c r="AI362" s="71">
        <f t="shared" si="228"/>
        <v>0</v>
      </c>
      <c r="AJ362" s="39"/>
      <c r="AK362" s="15"/>
      <c r="AL362" s="71" t="b">
        <f t="shared" si="229"/>
        <v>1</v>
      </c>
      <c r="AN362" s="65"/>
    </row>
    <row r="363" spans="2:40" ht="13" customHeight="1">
      <c r="B363" s="119"/>
      <c r="C363" s="159">
        <f t="shared" si="221"/>
        <v>2026091</v>
      </c>
      <c r="D363" s="23">
        <v>13</v>
      </c>
      <c r="E363" s="128">
        <v>0</v>
      </c>
      <c r="F363" s="126" t="e">
        <f>VLOOKUP(E363,'Códigos bancos'!$B$4:$C$29,2,0)</f>
        <v>#N/A</v>
      </c>
      <c r="G363" s="36">
        <v>1</v>
      </c>
      <c r="H363" s="126" t="str">
        <f>VLOOKUP(G363,'Códigos bancos'!$F$4:$G$14,2,0)</f>
        <v>Oficinas</v>
      </c>
      <c r="I363" s="130"/>
      <c r="J363" s="174">
        <v>0</v>
      </c>
      <c r="K363" s="174">
        <v>0</v>
      </c>
      <c r="L363" s="174">
        <v>0</v>
      </c>
      <c r="M363" s="174">
        <v>0</v>
      </c>
      <c r="N363" s="174">
        <v>0</v>
      </c>
      <c r="O363" s="174">
        <v>0</v>
      </c>
      <c r="P363" s="174">
        <v>0</v>
      </c>
      <c r="Q363" s="174">
        <v>0</v>
      </c>
      <c r="R363" s="174">
        <v>0</v>
      </c>
      <c r="S363" s="215">
        <v>0</v>
      </c>
      <c r="T363" s="71">
        <f t="shared" si="222"/>
        <v>0</v>
      </c>
      <c r="U363" s="71">
        <f t="shared" si="223"/>
        <v>0</v>
      </c>
      <c r="V363" s="117">
        <v>0</v>
      </c>
      <c r="W363" s="117">
        <v>0</v>
      </c>
      <c r="X363" s="71">
        <f t="shared" si="224"/>
        <v>0</v>
      </c>
      <c r="Y363" s="71">
        <f t="shared" si="225"/>
        <v>0</v>
      </c>
      <c r="AA363" s="65"/>
      <c r="AC363" s="71">
        <f t="shared" si="226"/>
        <v>0</v>
      </c>
      <c r="AD363" s="39"/>
      <c r="AE363" s="7"/>
      <c r="AF363" s="15"/>
      <c r="AG363" s="71" t="b">
        <f t="shared" si="227"/>
        <v>1</v>
      </c>
      <c r="AI363" s="71">
        <f t="shared" si="228"/>
        <v>0</v>
      </c>
      <c r="AJ363" s="39"/>
      <c r="AK363" s="15"/>
      <c r="AL363" s="71" t="b">
        <f t="shared" si="229"/>
        <v>1</v>
      </c>
      <c r="AN363" s="65"/>
    </row>
    <row r="364" spans="2:40" ht="13" customHeight="1">
      <c r="B364" s="119"/>
      <c r="C364" s="159">
        <f t="shared" si="221"/>
        <v>2026091</v>
      </c>
      <c r="D364" s="23">
        <v>13</v>
      </c>
      <c r="E364" s="128">
        <v>0</v>
      </c>
      <c r="F364" s="126" t="e">
        <f>VLOOKUP(E364,'Códigos bancos'!$B$4:$C$29,2,0)</f>
        <v>#N/A</v>
      </c>
      <c r="G364" s="36">
        <v>1</v>
      </c>
      <c r="H364" s="126" t="str">
        <f>VLOOKUP(G364,'Códigos bancos'!$F$4:$G$14,2,0)</f>
        <v>Oficinas</v>
      </c>
      <c r="I364" s="130"/>
      <c r="J364" s="174">
        <v>0</v>
      </c>
      <c r="K364" s="174">
        <v>0</v>
      </c>
      <c r="L364" s="174">
        <v>0</v>
      </c>
      <c r="M364" s="174">
        <v>0</v>
      </c>
      <c r="N364" s="174">
        <v>0</v>
      </c>
      <c r="O364" s="174">
        <v>0</v>
      </c>
      <c r="P364" s="174">
        <v>0</v>
      </c>
      <c r="Q364" s="174">
        <v>0</v>
      </c>
      <c r="R364" s="174">
        <v>0</v>
      </c>
      <c r="S364" s="215">
        <v>0</v>
      </c>
      <c r="T364" s="71">
        <f t="shared" si="222"/>
        <v>0</v>
      </c>
      <c r="U364" s="71">
        <f t="shared" si="223"/>
        <v>0</v>
      </c>
      <c r="V364" s="117">
        <v>0</v>
      </c>
      <c r="W364" s="117">
        <v>0</v>
      </c>
      <c r="X364" s="71">
        <f t="shared" si="224"/>
        <v>0</v>
      </c>
      <c r="Y364" s="71">
        <f t="shared" si="225"/>
        <v>0</v>
      </c>
      <c r="AA364" s="65"/>
      <c r="AC364" s="71">
        <f t="shared" si="226"/>
        <v>0</v>
      </c>
      <c r="AD364" s="39"/>
      <c r="AE364" s="7"/>
      <c r="AF364" s="15"/>
      <c r="AG364" s="71" t="b">
        <f t="shared" si="227"/>
        <v>1</v>
      </c>
      <c r="AI364" s="71">
        <f t="shared" si="228"/>
        <v>0</v>
      </c>
      <c r="AJ364" s="39"/>
      <c r="AK364" s="15"/>
      <c r="AL364" s="71" t="b">
        <f t="shared" si="229"/>
        <v>1</v>
      </c>
      <c r="AN364" s="65"/>
    </row>
    <row r="365" spans="2:40" ht="13" customHeight="1">
      <c r="B365" s="119"/>
      <c r="C365" s="159">
        <f t="shared" si="221"/>
        <v>2026091</v>
      </c>
      <c r="D365" s="23">
        <v>13</v>
      </c>
      <c r="E365" s="128">
        <v>0</v>
      </c>
      <c r="F365" s="126" t="e">
        <f>VLOOKUP(E365,'Códigos bancos'!$B$4:$C$29,2,0)</f>
        <v>#N/A</v>
      </c>
      <c r="G365" s="36">
        <v>1</v>
      </c>
      <c r="H365" s="126" t="str">
        <f>VLOOKUP(G365,'Códigos bancos'!$F$4:$G$14,2,0)</f>
        <v>Oficinas</v>
      </c>
      <c r="I365" s="130"/>
      <c r="J365" s="174">
        <v>0</v>
      </c>
      <c r="K365" s="174">
        <v>0</v>
      </c>
      <c r="L365" s="174">
        <v>0</v>
      </c>
      <c r="M365" s="174">
        <v>0</v>
      </c>
      <c r="N365" s="174">
        <v>0</v>
      </c>
      <c r="O365" s="174">
        <v>0</v>
      </c>
      <c r="P365" s="174">
        <v>0</v>
      </c>
      <c r="Q365" s="174">
        <v>0</v>
      </c>
      <c r="R365" s="174">
        <v>0</v>
      </c>
      <c r="S365" s="215">
        <v>0</v>
      </c>
      <c r="T365" s="71">
        <f t="shared" si="222"/>
        <v>0</v>
      </c>
      <c r="U365" s="71">
        <f t="shared" si="223"/>
        <v>0</v>
      </c>
      <c r="V365" s="117">
        <v>0</v>
      </c>
      <c r="W365" s="117">
        <v>0</v>
      </c>
      <c r="X365" s="71">
        <f t="shared" si="224"/>
        <v>0</v>
      </c>
      <c r="Y365" s="71">
        <f t="shared" si="225"/>
        <v>0</v>
      </c>
      <c r="AA365" s="65"/>
      <c r="AC365" s="71">
        <f t="shared" si="226"/>
        <v>0</v>
      </c>
      <c r="AD365" s="39"/>
      <c r="AE365" s="7"/>
      <c r="AF365" s="15"/>
      <c r="AG365" s="71" t="b">
        <f t="shared" si="227"/>
        <v>1</v>
      </c>
      <c r="AI365" s="71">
        <f t="shared" si="228"/>
        <v>0</v>
      </c>
      <c r="AJ365" s="39"/>
      <c r="AK365" s="15"/>
      <c r="AL365" s="71" t="b">
        <f t="shared" si="229"/>
        <v>1</v>
      </c>
      <c r="AN365" s="65"/>
    </row>
    <row r="366" spans="2:40" ht="13" customHeight="1">
      <c r="B366" s="119"/>
      <c r="C366" s="159">
        <f t="shared" si="221"/>
        <v>2026091</v>
      </c>
      <c r="D366" s="23">
        <v>13</v>
      </c>
      <c r="E366" s="128">
        <v>0</v>
      </c>
      <c r="F366" s="126" t="e">
        <f>VLOOKUP(E366,'Códigos bancos'!$B$4:$C$29,2,0)</f>
        <v>#N/A</v>
      </c>
      <c r="G366" s="36">
        <v>1</v>
      </c>
      <c r="H366" s="126" t="str">
        <f>VLOOKUP(G366,'Códigos bancos'!$F$4:$G$14,2,0)</f>
        <v>Oficinas</v>
      </c>
      <c r="I366" s="130"/>
      <c r="J366" s="174">
        <v>0</v>
      </c>
      <c r="K366" s="174">
        <v>0</v>
      </c>
      <c r="L366" s="174">
        <v>0</v>
      </c>
      <c r="M366" s="174">
        <v>0</v>
      </c>
      <c r="N366" s="174">
        <v>0</v>
      </c>
      <c r="O366" s="174">
        <v>0</v>
      </c>
      <c r="P366" s="174">
        <v>0</v>
      </c>
      <c r="Q366" s="174">
        <v>0</v>
      </c>
      <c r="R366" s="174">
        <v>0</v>
      </c>
      <c r="S366" s="215">
        <v>0</v>
      </c>
      <c r="T366" s="71">
        <f t="shared" si="222"/>
        <v>0</v>
      </c>
      <c r="U366" s="71">
        <f t="shared" si="223"/>
        <v>0</v>
      </c>
      <c r="V366" s="117">
        <v>0</v>
      </c>
      <c r="W366" s="117">
        <v>0</v>
      </c>
      <c r="X366" s="71">
        <f t="shared" si="224"/>
        <v>0</v>
      </c>
      <c r="Y366" s="71">
        <f t="shared" si="225"/>
        <v>0</v>
      </c>
      <c r="AA366" s="65"/>
      <c r="AC366" s="71">
        <f t="shared" si="226"/>
        <v>0</v>
      </c>
      <c r="AD366" s="39"/>
      <c r="AE366" s="7"/>
      <c r="AF366" s="15"/>
      <c r="AG366" s="71" t="b">
        <f t="shared" si="227"/>
        <v>1</v>
      </c>
      <c r="AI366" s="71">
        <f t="shared" si="228"/>
        <v>0</v>
      </c>
      <c r="AJ366" s="39"/>
      <c r="AK366" s="15"/>
      <c r="AL366" s="71" t="b">
        <f t="shared" si="229"/>
        <v>1</v>
      </c>
      <c r="AN366" s="65"/>
    </row>
    <row r="367" spans="2:40" ht="13" customHeight="1">
      <c r="B367" s="119"/>
      <c r="C367" s="159">
        <f t="shared" si="221"/>
        <v>2026091</v>
      </c>
      <c r="D367" s="23">
        <v>13</v>
      </c>
      <c r="E367" s="128">
        <v>0</v>
      </c>
      <c r="F367" s="126" t="e">
        <f>VLOOKUP(E367,'Códigos bancos'!$B$4:$C$29,2,0)</f>
        <v>#N/A</v>
      </c>
      <c r="G367" s="36">
        <v>1</v>
      </c>
      <c r="H367" s="126" t="str">
        <f>VLOOKUP(G367,'Códigos bancos'!$F$4:$G$14,2,0)</f>
        <v>Oficinas</v>
      </c>
      <c r="I367" s="130"/>
      <c r="J367" s="174">
        <v>0</v>
      </c>
      <c r="K367" s="174">
        <v>0</v>
      </c>
      <c r="L367" s="174">
        <v>0</v>
      </c>
      <c r="M367" s="174">
        <v>0</v>
      </c>
      <c r="N367" s="174">
        <v>0</v>
      </c>
      <c r="O367" s="174">
        <v>0</v>
      </c>
      <c r="P367" s="174">
        <v>0</v>
      </c>
      <c r="Q367" s="174">
        <v>0</v>
      </c>
      <c r="R367" s="174">
        <v>0</v>
      </c>
      <c r="S367" s="215">
        <v>0</v>
      </c>
      <c r="T367" s="71">
        <f t="shared" si="222"/>
        <v>0</v>
      </c>
      <c r="U367" s="71">
        <f t="shared" si="223"/>
        <v>0</v>
      </c>
      <c r="V367" s="117">
        <v>0</v>
      </c>
      <c r="W367" s="117">
        <v>0</v>
      </c>
      <c r="X367" s="71">
        <f t="shared" si="224"/>
        <v>0</v>
      </c>
      <c r="Y367" s="71">
        <f t="shared" si="225"/>
        <v>0</v>
      </c>
      <c r="AA367" s="65"/>
      <c r="AC367" s="71">
        <f t="shared" si="226"/>
        <v>0</v>
      </c>
      <c r="AD367" s="39"/>
      <c r="AE367" s="7"/>
      <c r="AF367" s="15"/>
      <c r="AG367" s="71" t="b">
        <f t="shared" si="227"/>
        <v>1</v>
      </c>
      <c r="AI367" s="71">
        <f t="shared" si="228"/>
        <v>0</v>
      </c>
      <c r="AJ367" s="39"/>
      <c r="AK367" s="15"/>
      <c r="AL367" s="71" t="b">
        <f t="shared" si="229"/>
        <v>1</v>
      </c>
      <c r="AN367" s="65"/>
    </row>
    <row r="368" spans="2:40" ht="13" customHeight="1">
      <c r="B368" s="119"/>
      <c r="C368" s="159">
        <f t="shared" ref="C368" si="230">IF(D368&lt;=15,$C$1,$C$2)</f>
        <v>2026091</v>
      </c>
      <c r="D368" s="23">
        <v>13</v>
      </c>
      <c r="E368" s="128">
        <v>0</v>
      </c>
      <c r="F368" s="126" t="e">
        <f>VLOOKUP(E368,'Códigos bancos'!$B$4:$C$29,2,0)</f>
        <v>#N/A</v>
      </c>
      <c r="G368" s="36">
        <v>1</v>
      </c>
      <c r="H368" s="126" t="str">
        <f>VLOOKUP(G368,'Códigos bancos'!$F$4:$G$14,2,0)</f>
        <v>Oficinas</v>
      </c>
      <c r="I368" s="130"/>
      <c r="J368" s="174">
        <v>0</v>
      </c>
      <c r="K368" s="174">
        <v>0</v>
      </c>
      <c r="L368" s="174">
        <v>0</v>
      </c>
      <c r="M368" s="174">
        <v>0</v>
      </c>
      <c r="N368" s="174">
        <v>0</v>
      </c>
      <c r="O368" s="174">
        <v>0</v>
      </c>
      <c r="P368" s="174">
        <v>0</v>
      </c>
      <c r="Q368" s="174">
        <v>0</v>
      </c>
      <c r="R368" s="174">
        <v>0</v>
      </c>
      <c r="S368" s="215">
        <v>0</v>
      </c>
      <c r="T368" s="71">
        <f t="shared" ref="T368" si="231">J368+L368+N368+P368+R368</f>
        <v>0</v>
      </c>
      <c r="U368" s="71">
        <f t="shared" ref="U368" si="232">K368+M368+O368+Q368+S368</f>
        <v>0</v>
      </c>
      <c r="V368" s="117">
        <v>0</v>
      </c>
      <c r="W368" s="117">
        <v>0</v>
      </c>
      <c r="X368" s="71">
        <f t="shared" ref="X368" si="233">V368-T368</f>
        <v>0</v>
      </c>
      <c r="Y368" s="71">
        <f t="shared" ref="Y368" si="234">W368-U368</f>
        <v>0</v>
      </c>
      <c r="AA368" s="65"/>
      <c r="AC368" s="71">
        <f t="shared" ref="AC368" si="235">X368</f>
        <v>0</v>
      </c>
      <c r="AD368" s="39"/>
      <c r="AE368" s="7"/>
      <c r="AF368" s="15"/>
      <c r="AG368" s="71" t="b">
        <f t="shared" ref="AG368" si="236">AC368=(AD368+AE368+AF368)</f>
        <v>1</v>
      </c>
      <c r="AI368" s="71">
        <f t="shared" ref="AI368" si="237">Y368</f>
        <v>0</v>
      </c>
      <c r="AJ368" s="39"/>
      <c r="AK368" s="15"/>
      <c r="AL368" s="71" t="b">
        <f t="shared" ref="AL368" si="238">AI368=(AJ368+AK368)</f>
        <v>1</v>
      </c>
      <c r="AN368" s="65"/>
    </row>
    <row r="369" spans="2:40 16128:16147" ht="13" customHeight="1">
      <c r="B369" s="119"/>
      <c r="C369" s="159">
        <f t="shared" si="221"/>
        <v>2026091</v>
      </c>
      <c r="D369" s="23">
        <v>13</v>
      </c>
      <c r="E369" s="128">
        <v>0</v>
      </c>
      <c r="F369" s="126" t="e">
        <f>VLOOKUP(E369,'Códigos bancos'!$B$4:$C$29,2,0)</f>
        <v>#N/A</v>
      </c>
      <c r="G369" s="36">
        <v>1</v>
      </c>
      <c r="H369" s="126" t="str">
        <f>VLOOKUP(G369,'Códigos bancos'!$F$4:$G$14,2,0)</f>
        <v>Oficinas</v>
      </c>
      <c r="I369" s="130"/>
      <c r="J369" s="174">
        <v>0</v>
      </c>
      <c r="K369" s="174">
        <v>0</v>
      </c>
      <c r="L369" s="174">
        <v>0</v>
      </c>
      <c r="M369" s="174">
        <v>0</v>
      </c>
      <c r="N369" s="174">
        <v>0</v>
      </c>
      <c r="O369" s="174">
        <v>0</v>
      </c>
      <c r="P369" s="174">
        <v>0</v>
      </c>
      <c r="Q369" s="174">
        <v>0</v>
      </c>
      <c r="R369" s="174">
        <v>0</v>
      </c>
      <c r="S369" s="215">
        <v>0</v>
      </c>
      <c r="T369" s="71">
        <f t="shared" si="222"/>
        <v>0</v>
      </c>
      <c r="U369" s="71">
        <f t="shared" si="223"/>
        <v>0</v>
      </c>
      <c r="V369" s="117">
        <v>0</v>
      </c>
      <c r="W369" s="117">
        <v>0</v>
      </c>
      <c r="X369" s="71">
        <f t="shared" si="224"/>
        <v>0</v>
      </c>
      <c r="Y369" s="71">
        <f t="shared" si="225"/>
        <v>0</v>
      </c>
      <c r="AA369" s="65"/>
      <c r="AC369" s="71">
        <f t="shared" si="226"/>
        <v>0</v>
      </c>
      <c r="AD369" s="39"/>
      <c r="AE369" s="7"/>
      <c r="AF369" s="15"/>
      <c r="AG369" s="71" t="b">
        <f t="shared" si="227"/>
        <v>1</v>
      </c>
      <c r="AI369" s="71">
        <f t="shared" si="228"/>
        <v>0</v>
      </c>
      <c r="AJ369" s="39"/>
      <c r="AK369" s="15"/>
      <c r="AL369" s="71" t="b">
        <f t="shared" si="229"/>
        <v>1</v>
      </c>
      <c r="AN369" s="65"/>
    </row>
    <row r="370" spans="2:40 16128:16147" ht="13" customHeight="1">
      <c r="B370" s="119"/>
      <c r="C370" s="23">
        <f t="shared" si="221"/>
        <v>2026091</v>
      </c>
      <c r="D370" s="23">
        <v>13</v>
      </c>
      <c r="E370" s="128">
        <v>0</v>
      </c>
      <c r="F370" s="126" t="e">
        <f>VLOOKUP(E370,'Códigos bancos'!$B$4:$C$29,2,0)</f>
        <v>#N/A</v>
      </c>
      <c r="G370" s="36">
        <v>1</v>
      </c>
      <c r="H370" s="126" t="str">
        <f>VLOOKUP(G370,'Códigos bancos'!$F$4:$G$14,2,0)</f>
        <v>Oficinas</v>
      </c>
      <c r="I370" s="130"/>
      <c r="J370" s="174">
        <v>0</v>
      </c>
      <c r="K370" s="174">
        <v>0</v>
      </c>
      <c r="L370" s="174">
        <v>0</v>
      </c>
      <c r="M370" s="174">
        <v>0</v>
      </c>
      <c r="N370" s="174">
        <v>0</v>
      </c>
      <c r="O370" s="174">
        <v>0</v>
      </c>
      <c r="P370" s="174">
        <v>0</v>
      </c>
      <c r="Q370" s="174">
        <v>0</v>
      </c>
      <c r="R370" s="174">
        <v>0</v>
      </c>
      <c r="S370" s="215">
        <v>0</v>
      </c>
      <c r="T370" s="71">
        <f t="shared" si="222"/>
        <v>0</v>
      </c>
      <c r="U370" s="71">
        <f t="shared" si="223"/>
        <v>0</v>
      </c>
      <c r="V370" s="117">
        <v>0</v>
      </c>
      <c r="W370" s="117">
        <v>0</v>
      </c>
      <c r="X370" s="71">
        <f t="shared" si="224"/>
        <v>0</v>
      </c>
      <c r="Y370" s="71">
        <f t="shared" si="225"/>
        <v>0</v>
      </c>
      <c r="AA370" s="65"/>
      <c r="AC370" s="71">
        <f t="shared" si="226"/>
        <v>0</v>
      </c>
      <c r="AD370" s="39"/>
      <c r="AE370" s="7"/>
      <c r="AF370" s="15"/>
      <c r="AG370" s="71" t="b">
        <f t="shared" si="227"/>
        <v>1</v>
      </c>
      <c r="AI370" s="71">
        <f t="shared" si="228"/>
        <v>0</v>
      </c>
      <c r="AJ370" s="39"/>
      <c r="AK370" s="15"/>
      <c r="AL370" s="71" t="b">
        <f t="shared" si="229"/>
        <v>1</v>
      </c>
      <c r="AN370" s="65"/>
    </row>
    <row r="371" spans="2:40 16128:16147" ht="13" customHeight="1">
      <c r="B371" s="119"/>
      <c r="C371" s="23">
        <f t="shared" si="221"/>
        <v>2026091</v>
      </c>
      <c r="D371" s="23">
        <v>13</v>
      </c>
      <c r="E371" s="128">
        <v>0</v>
      </c>
      <c r="F371" s="126" t="e">
        <f>VLOOKUP(E371,'Códigos bancos'!$B$4:$C$29,2,0)</f>
        <v>#N/A</v>
      </c>
      <c r="G371" s="36">
        <v>1</v>
      </c>
      <c r="H371" s="126" t="str">
        <f>VLOOKUP(G371,'Códigos bancos'!$F$4:$G$14,2,0)</f>
        <v>Oficinas</v>
      </c>
      <c r="I371" s="130"/>
      <c r="J371" s="174">
        <v>0</v>
      </c>
      <c r="K371" s="174">
        <v>0</v>
      </c>
      <c r="L371" s="174">
        <v>0</v>
      </c>
      <c r="M371" s="174">
        <v>0</v>
      </c>
      <c r="N371" s="174">
        <v>0</v>
      </c>
      <c r="O371" s="174">
        <v>0</v>
      </c>
      <c r="P371" s="174">
        <v>0</v>
      </c>
      <c r="Q371" s="174">
        <v>0</v>
      </c>
      <c r="R371" s="174">
        <v>0</v>
      </c>
      <c r="S371" s="215">
        <v>0</v>
      </c>
      <c r="T371" s="71">
        <f t="shared" si="222"/>
        <v>0</v>
      </c>
      <c r="U371" s="71">
        <f t="shared" si="223"/>
        <v>0</v>
      </c>
      <c r="V371" s="117">
        <v>0</v>
      </c>
      <c r="W371" s="117">
        <v>0</v>
      </c>
      <c r="X371" s="71">
        <f t="shared" si="224"/>
        <v>0</v>
      </c>
      <c r="Y371" s="71">
        <f t="shared" si="225"/>
        <v>0</v>
      </c>
      <c r="AA371" s="65"/>
      <c r="AC371" s="71">
        <f t="shared" si="226"/>
        <v>0</v>
      </c>
      <c r="AD371" s="39"/>
      <c r="AE371" s="7"/>
      <c r="AF371" s="15"/>
      <c r="AG371" s="71" t="b">
        <f t="shared" si="227"/>
        <v>1</v>
      </c>
      <c r="AI371" s="71"/>
      <c r="AJ371" s="39"/>
      <c r="AK371" s="15"/>
      <c r="AL371" s="71" t="b">
        <f t="shared" si="229"/>
        <v>1</v>
      </c>
      <c r="AN371" s="65"/>
    </row>
    <row r="372" spans="2:40 16128:16147" ht="13" customHeight="1">
      <c r="B372" s="119"/>
      <c r="C372" s="23">
        <f t="shared" si="221"/>
        <v>2026091</v>
      </c>
      <c r="D372" s="23">
        <v>13</v>
      </c>
      <c r="E372" s="128">
        <v>0</v>
      </c>
      <c r="F372" s="126" t="e">
        <f>VLOOKUP(E372,'Códigos bancos'!$B$4:$C$29,2,0)</f>
        <v>#N/A</v>
      </c>
      <c r="G372" s="36">
        <v>1</v>
      </c>
      <c r="H372" s="126" t="str">
        <f>VLOOKUP(G372,'Códigos bancos'!$F$4:$G$14,2,0)</f>
        <v>Oficinas</v>
      </c>
      <c r="I372" s="130"/>
      <c r="J372" s="174">
        <v>0</v>
      </c>
      <c r="K372" s="174">
        <v>0</v>
      </c>
      <c r="L372" s="174">
        <v>0</v>
      </c>
      <c r="M372" s="174">
        <v>0</v>
      </c>
      <c r="N372" s="174">
        <v>0</v>
      </c>
      <c r="O372" s="174">
        <v>0</v>
      </c>
      <c r="P372" s="174">
        <v>0</v>
      </c>
      <c r="Q372" s="174">
        <v>0</v>
      </c>
      <c r="R372" s="174">
        <v>0</v>
      </c>
      <c r="S372" s="215">
        <v>0</v>
      </c>
      <c r="T372" s="71">
        <f t="shared" si="222"/>
        <v>0</v>
      </c>
      <c r="U372" s="71">
        <f t="shared" si="223"/>
        <v>0</v>
      </c>
      <c r="V372" s="117">
        <v>0</v>
      </c>
      <c r="W372" s="117">
        <v>0</v>
      </c>
      <c r="X372" s="71">
        <f t="shared" si="224"/>
        <v>0</v>
      </c>
      <c r="Y372" s="71">
        <f t="shared" si="225"/>
        <v>0</v>
      </c>
      <c r="AA372" s="65"/>
      <c r="AC372" s="71">
        <f t="shared" si="226"/>
        <v>0</v>
      </c>
      <c r="AD372" s="39"/>
      <c r="AE372" s="7"/>
      <c r="AF372" s="15"/>
      <c r="AG372" s="71" t="b">
        <f t="shared" si="227"/>
        <v>1</v>
      </c>
      <c r="AI372" s="71">
        <f>Y372</f>
        <v>0</v>
      </c>
      <c r="AJ372" s="39"/>
      <c r="AK372" s="15"/>
      <c r="AL372" s="71" t="b">
        <f t="shared" si="229"/>
        <v>1</v>
      </c>
      <c r="AN372" s="65"/>
    </row>
    <row r="373" spans="2:40 16128:16147" ht="13" customHeight="1" thickBot="1">
      <c r="B373" s="119"/>
      <c r="C373" s="159">
        <f t="shared" si="221"/>
        <v>2026091</v>
      </c>
      <c r="D373" s="23">
        <v>13</v>
      </c>
      <c r="E373" s="128">
        <v>0</v>
      </c>
      <c r="F373" s="126" t="e">
        <f>VLOOKUP(E373,'Códigos bancos'!$B$4:$C$29,2,0)</f>
        <v>#N/A</v>
      </c>
      <c r="G373" s="36">
        <v>1</v>
      </c>
      <c r="H373" s="126" t="str">
        <f>VLOOKUP(G373,'Códigos bancos'!$F$4:$G$14,2,0)</f>
        <v>Oficinas</v>
      </c>
      <c r="I373" s="130"/>
      <c r="J373" s="174">
        <v>0</v>
      </c>
      <c r="K373" s="174">
        <v>0</v>
      </c>
      <c r="L373" s="174">
        <v>0</v>
      </c>
      <c r="M373" s="174">
        <v>0</v>
      </c>
      <c r="N373" s="174">
        <v>0</v>
      </c>
      <c r="O373" s="174">
        <v>0</v>
      </c>
      <c r="P373" s="174">
        <v>0</v>
      </c>
      <c r="Q373" s="174">
        <v>0</v>
      </c>
      <c r="R373" s="174">
        <v>0</v>
      </c>
      <c r="S373" s="215">
        <v>0</v>
      </c>
      <c r="T373" s="71">
        <f t="shared" si="222"/>
        <v>0</v>
      </c>
      <c r="U373" s="71">
        <f t="shared" si="223"/>
        <v>0</v>
      </c>
      <c r="V373" s="117">
        <v>0</v>
      </c>
      <c r="W373" s="117">
        <v>0</v>
      </c>
      <c r="X373" s="71">
        <f t="shared" si="224"/>
        <v>0</v>
      </c>
      <c r="Y373" s="71">
        <f t="shared" si="225"/>
        <v>0</v>
      </c>
      <c r="AA373" s="65"/>
      <c r="AC373" s="71">
        <f t="shared" si="226"/>
        <v>0</v>
      </c>
      <c r="AD373" s="39"/>
      <c r="AE373" s="7"/>
      <c r="AF373" s="15"/>
      <c r="AG373" s="71" t="b">
        <f t="shared" si="227"/>
        <v>1</v>
      </c>
      <c r="AI373" s="71">
        <f t="shared" si="228"/>
        <v>0</v>
      </c>
      <c r="AJ373" s="39"/>
      <c r="AK373" s="15"/>
      <c r="AL373" s="71" t="b">
        <f t="shared" si="229"/>
        <v>1</v>
      </c>
      <c r="AN373" s="65"/>
    </row>
    <row r="374" spans="2:40 16128:16147" ht="13" customHeight="1" thickBot="1">
      <c r="E374" s="120" t="s">
        <v>0</v>
      </c>
      <c r="F374" s="121" t="s">
        <v>53</v>
      </c>
      <c r="G374" s="121"/>
      <c r="H374" s="121"/>
      <c r="I374" s="121"/>
      <c r="J374" s="122">
        <f t="shared" ref="J374:Y374" si="239">SUM(J349:J373)</f>
        <v>0</v>
      </c>
      <c r="K374" s="122">
        <f t="shared" si="239"/>
        <v>0</v>
      </c>
      <c r="L374" s="122">
        <f t="shared" si="239"/>
        <v>0</v>
      </c>
      <c r="M374" s="122">
        <f t="shared" si="239"/>
        <v>0</v>
      </c>
      <c r="N374" s="122">
        <f t="shared" si="239"/>
        <v>0</v>
      </c>
      <c r="O374" s="122">
        <f t="shared" si="239"/>
        <v>0</v>
      </c>
      <c r="P374" s="122">
        <f t="shared" si="239"/>
        <v>0</v>
      </c>
      <c r="Q374" s="122">
        <f t="shared" si="239"/>
        <v>0</v>
      </c>
      <c r="R374" s="122">
        <f t="shared" si="239"/>
        <v>69</v>
      </c>
      <c r="S374" s="122">
        <f t="shared" si="239"/>
        <v>3403290</v>
      </c>
      <c r="T374" s="122">
        <f t="shared" si="239"/>
        <v>69</v>
      </c>
      <c r="U374" s="122">
        <f t="shared" si="239"/>
        <v>3403290</v>
      </c>
      <c r="V374" s="123">
        <f t="shared" si="239"/>
        <v>69</v>
      </c>
      <c r="W374" s="123">
        <f t="shared" si="239"/>
        <v>3403290</v>
      </c>
      <c r="X374" s="122">
        <f t="shared" si="239"/>
        <v>0</v>
      </c>
      <c r="Y374" s="123">
        <f t="shared" si="239"/>
        <v>0</v>
      </c>
      <c r="AA374" s="65"/>
      <c r="AC374" s="122">
        <f>SUM(AC349:AC373)</f>
        <v>0</v>
      </c>
      <c r="AD374" s="122">
        <f>SUM(AD349:AD373)</f>
        <v>0</v>
      </c>
      <c r="AE374" s="122">
        <f>SUM(AE349:AE373)</f>
        <v>0</v>
      </c>
      <c r="AF374" s="123">
        <f>SUM(AF349:AF373)</f>
        <v>0</v>
      </c>
      <c r="AG374" s="100"/>
      <c r="AI374" s="122">
        <f>SUM(AI349:AI373)</f>
        <v>0</v>
      </c>
      <c r="AJ374" s="122">
        <f>SUM(AJ349:AJ373)</f>
        <v>0</v>
      </c>
      <c r="AK374" s="123">
        <f>SUM(AK349:AK373)</f>
        <v>0</v>
      </c>
      <c r="AL374" s="100"/>
      <c r="AN374" s="65"/>
    </row>
    <row r="375" spans="2:40 16128:16147" ht="13" thickBot="1">
      <c r="N375" s="8"/>
      <c r="O375" s="8"/>
      <c r="AA375" s="65"/>
      <c r="AN375" s="65"/>
    </row>
    <row r="376" spans="2:40 16128:16147" ht="41.25" customHeight="1" thickBot="1">
      <c r="B376" s="112" t="s">
        <v>4</v>
      </c>
      <c r="C376" s="34" t="s">
        <v>6</v>
      </c>
      <c r="D376" s="34" t="s">
        <v>7</v>
      </c>
      <c r="E376" s="34" t="s">
        <v>49</v>
      </c>
      <c r="F376" s="34" t="s">
        <v>50</v>
      </c>
      <c r="G376" s="34" t="s">
        <v>51</v>
      </c>
      <c r="H376" s="34" t="s">
        <v>52</v>
      </c>
      <c r="I376" s="34" t="s">
        <v>13</v>
      </c>
      <c r="J376" s="12" t="s">
        <v>8</v>
      </c>
      <c r="K376" s="12" t="s">
        <v>36</v>
      </c>
      <c r="L376" s="12" t="s">
        <v>9</v>
      </c>
      <c r="M376" s="12" t="s">
        <v>37</v>
      </c>
      <c r="N376" s="87" t="s">
        <v>10</v>
      </c>
      <c r="O376" s="88" t="s">
        <v>38</v>
      </c>
      <c r="P376" s="87" t="s">
        <v>11</v>
      </c>
      <c r="Q376" s="88" t="s">
        <v>39</v>
      </c>
      <c r="R376" s="87" t="s">
        <v>12</v>
      </c>
      <c r="S376" s="88" t="s">
        <v>40</v>
      </c>
      <c r="T376" s="64" t="s">
        <v>41</v>
      </c>
      <c r="U376" s="64" t="s">
        <v>42</v>
      </c>
      <c r="V376" s="35" t="s">
        <v>32</v>
      </c>
      <c r="W376" s="67" t="s">
        <v>35</v>
      </c>
      <c r="X376" s="12" t="s">
        <v>34</v>
      </c>
      <c r="Y376" s="68" t="s">
        <v>33</v>
      </c>
      <c r="AA376" s="66"/>
      <c r="AC376" s="12" t="s">
        <v>34</v>
      </c>
      <c r="AD376" s="12" t="s">
        <v>45</v>
      </c>
      <c r="AE376" s="12" t="s">
        <v>43</v>
      </c>
      <c r="AF376" s="12" t="s">
        <v>44</v>
      </c>
      <c r="AG376" s="12" t="s">
        <v>46</v>
      </c>
      <c r="AI376" s="12" t="s">
        <v>33</v>
      </c>
      <c r="AJ376" s="12" t="s">
        <v>47</v>
      </c>
      <c r="AK376" s="12" t="s">
        <v>48</v>
      </c>
      <c r="AL376" s="12" t="s">
        <v>46</v>
      </c>
      <c r="AN376" s="66"/>
      <c r="WVH376" s="1"/>
      <c r="WVI376" s="1"/>
      <c r="WVZ376"/>
      <c r="WWA376"/>
    </row>
    <row r="377" spans="2:40 16128:16147" ht="13" customHeight="1">
      <c r="B377" s="119" t="s">
        <v>77</v>
      </c>
      <c r="C377" s="158">
        <f>IF(D377&lt;=15,$C$1,$C$2)</f>
        <v>2026091</v>
      </c>
      <c r="D377" s="24">
        <v>14</v>
      </c>
      <c r="E377" s="127">
        <v>20</v>
      </c>
      <c r="F377" s="125" t="str">
        <f>VLOOKUP(E377,'Códigos bancos'!$B$4:$C$29,2,0)</f>
        <v>Bancolombia ENERBIT</v>
      </c>
      <c r="G377" s="18">
        <v>1</v>
      </c>
      <c r="H377" s="125" t="str">
        <f>VLOOKUP(G377,'Códigos bancos'!$F$4:$G$14,2,0)</f>
        <v>Oficinas</v>
      </c>
      <c r="I377" s="129"/>
      <c r="J377" s="213">
        <v>0</v>
      </c>
      <c r="K377" s="213">
        <v>0</v>
      </c>
      <c r="L377" s="213">
        <v>0</v>
      </c>
      <c r="M377" s="213">
        <v>0</v>
      </c>
      <c r="N377" s="213">
        <v>0</v>
      </c>
      <c r="O377" s="213">
        <v>0</v>
      </c>
      <c r="P377" s="213">
        <v>0</v>
      </c>
      <c r="Q377" s="213">
        <v>0</v>
      </c>
      <c r="R377" s="174">
        <v>177</v>
      </c>
      <c r="S377" s="215">
        <v>8269972</v>
      </c>
      <c r="T377" s="70">
        <f>J377+L377+N377+P377+R377</f>
        <v>177</v>
      </c>
      <c r="U377" s="70">
        <f>K377+M377+O377+Q377+S377</f>
        <v>8269972</v>
      </c>
      <c r="V377" s="174">
        <v>177</v>
      </c>
      <c r="W377" s="215">
        <v>8269972</v>
      </c>
      <c r="X377" s="70">
        <f>V377-T377</f>
        <v>0</v>
      </c>
      <c r="Y377" s="70">
        <f>W377-U377</f>
        <v>0</v>
      </c>
      <c r="AA377" s="65"/>
      <c r="AC377" s="124">
        <f>X377</f>
        <v>0</v>
      </c>
      <c r="AD377" s="115"/>
      <c r="AE377" s="16"/>
      <c r="AF377" s="114"/>
      <c r="AG377" s="124" t="b">
        <f>AC377=(AD377+AE377+AF377)</f>
        <v>1</v>
      </c>
      <c r="AI377" s="70">
        <f>Y377</f>
        <v>0</v>
      </c>
      <c r="AJ377" s="115"/>
      <c r="AK377" s="114"/>
      <c r="AL377" s="70" t="b">
        <f>AI377=(AJ377+AK377)</f>
        <v>1</v>
      </c>
      <c r="AN377" s="65"/>
    </row>
    <row r="378" spans="2:40 16128:16147" ht="13" customHeight="1">
      <c r="B378" s="119"/>
      <c r="C378" s="159">
        <f t="shared" ref="C378:C401" si="240">IF(D378&lt;=15,$C$1,$C$2)</f>
        <v>2026091</v>
      </c>
      <c r="D378" s="23">
        <v>14</v>
      </c>
      <c r="E378" s="128">
        <v>0</v>
      </c>
      <c r="F378" s="126" t="e">
        <f>VLOOKUP(E378,'Códigos bancos'!$B$4:$C$29,2,0)</f>
        <v>#N/A</v>
      </c>
      <c r="G378" s="36">
        <v>1</v>
      </c>
      <c r="H378" s="126" t="str">
        <f>VLOOKUP(G378,'Códigos bancos'!$F$4:$G$14,2,0)</f>
        <v>Oficinas</v>
      </c>
      <c r="I378" s="130"/>
      <c r="J378" s="174">
        <v>0</v>
      </c>
      <c r="K378" s="174">
        <v>0</v>
      </c>
      <c r="L378" s="174">
        <v>0</v>
      </c>
      <c r="M378" s="174">
        <v>0</v>
      </c>
      <c r="N378" s="174">
        <v>0</v>
      </c>
      <c r="O378" s="174">
        <v>0</v>
      </c>
      <c r="P378" s="174">
        <v>0</v>
      </c>
      <c r="Q378" s="174">
        <v>0</v>
      </c>
      <c r="R378" s="174">
        <v>0</v>
      </c>
      <c r="S378" s="215">
        <v>0</v>
      </c>
      <c r="T378" s="71">
        <f t="shared" ref="T378:T401" si="241">J378+L378+N378+P378+R378</f>
        <v>0</v>
      </c>
      <c r="U378" s="71">
        <f t="shared" ref="U378:U401" si="242">K378+M378+O378+Q378+S378</f>
        <v>0</v>
      </c>
      <c r="V378" s="117">
        <v>0</v>
      </c>
      <c r="W378" s="117">
        <v>0</v>
      </c>
      <c r="X378" s="71">
        <f t="shared" ref="X378:X401" si="243">V378-T378</f>
        <v>0</v>
      </c>
      <c r="Y378" s="71">
        <f t="shared" ref="Y378:Y401" si="244">W378-U378</f>
        <v>0</v>
      </c>
      <c r="AA378" s="65"/>
      <c r="AC378" s="71">
        <f t="shared" ref="AC378:AC401" si="245">X378</f>
        <v>0</v>
      </c>
      <c r="AD378" s="39"/>
      <c r="AE378" s="7"/>
      <c r="AF378" s="15"/>
      <c r="AG378" s="71" t="b">
        <f t="shared" ref="AG378:AG401" si="246">AC378=(AD378+AE378+AF378)</f>
        <v>1</v>
      </c>
      <c r="AI378" s="71">
        <f t="shared" ref="AI378:AI401" si="247">Y378</f>
        <v>0</v>
      </c>
      <c r="AJ378" s="39"/>
      <c r="AK378" s="15"/>
      <c r="AL378" s="71" t="b">
        <f t="shared" ref="AL378:AL401" si="248">AI378=(AJ378+AK378)</f>
        <v>1</v>
      </c>
      <c r="AN378" s="65"/>
    </row>
    <row r="379" spans="2:40 16128:16147" ht="13" customHeight="1">
      <c r="B379" s="119"/>
      <c r="C379" s="159">
        <f t="shared" si="240"/>
        <v>2026091</v>
      </c>
      <c r="D379" s="23">
        <v>14</v>
      </c>
      <c r="E379" s="128">
        <v>0</v>
      </c>
      <c r="F379" s="126" t="e">
        <f>VLOOKUP(E379,'Códigos bancos'!$B$4:$C$29,2,0)</f>
        <v>#N/A</v>
      </c>
      <c r="G379" s="36">
        <v>1</v>
      </c>
      <c r="H379" s="126" t="str">
        <f>VLOOKUP(G379,'Códigos bancos'!$F$4:$G$14,2,0)</f>
        <v>Oficinas</v>
      </c>
      <c r="I379" s="130"/>
      <c r="J379" s="174">
        <v>0</v>
      </c>
      <c r="K379" s="174">
        <v>0</v>
      </c>
      <c r="L379" s="174">
        <v>0</v>
      </c>
      <c r="M379" s="174">
        <v>0</v>
      </c>
      <c r="N379" s="174">
        <v>0</v>
      </c>
      <c r="O379" s="174">
        <v>0</v>
      </c>
      <c r="P379" s="174">
        <v>0</v>
      </c>
      <c r="Q379" s="174">
        <v>0</v>
      </c>
      <c r="R379" s="174">
        <v>0</v>
      </c>
      <c r="S379" s="215">
        <v>0</v>
      </c>
      <c r="T379" s="71">
        <f t="shared" si="241"/>
        <v>0</v>
      </c>
      <c r="U379" s="71">
        <f t="shared" si="242"/>
        <v>0</v>
      </c>
      <c r="V379" s="117">
        <v>0</v>
      </c>
      <c r="W379" s="117">
        <v>0</v>
      </c>
      <c r="X379" s="71">
        <f t="shared" si="243"/>
        <v>0</v>
      </c>
      <c r="Y379" s="71">
        <f t="shared" si="244"/>
        <v>0</v>
      </c>
      <c r="AA379" s="65"/>
      <c r="AC379" s="71">
        <f t="shared" si="245"/>
        <v>0</v>
      </c>
      <c r="AD379" s="45"/>
      <c r="AE379" s="14"/>
      <c r="AF379" s="46"/>
      <c r="AG379" s="71" t="b">
        <f t="shared" si="246"/>
        <v>1</v>
      </c>
      <c r="AI379" s="71">
        <f t="shared" si="247"/>
        <v>0</v>
      </c>
      <c r="AJ379" s="45"/>
      <c r="AK379" s="46"/>
      <c r="AL379" s="71" t="b">
        <f t="shared" si="248"/>
        <v>1</v>
      </c>
      <c r="AN379" s="65"/>
    </row>
    <row r="380" spans="2:40 16128:16147" ht="13" customHeight="1">
      <c r="B380" s="119"/>
      <c r="C380" s="159">
        <f t="shared" si="240"/>
        <v>2026091</v>
      </c>
      <c r="D380" s="23">
        <v>14</v>
      </c>
      <c r="E380" s="128">
        <v>0</v>
      </c>
      <c r="F380" s="126" t="e">
        <f>VLOOKUP(E380,'Códigos bancos'!$B$4:$C$29,2,0)</f>
        <v>#N/A</v>
      </c>
      <c r="G380" s="36">
        <v>1</v>
      </c>
      <c r="H380" s="126" t="str">
        <f>VLOOKUP(G380,'Códigos bancos'!$F$4:$G$14,2,0)</f>
        <v>Oficinas</v>
      </c>
      <c r="I380" s="130"/>
      <c r="J380" s="174">
        <v>0</v>
      </c>
      <c r="K380" s="174">
        <v>0</v>
      </c>
      <c r="L380" s="174">
        <v>0</v>
      </c>
      <c r="M380" s="174">
        <v>0</v>
      </c>
      <c r="N380" s="174">
        <v>0</v>
      </c>
      <c r="O380" s="174">
        <v>0</v>
      </c>
      <c r="P380" s="174">
        <v>0</v>
      </c>
      <c r="Q380" s="174">
        <v>0</v>
      </c>
      <c r="R380" s="174">
        <v>0</v>
      </c>
      <c r="S380" s="215">
        <v>0</v>
      </c>
      <c r="T380" s="71">
        <f t="shared" si="241"/>
        <v>0</v>
      </c>
      <c r="U380" s="71">
        <f t="shared" si="242"/>
        <v>0</v>
      </c>
      <c r="V380" s="117">
        <v>0</v>
      </c>
      <c r="W380" s="117">
        <v>0</v>
      </c>
      <c r="X380" s="71">
        <f t="shared" si="243"/>
        <v>0</v>
      </c>
      <c r="Y380" s="71">
        <f t="shared" si="244"/>
        <v>0</v>
      </c>
      <c r="AA380" s="65"/>
      <c r="AC380" s="71">
        <f t="shared" si="245"/>
        <v>0</v>
      </c>
      <c r="AD380" s="39"/>
      <c r="AE380" s="7"/>
      <c r="AF380" s="15"/>
      <c r="AG380" s="71" t="b">
        <f t="shared" si="246"/>
        <v>1</v>
      </c>
      <c r="AI380" s="71">
        <f t="shared" si="247"/>
        <v>0</v>
      </c>
      <c r="AJ380" s="39"/>
      <c r="AK380" s="15"/>
      <c r="AL380" s="71" t="b">
        <f t="shared" si="248"/>
        <v>1</v>
      </c>
      <c r="AN380" s="65"/>
    </row>
    <row r="381" spans="2:40 16128:16147" ht="13" customHeight="1">
      <c r="B381" s="119"/>
      <c r="C381" s="159">
        <f t="shared" si="240"/>
        <v>2026091</v>
      </c>
      <c r="D381" s="23">
        <v>14</v>
      </c>
      <c r="E381" s="128">
        <v>0</v>
      </c>
      <c r="F381" s="126" t="e">
        <f>VLOOKUP(E381,'Códigos bancos'!$B$4:$C$29,2,0)</f>
        <v>#N/A</v>
      </c>
      <c r="G381" s="36">
        <v>1</v>
      </c>
      <c r="H381" s="126" t="str">
        <f>VLOOKUP(G381,'Códigos bancos'!$F$4:$G$14,2,0)</f>
        <v>Oficinas</v>
      </c>
      <c r="I381" s="130"/>
      <c r="J381" s="174">
        <v>0</v>
      </c>
      <c r="K381" s="174">
        <v>0</v>
      </c>
      <c r="L381" s="174">
        <v>0</v>
      </c>
      <c r="M381" s="174">
        <v>0</v>
      </c>
      <c r="N381" s="174">
        <v>0</v>
      </c>
      <c r="O381" s="174">
        <v>0</v>
      </c>
      <c r="P381" s="174">
        <v>0</v>
      </c>
      <c r="Q381" s="174">
        <v>0</v>
      </c>
      <c r="R381" s="174">
        <v>0</v>
      </c>
      <c r="S381" s="215">
        <v>0</v>
      </c>
      <c r="T381" s="71">
        <f t="shared" si="241"/>
        <v>0</v>
      </c>
      <c r="U381" s="71">
        <f t="shared" si="242"/>
        <v>0</v>
      </c>
      <c r="V381" s="117">
        <v>0</v>
      </c>
      <c r="W381" s="117">
        <v>0</v>
      </c>
      <c r="X381" s="71">
        <f t="shared" si="243"/>
        <v>0</v>
      </c>
      <c r="Y381" s="71">
        <f t="shared" si="244"/>
        <v>0</v>
      </c>
      <c r="AA381" s="65"/>
      <c r="AC381" s="71">
        <f t="shared" si="245"/>
        <v>0</v>
      </c>
      <c r="AD381" s="39"/>
      <c r="AE381" s="7"/>
      <c r="AF381" s="15"/>
      <c r="AG381" s="71" t="b">
        <f t="shared" si="246"/>
        <v>1</v>
      </c>
      <c r="AI381" s="71">
        <f t="shared" si="247"/>
        <v>0</v>
      </c>
      <c r="AJ381" s="39"/>
      <c r="AK381" s="15"/>
      <c r="AL381" s="71" t="b">
        <f t="shared" si="248"/>
        <v>1</v>
      </c>
      <c r="AN381" s="65"/>
    </row>
    <row r="382" spans="2:40 16128:16147" ht="13" customHeight="1">
      <c r="B382" s="119"/>
      <c r="C382" s="159">
        <f t="shared" si="240"/>
        <v>2026091</v>
      </c>
      <c r="D382" s="23">
        <v>14</v>
      </c>
      <c r="E382" s="128">
        <v>0</v>
      </c>
      <c r="F382" s="126" t="e">
        <f>VLOOKUP(E382,'Códigos bancos'!$B$4:$C$29,2,0)</f>
        <v>#N/A</v>
      </c>
      <c r="G382" s="36">
        <v>1</v>
      </c>
      <c r="H382" s="126" t="str">
        <f>VLOOKUP(G382,'Códigos bancos'!$F$4:$G$14,2,0)</f>
        <v>Oficinas</v>
      </c>
      <c r="I382" s="130"/>
      <c r="J382" s="174">
        <v>0</v>
      </c>
      <c r="K382" s="174">
        <v>0</v>
      </c>
      <c r="L382" s="174">
        <v>0</v>
      </c>
      <c r="M382" s="174">
        <v>0</v>
      </c>
      <c r="N382" s="174">
        <v>0</v>
      </c>
      <c r="O382" s="174">
        <v>0</v>
      </c>
      <c r="P382" s="174">
        <v>0</v>
      </c>
      <c r="Q382" s="174">
        <v>0</v>
      </c>
      <c r="R382" s="174">
        <v>0</v>
      </c>
      <c r="S382" s="215">
        <v>0</v>
      </c>
      <c r="T382" s="71">
        <f t="shared" si="241"/>
        <v>0</v>
      </c>
      <c r="U382" s="71">
        <f t="shared" si="242"/>
        <v>0</v>
      </c>
      <c r="V382" s="117">
        <v>0</v>
      </c>
      <c r="W382" s="117">
        <v>0</v>
      </c>
      <c r="X382" s="71">
        <f t="shared" si="243"/>
        <v>0</v>
      </c>
      <c r="Y382" s="71">
        <f t="shared" si="244"/>
        <v>0</v>
      </c>
      <c r="AA382" s="65"/>
      <c r="AC382" s="71">
        <f t="shared" si="245"/>
        <v>0</v>
      </c>
      <c r="AD382" s="39"/>
      <c r="AE382" s="7"/>
      <c r="AF382" s="15"/>
      <c r="AG382" s="71" t="b">
        <f t="shared" si="246"/>
        <v>1</v>
      </c>
      <c r="AI382" s="71">
        <f t="shared" si="247"/>
        <v>0</v>
      </c>
      <c r="AJ382" s="39"/>
      <c r="AK382" s="15"/>
      <c r="AL382" s="71" t="b">
        <f t="shared" si="248"/>
        <v>1</v>
      </c>
      <c r="AN382" s="65"/>
    </row>
    <row r="383" spans="2:40 16128:16147" ht="13" customHeight="1">
      <c r="B383" s="119"/>
      <c r="C383" s="159">
        <f t="shared" si="240"/>
        <v>2026091</v>
      </c>
      <c r="D383" s="23">
        <v>14</v>
      </c>
      <c r="E383" s="128">
        <v>0</v>
      </c>
      <c r="F383" s="126" t="e">
        <f>VLOOKUP(E383,'Códigos bancos'!$B$4:$C$29,2,0)</f>
        <v>#N/A</v>
      </c>
      <c r="G383" s="36">
        <v>1</v>
      </c>
      <c r="H383" s="126" t="str">
        <f>VLOOKUP(G383,'Códigos bancos'!$F$4:$G$14,2,0)</f>
        <v>Oficinas</v>
      </c>
      <c r="I383" s="130"/>
      <c r="J383" s="174">
        <v>0</v>
      </c>
      <c r="K383" s="174">
        <v>0</v>
      </c>
      <c r="L383" s="174">
        <v>0</v>
      </c>
      <c r="M383" s="174">
        <v>0</v>
      </c>
      <c r="N383" s="174">
        <v>0</v>
      </c>
      <c r="O383" s="174">
        <v>0</v>
      </c>
      <c r="P383" s="174">
        <v>0</v>
      </c>
      <c r="Q383" s="174">
        <v>0</v>
      </c>
      <c r="R383" s="174">
        <v>0</v>
      </c>
      <c r="S383" s="215">
        <v>0</v>
      </c>
      <c r="T383" s="71">
        <f t="shared" si="241"/>
        <v>0</v>
      </c>
      <c r="U383" s="71">
        <f t="shared" si="242"/>
        <v>0</v>
      </c>
      <c r="V383" s="117">
        <v>0</v>
      </c>
      <c r="W383" s="117">
        <v>0</v>
      </c>
      <c r="X383" s="71">
        <f t="shared" si="243"/>
        <v>0</v>
      </c>
      <c r="Y383" s="71">
        <f t="shared" si="244"/>
        <v>0</v>
      </c>
      <c r="AA383" s="65"/>
      <c r="AC383" s="71">
        <f t="shared" si="245"/>
        <v>0</v>
      </c>
      <c r="AD383" s="39"/>
      <c r="AE383" s="7"/>
      <c r="AF383" s="15"/>
      <c r="AG383" s="71" t="b">
        <f t="shared" si="246"/>
        <v>1</v>
      </c>
      <c r="AI383" s="71">
        <f t="shared" si="247"/>
        <v>0</v>
      </c>
      <c r="AJ383" s="39"/>
      <c r="AK383" s="15"/>
      <c r="AL383" s="71" t="b">
        <f t="shared" si="248"/>
        <v>1</v>
      </c>
      <c r="AN383" s="65"/>
    </row>
    <row r="384" spans="2:40 16128:16147" ht="13" customHeight="1">
      <c r="B384" s="119"/>
      <c r="C384" s="159">
        <f t="shared" si="240"/>
        <v>2026091</v>
      </c>
      <c r="D384" s="23">
        <v>14</v>
      </c>
      <c r="E384" s="128">
        <v>0</v>
      </c>
      <c r="F384" s="126" t="e">
        <f>VLOOKUP(E384,'Códigos bancos'!$B$4:$C$29,2,0)</f>
        <v>#N/A</v>
      </c>
      <c r="G384" s="36">
        <v>1</v>
      </c>
      <c r="H384" s="126" t="str">
        <f>VLOOKUP(G384,'Códigos bancos'!$F$4:$G$14,2,0)</f>
        <v>Oficinas</v>
      </c>
      <c r="I384" s="130"/>
      <c r="J384" s="174">
        <v>0</v>
      </c>
      <c r="K384" s="174">
        <v>0</v>
      </c>
      <c r="L384" s="174">
        <v>0</v>
      </c>
      <c r="M384" s="174">
        <v>0</v>
      </c>
      <c r="N384" s="174">
        <v>0</v>
      </c>
      <c r="O384" s="174">
        <v>0</v>
      </c>
      <c r="P384" s="174">
        <v>0</v>
      </c>
      <c r="Q384" s="174">
        <v>0</v>
      </c>
      <c r="R384" s="174">
        <v>0</v>
      </c>
      <c r="S384" s="215">
        <v>0</v>
      </c>
      <c r="T384" s="71">
        <f t="shared" si="241"/>
        <v>0</v>
      </c>
      <c r="U384" s="71">
        <f t="shared" si="242"/>
        <v>0</v>
      </c>
      <c r="V384" s="117">
        <v>0</v>
      </c>
      <c r="W384" s="117">
        <v>0</v>
      </c>
      <c r="X384" s="71">
        <f t="shared" si="243"/>
        <v>0</v>
      </c>
      <c r="Y384" s="71">
        <f t="shared" si="244"/>
        <v>0</v>
      </c>
      <c r="AA384" s="65"/>
      <c r="AC384" s="71">
        <f t="shared" si="245"/>
        <v>0</v>
      </c>
      <c r="AD384" s="39"/>
      <c r="AE384" s="7"/>
      <c r="AF384" s="15"/>
      <c r="AG384" s="71" t="b">
        <f t="shared" si="246"/>
        <v>1</v>
      </c>
      <c r="AI384" s="71">
        <f t="shared" si="247"/>
        <v>0</v>
      </c>
      <c r="AJ384" s="39"/>
      <c r="AK384" s="15"/>
      <c r="AL384" s="71" t="b">
        <f t="shared" si="248"/>
        <v>1</v>
      </c>
      <c r="AN384" s="65"/>
    </row>
    <row r="385" spans="2:40" ht="13" customHeight="1">
      <c r="B385" s="119"/>
      <c r="C385" s="159">
        <f t="shared" si="240"/>
        <v>2026091</v>
      </c>
      <c r="D385" s="23">
        <v>14</v>
      </c>
      <c r="E385" s="128">
        <v>0</v>
      </c>
      <c r="F385" s="126" t="e">
        <f>VLOOKUP(E385,'Códigos bancos'!$B$4:$C$29,2,0)</f>
        <v>#N/A</v>
      </c>
      <c r="G385" s="36">
        <v>1</v>
      </c>
      <c r="H385" s="126" t="str">
        <f>VLOOKUP(G385,'Códigos bancos'!$F$4:$G$14,2,0)</f>
        <v>Oficinas</v>
      </c>
      <c r="I385" s="130"/>
      <c r="J385" s="174">
        <v>0</v>
      </c>
      <c r="K385" s="174">
        <v>0</v>
      </c>
      <c r="L385" s="174">
        <v>0</v>
      </c>
      <c r="M385" s="174">
        <v>0</v>
      </c>
      <c r="N385" s="174">
        <v>0</v>
      </c>
      <c r="O385" s="174">
        <v>0</v>
      </c>
      <c r="P385" s="174">
        <v>0</v>
      </c>
      <c r="Q385" s="174">
        <v>0</v>
      </c>
      <c r="R385" s="174">
        <v>0</v>
      </c>
      <c r="S385" s="215">
        <v>0</v>
      </c>
      <c r="T385" s="71">
        <f t="shared" si="241"/>
        <v>0</v>
      </c>
      <c r="U385" s="71">
        <f t="shared" si="242"/>
        <v>0</v>
      </c>
      <c r="V385" s="117">
        <v>0</v>
      </c>
      <c r="W385" s="117">
        <v>0</v>
      </c>
      <c r="X385" s="71">
        <f t="shared" si="243"/>
        <v>0</v>
      </c>
      <c r="Y385" s="71">
        <f t="shared" si="244"/>
        <v>0</v>
      </c>
      <c r="AA385" s="65"/>
      <c r="AC385" s="71">
        <f t="shared" si="245"/>
        <v>0</v>
      </c>
      <c r="AD385" s="39"/>
      <c r="AE385" s="7"/>
      <c r="AF385" s="15"/>
      <c r="AG385" s="71" t="b">
        <f t="shared" si="246"/>
        <v>1</v>
      </c>
      <c r="AI385" s="71">
        <f t="shared" si="247"/>
        <v>0</v>
      </c>
      <c r="AJ385" s="39"/>
      <c r="AK385" s="15"/>
      <c r="AL385" s="71" t="b">
        <f t="shared" si="248"/>
        <v>1</v>
      </c>
      <c r="AN385" s="65"/>
    </row>
    <row r="386" spans="2:40" ht="13" customHeight="1">
      <c r="B386" s="119"/>
      <c r="C386" s="159">
        <f t="shared" si="240"/>
        <v>2026091</v>
      </c>
      <c r="D386" s="23">
        <v>14</v>
      </c>
      <c r="E386" s="128">
        <v>0</v>
      </c>
      <c r="F386" s="126" t="e">
        <f>VLOOKUP(E386,'Códigos bancos'!$B$4:$C$29,2,0)</f>
        <v>#N/A</v>
      </c>
      <c r="G386" s="36">
        <v>1</v>
      </c>
      <c r="H386" s="126" t="str">
        <f>VLOOKUP(G386,'Códigos bancos'!$F$4:$G$14,2,0)</f>
        <v>Oficinas</v>
      </c>
      <c r="I386" s="130"/>
      <c r="J386" s="174">
        <v>0</v>
      </c>
      <c r="K386" s="174">
        <v>0</v>
      </c>
      <c r="L386" s="174">
        <v>0</v>
      </c>
      <c r="M386" s="174">
        <v>0</v>
      </c>
      <c r="N386" s="174">
        <v>0</v>
      </c>
      <c r="O386" s="174">
        <v>0</v>
      </c>
      <c r="P386" s="174">
        <v>0</v>
      </c>
      <c r="Q386" s="174">
        <v>0</v>
      </c>
      <c r="R386" s="174">
        <v>0</v>
      </c>
      <c r="S386" s="215">
        <v>0</v>
      </c>
      <c r="T386" s="71">
        <f t="shared" si="241"/>
        <v>0</v>
      </c>
      <c r="U386" s="71">
        <f t="shared" si="242"/>
        <v>0</v>
      </c>
      <c r="V386" s="117">
        <v>0</v>
      </c>
      <c r="W386" s="117">
        <v>0</v>
      </c>
      <c r="X386" s="71">
        <f t="shared" si="243"/>
        <v>0</v>
      </c>
      <c r="Y386" s="71">
        <f t="shared" si="244"/>
        <v>0</v>
      </c>
      <c r="AA386" s="65"/>
      <c r="AC386" s="71">
        <f t="shared" si="245"/>
        <v>0</v>
      </c>
      <c r="AD386" s="39"/>
      <c r="AE386" s="7"/>
      <c r="AF386" s="15"/>
      <c r="AG386" s="71" t="b">
        <f t="shared" si="246"/>
        <v>1</v>
      </c>
      <c r="AI386" s="71">
        <f t="shared" si="247"/>
        <v>0</v>
      </c>
      <c r="AJ386" s="39"/>
      <c r="AK386" s="15"/>
      <c r="AL386" s="71" t="b">
        <f t="shared" si="248"/>
        <v>1</v>
      </c>
      <c r="AN386" s="65"/>
    </row>
    <row r="387" spans="2:40" ht="13" customHeight="1">
      <c r="B387" s="119"/>
      <c r="C387" s="159">
        <f t="shared" si="240"/>
        <v>2026091</v>
      </c>
      <c r="D387" s="23">
        <v>14</v>
      </c>
      <c r="E387" s="128">
        <v>0</v>
      </c>
      <c r="F387" s="126" t="e">
        <f>VLOOKUP(E387,'Códigos bancos'!$B$4:$C$29,2,0)</f>
        <v>#N/A</v>
      </c>
      <c r="G387" s="36">
        <v>1</v>
      </c>
      <c r="H387" s="126" t="str">
        <f>VLOOKUP(G387,'Códigos bancos'!$F$4:$G$14,2,0)</f>
        <v>Oficinas</v>
      </c>
      <c r="I387" s="130"/>
      <c r="J387" s="174">
        <v>0</v>
      </c>
      <c r="K387" s="174">
        <v>0</v>
      </c>
      <c r="L387" s="174">
        <v>0</v>
      </c>
      <c r="M387" s="174">
        <v>0</v>
      </c>
      <c r="N387" s="174">
        <v>0</v>
      </c>
      <c r="O387" s="174">
        <v>0</v>
      </c>
      <c r="P387" s="174">
        <v>0</v>
      </c>
      <c r="Q387" s="174">
        <v>0</v>
      </c>
      <c r="R387" s="174">
        <v>0</v>
      </c>
      <c r="S387" s="215">
        <v>0</v>
      </c>
      <c r="T387" s="71">
        <f t="shared" si="241"/>
        <v>0</v>
      </c>
      <c r="U387" s="71">
        <f t="shared" si="242"/>
        <v>0</v>
      </c>
      <c r="V387" s="117">
        <v>0</v>
      </c>
      <c r="W387" s="117">
        <v>0</v>
      </c>
      <c r="X387" s="71">
        <f t="shared" si="243"/>
        <v>0</v>
      </c>
      <c r="Y387" s="71">
        <f t="shared" si="244"/>
        <v>0</v>
      </c>
      <c r="AA387" s="65"/>
      <c r="AC387" s="71">
        <f t="shared" si="245"/>
        <v>0</v>
      </c>
      <c r="AD387" s="39"/>
      <c r="AE387" s="7"/>
      <c r="AF387" s="15"/>
      <c r="AG387" s="71" t="b">
        <f t="shared" si="246"/>
        <v>1</v>
      </c>
      <c r="AI387" s="71">
        <f t="shared" si="247"/>
        <v>0</v>
      </c>
      <c r="AJ387" s="39"/>
      <c r="AK387" s="15"/>
      <c r="AL387" s="71" t="b">
        <f t="shared" si="248"/>
        <v>1</v>
      </c>
      <c r="AN387" s="65"/>
    </row>
    <row r="388" spans="2:40" ht="13" customHeight="1">
      <c r="B388" s="119"/>
      <c r="C388" s="159">
        <f t="shared" si="240"/>
        <v>2026091</v>
      </c>
      <c r="D388" s="23">
        <v>14</v>
      </c>
      <c r="E388" s="128">
        <v>0</v>
      </c>
      <c r="F388" s="126" t="e">
        <f>VLOOKUP(E388,'Códigos bancos'!$B$4:$C$29,2,0)</f>
        <v>#N/A</v>
      </c>
      <c r="G388" s="36">
        <v>1</v>
      </c>
      <c r="H388" s="126" t="str">
        <f>VLOOKUP(G388,'Códigos bancos'!$F$4:$G$14,2,0)</f>
        <v>Oficinas</v>
      </c>
      <c r="I388" s="130"/>
      <c r="J388" s="174">
        <v>0</v>
      </c>
      <c r="K388" s="174">
        <v>0</v>
      </c>
      <c r="L388" s="174">
        <v>0</v>
      </c>
      <c r="M388" s="174">
        <v>0</v>
      </c>
      <c r="N388" s="174">
        <v>0</v>
      </c>
      <c r="O388" s="174">
        <v>0</v>
      </c>
      <c r="P388" s="174">
        <v>0</v>
      </c>
      <c r="Q388" s="174">
        <v>0</v>
      </c>
      <c r="R388" s="174">
        <v>0</v>
      </c>
      <c r="S388" s="215">
        <v>0</v>
      </c>
      <c r="T388" s="71">
        <f t="shared" si="241"/>
        <v>0</v>
      </c>
      <c r="U388" s="71">
        <f t="shared" si="242"/>
        <v>0</v>
      </c>
      <c r="V388" s="117">
        <v>0</v>
      </c>
      <c r="W388" s="117">
        <v>0</v>
      </c>
      <c r="X388" s="71">
        <f t="shared" si="243"/>
        <v>0</v>
      </c>
      <c r="Y388" s="71">
        <f t="shared" si="244"/>
        <v>0</v>
      </c>
      <c r="AA388" s="65"/>
      <c r="AC388" s="71">
        <f t="shared" si="245"/>
        <v>0</v>
      </c>
      <c r="AD388" s="39"/>
      <c r="AE388" s="7"/>
      <c r="AF388" s="15"/>
      <c r="AG388" s="71" t="b">
        <f t="shared" si="246"/>
        <v>1</v>
      </c>
      <c r="AI388" s="71">
        <f t="shared" si="247"/>
        <v>0</v>
      </c>
      <c r="AJ388" s="39"/>
      <c r="AK388" s="15"/>
      <c r="AL388" s="71" t="b">
        <f t="shared" si="248"/>
        <v>1</v>
      </c>
      <c r="AN388" s="65"/>
    </row>
    <row r="389" spans="2:40" ht="12" customHeight="1">
      <c r="B389" s="119"/>
      <c r="C389" s="159">
        <f t="shared" si="240"/>
        <v>2026091</v>
      </c>
      <c r="D389" s="23">
        <v>14</v>
      </c>
      <c r="E389" s="128">
        <v>0</v>
      </c>
      <c r="F389" s="126" t="e">
        <f>VLOOKUP(E389,'Códigos bancos'!$B$4:$C$29,2,0)</f>
        <v>#N/A</v>
      </c>
      <c r="G389" s="36">
        <v>1</v>
      </c>
      <c r="H389" s="126" t="str">
        <f>VLOOKUP(G389,'Códigos bancos'!$F$4:$G$14,2,0)</f>
        <v>Oficinas</v>
      </c>
      <c r="I389" s="130"/>
      <c r="J389" s="174">
        <v>0</v>
      </c>
      <c r="K389" s="174">
        <v>0</v>
      </c>
      <c r="L389" s="174">
        <v>0</v>
      </c>
      <c r="M389" s="174">
        <v>0</v>
      </c>
      <c r="N389" s="174">
        <v>0</v>
      </c>
      <c r="O389" s="174">
        <v>0</v>
      </c>
      <c r="P389" s="174">
        <v>0</v>
      </c>
      <c r="Q389" s="174">
        <v>0</v>
      </c>
      <c r="R389" s="174">
        <v>0</v>
      </c>
      <c r="S389" s="215">
        <v>0</v>
      </c>
      <c r="T389" s="71">
        <f t="shared" si="241"/>
        <v>0</v>
      </c>
      <c r="U389" s="71">
        <f t="shared" si="242"/>
        <v>0</v>
      </c>
      <c r="V389" s="117">
        <v>0</v>
      </c>
      <c r="W389" s="117">
        <v>0</v>
      </c>
      <c r="X389" s="71">
        <f t="shared" si="243"/>
        <v>0</v>
      </c>
      <c r="Y389" s="71">
        <f t="shared" si="244"/>
        <v>0</v>
      </c>
      <c r="AA389" s="65"/>
      <c r="AC389" s="71">
        <f t="shared" si="245"/>
        <v>0</v>
      </c>
      <c r="AD389" s="39"/>
      <c r="AE389" s="7"/>
      <c r="AF389" s="15"/>
      <c r="AG389" s="71" t="b">
        <f t="shared" si="246"/>
        <v>1</v>
      </c>
      <c r="AI389" s="71">
        <f t="shared" si="247"/>
        <v>0</v>
      </c>
      <c r="AJ389" s="39"/>
      <c r="AK389" s="15"/>
      <c r="AL389" s="71" t="b">
        <f t="shared" si="248"/>
        <v>1</v>
      </c>
      <c r="AN389" s="65"/>
    </row>
    <row r="390" spans="2:40" ht="13" customHeight="1">
      <c r="B390" s="119"/>
      <c r="C390" s="23">
        <f t="shared" si="240"/>
        <v>2026091</v>
      </c>
      <c r="D390" s="23">
        <v>14</v>
      </c>
      <c r="E390" s="128">
        <v>0</v>
      </c>
      <c r="F390" s="126" t="e">
        <f>VLOOKUP(E390,'Códigos bancos'!$B$4:$C$29,2,0)</f>
        <v>#N/A</v>
      </c>
      <c r="G390" s="36">
        <v>1</v>
      </c>
      <c r="H390" s="126" t="str">
        <f>VLOOKUP(G390,'Códigos bancos'!$F$4:$G$14,2,0)</f>
        <v>Oficinas</v>
      </c>
      <c r="I390" s="130"/>
      <c r="J390" s="174">
        <v>0</v>
      </c>
      <c r="K390" s="174">
        <v>0</v>
      </c>
      <c r="L390" s="174">
        <v>0</v>
      </c>
      <c r="M390" s="174">
        <v>0</v>
      </c>
      <c r="N390" s="174">
        <v>0</v>
      </c>
      <c r="O390" s="174">
        <v>0</v>
      </c>
      <c r="P390" s="174">
        <v>0</v>
      </c>
      <c r="Q390" s="174">
        <v>0</v>
      </c>
      <c r="R390" s="174">
        <v>0</v>
      </c>
      <c r="S390" s="215">
        <v>0</v>
      </c>
      <c r="T390" s="71">
        <f t="shared" si="241"/>
        <v>0</v>
      </c>
      <c r="U390" s="71">
        <f t="shared" si="242"/>
        <v>0</v>
      </c>
      <c r="V390" s="117">
        <v>0</v>
      </c>
      <c r="W390" s="117">
        <v>0</v>
      </c>
      <c r="X390" s="71">
        <f t="shared" si="243"/>
        <v>0</v>
      </c>
      <c r="Y390" s="71">
        <f t="shared" si="244"/>
        <v>0</v>
      </c>
      <c r="AA390" s="65"/>
      <c r="AC390" s="71">
        <f t="shared" si="245"/>
        <v>0</v>
      </c>
      <c r="AD390" s="39"/>
      <c r="AE390" s="7"/>
      <c r="AF390" s="15"/>
      <c r="AG390" s="71" t="b">
        <f t="shared" si="246"/>
        <v>1</v>
      </c>
      <c r="AI390" s="71">
        <f t="shared" si="247"/>
        <v>0</v>
      </c>
      <c r="AJ390" s="39"/>
      <c r="AK390" s="15"/>
      <c r="AL390" s="71" t="b">
        <f t="shared" si="248"/>
        <v>1</v>
      </c>
      <c r="AN390" s="65"/>
    </row>
    <row r="391" spans="2:40" ht="12" customHeight="1">
      <c r="B391" s="119"/>
      <c r="C391" s="159">
        <f t="shared" si="240"/>
        <v>2026091</v>
      </c>
      <c r="D391" s="23">
        <v>14</v>
      </c>
      <c r="E391" s="128">
        <v>0</v>
      </c>
      <c r="F391" s="126" t="e">
        <f>VLOOKUP(E391,'Códigos bancos'!$B$4:$C$29,2,0)</f>
        <v>#N/A</v>
      </c>
      <c r="G391" s="36">
        <v>1</v>
      </c>
      <c r="H391" s="126" t="str">
        <f>VLOOKUP(G391,'Códigos bancos'!$F$4:$G$14,2,0)</f>
        <v>Oficinas</v>
      </c>
      <c r="I391" s="130"/>
      <c r="J391" s="174">
        <v>0</v>
      </c>
      <c r="K391" s="174">
        <v>0</v>
      </c>
      <c r="L391" s="174">
        <v>0</v>
      </c>
      <c r="M391" s="174">
        <v>0</v>
      </c>
      <c r="N391" s="174">
        <v>0</v>
      </c>
      <c r="O391" s="174">
        <v>0</v>
      </c>
      <c r="P391" s="174">
        <v>0</v>
      </c>
      <c r="Q391" s="174">
        <v>0</v>
      </c>
      <c r="R391" s="174">
        <v>0</v>
      </c>
      <c r="S391" s="215">
        <v>0</v>
      </c>
      <c r="T391" s="71">
        <f t="shared" si="241"/>
        <v>0</v>
      </c>
      <c r="U391" s="71">
        <f t="shared" si="242"/>
        <v>0</v>
      </c>
      <c r="V391" s="117">
        <v>0</v>
      </c>
      <c r="W391" s="117">
        <v>0</v>
      </c>
      <c r="X391" s="71">
        <f t="shared" si="243"/>
        <v>0</v>
      </c>
      <c r="Y391" s="71">
        <f t="shared" si="244"/>
        <v>0</v>
      </c>
      <c r="AA391" s="65"/>
      <c r="AC391" s="71">
        <f t="shared" si="245"/>
        <v>0</v>
      </c>
      <c r="AD391" s="39"/>
      <c r="AE391" s="7"/>
      <c r="AF391" s="15"/>
      <c r="AG391" s="71" t="b">
        <f t="shared" si="246"/>
        <v>1</v>
      </c>
      <c r="AI391" s="71">
        <f t="shared" si="247"/>
        <v>0</v>
      </c>
      <c r="AJ391" s="39"/>
      <c r="AK391" s="15"/>
      <c r="AL391" s="71" t="b">
        <f t="shared" si="248"/>
        <v>1</v>
      </c>
      <c r="AN391" s="65"/>
    </row>
    <row r="392" spans="2:40" ht="13" customHeight="1">
      <c r="B392" s="119"/>
      <c r="C392" s="159">
        <f t="shared" si="240"/>
        <v>2026091</v>
      </c>
      <c r="D392" s="23">
        <v>14</v>
      </c>
      <c r="E392" s="128">
        <v>0</v>
      </c>
      <c r="F392" s="126" t="e">
        <f>VLOOKUP(E392,'Códigos bancos'!$B$4:$C$29,2,0)</f>
        <v>#N/A</v>
      </c>
      <c r="G392" s="36">
        <v>1</v>
      </c>
      <c r="H392" s="126" t="str">
        <f>VLOOKUP(G392,'Códigos bancos'!$F$4:$G$14,2,0)</f>
        <v>Oficinas</v>
      </c>
      <c r="I392" s="130"/>
      <c r="J392" s="174">
        <v>0</v>
      </c>
      <c r="K392" s="174">
        <v>0</v>
      </c>
      <c r="L392" s="174">
        <v>0</v>
      </c>
      <c r="M392" s="174">
        <v>0</v>
      </c>
      <c r="N392" s="174">
        <v>0</v>
      </c>
      <c r="O392" s="174">
        <v>0</v>
      </c>
      <c r="P392" s="174">
        <v>0</v>
      </c>
      <c r="Q392" s="174">
        <v>0</v>
      </c>
      <c r="R392" s="174">
        <v>0</v>
      </c>
      <c r="S392" s="215">
        <v>0</v>
      </c>
      <c r="T392" s="71">
        <f t="shared" si="241"/>
        <v>0</v>
      </c>
      <c r="U392" s="71">
        <f t="shared" si="242"/>
        <v>0</v>
      </c>
      <c r="V392" s="117">
        <v>0</v>
      </c>
      <c r="W392" s="117">
        <v>0</v>
      </c>
      <c r="X392" s="71">
        <f t="shared" si="243"/>
        <v>0</v>
      </c>
      <c r="Y392" s="71">
        <f t="shared" si="244"/>
        <v>0</v>
      </c>
      <c r="AA392" s="65"/>
      <c r="AC392" s="71">
        <f t="shared" si="245"/>
        <v>0</v>
      </c>
      <c r="AD392" s="39"/>
      <c r="AE392" s="7"/>
      <c r="AF392" s="15"/>
      <c r="AG392" s="71" t="b">
        <f t="shared" si="246"/>
        <v>1</v>
      </c>
      <c r="AI392" s="71">
        <f t="shared" si="247"/>
        <v>0</v>
      </c>
      <c r="AJ392" s="39"/>
      <c r="AK392" s="15"/>
      <c r="AL392" s="71" t="b">
        <f t="shared" si="248"/>
        <v>1</v>
      </c>
      <c r="AN392" s="65"/>
    </row>
    <row r="393" spans="2:40" ht="13" customHeight="1">
      <c r="B393" s="119"/>
      <c r="C393" s="159">
        <f t="shared" si="240"/>
        <v>2026091</v>
      </c>
      <c r="D393" s="23">
        <v>14</v>
      </c>
      <c r="E393" s="128">
        <v>0</v>
      </c>
      <c r="F393" s="126" t="e">
        <f>VLOOKUP(E393,'Códigos bancos'!$B$4:$C$29,2,0)</f>
        <v>#N/A</v>
      </c>
      <c r="G393" s="36">
        <v>1</v>
      </c>
      <c r="H393" s="126" t="str">
        <f>VLOOKUP(G393,'Códigos bancos'!$F$4:$G$14,2,0)</f>
        <v>Oficinas</v>
      </c>
      <c r="I393" s="130"/>
      <c r="J393" s="174">
        <v>0</v>
      </c>
      <c r="K393" s="174">
        <v>0</v>
      </c>
      <c r="L393" s="174">
        <v>0</v>
      </c>
      <c r="M393" s="174">
        <v>0</v>
      </c>
      <c r="N393" s="174">
        <v>0</v>
      </c>
      <c r="O393" s="174">
        <v>0</v>
      </c>
      <c r="P393" s="174">
        <v>0</v>
      </c>
      <c r="Q393" s="174">
        <v>0</v>
      </c>
      <c r="R393" s="174">
        <v>0</v>
      </c>
      <c r="S393" s="215">
        <v>0</v>
      </c>
      <c r="T393" s="71">
        <f t="shared" si="241"/>
        <v>0</v>
      </c>
      <c r="U393" s="71">
        <f t="shared" si="242"/>
        <v>0</v>
      </c>
      <c r="V393" s="117">
        <v>0</v>
      </c>
      <c r="W393" s="117">
        <v>0</v>
      </c>
      <c r="X393" s="71">
        <f t="shared" si="243"/>
        <v>0</v>
      </c>
      <c r="Y393" s="71">
        <f t="shared" si="244"/>
        <v>0</v>
      </c>
      <c r="AA393" s="65"/>
      <c r="AC393" s="71">
        <f t="shared" si="245"/>
        <v>0</v>
      </c>
      <c r="AD393" s="39"/>
      <c r="AE393" s="7"/>
      <c r="AF393" s="15"/>
      <c r="AG393" s="71" t="b">
        <f t="shared" si="246"/>
        <v>1</v>
      </c>
      <c r="AI393" s="71">
        <f t="shared" si="247"/>
        <v>0</v>
      </c>
      <c r="AJ393" s="39"/>
      <c r="AK393" s="15"/>
      <c r="AL393" s="71" t="b">
        <f t="shared" si="248"/>
        <v>1</v>
      </c>
      <c r="AN393" s="65"/>
    </row>
    <row r="394" spans="2:40" ht="13" customHeight="1">
      <c r="B394" s="119"/>
      <c r="C394" s="159">
        <f t="shared" si="240"/>
        <v>2026091</v>
      </c>
      <c r="D394" s="23">
        <v>14</v>
      </c>
      <c r="E394" s="128">
        <v>0</v>
      </c>
      <c r="F394" s="126" t="e">
        <f>VLOOKUP(E394,'Códigos bancos'!$B$4:$C$29,2,0)</f>
        <v>#N/A</v>
      </c>
      <c r="G394" s="36">
        <v>1</v>
      </c>
      <c r="H394" s="126" t="str">
        <f>VLOOKUP(G394,'Códigos bancos'!$F$4:$G$14,2,0)</f>
        <v>Oficinas</v>
      </c>
      <c r="I394" s="130"/>
      <c r="J394" s="174">
        <v>0</v>
      </c>
      <c r="K394" s="174">
        <v>0</v>
      </c>
      <c r="L394" s="174">
        <v>0</v>
      </c>
      <c r="M394" s="174">
        <v>0</v>
      </c>
      <c r="N394" s="174">
        <v>0</v>
      </c>
      <c r="O394" s="174">
        <v>0</v>
      </c>
      <c r="P394" s="174">
        <v>0</v>
      </c>
      <c r="Q394" s="174">
        <v>0</v>
      </c>
      <c r="R394" s="174">
        <v>0</v>
      </c>
      <c r="S394" s="215">
        <v>0</v>
      </c>
      <c r="T394" s="71">
        <f t="shared" si="241"/>
        <v>0</v>
      </c>
      <c r="U394" s="71">
        <f t="shared" si="242"/>
        <v>0</v>
      </c>
      <c r="V394" s="117">
        <v>0</v>
      </c>
      <c r="W394" s="117">
        <v>0</v>
      </c>
      <c r="X394" s="71">
        <f t="shared" si="243"/>
        <v>0</v>
      </c>
      <c r="Y394" s="71">
        <f t="shared" si="244"/>
        <v>0</v>
      </c>
      <c r="AA394" s="65"/>
      <c r="AC394" s="71">
        <f t="shared" si="245"/>
        <v>0</v>
      </c>
      <c r="AD394" s="39"/>
      <c r="AE394" s="7"/>
      <c r="AF394" s="15"/>
      <c r="AG394" s="71" t="b">
        <f t="shared" si="246"/>
        <v>1</v>
      </c>
      <c r="AI394" s="71">
        <f t="shared" si="247"/>
        <v>0</v>
      </c>
      <c r="AJ394" s="39"/>
      <c r="AK394" s="15"/>
      <c r="AL394" s="71" t="b">
        <f t="shared" si="248"/>
        <v>1</v>
      </c>
      <c r="AN394" s="65"/>
    </row>
    <row r="395" spans="2:40" ht="13" customHeight="1">
      <c r="B395" s="119"/>
      <c r="C395" s="159">
        <f t="shared" si="240"/>
        <v>2026091</v>
      </c>
      <c r="D395" s="23">
        <v>14</v>
      </c>
      <c r="E395" s="128">
        <v>0</v>
      </c>
      <c r="F395" s="126" t="e">
        <f>VLOOKUP(E395,'Códigos bancos'!$B$4:$C$29,2,0)</f>
        <v>#N/A</v>
      </c>
      <c r="G395" s="36">
        <v>1</v>
      </c>
      <c r="H395" s="126" t="str">
        <f>VLOOKUP(G395,'Códigos bancos'!$F$4:$G$14,2,0)</f>
        <v>Oficinas</v>
      </c>
      <c r="I395" s="130"/>
      <c r="J395" s="174">
        <v>0</v>
      </c>
      <c r="K395" s="174">
        <v>0</v>
      </c>
      <c r="L395" s="174">
        <v>0</v>
      </c>
      <c r="M395" s="174">
        <v>0</v>
      </c>
      <c r="N395" s="174">
        <v>0</v>
      </c>
      <c r="O395" s="174">
        <v>0</v>
      </c>
      <c r="P395" s="174">
        <v>0</v>
      </c>
      <c r="Q395" s="174">
        <v>0</v>
      </c>
      <c r="R395" s="174">
        <v>0</v>
      </c>
      <c r="S395" s="215">
        <v>0</v>
      </c>
      <c r="T395" s="71">
        <f t="shared" si="241"/>
        <v>0</v>
      </c>
      <c r="U395" s="71">
        <f t="shared" si="242"/>
        <v>0</v>
      </c>
      <c r="V395" s="117">
        <v>0</v>
      </c>
      <c r="W395" s="117">
        <v>0</v>
      </c>
      <c r="X395" s="71">
        <f t="shared" si="243"/>
        <v>0</v>
      </c>
      <c r="Y395" s="71">
        <f t="shared" si="244"/>
        <v>0</v>
      </c>
      <c r="AA395" s="65"/>
      <c r="AC395" s="71">
        <f t="shared" si="245"/>
        <v>0</v>
      </c>
      <c r="AD395" s="39"/>
      <c r="AE395" s="7"/>
      <c r="AF395" s="15"/>
      <c r="AG395" s="71" t="b">
        <f t="shared" si="246"/>
        <v>1</v>
      </c>
      <c r="AI395" s="71">
        <f t="shared" si="247"/>
        <v>0</v>
      </c>
      <c r="AJ395" s="39"/>
      <c r="AK395" s="15"/>
      <c r="AL395" s="71" t="b">
        <f t="shared" si="248"/>
        <v>1</v>
      </c>
      <c r="AN395" s="65"/>
    </row>
    <row r="396" spans="2:40" ht="13" customHeight="1">
      <c r="B396" s="119"/>
      <c r="C396" s="159">
        <f t="shared" ref="C396" si="249">IF(D396&lt;=15,$C$1,$C$2)</f>
        <v>2026091</v>
      </c>
      <c r="D396" s="23">
        <v>14</v>
      </c>
      <c r="E396" s="128">
        <v>0</v>
      </c>
      <c r="F396" s="126" t="e">
        <f>VLOOKUP(E396,'Códigos bancos'!$B$4:$C$29,2,0)</f>
        <v>#N/A</v>
      </c>
      <c r="G396" s="36">
        <v>1</v>
      </c>
      <c r="H396" s="126" t="str">
        <f>VLOOKUP(G396,'Códigos bancos'!$F$4:$G$14,2,0)</f>
        <v>Oficinas</v>
      </c>
      <c r="I396" s="130"/>
      <c r="J396" s="174">
        <v>0</v>
      </c>
      <c r="K396" s="174">
        <v>0</v>
      </c>
      <c r="L396" s="174">
        <v>0</v>
      </c>
      <c r="M396" s="174">
        <v>0</v>
      </c>
      <c r="N396" s="174">
        <v>0</v>
      </c>
      <c r="O396" s="174">
        <v>0</v>
      </c>
      <c r="P396" s="174">
        <v>0</v>
      </c>
      <c r="Q396" s="174">
        <v>0</v>
      </c>
      <c r="R396" s="174">
        <v>0</v>
      </c>
      <c r="S396" s="215">
        <v>0</v>
      </c>
      <c r="T396" s="71">
        <f t="shared" ref="T396" si="250">J396+L396+N396+P396+R396</f>
        <v>0</v>
      </c>
      <c r="U396" s="71">
        <f t="shared" ref="U396" si="251">K396+M396+O396+Q396+S396</f>
        <v>0</v>
      </c>
      <c r="V396" s="117">
        <v>0</v>
      </c>
      <c r="W396" s="117">
        <v>0</v>
      </c>
      <c r="X396" s="71">
        <f t="shared" ref="X396" si="252">V396-T396</f>
        <v>0</v>
      </c>
      <c r="Y396" s="71">
        <f t="shared" ref="Y396" si="253">W396-U396</f>
        <v>0</v>
      </c>
      <c r="AA396" s="65"/>
      <c r="AC396" s="71">
        <f t="shared" ref="AC396" si="254">X396</f>
        <v>0</v>
      </c>
      <c r="AD396" s="39"/>
      <c r="AE396" s="7"/>
      <c r="AF396" s="15"/>
      <c r="AG396" s="71" t="b">
        <f t="shared" ref="AG396" si="255">AC396=(AD396+AE396+AF396)</f>
        <v>1</v>
      </c>
      <c r="AI396" s="71">
        <f t="shared" ref="AI396" si="256">Y396</f>
        <v>0</v>
      </c>
      <c r="AJ396" s="39"/>
      <c r="AK396" s="15"/>
      <c r="AL396" s="71" t="b">
        <f t="shared" ref="AL396" si="257">AI396=(AJ396+AK396)</f>
        <v>1</v>
      </c>
      <c r="AN396" s="65"/>
    </row>
    <row r="397" spans="2:40" ht="13" customHeight="1">
      <c r="B397" s="119"/>
      <c r="C397" s="159">
        <f t="shared" si="240"/>
        <v>2026091</v>
      </c>
      <c r="D397" s="23">
        <v>14</v>
      </c>
      <c r="E397" s="128">
        <v>0</v>
      </c>
      <c r="F397" s="126" t="e">
        <f>VLOOKUP(E397,'Códigos bancos'!$B$4:$C$29,2,0)</f>
        <v>#N/A</v>
      </c>
      <c r="G397" s="36">
        <v>1</v>
      </c>
      <c r="H397" s="126" t="str">
        <f>VLOOKUP(G397,'Códigos bancos'!$F$4:$G$14,2,0)</f>
        <v>Oficinas</v>
      </c>
      <c r="I397" s="130"/>
      <c r="J397" s="174">
        <v>0</v>
      </c>
      <c r="K397" s="174">
        <v>0</v>
      </c>
      <c r="L397" s="174">
        <v>0</v>
      </c>
      <c r="M397" s="174">
        <v>0</v>
      </c>
      <c r="N397" s="174">
        <v>0</v>
      </c>
      <c r="O397" s="174">
        <v>0</v>
      </c>
      <c r="P397" s="174">
        <v>0</v>
      </c>
      <c r="Q397" s="174">
        <v>0</v>
      </c>
      <c r="R397" s="174">
        <v>0</v>
      </c>
      <c r="S397" s="215">
        <v>0</v>
      </c>
      <c r="T397" s="71">
        <f t="shared" si="241"/>
        <v>0</v>
      </c>
      <c r="U397" s="71">
        <f t="shared" si="242"/>
        <v>0</v>
      </c>
      <c r="V397" s="117">
        <v>0</v>
      </c>
      <c r="W397" s="117">
        <v>0</v>
      </c>
      <c r="X397" s="71">
        <f t="shared" si="243"/>
        <v>0</v>
      </c>
      <c r="Y397" s="71">
        <f t="shared" si="244"/>
        <v>0</v>
      </c>
      <c r="AA397" s="65"/>
      <c r="AC397" s="71">
        <f t="shared" si="245"/>
        <v>0</v>
      </c>
      <c r="AD397" s="39"/>
      <c r="AE397" s="7"/>
      <c r="AF397" s="15"/>
      <c r="AG397" s="71" t="b">
        <f t="shared" si="246"/>
        <v>1</v>
      </c>
      <c r="AI397" s="71">
        <f t="shared" si="247"/>
        <v>0</v>
      </c>
      <c r="AJ397" s="39"/>
      <c r="AK397" s="15"/>
      <c r="AL397" s="71" t="b">
        <f t="shared" si="248"/>
        <v>1</v>
      </c>
      <c r="AN397" s="65"/>
    </row>
    <row r="398" spans="2:40" ht="13" customHeight="1">
      <c r="B398" s="119"/>
      <c r="C398" s="23">
        <f t="shared" si="240"/>
        <v>2026091</v>
      </c>
      <c r="D398" s="23">
        <v>14</v>
      </c>
      <c r="E398" s="128">
        <v>0</v>
      </c>
      <c r="F398" s="126" t="e">
        <f>VLOOKUP(E398,'Códigos bancos'!$B$4:$C$29,2,0)</f>
        <v>#N/A</v>
      </c>
      <c r="G398" s="36">
        <v>1</v>
      </c>
      <c r="H398" s="126" t="str">
        <f>VLOOKUP(G398,'Códigos bancos'!$F$4:$G$14,2,0)</f>
        <v>Oficinas</v>
      </c>
      <c r="I398" s="130"/>
      <c r="J398" s="174">
        <v>0</v>
      </c>
      <c r="K398" s="174">
        <v>0</v>
      </c>
      <c r="L398" s="174">
        <v>0</v>
      </c>
      <c r="M398" s="174">
        <v>0</v>
      </c>
      <c r="N398" s="174">
        <v>0</v>
      </c>
      <c r="O398" s="174">
        <v>0</v>
      </c>
      <c r="P398" s="174">
        <v>0</v>
      </c>
      <c r="Q398" s="174">
        <v>0</v>
      </c>
      <c r="R398" s="174">
        <v>0</v>
      </c>
      <c r="S398" s="215">
        <v>0</v>
      </c>
      <c r="T398" s="71">
        <f t="shared" si="241"/>
        <v>0</v>
      </c>
      <c r="U398" s="71">
        <f t="shared" si="242"/>
        <v>0</v>
      </c>
      <c r="V398" s="117">
        <v>0</v>
      </c>
      <c r="W398" s="117">
        <v>0</v>
      </c>
      <c r="X398" s="71">
        <f t="shared" si="243"/>
        <v>0</v>
      </c>
      <c r="Y398" s="71">
        <f t="shared" si="244"/>
        <v>0</v>
      </c>
      <c r="AA398" s="65"/>
      <c r="AC398" s="71">
        <f t="shared" si="245"/>
        <v>0</v>
      </c>
      <c r="AD398" s="39"/>
      <c r="AE398" s="7"/>
      <c r="AF398" s="15"/>
      <c r="AG398" s="71" t="b">
        <f t="shared" si="246"/>
        <v>1</v>
      </c>
      <c r="AI398" s="71">
        <f t="shared" si="247"/>
        <v>0</v>
      </c>
      <c r="AJ398" s="39"/>
      <c r="AK398" s="15"/>
      <c r="AL398" s="71" t="b">
        <f t="shared" si="248"/>
        <v>1</v>
      </c>
      <c r="AN398" s="65"/>
    </row>
    <row r="399" spans="2:40" ht="13" customHeight="1">
      <c r="B399" s="119"/>
      <c r="C399" s="23">
        <f t="shared" si="240"/>
        <v>2026091</v>
      </c>
      <c r="D399" s="23">
        <v>14</v>
      </c>
      <c r="E399" s="128">
        <v>0</v>
      </c>
      <c r="F399" s="126" t="e">
        <f>VLOOKUP(E399,'Códigos bancos'!$B$4:$C$29,2,0)</f>
        <v>#N/A</v>
      </c>
      <c r="G399" s="36">
        <v>1</v>
      </c>
      <c r="H399" s="126" t="str">
        <f>VLOOKUP(G399,'Códigos bancos'!$F$4:$G$14,2,0)</f>
        <v>Oficinas</v>
      </c>
      <c r="I399" s="130"/>
      <c r="J399" s="174">
        <v>0</v>
      </c>
      <c r="K399" s="174">
        <v>0</v>
      </c>
      <c r="L399" s="174">
        <v>0</v>
      </c>
      <c r="M399" s="174">
        <v>0</v>
      </c>
      <c r="N399" s="174">
        <v>0</v>
      </c>
      <c r="O399" s="174">
        <v>0</v>
      </c>
      <c r="P399" s="174">
        <v>0</v>
      </c>
      <c r="Q399" s="174">
        <v>0</v>
      </c>
      <c r="R399" s="174">
        <v>0</v>
      </c>
      <c r="S399" s="215">
        <v>0</v>
      </c>
      <c r="T399" s="71">
        <f t="shared" si="241"/>
        <v>0</v>
      </c>
      <c r="U399" s="71">
        <f t="shared" si="242"/>
        <v>0</v>
      </c>
      <c r="V399" s="117">
        <v>0</v>
      </c>
      <c r="W399" s="117">
        <v>0</v>
      </c>
      <c r="X399" s="71">
        <f t="shared" si="243"/>
        <v>0</v>
      </c>
      <c r="Y399" s="71">
        <f t="shared" si="244"/>
        <v>0</v>
      </c>
      <c r="AA399" s="65"/>
      <c r="AC399" s="71">
        <f t="shared" si="245"/>
        <v>0</v>
      </c>
      <c r="AD399" s="39"/>
      <c r="AE399" s="7"/>
      <c r="AF399" s="15"/>
      <c r="AG399" s="71" t="b">
        <f t="shared" si="246"/>
        <v>1</v>
      </c>
      <c r="AI399" s="71"/>
      <c r="AJ399" s="39"/>
      <c r="AK399" s="15"/>
      <c r="AL399" s="71" t="b">
        <f t="shared" si="248"/>
        <v>1</v>
      </c>
      <c r="AN399" s="65"/>
    </row>
    <row r="400" spans="2:40" ht="13" customHeight="1">
      <c r="B400" s="119"/>
      <c r="C400" s="23">
        <f t="shared" si="240"/>
        <v>2026091</v>
      </c>
      <c r="D400" s="23">
        <v>14</v>
      </c>
      <c r="E400" s="128">
        <v>0</v>
      </c>
      <c r="F400" s="126" t="e">
        <f>VLOOKUP(E400,'Códigos bancos'!$B$4:$C$29,2,0)</f>
        <v>#N/A</v>
      </c>
      <c r="G400" s="36">
        <v>1</v>
      </c>
      <c r="H400" s="126" t="str">
        <f>VLOOKUP(G400,'Códigos bancos'!$F$4:$G$14,2,0)</f>
        <v>Oficinas</v>
      </c>
      <c r="I400" s="130"/>
      <c r="J400" s="174">
        <v>0</v>
      </c>
      <c r="K400" s="174">
        <v>0</v>
      </c>
      <c r="L400" s="174">
        <v>0</v>
      </c>
      <c r="M400" s="174">
        <v>0</v>
      </c>
      <c r="N400" s="174">
        <v>0</v>
      </c>
      <c r="O400" s="174">
        <v>0</v>
      </c>
      <c r="P400" s="174">
        <v>0</v>
      </c>
      <c r="Q400" s="174">
        <v>0</v>
      </c>
      <c r="R400" s="174">
        <v>0</v>
      </c>
      <c r="S400" s="215">
        <v>0</v>
      </c>
      <c r="T400" s="71">
        <f t="shared" si="241"/>
        <v>0</v>
      </c>
      <c r="U400" s="71">
        <f t="shared" si="242"/>
        <v>0</v>
      </c>
      <c r="V400" s="117">
        <v>0</v>
      </c>
      <c r="W400" s="117">
        <v>0</v>
      </c>
      <c r="X400" s="71">
        <f t="shared" si="243"/>
        <v>0</v>
      </c>
      <c r="Y400" s="71">
        <f t="shared" si="244"/>
        <v>0</v>
      </c>
      <c r="AA400" s="65"/>
      <c r="AC400" s="71">
        <f t="shared" si="245"/>
        <v>0</v>
      </c>
      <c r="AD400" s="39"/>
      <c r="AE400" s="7"/>
      <c r="AF400" s="15"/>
      <c r="AG400" s="71" t="b">
        <f t="shared" si="246"/>
        <v>1</v>
      </c>
      <c r="AI400" s="71">
        <f>Y400</f>
        <v>0</v>
      </c>
      <c r="AJ400" s="39"/>
      <c r="AK400" s="15"/>
      <c r="AL400" s="71" t="b">
        <f t="shared" si="248"/>
        <v>1</v>
      </c>
      <c r="AN400" s="65"/>
    </row>
    <row r="401" spans="2:40 16128:16147" ht="13" customHeight="1" thickBot="1">
      <c r="B401" s="119"/>
      <c r="C401" s="159">
        <f t="shared" si="240"/>
        <v>2026091</v>
      </c>
      <c r="D401" s="23">
        <v>14</v>
      </c>
      <c r="E401" s="128">
        <v>0</v>
      </c>
      <c r="F401" s="126" t="e">
        <f>VLOOKUP(E401,'Códigos bancos'!$B$4:$C$29,2,0)</f>
        <v>#N/A</v>
      </c>
      <c r="G401" s="36">
        <v>1</v>
      </c>
      <c r="H401" s="126" t="str">
        <f>VLOOKUP(G401,'Códigos bancos'!$F$4:$G$14,2,0)</f>
        <v>Oficinas</v>
      </c>
      <c r="I401" s="130"/>
      <c r="J401" s="174">
        <v>0</v>
      </c>
      <c r="K401" s="174">
        <v>0</v>
      </c>
      <c r="L401" s="174">
        <v>0</v>
      </c>
      <c r="M401" s="174">
        <v>0</v>
      </c>
      <c r="N401" s="174">
        <v>0</v>
      </c>
      <c r="O401" s="174">
        <v>0</v>
      </c>
      <c r="P401" s="174">
        <v>0</v>
      </c>
      <c r="Q401" s="174">
        <v>0</v>
      </c>
      <c r="R401" s="174">
        <v>0</v>
      </c>
      <c r="S401" s="215">
        <v>0</v>
      </c>
      <c r="T401" s="71">
        <f t="shared" si="241"/>
        <v>0</v>
      </c>
      <c r="U401" s="71">
        <f t="shared" si="242"/>
        <v>0</v>
      </c>
      <c r="V401" s="117">
        <v>0</v>
      </c>
      <c r="W401" s="117">
        <v>0</v>
      </c>
      <c r="X401" s="71">
        <f t="shared" si="243"/>
        <v>0</v>
      </c>
      <c r="Y401" s="71">
        <f t="shared" si="244"/>
        <v>0</v>
      </c>
      <c r="AA401" s="65"/>
      <c r="AC401" s="71">
        <f t="shared" si="245"/>
        <v>0</v>
      </c>
      <c r="AD401" s="39"/>
      <c r="AE401" s="7"/>
      <c r="AF401" s="15"/>
      <c r="AG401" s="71" t="b">
        <f t="shared" si="246"/>
        <v>1</v>
      </c>
      <c r="AI401" s="71">
        <f t="shared" si="247"/>
        <v>0</v>
      </c>
      <c r="AJ401" s="39"/>
      <c r="AK401" s="15"/>
      <c r="AL401" s="71" t="b">
        <f t="shared" si="248"/>
        <v>1</v>
      </c>
      <c r="AN401" s="65"/>
    </row>
    <row r="402" spans="2:40 16128:16147" ht="13" customHeight="1" thickBot="1">
      <c r="E402" s="120" t="s">
        <v>0</v>
      </c>
      <c r="F402" s="121" t="s">
        <v>53</v>
      </c>
      <c r="G402" s="121"/>
      <c r="H402" s="121"/>
      <c r="I402" s="121"/>
      <c r="J402" s="122">
        <f t="shared" ref="J402:Y402" si="258">SUM(J377:J401)</f>
        <v>0</v>
      </c>
      <c r="K402" s="122">
        <f t="shared" si="258"/>
        <v>0</v>
      </c>
      <c r="L402" s="122">
        <f t="shared" si="258"/>
        <v>0</v>
      </c>
      <c r="M402" s="122">
        <f t="shared" si="258"/>
        <v>0</v>
      </c>
      <c r="N402" s="122">
        <f t="shared" si="258"/>
        <v>0</v>
      </c>
      <c r="O402" s="122">
        <f t="shared" si="258"/>
        <v>0</v>
      </c>
      <c r="P402" s="122">
        <f t="shared" si="258"/>
        <v>0</v>
      </c>
      <c r="Q402" s="122">
        <f t="shared" si="258"/>
        <v>0</v>
      </c>
      <c r="R402" s="122">
        <f t="shared" si="258"/>
        <v>177</v>
      </c>
      <c r="S402" s="122">
        <f t="shared" si="258"/>
        <v>8269972</v>
      </c>
      <c r="T402" s="122">
        <f t="shared" si="258"/>
        <v>177</v>
      </c>
      <c r="U402" s="122">
        <f t="shared" si="258"/>
        <v>8269972</v>
      </c>
      <c r="V402" s="123">
        <f t="shared" si="258"/>
        <v>177</v>
      </c>
      <c r="W402" s="123">
        <f t="shared" si="258"/>
        <v>8269972</v>
      </c>
      <c r="X402" s="122">
        <f t="shared" si="258"/>
        <v>0</v>
      </c>
      <c r="Y402" s="123">
        <f t="shared" si="258"/>
        <v>0</v>
      </c>
      <c r="AA402" s="65"/>
      <c r="AC402" s="122">
        <f>SUM(AC377:AC401)</f>
        <v>0</v>
      </c>
      <c r="AD402" s="122">
        <f>SUM(AD377:AD401)</f>
        <v>0</v>
      </c>
      <c r="AE402" s="122">
        <f>SUM(AE377:AE401)</f>
        <v>0</v>
      </c>
      <c r="AF402" s="123">
        <f>SUM(AF377:AF401)</f>
        <v>0</v>
      </c>
      <c r="AG402" s="100"/>
      <c r="AI402" s="122">
        <f>SUM(AI377:AI401)</f>
        <v>0</v>
      </c>
      <c r="AJ402" s="122">
        <f>SUM(AJ377:AJ401)</f>
        <v>0</v>
      </c>
      <c r="AK402" s="123">
        <f>SUM(AK377:AK401)</f>
        <v>0</v>
      </c>
      <c r="AL402" s="100"/>
      <c r="AN402" s="65"/>
    </row>
    <row r="403" spans="2:40 16128:16147" ht="13" thickBot="1">
      <c r="AA403" s="65"/>
      <c r="AN403" s="65"/>
    </row>
    <row r="404" spans="2:40 16128:16147" ht="41.25" customHeight="1" thickBot="1">
      <c r="B404" s="112" t="s">
        <v>4</v>
      </c>
      <c r="C404" s="34" t="s">
        <v>6</v>
      </c>
      <c r="D404" s="34" t="s">
        <v>7</v>
      </c>
      <c r="E404" s="34" t="s">
        <v>49</v>
      </c>
      <c r="F404" s="34" t="s">
        <v>50</v>
      </c>
      <c r="G404" s="34" t="s">
        <v>51</v>
      </c>
      <c r="H404" s="34" t="s">
        <v>52</v>
      </c>
      <c r="I404" s="34" t="s">
        <v>13</v>
      </c>
      <c r="J404" s="12" t="s">
        <v>8</v>
      </c>
      <c r="K404" s="12" t="s">
        <v>36</v>
      </c>
      <c r="L404" s="12" t="s">
        <v>9</v>
      </c>
      <c r="M404" s="12" t="s">
        <v>37</v>
      </c>
      <c r="N404" s="87" t="s">
        <v>10</v>
      </c>
      <c r="O404" s="88" t="s">
        <v>38</v>
      </c>
      <c r="P404" s="87" t="s">
        <v>11</v>
      </c>
      <c r="Q404" s="88" t="s">
        <v>39</v>
      </c>
      <c r="R404" s="87" t="s">
        <v>12</v>
      </c>
      <c r="S404" s="88" t="s">
        <v>40</v>
      </c>
      <c r="T404" s="64" t="s">
        <v>41</v>
      </c>
      <c r="U404" s="64" t="s">
        <v>42</v>
      </c>
      <c r="V404" s="35" t="s">
        <v>32</v>
      </c>
      <c r="W404" s="67" t="s">
        <v>35</v>
      </c>
      <c r="X404" s="12" t="s">
        <v>34</v>
      </c>
      <c r="Y404" s="68" t="s">
        <v>33</v>
      </c>
      <c r="AA404" s="66"/>
      <c r="AC404" s="12" t="s">
        <v>34</v>
      </c>
      <c r="AD404" s="12" t="s">
        <v>45</v>
      </c>
      <c r="AE404" s="12" t="s">
        <v>43</v>
      </c>
      <c r="AF404" s="12" t="s">
        <v>44</v>
      </c>
      <c r="AG404" s="12" t="s">
        <v>46</v>
      </c>
      <c r="AI404" s="12" t="s">
        <v>33</v>
      </c>
      <c r="AJ404" s="12" t="s">
        <v>47</v>
      </c>
      <c r="AK404" s="12" t="s">
        <v>48</v>
      </c>
      <c r="AL404" s="12" t="s">
        <v>46</v>
      </c>
      <c r="AN404" s="66"/>
      <c r="WVH404" s="1"/>
      <c r="WVI404" s="1"/>
      <c r="WVZ404"/>
      <c r="WWA404"/>
    </row>
    <row r="405" spans="2:40 16128:16147" ht="13" customHeight="1">
      <c r="B405" s="119" t="s">
        <v>78</v>
      </c>
      <c r="C405" s="158">
        <f>IF(D405&lt;=15,$C$1,$C$2)</f>
        <v>2026091</v>
      </c>
      <c r="D405" s="24">
        <v>15</v>
      </c>
      <c r="E405" s="127">
        <v>20</v>
      </c>
      <c r="F405" s="125" t="str">
        <f>VLOOKUP(E405,'Códigos bancos'!$B$4:$C$29,2,0)</f>
        <v>Bancolombia ENERBIT</v>
      </c>
      <c r="G405" s="18">
        <v>1</v>
      </c>
      <c r="H405" s="125" t="str">
        <f>VLOOKUP(G405,'Códigos bancos'!$F$4:$G$14,2,0)</f>
        <v>Oficinas</v>
      </c>
      <c r="I405" s="129"/>
      <c r="J405" s="213">
        <v>0</v>
      </c>
      <c r="K405" s="213">
        <v>0</v>
      </c>
      <c r="L405" s="213">
        <v>0</v>
      </c>
      <c r="M405" s="213">
        <v>0</v>
      </c>
      <c r="N405" s="213">
        <v>0</v>
      </c>
      <c r="O405" s="213">
        <v>0</v>
      </c>
      <c r="P405" s="213">
        <v>0</v>
      </c>
      <c r="Q405" s="213">
        <v>0</v>
      </c>
      <c r="R405" s="213">
        <v>143</v>
      </c>
      <c r="S405" s="214">
        <v>6669370</v>
      </c>
      <c r="T405" s="70">
        <f>J405+L405+N405+P405+R405</f>
        <v>143</v>
      </c>
      <c r="U405" s="70">
        <f>K405+M405+O405+Q405+S405</f>
        <v>6669370</v>
      </c>
      <c r="V405" s="116">
        <v>143</v>
      </c>
      <c r="W405" s="116">
        <v>6669370</v>
      </c>
      <c r="X405" s="70">
        <f>V405-T405</f>
        <v>0</v>
      </c>
      <c r="Y405" s="70">
        <f>W405-U405</f>
        <v>0</v>
      </c>
      <c r="AA405" s="65"/>
      <c r="AC405" s="124">
        <f>X405</f>
        <v>0</v>
      </c>
      <c r="AD405" s="115"/>
      <c r="AE405" s="16"/>
      <c r="AF405" s="114"/>
      <c r="AG405" s="124" t="b">
        <f>AC405=(AD405+AE405+AF405)</f>
        <v>1</v>
      </c>
      <c r="AI405" s="70">
        <f>Y405</f>
        <v>0</v>
      </c>
      <c r="AJ405" s="115"/>
      <c r="AK405" s="114"/>
      <c r="AL405" s="70" t="b">
        <f>AI405=(AJ405+AK405)</f>
        <v>1</v>
      </c>
      <c r="AN405" s="65"/>
    </row>
    <row r="406" spans="2:40 16128:16147" ht="13" customHeight="1">
      <c r="B406" s="119"/>
      <c r="C406" s="159">
        <f t="shared" ref="C406:C429" si="259">IF(D406&lt;=15,$C$1,$C$2)</f>
        <v>2026091</v>
      </c>
      <c r="D406" s="23">
        <v>15</v>
      </c>
      <c r="E406" s="128">
        <v>0</v>
      </c>
      <c r="F406" s="126" t="e">
        <f>VLOOKUP(E406,'Códigos bancos'!$B$4:$C$29,2,0)</f>
        <v>#N/A</v>
      </c>
      <c r="G406" s="36">
        <v>1</v>
      </c>
      <c r="H406" s="126" t="str">
        <f>VLOOKUP(G406,'Códigos bancos'!$F$4:$G$14,2,0)</f>
        <v>Oficinas</v>
      </c>
      <c r="I406" s="130"/>
      <c r="J406" s="174">
        <v>0</v>
      </c>
      <c r="K406" s="174">
        <v>0</v>
      </c>
      <c r="L406" s="174">
        <v>0</v>
      </c>
      <c r="M406" s="174">
        <v>0</v>
      </c>
      <c r="N406" s="174">
        <v>0</v>
      </c>
      <c r="O406" s="174">
        <v>0</v>
      </c>
      <c r="P406" s="174">
        <v>0</v>
      </c>
      <c r="Q406" s="174">
        <v>0</v>
      </c>
      <c r="R406" s="174">
        <v>0</v>
      </c>
      <c r="S406" s="215">
        <v>0</v>
      </c>
      <c r="T406" s="71">
        <f t="shared" ref="T406:T429" si="260">J406+L406+N406+P406+R406</f>
        <v>0</v>
      </c>
      <c r="U406" s="71">
        <f t="shared" ref="U406:U429" si="261">K406+M406+O406+Q406+S406</f>
        <v>0</v>
      </c>
      <c r="V406" s="117">
        <v>0</v>
      </c>
      <c r="W406" s="117">
        <v>0</v>
      </c>
      <c r="X406" s="71">
        <f t="shared" ref="X406:X429" si="262">V406-T406</f>
        <v>0</v>
      </c>
      <c r="Y406" s="71">
        <f t="shared" ref="Y406:Y429" si="263">W406-U406</f>
        <v>0</v>
      </c>
      <c r="AA406" s="65"/>
      <c r="AC406" s="71">
        <f t="shared" ref="AC406:AC429" si="264">X406</f>
        <v>0</v>
      </c>
      <c r="AD406" s="39"/>
      <c r="AE406" s="7"/>
      <c r="AF406" s="15"/>
      <c r="AG406" s="71" t="b">
        <f t="shared" ref="AG406:AG429" si="265">AC406=(AD406+AE406+AF406)</f>
        <v>1</v>
      </c>
      <c r="AI406" s="71">
        <f t="shared" ref="AI406:AI429" si="266">Y406</f>
        <v>0</v>
      </c>
      <c r="AJ406" s="39"/>
      <c r="AK406" s="15"/>
      <c r="AL406" s="71" t="b">
        <f t="shared" ref="AL406:AL429" si="267">AI406=(AJ406+AK406)</f>
        <v>1</v>
      </c>
      <c r="AN406" s="65"/>
    </row>
    <row r="407" spans="2:40 16128:16147" ht="13" customHeight="1">
      <c r="B407" s="119"/>
      <c r="C407" s="159">
        <f t="shared" si="259"/>
        <v>2026091</v>
      </c>
      <c r="D407" s="23">
        <v>15</v>
      </c>
      <c r="E407" s="128">
        <v>0</v>
      </c>
      <c r="F407" s="126" t="e">
        <f>VLOOKUP(E407,'Códigos bancos'!$B$4:$C$29,2,0)</f>
        <v>#N/A</v>
      </c>
      <c r="G407" s="36">
        <v>1</v>
      </c>
      <c r="H407" s="126" t="str">
        <f>VLOOKUP(G407,'Códigos bancos'!$F$4:$G$14,2,0)</f>
        <v>Oficinas</v>
      </c>
      <c r="I407" s="130"/>
      <c r="J407" s="174">
        <v>0</v>
      </c>
      <c r="K407" s="174">
        <v>0</v>
      </c>
      <c r="L407" s="174">
        <v>0</v>
      </c>
      <c r="M407" s="174">
        <v>0</v>
      </c>
      <c r="N407" s="174">
        <v>0</v>
      </c>
      <c r="O407" s="174">
        <v>0</v>
      </c>
      <c r="P407" s="174">
        <v>0</v>
      </c>
      <c r="Q407" s="174">
        <v>0</v>
      </c>
      <c r="R407" s="174">
        <v>0</v>
      </c>
      <c r="S407" s="215">
        <v>0</v>
      </c>
      <c r="T407" s="71">
        <f t="shared" si="260"/>
        <v>0</v>
      </c>
      <c r="U407" s="71">
        <f t="shared" si="261"/>
        <v>0</v>
      </c>
      <c r="V407" s="117">
        <v>0</v>
      </c>
      <c r="W407" s="117">
        <v>0</v>
      </c>
      <c r="X407" s="71">
        <f t="shared" si="262"/>
        <v>0</v>
      </c>
      <c r="Y407" s="71">
        <f t="shared" si="263"/>
        <v>0</v>
      </c>
      <c r="AA407" s="65"/>
      <c r="AC407" s="71">
        <f t="shared" si="264"/>
        <v>0</v>
      </c>
      <c r="AD407" s="45"/>
      <c r="AE407" s="14"/>
      <c r="AF407" s="46"/>
      <c r="AG407" s="71" t="b">
        <f t="shared" si="265"/>
        <v>1</v>
      </c>
      <c r="AI407" s="71">
        <f t="shared" si="266"/>
        <v>0</v>
      </c>
      <c r="AJ407" s="45"/>
      <c r="AK407" s="46"/>
      <c r="AL407" s="71" t="b">
        <f t="shared" si="267"/>
        <v>1</v>
      </c>
      <c r="AN407" s="65"/>
    </row>
    <row r="408" spans="2:40 16128:16147" ht="13" customHeight="1">
      <c r="B408" s="119"/>
      <c r="C408" s="159">
        <f t="shared" si="259"/>
        <v>2026091</v>
      </c>
      <c r="D408" s="23">
        <v>15</v>
      </c>
      <c r="E408" s="128">
        <v>0</v>
      </c>
      <c r="F408" s="126" t="e">
        <f>VLOOKUP(E408,'Códigos bancos'!$B$4:$C$29,2,0)</f>
        <v>#N/A</v>
      </c>
      <c r="G408" s="36">
        <v>1</v>
      </c>
      <c r="H408" s="126" t="str">
        <f>VLOOKUP(G408,'Códigos bancos'!$F$4:$G$14,2,0)</f>
        <v>Oficinas</v>
      </c>
      <c r="I408" s="130"/>
      <c r="J408" s="174">
        <v>0</v>
      </c>
      <c r="K408" s="174">
        <v>0</v>
      </c>
      <c r="L408" s="174">
        <v>0</v>
      </c>
      <c r="M408" s="174">
        <v>0</v>
      </c>
      <c r="N408" s="174">
        <v>0</v>
      </c>
      <c r="O408" s="174">
        <v>0</v>
      </c>
      <c r="P408" s="174">
        <v>0</v>
      </c>
      <c r="Q408" s="174">
        <v>0</v>
      </c>
      <c r="R408" s="174">
        <v>0</v>
      </c>
      <c r="S408" s="215">
        <v>0</v>
      </c>
      <c r="T408" s="71">
        <f t="shared" si="260"/>
        <v>0</v>
      </c>
      <c r="U408" s="71">
        <f t="shared" si="261"/>
        <v>0</v>
      </c>
      <c r="V408" s="117">
        <v>0</v>
      </c>
      <c r="W408" s="117">
        <v>0</v>
      </c>
      <c r="X408" s="71">
        <f t="shared" si="262"/>
        <v>0</v>
      </c>
      <c r="Y408" s="71">
        <f t="shared" si="263"/>
        <v>0</v>
      </c>
      <c r="AA408" s="65"/>
      <c r="AC408" s="71">
        <f t="shared" si="264"/>
        <v>0</v>
      </c>
      <c r="AD408" s="39"/>
      <c r="AE408" s="7"/>
      <c r="AF408" s="15"/>
      <c r="AG408" s="71" t="b">
        <f t="shared" si="265"/>
        <v>1</v>
      </c>
      <c r="AI408" s="71">
        <f t="shared" si="266"/>
        <v>0</v>
      </c>
      <c r="AJ408" s="39"/>
      <c r="AK408" s="15"/>
      <c r="AL408" s="71" t="b">
        <f t="shared" si="267"/>
        <v>1</v>
      </c>
      <c r="AN408" s="65"/>
    </row>
    <row r="409" spans="2:40 16128:16147" ht="13" customHeight="1">
      <c r="B409" s="119"/>
      <c r="C409" s="159">
        <f t="shared" si="259"/>
        <v>2026091</v>
      </c>
      <c r="D409" s="23">
        <v>15</v>
      </c>
      <c r="E409" s="128">
        <v>0</v>
      </c>
      <c r="F409" s="126" t="e">
        <f>VLOOKUP(E409,'Códigos bancos'!$B$4:$C$29,2,0)</f>
        <v>#N/A</v>
      </c>
      <c r="G409" s="36">
        <v>1</v>
      </c>
      <c r="H409" s="126" t="str">
        <f>VLOOKUP(G409,'Códigos bancos'!$F$4:$G$14,2,0)</f>
        <v>Oficinas</v>
      </c>
      <c r="I409" s="130"/>
      <c r="J409" s="174">
        <v>0</v>
      </c>
      <c r="K409" s="174">
        <v>0</v>
      </c>
      <c r="L409" s="174">
        <v>0</v>
      </c>
      <c r="M409" s="174">
        <v>0</v>
      </c>
      <c r="N409" s="174">
        <v>0</v>
      </c>
      <c r="O409" s="174">
        <v>0</v>
      </c>
      <c r="P409" s="174">
        <v>0</v>
      </c>
      <c r="Q409" s="174">
        <v>0</v>
      </c>
      <c r="R409" s="174">
        <v>0</v>
      </c>
      <c r="S409" s="215">
        <v>0</v>
      </c>
      <c r="T409" s="71">
        <f t="shared" si="260"/>
        <v>0</v>
      </c>
      <c r="U409" s="71">
        <f t="shared" si="261"/>
        <v>0</v>
      </c>
      <c r="V409" s="117">
        <v>0</v>
      </c>
      <c r="W409" s="117">
        <v>0</v>
      </c>
      <c r="X409" s="71">
        <f t="shared" si="262"/>
        <v>0</v>
      </c>
      <c r="Y409" s="71">
        <f t="shared" si="263"/>
        <v>0</v>
      </c>
      <c r="AA409" s="65"/>
      <c r="AC409" s="71">
        <f t="shared" si="264"/>
        <v>0</v>
      </c>
      <c r="AD409" s="39"/>
      <c r="AE409" s="7"/>
      <c r="AF409" s="15"/>
      <c r="AG409" s="71" t="b">
        <f t="shared" si="265"/>
        <v>1</v>
      </c>
      <c r="AI409" s="71">
        <f t="shared" si="266"/>
        <v>0</v>
      </c>
      <c r="AJ409" s="39"/>
      <c r="AK409" s="15"/>
      <c r="AL409" s="71" t="b">
        <f t="shared" si="267"/>
        <v>1</v>
      </c>
      <c r="AN409" s="65"/>
    </row>
    <row r="410" spans="2:40 16128:16147" ht="13" customHeight="1">
      <c r="B410" s="119"/>
      <c r="C410" s="159">
        <f t="shared" si="259"/>
        <v>2026091</v>
      </c>
      <c r="D410" s="23">
        <v>15</v>
      </c>
      <c r="E410" s="128">
        <v>0</v>
      </c>
      <c r="F410" s="126" t="e">
        <f>VLOOKUP(E410,'Códigos bancos'!$B$4:$C$29,2,0)</f>
        <v>#N/A</v>
      </c>
      <c r="G410" s="36">
        <v>1</v>
      </c>
      <c r="H410" s="126" t="str">
        <f>VLOOKUP(G410,'Códigos bancos'!$F$4:$G$14,2,0)</f>
        <v>Oficinas</v>
      </c>
      <c r="I410" s="130"/>
      <c r="J410" s="174">
        <v>0</v>
      </c>
      <c r="K410" s="174">
        <v>0</v>
      </c>
      <c r="L410" s="174">
        <v>0</v>
      </c>
      <c r="M410" s="174">
        <v>0</v>
      </c>
      <c r="N410" s="174">
        <v>0</v>
      </c>
      <c r="O410" s="174">
        <v>0</v>
      </c>
      <c r="P410" s="174">
        <v>0</v>
      </c>
      <c r="Q410" s="174">
        <v>0</v>
      </c>
      <c r="R410" s="174">
        <v>0</v>
      </c>
      <c r="S410" s="215">
        <v>0</v>
      </c>
      <c r="T410" s="71">
        <f t="shared" si="260"/>
        <v>0</v>
      </c>
      <c r="U410" s="71">
        <f t="shared" si="261"/>
        <v>0</v>
      </c>
      <c r="V410" s="117">
        <v>0</v>
      </c>
      <c r="W410" s="117">
        <v>0</v>
      </c>
      <c r="X410" s="71">
        <f t="shared" si="262"/>
        <v>0</v>
      </c>
      <c r="Y410" s="71">
        <f t="shared" si="263"/>
        <v>0</v>
      </c>
      <c r="AA410" s="65"/>
      <c r="AC410" s="71">
        <f t="shared" si="264"/>
        <v>0</v>
      </c>
      <c r="AD410" s="39"/>
      <c r="AE410" s="7"/>
      <c r="AF410" s="15"/>
      <c r="AG410" s="71" t="b">
        <f t="shared" si="265"/>
        <v>1</v>
      </c>
      <c r="AI410" s="71">
        <f t="shared" si="266"/>
        <v>0</v>
      </c>
      <c r="AJ410" s="39"/>
      <c r="AK410" s="15"/>
      <c r="AL410" s="71" t="b">
        <f t="shared" si="267"/>
        <v>1</v>
      </c>
      <c r="AN410" s="65"/>
    </row>
    <row r="411" spans="2:40 16128:16147" ht="13" customHeight="1">
      <c r="B411" s="119"/>
      <c r="C411" s="159">
        <f t="shared" si="259"/>
        <v>2026091</v>
      </c>
      <c r="D411" s="23">
        <v>15</v>
      </c>
      <c r="E411" s="128">
        <v>0</v>
      </c>
      <c r="F411" s="126" t="e">
        <f>VLOOKUP(E411,'Códigos bancos'!$B$4:$C$29,2,0)</f>
        <v>#N/A</v>
      </c>
      <c r="G411" s="36">
        <v>1</v>
      </c>
      <c r="H411" s="126" t="str">
        <f>VLOOKUP(G411,'Códigos bancos'!$F$4:$G$14,2,0)</f>
        <v>Oficinas</v>
      </c>
      <c r="I411" s="130"/>
      <c r="J411" s="174">
        <v>0</v>
      </c>
      <c r="K411" s="174">
        <v>0</v>
      </c>
      <c r="L411" s="174">
        <v>0</v>
      </c>
      <c r="M411" s="174">
        <v>0</v>
      </c>
      <c r="N411" s="174">
        <v>0</v>
      </c>
      <c r="O411" s="174">
        <v>0</v>
      </c>
      <c r="P411" s="174">
        <v>0</v>
      </c>
      <c r="Q411" s="174">
        <v>0</v>
      </c>
      <c r="R411" s="174">
        <v>0</v>
      </c>
      <c r="S411" s="215">
        <v>0</v>
      </c>
      <c r="T411" s="71">
        <f t="shared" si="260"/>
        <v>0</v>
      </c>
      <c r="U411" s="71">
        <f t="shared" si="261"/>
        <v>0</v>
      </c>
      <c r="V411" s="117">
        <v>0</v>
      </c>
      <c r="W411" s="117">
        <v>0</v>
      </c>
      <c r="X411" s="71">
        <f t="shared" si="262"/>
        <v>0</v>
      </c>
      <c r="Y411" s="71">
        <f t="shared" si="263"/>
        <v>0</v>
      </c>
      <c r="AA411" s="65"/>
      <c r="AC411" s="71">
        <f t="shared" si="264"/>
        <v>0</v>
      </c>
      <c r="AD411" s="39"/>
      <c r="AE411" s="7"/>
      <c r="AF411" s="15"/>
      <c r="AG411" s="71" t="b">
        <f t="shared" si="265"/>
        <v>1</v>
      </c>
      <c r="AI411" s="71">
        <f t="shared" si="266"/>
        <v>0</v>
      </c>
      <c r="AJ411" s="39"/>
      <c r="AK411" s="15"/>
      <c r="AL411" s="71" t="b">
        <f t="shared" si="267"/>
        <v>1</v>
      </c>
      <c r="AN411" s="65"/>
    </row>
    <row r="412" spans="2:40 16128:16147" ht="13" customHeight="1">
      <c r="B412" s="119"/>
      <c r="C412" s="159">
        <f t="shared" si="259"/>
        <v>2026091</v>
      </c>
      <c r="D412" s="23">
        <v>15</v>
      </c>
      <c r="E412" s="128">
        <v>0</v>
      </c>
      <c r="F412" s="126" t="e">
        <f>VLOOKUP(E412,'Códigos bancos'!$B$4:$C$29,2,0)</f>
        <v>#N/A</v>
      </c>
      <c r="G412" s="36">
        <v>1</v>
      </c>
      <c r="H412" s="126" t="str">
        <f>VLOOKUP(G412,'Códigos bancos'!$F$4:$G$14,2,0)</f>
        <v>Oficinas</v>
      </c>
      <c r="I412" s="130"/>
      <c r="J412" s="174">
        <v>0</v>
      </c>
      <c r="K412" s="174">
        <v>0</v>
      </c>
      <c r="L412" s="174">
        <v>0</v>
      </c>
      <c r="M412" s="174">
        <v>0</v>
      </c>
      <c r="N412" s="174">
        <v>0</v>
      </c>
      <c r="O412" s="174">
        <v>0</v>
      </c>
      <c r="P412" s="174">
        <v>0</v>
      </c>
      <c r="Q412" s="174">
        <v>0</v>
      </c>
      <c r="R412" s="174">
        <v>0</v>
      </c>
      <c r="S412" s="215">
        <v>0</v>
      </c>
      <c r="T412" s="71">
        <f t="shared" si="260"/>
        <v>0</v>
      </c>
      <c r="U412" s="71">
        <f t="shared" si="261"/>
        <v>0</v>
      </c>
      <c r="V412" s="117">
        <v>0</v>
      </c>
      <c r="W412" s="117">
        <v>0</v>
      </c>
      <c r="X412" s="71">
        <f t="shared" si="262"/>
        <v>0</v>
      </c>
      <c r="Y412" s="71">
        <f t="shared" si="263"/>
        <v>0</v>
      </c>
      <c r="AA412" s="65"/>
      <c r="AC412" s="71">
        <f t="shared" si="264"/>
        <v>0</v>
      </c>
      <c r="AD412" s="39"/>
      <c r="AE412" s="7"/>
      <c r="AF412" s="15"/>
      <c r="AG412" s="71" t="b">
        <f t="shared" si="265"/>
        <v>1</v>
      </c>
      <c r="AI412" s="71">
        <f t="shared" si="266"/>
        <v>0</v>
      </c>
      <c r="AJ412" s="39"/>
      <c r="AK412" s="15"/>
      <c r="AL412" s="71" t="b">
        <f t="shared" si="267"/>
        <v>1</v>
      </c>
      <c r="AN412" s="65"/>
    </row>
    <row r="413" spans="2:40 16128:16147" ht="13" customHeight="1">
      <c r="B413" s="119"/>
      <c r="C413" s="159">
        <f t="shared" si="259"/>
        <v>2026091</v>
      </c>
      <c r="D413" s="23">
        <v>15</v>
      </c>
      <c r="E413" s="128">
        <v>0</v>
      </c>
      <c r="F413" s="126" t="e">
        <f>VLOOKUP(E413,'Códigos bancos'!$B$4:$C$29,2,0)</f>
        <v>#N/A</v>
      </c>
      <c r="G413" s="36">
        <v>1</v>
      </c>
      <c r="H413" s="126" t="str">
        <f>VLOOKUP(G413,'Códigos bancos'!$F$4:$G$14,2,0)</f>
        <v>Oficinas</v>
      </c>
      <c r="I413" s="130"/>
      <c r="J413" s="174">
        <v>0</v>
      </c>
      <c r="K413" s="174">
        <v>0</v>
      </c>
      <c r="L413" s="174">
        <v>0</v>
      </c>
      <c r="M413" s="174">
        <v>0</v>
      </c>
      <c r="N413" s="174">
        <v>0</v>
      </c>
      <c r="O413" s="174">
        <v>0</v>
      </c>
      <c r="P413" s="174">
        <v>0</v>
      </c>
      <c r="Q413" s="174">
        <v>0</v>
      </c>
      <c r="R413" s="174">
        <v>0</v>
      </c>
      <c r="S413" s="215">
        <v>0</v>
      </c>
      <c r="T413" s="71">
        <f t="shared" si="260"/>
        <v>0</v>
      </c>
      <c r="U413" s="71">
        <f t="shared" si="261"/>
        <v>0</v>
      </c>
      <c r="V413" s="117">
        <v>0</v>
      </c>
      <c r="W413" s="117">
        <v>0</v>
      </c>
      <c r="X413" s="71">
        <f t="shared" si="262"/>
        <v>0</v>
      </c>
      <c r="Y413" s="71">
        <f t="shared" si="263"/>
        <v>0</v>
      </c>
      <c r="AA413" s="65"/>
      <c r="AC413" s="71">
        <f t="shared" si="264"/>
        <v>0</v>
      </c>
      <c r="AD413" s="39"/>
      <c r="AE413" s="7"/>
      <c r="AF413" s="15"/>
      <c r="AG413" s="71" t="b">
        <f t="shared" si="265"/>
        <v>1</v>
      </c>
      <c r="AI413" s="71">
        <f t="shared" si="266"/>
        <v>0</v>
      </c>
      <c r="AJ413" s="39"/>
      <c r="AK413" s="15"/>
      <c r="AL413" s="71" t="b">
        <f t="shared" si="267"/>
        <v>1</v>
      </c>
      <c r="AN413" s="65"/>
    </row>
    <row r="414" spans="2:40 16128:16147" ht="13" customHeight="1">
      <c r="B414" s="119"/>
      <c r="C414" s="159">
        <f t="shared" si="259"/>
        <v>2026091</v>
      </c>
      <c r="D414" s="23">
        <v>15</v>
      </c>
      <c r="E414" s="128">
        <v>0</v>
      </c>
      <c r="F414" s="126" t="e">
        <f>VLOOKUP(E414,'Códigos bancos'!$B$4:$C$29,2,0)</f>
        <v>#N/A</v>
      </c>
      <c r="G414" s="36">
        <v>1</v>
      </c>
      <c r="H414" s="126" t="str">
        <f>VLOOKUP(G414,'Códigos bancos'!$F$4:$G$14,2,0)</f>
        <v>Oficinas</v>
      </c>
      <c r="I414" s="130"/>
      <c r="J414" s="174">
        <v>0</v>
      </c>
      <c r="K414" s="174">
        <v>0</v>
      </c>
      <c r="L414" s="174">
        <v>0</v>
      </c>
      <c r="M414" s="174">
        <v>0</v>
      </c>
      <c r="N414" s="174">
        <v>0</v>
      </c>
      <c r="O414" s="174">
        <v>0</v>
      </c>
      <c r="P414" s="174">
        <v>0</v>
      </c>
      <c r="Q414" s="174">
        <v>0</v>
      </c>
      <c r="R414" s="174">
        <v>0</v>
      </c>
      <c r="S414" s="215">
        <v>0</v>
      </c>
      <c r="T414" s="71">
        <f t="shared" si="260"/>
        <v>0</v>
      </c>
      <c r="U414" s="71">
        <f t="shared" si="261"/>
        <v>0</v>
      </c>
      <c r="V414" s="117">
        <v>0</v>
      </c>
      <c r="W414" s="117">
        <v>0</v>
      </c>
      <c r="X414" s="71">
        <f t="shared" si="262"/>
        <v>0</v>
      </c>
      <c r="Y414" s="71">
        <f t="shared" si="263"/>
        <v>0</v>
      </c>
      <c r="AA414" s="65"/>
      <c r="AC414" s="71">
        <f t="shared" si="264"/>
        <v>0</v>
      </c>
      <c r="AD414" s="39"/>
      <c r="AE414" s="7"/>
      <c r="AF414" s="15"/>
      <c r="AG414" s="71" t="b">
        <f t="shared" si="265"/>
        <v>1</v>
      </c>
      <c r="AI414" s="71">
        <f t="shared" si="266"/>
        <v>0</v>
      </c>
      <c r="AJ414" s="39"/>
      <c r="AK414" s="15"/>
      <c r="AL414" s="71" t="b">
        <f t="shared" si="267"/>
        <v>1</v>
      </c>
      <c r="AN414" s="65"/>
    </row>
    <row r="415" spans="2:40 16128:16147" ht="13" customHeight="1">
      <c r="B415" s="119"/>
      <c r="C415" s="159">
        <f t="shared" si="259"/>
        <v>2026091</v>
      </c>
      <c r="D415" s="23">
        <v>15</v>
      </c>
      <c r="E415" s="128">
        <v>0</v>
      </c>
      <c r="F415" s="126" t="e">
        <f>VLOOKUP(E415,'Códigos bancos'!$B$4:$C$29,2,0)</f>
        <v>#N/A</v>
      </c>
      <c r="G415" s="36">
        <v>1</v>
      </c>
      <c r="H415" s="126" t="str">
        <f>VLOOKUP(G415,'Códigos bancos'!$F$4:$G$14,2,0)</f>
        <v>Oficinas</v>
      </c>
      <c r="I415" s="130"/>
      <c r="J415" s="174">
        <v>0</v>
      </c>
      <c r="K415" s="174">
        <v>0</v>
      </c>
      <c r="L415" s="174">
        <v>0</v>
      </c>
      <c r="M415" s="174">
        <v>0</v>
      </c>
      <c r="N415" s="174">
        <v>0</v>
      </c>
      <c r="O415" s="174">
        <v>0</v>
      </c>
      <c r="P415" s="174">
        <v>0</v>
      </c>
      <c r="Q415" s="174">
        <v>0</v>
      </c>
      <c r="R415" s="174">
        <v>0</v>
      </c>
      <c r="S415" s="215">
        <v>0</v>
      </c>
      <c r="T415" s="71">
        <f t="shared" si="260"/>
        <v>0</v>
      </c>
      <c r="U415" s="71">
        <f t="shared" si="261"/>
        <v>0</v>
      </c>
      <c r="V415" s="117">
        <v>0</v>
      </c>
      <c r="W415" s="117">
        <v>0</v>
      </c>
      <c r="X415" s="71">
        <f t="shared" si="262"/>
        <v>0</v>
      </c>
      <c r="Y415" s="71">
        <f t="shared" si="263"/>
        <v>0</v>
      </c>
      <c r="AA415" s="65"/>
      <c r="AC415" s="71">
        <f t="shared" si="264"/>
        <v>0</v>
      </c>
      <c r="AD415" s="39"/>
      <c r="AE415" s="7"/>
      <c r="AF415" s="15"/>
      <c r="AG415" s="71" t="b">
        <f t="shared" si="265"/>
        <v>1</v>
      </c>
      <c r="AI415" s="71">
        <f t="shared" si="266"/>
        <v>0</v>
      </c>
      <c r="AJ415" s="39"/>
      <c r="AK415" s="15"/>
      <c r="AL415" s="71" t="b">
        <f t="shared" si="267"/>
        <v>1</v>
      </c>
      <c r="AN415" s="65"/>
    </row>
    <row r="416" spans="2:40 16128:16147" ht="13" customHeight="1">
      <c r="B416" s="119"/>
      <c r="C416" s="159">
        <f t="shared" si="259"/>
        <v>2026091</v>
      </c>
      <c r="D416" s="23">
        <v>15</v>
      </c>
      <c r="E416" s="128">
        <v>0</v>
      </c>
      <c r="F416" s="126" t="e">
        <f>VLOOKUP(E416,'Códigos bancos'!$B$4:$C$29,2,0)</f>
        <v>#N/A</v>
      </c>
      <c r="G416" s="36">
        <v>1</v>
      </c>
      <c r="H416" s="126" t="str">
        <f>VLOOKUP(G416,'Códigos bancos'!$F$4:$G$14,2,0)</f>
        <v>Oficinas</v>
      </c>
      <c r="I416" s="130"/>
      <c r="J416" s="174">
        <v>0</v>
      </c>
      <c r="K416" s="174">
        <v>0</v>
      </c>
      <c r="L416" s="174">
        <v>0</v>
      </c>
      <c r="M416" s="174">
        <v>0</v>
      </c>
      <c r="N416" s="174">
        <v>0</v>
      </c>
      <c r="O416" s="174">
        <v>0</v>
      </c>
      <c r="P416" s="174">
        <v>0</v>
      </c>
      <c r="Q416" s="174">
        <v>0</v>
      </c>
      <c r="R416" s="174">
        <v>0</v>
      </c>
      <c r="S416" s="215">
        <v>0</v>
      </c>
      <c r="T416" s="71">
        <f t="shared" si="260"/>
        <v>0</v>
      </c>
      <c r="U416" s="71">
        <f t="shared" si="261"/>
        <v>0</v>
      </c>
      <c r="V416" s="117">
        <v>0</v>
      </c>
      <c r="W416" s="117">
        <v>0</v>
      </c>
      <c r="X416" s="71">
        <f t="shared" si="262"/>
        <v>0</v>
      </c>
      <c r="Y416" s="71">
        <f t="shared" si="263"/>
        <v>0</v>
      </c>
      <c r="AA416" s="65"/>
      <c r="AC416" s="71">
        <f t="shared" si="264"/>
        <v>0</v>
      </c>
      <c r="AD416" s="39"/>
      <c r="AE416" s="7"/>
      <c r="AF416" s="15"/>
      <c r="AG416" s="71" t="b">
        <f t="shared" si="265"/>
        <v>1</v>
      </c>
      <c r="AI416" s="71">
        <f t="shared" si="266"/>
        <v>0</v>
      </c>
      <c r="AJ416" s="39"/>
      <c r="AK416" s="15"/>
      <c r="AL416" s="71" t="b">
        <f t="shared" si="267"/>
        <v>1</v>
      </c>
      <c r="AN416" s="65"/>
    </row>
    <row r="417" spans="2:40 16128:16147" ht="13" customHeight="1">
      <c r="B417" s="119"/>
      <c r="C417" s="159">
        <f t="shared" si="259"/>
        <v>2026091</v>
      </c>
      <c r="D417" s="23">
        <v>15</v>
      </c>
      <c r="E417" s="128">
        <v>0</v>
      </c>
      <c r="F417" s="126" t="e">
        <f>VLOOKUP(E417,'Códigos bancos'!$B$4:$C$29,2,0)</f>
        <v>#N/A</v>
      </c>
      <c r="G417" s="36">
        <v>1</v>
      </c>
      <c r="H417" s="126" t="str">
        <f>VLOOKUP(G417,'Códigos bancos'!$F$4:$G$14,2,0)</f>
        <v>Oficinas</v>
      </c>
      <c r="I417" s="130"/>
      <c r="J417" s="174">
        <v>0</v>
      </c>
      <c r="K417" s="174">
        <v>0</v>
      </c>
      <c r="L417" s="174">
        <v>0</v>
      </c>
      <c r="M417" s="174">
        <v>0</v>
      </c>
      <c r="N417" s="174">
        <v>0</v>
      </c>
      <c r="O417" s="174">
        <v>0</v>
      </c>
      <c r="P417" s="174">
        <v>0</v>
      </c>
      <c r="Q417" s="174">
        <v>0</v>
      </c>
      <c r="R417" s="174">
        <v>0</v>
      </c>
      <c r="S417" s="215">
        <v>0</v>
      </c>
      <c r="T417" s="71">
        <f t="shared" si="260"/>
        <v>0</v>
      </c>
      <c r="U417" s="71">
        <f t="shared" si="261"/>
        <v>0</v>
      </c>
      <c r="V417" s="117">
        <v>0</v>
      </c>
      <c r="W417" s="117">
        <v>0</v>
      </c>
      <c r="X417" s="71">
        <f t="shared" si="262"/>
        <v>0</v>
      </c>
      <c r="Y417" s="71">
        <f t="shared" si="263"/>
        <v>0</v>
      </c>
      <c r="AA417" s="65"/>
      <c r="AC417" s="71">
        <f t="shared" si="264"/>
        <v>0</v>
      </c>
      <c r="AD417" s="39"/>
      <c r="AE417" s="7"/>
      <c r="AF417" s="15"/>
      <c r="AG417" s="71" t="b">
        <f t="shared" si="265"/>
        <v>1</v>
      </c>
      <c r="AI417" s="71">
        <f t="shared" si="266"/>
        <v>0</v>
      </c>
      <c r="AJ417" s="39"/>
      <c r="AK417" s="15"/>
      <c r="AL417" s="71" t="b">
        <f t="shared" si="267"/>
        <v>1</v>
      </c>
      <c r="AN417" s="65"/>
    </row>
    <row r="418" spans="2:40 16128:16147" ht="13" customHeight="1">
      <c r="B418" s="119"/>
      <c r="C418" s="23">
        <f t="shared" si="259"/>
        <v>2026091</v>
      </c>
      <c r="D418" s="23">
        <v>15</v>
      </c>
      <c r="E418" s="128">
        <v>0</v>
      </c>
      <c r="F418" s="126" t="e">
        <f>VLOOKUP(E418,'Códigos bancos'!$B$4:$C$29,2,0)</f>
        <v>#N/A</v>
      </c>
      <c r="G418" s="36">
        <v>1</v>
      </c>
      <c r="H418" s="126" t="str">
        <f>VLOOKUP(G418,'Códigos bancos'!$F$4:$G$14,2,0)</f>
        <v>Oficinas</v>
      </c>
      <c r="I418" s="130"/>
      <c r="J418" s="174">
        <v>0</v>
      </c>
      <c r="K418" s="174">
        <v>0</v>
      </c>
      <c r="L418" s="174">
        <v>0</v>
      </c>
      <c r="M418" s="174">
        <v>0</v>
      </c>
      <c r="N418" s="174">
        <v>0</v>
      </c>
      <c r="O418" s="174">
        <v>0</v>
      </c>
      <c r="P418" s="174">
        <v>0</v>
      </c>
      <c r="Q418" s="174">
        <v>0</v>
      </c>
      <c r="R418" s="174">
        <v>0</v>
      </c>
      <c r="S418" s="215">
        <v>0</v>
      </c>
      <c r="T418" s="71">
        <f t="shared" si="260"/>
        <v>0</v>
      </c>
      <c r="U418" s="71">
        <f t="shared" si="261"/>
        <v>0</v>
      </c>
      <c r="V418" s="117">
        <v>0</v>
      </c>
      <c r="W418" s="117">
        <v>0</v>
      </c>
      <c r="X418" s="71">
        <f t="shared" si="262"/>
        <v>0</v>
      </c>
      <c r="Y418" s="71">
        <f t="shared" si="263"/>
        <v>0</v>
      </c>
      <c r="AA418" s="65"/>
      <c r="AC418" s="71">
        <f t="shared" si="264"/>
        <v>0</v>
      </c>
      <c r="AD418" s="39"/>
      <c r="AE418" s="7"/>
      <c r="AF418" s="15"/>
      <c r="AG418" s="71" t="b">
        <f t="shared" si="265"/>
        <v>1</v>
      </c>
      <c r="AI418" s="71">
        <f t="shared" si="266"/>
        <v>0</v>
      </c>
      <c r="AJ418" s="39"/>
      <c r="AK418" s="15"/>
      <c r="AL418" s="71" t="b">
        <f t="shared" si="267"/>
        <v>1</v>
      </c>
      <c r="AN418" s="65"/>
    </row>
    <row r="419" spans="2:40 16128:16147" ht="13" customHeight="1">
      <c r="B419" s="119"/>
      <c r="C419" s="159">
        <f t="shared" si="259"/>
        <v>2026091</v>
      </c>
      <c r="D419" s="23">
        <v>15</v>
      </c>
      <c r="E419" s="128">
        <v>0</v>
      </c>
      <c r="F419" s="126" t="e">
        <f>VLOOKUP(E419,'Códigos bancos'!$B$4:$C$29,2,0)</f>
        <v>#N/A</v>
      </c>
      <c r="G419" s="36">
        <v>1</v>
      </c>
      <c r="H419" s="126" t="str">
        <f>VLOOKUP(G419,'Códigos bancos'!$F$4:$G$14,2,0)</f>
        <v>Oficinas</v>
      </c>
      <c r="I419" s="130"/>
      <c r="J419" s="174">
        <v>0</v>
      </c>
      <c r="K419" s="174">
        <v>0</v>
      </c>
      <c r="L419" s="174">
        <v>0</v>
      </c>
      <c r="M419" s="174">
        <v>0</v>
      </c>
      <c r="N419" s="174">
        <v>0</v>
      </c>
      <c r="O419" s="174">
        <v>0</v>
      </c>
      <c r="P419" s="174">
        <v>0</v>
      </c>
      <c r="Q419" s="174">
        <v>0</v>
      </c>
      <c r="R419" s="174">
        <v>0</v>
      </c>
      <c r="S419" s="215">
        <v>0</v>
      </c>
      <c r="T419" s="71">
        <f t="shared" si="260"/>
        <v>0</v>
      </c>
      <c r="U419" s="71">
        <f t="shared" si="261"/>
        <v>0</v>
      </c>
      <c r="V419" s="117">
        <v>0</v>
      </c>
      <c r="W419" s="117">
        <v>0</v>
      </c>
      <c r="X419" s="71">
        <f t="shared" si="262"/>
        <v>0</v>
      </c>
      <c r="Y419" s="71">
        <f t="shared" si="263"/>
        <v>0</v>
      </c>
      <c r="AA419" s="65"/>
      <c r="AC419" s="71">
        <f t="shared" si="264"/>
        <v>0</v>
      </c>
      <c r="AD419" s="39"/>
      <c r="AE419" s="7"/>
      <c r="AF419" s="15"/>
      <c r="AG419" s="71" t="b">
        <f t="shared" si="265"/>
        <v>1</v>
      </c>
      <c r="AI419" s="71">
        <f t="shared" si="266"/>
        <v>0</v>
      </c>
      <c r="AJ419" s="39"/>
      <c r="AK419" s="15"/>
      <c r="AL419" s="71" t="b">
        <f t="shared" si="267"/>
        <v>1</v>
      </c>
      <c r="AN419" s="65"/>
    </row>
    <row r="420" spans="2:40 16128:16147" ht="13" customHeight="1">
      <c r="B420" s="119"/>
      <c r="C420" s="159">
        <f t="shared" si="259"/>
        <v>2026091</v>
      </c>
      <c r="D420" s="23">
        <v>15</v>
      </c>
      <c r="E420" s="128">
        <v>0</v>
      </c>
      <c r="F420" s="126" t="e">
        <f>VLOOKUP(E420,'Códigos bancos'!$B$4:$C$29,2,0)</f>
        <v>#N/A</v>
      </c>
      <c r="G420" s="36">
        <v>1</v>
      </c>
      <c r="H420" s="126" t="str">
        <f>VLOOKUP(G420,'Códigos bancos'!$F$4:$G$14,2,0)</f>
        <v>Oficinas</v>
      </c>
      <c r="I420" s="130"/>
      <c r="J420" s="174">
        <v>0</v>
      </c>
      <c r="K420" s="174">
        <v>0</v>
      </c>
      <c r="L420" s="174">
        <v>0</v>
      </c>
      <c r="M420" s="174">
        <v>0</v>
      </c>
      <c r="N420" s="174">
        <v>0</v>
      </c>
      <c r="O420" s="174">
        <v>0</v>
      </c>
      <c r="P420" s="174">
        <v>0</v>
      </c>
      <c r="Q420" s="174">
        <v>0</v>
      </c>
      <c r="R420" s="174">
        <v>0</v>
      </c>
      <c r="S420" s="215">
        <v>0</v>
      </c>
      <c r="T420" s="71">
        <f t="shared" si="260"/>
        <v>0</v>
      </c>
      <c r="U420" s="71">
        <f t="shared" si="261"/>
        <v>0</v>
      </c>
      <c r="V420" s="117">
        <v>0</v>
      </c>
      <c r="W420" s="117">
        <v>0</v>
      </c>
      <c r="X420" s="71">
        <f t="shared" si="262"/>
        <v>0</v>
      </c>
      <c r="Y420" s="71">
        <f t="shared" si="263"/>
        <v>0</v>
      </c>
      <c r="AA420" s="65"/>
      <c r="AC420" s="71">
        <f t="shared" si="264"/>
        <v>0</v>
      </c>
      <c r="AD420" s="39"/>
      <c r="AE420" s="7"/>
      <c r="AF420" s="15"/>
      <c r="AG420" s="71" t="b">
        <f t="shared" si="265"/>
        <v>1</v>
      </c>
      <c r="AI420" s="71">
        <f t="shared" si="266"/>
        <v>0</v>
      </c>
      <c r="AJ420" s="39"/>
      <c r="AK420" s="15"/>
      <c r="AL420" s="71" t="b">
        <f t="shared" si="267"/>
        <v>1</v>
      </c>
      <c r="AN420" s="65"/>
    </row>
    <row r="421" spans="2:40 16128:16147" ht="13" customHeight="1">
      <c r="B421" s="119"/>
      <c r="C421" s="159">
        <f t="shared" si="259"/>
        <v>2026091</v>
      </c>
      <c r="D421" s="23">
        <v>15</v>
      </c>
      <c r="E421" s="128">
        <v>0</v>
      </c>
      <c r="F421" s="126" t="e">
        <f>VLOOKUP(E421,'Códigos bancos'!$B$4:$C$29,2,0)</f>
        <v>#N/A</v>
      </c>
      <c r="G421" s="36">
        <v>1</v>
      </c>
      <c r="H421" s="126" t="str">
        <f>VLOOKUP(G421,'Códigos bancos'!$F$4:$G$14,2,0)</f>
        <v>Oficinas</v>
      </c>
      <c r="I421" s="130"/>
      <c r="J421" s="174">
        <v>0</v>
      </c>
      <c r="K421" s="174">
        <v>0</v>
      </c>
      <c r="L421" s="174">
        <v>0</v>
      </c>
      <c r="M421" s="174">
        <v>0</v>
      </c>
      <c r="N421" s="174">
        <v>0</v>
      </c>
      <c r="O421" s="174">
        <v>0</v>
      </c>
      <c r="P421" s="174">
        <v>0</v>
      </c>
      <c r="Q421" s="174">
        <v>0</v>
      </c>
      <c r="R421" s="174">
        <v>0</v>
      </c>
      <c r="S421" s="215">
        <v>0</v>
      </c>
      <c r="T421" s="71">
        <f t="shared" si="260"/>
        <v>0</v>
      </c>
      <c r="U421" s="71">
        <f t="shared" si="261"/>
        <v>0</v>
      </c>
      <c r="V421" s="117">
        <v>0</v>
      </c>
      <c r="W421" s="117">
        <v>0</v>
      </c>
      <c r="X421" s="71">
        <f t="shared" si="262"/>
        <v>0</v>
      </c>
      <c r="Y421" s="71">
        <f t="shared" si="263"/>
        <v>0</v>
      </c>
      <c r="AA421" s="65"/>
      <c r="AC421" s="71">
        <f t="shared" si="264"/>
        <v>0</v>
      </c>
      <c r="AD421" s="39"/>
      <c r="AE421" s="7"/>
      <c r="AF421" s="15"/>
      <c r="AG421" s="71" t="b">
        <f t="shared" si="265"/>
        <v>1</v>
      </c>
      <c r="AI421" s="71">
        <f t="shared" si="266"/>
        <v>0</v>
      </c>
      <c r="AJ421" s="39"/>
      <c r="AK421" s="15"/>
      <c r="AL421" s="71" t="b">
        <f t="shared" si="267"/>
        <v>1</v>
      </c>
      <c r="AN421" s="65"/>
    </row>
    <row r="422" spans="2:40 16128:16147" ht="13" customHeight="1">
      <c r="B422" s="119"/>
      <c r="C422" s="159">
        <f t="shared" si="259"/>
        <v>2026091</v>
      </c>
      <c r="D422" s="23">
        <v>15</v>
      </c>
      <c r="E422" s="128">
        <v>0</v>
      </c>
      <c r="F422" s="126" t="e">
        <f>VLOOKUP(E422,'Códigos bancos'!$B$4:$C$29,2,0)</f>
        <v>#N/A</v>
      </c>
      <c r="G422" s="36">
        <v>1</v>
      </c>
      <c r="H422" s="126" t="str">
        <f>VLOOKUP(G422,'Códigos bancos'!$F$4:$G$14,2,0)</f>
        <v>Oficinas</v>
      </c>
      <c r="I422" s="130"/>
      <c r="J422" s="174">
        <v>0</v>
      </c>
      <c r="K422" s="174">
        <v>0</v>
      </c>
      <c r="L422" s="174">
        <v>0</v>
      </c>
      <c r="M422" s="174">
        <v>0</v>
      </c>
      <c r="N422" s="174">
        <v>0</v>
      </c>
      <c r="O422" s="174">
        <v>0</v>
      </c>
      <c r="P422" s="174">
        <v>0</v>
      </c>
      <c r="Q422" s="174">
        <v>0</v>
      </c>
      <c r="R422" s="174">
        <v>0</v>
      </c>
      <c r="S422" s="215">
        <v>0</v>
      </c>
      <c r="T422" s="71">
        <f t="shared" si="260"/>
        <v>0</v>
      </c>
      <c r="U422" s="71">
        <f t="shared" si="261"/>
        <v>0</v>
      </c>
      <c r="V422" s="117">
        <v>0</v>
      </c>
      <c r="W422" s="117">
        <v>0</v>
      </c>
      <c r="X422" s="71">
        <f t="shared" si="262"/>
        <v>0</v>
      </c>
      <c r="Y422" s="71">
        <f t="shared" si="263"/>
        <v>0</v>
      </c>
      <c r="AA422" s="65"/>
      <c r="AC422" s="71">
        <f t="shared" si="264"/>
        <v>0</v>
      </c>
      <c r="AD422" s="39"/>
      <c r="AE422" s="7"/>
      <c r="AF422" s="15"/>
      <c r="AG422" s="71" t="b">
        <f t="shared" si="265"/>
        <v>1</v>
      </c>
      <c r="AI422" s="71">
        <f t="shared" si="266"/>
        <v>0</v>
      </c>
      <c r="AJ422" s="39"/>
      <c r="AK422" s="15"/>
      <c r="AL422" s="71" t="b">
        <f t="shared" si="267"/>
        <v>1</v>
      </c>
      <c r="AN422" s="65"/>
    </row>
    <row r="423" spans="2:40 16128:16147" ht="13" customHeight="1">
      <c r="B423" s="119"/>
      <c r="C423" s="159">
        <f t="shared" si="259"/>
        <v>2026091</v>
      </c>
      <c r="D423" s="23">
        <v>15</v>
      </c>
      <c r="E423" s="128">
        <v>0</v>
      </c>
      <c r="F423" s="126" t="e">
        <f>VLOOKUP(E423,'Códigos bancos'!$B$4:$C$29,2,0)</f>
        <v>#N/A</v>
      </c>
      <c r="G423" s="36">
        <v>1</v>
      </c>
      <c r="H423" s="126" t="str">
        <f>VLOOKUP(G423,'Códigos bancos'!$F$4:$G$14,2,0)</f>
        <v>Oficinas</v>
      </c>
      <c r="I423" s="130"/>
      <c r="J423" s="174">
        <v>0</v>
      </c>
      <c r="K423" s="174">
        <v>0</v>
      </c>
      <c r="L423" s="174">
        <v>0</v>
      </c>
      <c r="M423" s="174">
        <v>0</v>
      </c>
      <c r="N423" s="174">
        <v>0</v>
      </c>
      <c r="O423" s="174">
        <v>0</v>
      </c>
      <c r="P423" s="174">
        <v>0</v>
      </c>
      <c r="Q423" s="174">
        <v>0</v>
      </c>
      <c r="R423" s="174">
        <v>0</v>
      </c>
      <c r="S423" s="215">
        <v>0</v>
      </c>
      <c r="T423" s="71">
        <f t="shared" si="260"/>
        <v>0</v>
      </c>
      <c r="U423" s="71">
        <f t="shared" si="261"/>
        <v>0</v>
      </c>
      <c r="V423" s="117">
        <v>0</v>
      </c>
      <c r="W423" s="117">
        <v>0</v>
      </c>
      <c r="X423" s="71">
        <f t="shared" si="262"/>
        <v>0</v>
      </c>
      <c r="Y423" s="71">
        <f t="shared" si="263"/>
        <v>0</v>
      </c>
      <c r="AA423" s="65"/>
      <c r="AC423" s="71">
        <f t="shared" si="264"/>
        <v>0</v>
      </c>
      <c r="AD423" s="39"/>
      <c r="AE423" s="7"/>
      <c r="AF423" s="15"/>
      <c r="AG423" s="71" t="b">
        <f t="shared" si="265"/>
        <v>1</v>
      </c>
      <c r="AI423" s="71">
        <f t="shared" si="266"/>
        <v>0</v>
      </c>
      <c r="AJ423" s="39"/>
      <c r="AK423" s="15"/>
      <c r="AL423" s="71" t="b">
        <f t="shared" si="267"/>
        <v>1</v>
      </c>
      <c r="AN423" s="65"/>
    </row>
    <row r="424" spans="2:40 16128:16147" ht="13" customHeight="1">
      <c r="B424" s="119"/>
      <c r="C424" s="159">
        <f t="shared" ref="C424" si="268">IF(D424&lt;=15,$C$1,$C$2)</f>
        <v>2026091</v>
      </c>
      <c r="D424" s="23">
        <v>15</v>
      </c>
      <c r="E424" s="128">
        <v>0</v>
      </c>
      <c r="F424" s="126" t="e">
        <f>VLOOKUP(E424,'Códigos bancos'!$B$4:$C$29,2,0)</f>
        <v>#N/A</v>
      </c>
      <c r="G424" s="36">
        <v>1</v>
      </c>
      <c r="H424" s="126" t="str">
        <f>VLOOKUP(G424,'Códigos bancos'!$F$4:$G$14,2,0)</f>
        <v>Oficinas</v>
      </c>
      <c r="I424" s="130"/>
      <c r="J424" s="174">
        <v>0</v>
      </c>
      <c r="K424" s="174">
        <v>0</v>
      </c>
      <c r="L424" s="174">
        <v>0</v>
      </c>
      <c r="M424" s="174">
        <v>0</v>
      </c>
      <c r="N424" s="174">
        <v>0</v>
      </c>
      <c r="O424" s="174">
        <v>0</v>
      </c>
      <c r="P424" s="174">
        <v>0</v>
      </c>
      <c r="Q424" s="174">
        <v>0</v>
      </c>
      <c r="R424" s="174">
        <v>0</v>
      </c>
      <c r="S424" s="215">
        <v>0</v>
      </c>
      <c r="T424" s="71">
        <f t="shared" ref="T424" si="269">J424+L424+N424+P424+R424</f>
        <v>0</v>
      </c>
      <c r="U424" s="71">
        <f t="shared" ref="U424" si="270">K424+M424+O424+Q424+S424</f>
        <v>0</v>
      </c>
      <c r="V424" s="117">
        <v>0</v>
      </c>
      <c r="W424" s="117">
        <v>0</v>
      </c>
      <c r="X424" s="71">
        <f t="shared" ref="X424" si="271">V424-T424</f>
        <v>0</v>
      </c>
      <c r="Y424" s="71">
        <f t="shared" ref="Y424" si="272">W424-U424</f>
        <v>0</v>
      </c>
      <c r="AA424" s="65"/>
      <c r="AC424" s="71">
        <f t="shared" ref="AC424" si="273">X424</f>
        <v>0</v>
      </c>
      <c r="AD424" s="39"/>
      <c r="AE424" s="7"/>
      <c r="AF424" s="15"/>
      <c r="AG424" s="71" t="b">
        <f t="shared" ref="AG424" si="274">AC424=(AD424+AE424+AF424)</f>
        <v>1</v>
      </c>
      <c r="AI424" s="71">
        <f t="shared" ref="AI424" si="275">Y424</f>
        <v>0</v>
      </c>
      <c r="AJ424" s="39"/>
      <c r="AK424" s="15"/>
      <c r="AL424" s="71" t="b">
        <f t="shared" ref="AL424" si="276">AI424=(AJ424+AK424)</f>
        <v>1</v>
      </c>
      <c r="AN424" s="65"/>
    </row>
    <row r="425" spans="2:40 16128:16147" ht="13" customHeight="1">
      <c r="B425" s="119"/>
      <c r="C425" s="159">
        <f t="shared" si="259"/>
        <v>2026091</v>
      </c>
      <c r="D425" s="23">
        <v>15</v>
      </c>
      <c r="E425" s="128">
        <v>0</v>
      </c>
      <c r="F425" s="126" t="e">
        <f>VLOOKUP(E425,'Códigos bancos'!$B$4:$C$29,2,0)</f>
        <v>#N/A</v>
      </c>
      <c r="G425" s="36">
        <v>1</v>
      </c>
      <c r="H425" s="126" t="str">
        <f>VLOOKUP(G425,'Códigos bancos'!$F$4:$G$14,2,0)</f>
        <v>Oficinas</v>
      </c>
      <c r="I425" s="130"/>
      <c r="J425" s="174">
        <v>0</v>
      </c>
      <c r="K425" s="174">
        <v>0</v>
      </c>
      <c r="L425" s="174">
        <v>0</v>
      </c>
      <c r="M425" s="174">
        <v>0</v>
      </c>
      <c r="N425" s="174">
        <v>0</v>
      </c>
      <c r="O425" s="174">
        <v>0</v>
      </c>
      <c r="P425" s="174">
        <v>0</v>
      </c>
      <c r="Q425" s="174">
        <v>0</v>
      </c>
      <c r="R425" s="174">
        <v>0</v>
      </c>
      <c r="S425" s="215">
        <v>0</v>
      </c>
      <c r="T425" s="71">
        <f t="shared" si="260"/>
        <v>0</v>
      </c>
      <c r="U425" s="71">
        <f t="shared" si="261"/>
        <v>0</v>
      </c>
      <c r="V425" s="117">
        <v>0</v>
      </c>
      <c r="W425" s="117">
        <v>0</v>
      </c>
      <c r="X425" s="71">
        <f t="shared" si="262"/>
        <v>0</v>
      </c>
      <c r="Y425" s="71">
        <f t="shared" si="263"/>
        <v>0</v>
      </c>
      <c r="AA425" s="65"/>
      <c r="AC425" s="71">
        <f t="shared" si="264"/>
        <v>0</v>
      </c>
      <c r="AD425" s="39"/>
      <c r="AE425" s="7"/>
      <c r="AF425" s="15"/>
      <c r="AG425" s="71" t="b">
        <f t="shared" si="265"/>
        <v>1</v>
      </c>
      <c r="AI425" s="71">
        <f t="shared" si="266"/>
        <v>0</v>
      </c>
      <c r="AJ425" s="39"/>
      <c r="AK425" s="15"/>
      <c r="AL425" s="71" t="b">
        <f t="shared" si="267"/>
        <v>1</v>
      </c>
      <c r="AN425" s="65"/>
    </row>
    <row r="426" spans="2:40 16128:16147" ht="13" customHeight="1">
      <c r="B426" s="119"/>
      <c r="C426" s="23">
        <f t="shared" si="259"/>
        <v>2026091</v>
      </c>
      <c r="D426" s="23">
        <v>15</v>
      </c>
      <c r="E426" s="128">
        <v>0</v>
      </c>
      <c r="F426" s="126" t="e">
        <f>VLOOKUP(E426,'Códigos bancos'!$B$4:$C$29,2,0)</f>
        <v>#N/A</v>
      </c>
      <c r="G426" s="36">
        <v>1</v>
      </c>
      <c r="H426" s="126" t="str">
        <f>VLOOKUP(G426,'Códigos bancos'!$F$4:$G$14,2,0)</f>
        <v>Oficinas</v>
      </c>
      <c r="I426" s="130"/>
      <c r="J426" s="174">
        <v>0</v>
      </c>
      <c r="K426" s="174">
        <v>0</v>
      </c>
      <c r="L426" s="174">
        <v>0</v>
      </c>
      <c r="M426" s="174">
        <v>0</v>
      </c>
      <c r="N426" s="174">
        <v>0</v>
      </c>
      <c r="O426" s="174">
        <v>0</v>
      </c>
      <c r="P426" s="174">
        <v>0</v>
      </c>
      <c r="Q426" s="174">
        <v>0</v>
      </c>
      <c r="R426" s="174">
        <v>0</v>
      </c>
      <c r="S426" s="215">
        <v>0</v>
      </c>
      <c r="T426" s="71">
        <f t="shared" si="260"/>
        <v>0</v>
      </c>
      <c r="U426" s="71">
        <f t="shared" si="261"/>
        <v>0</v>
      </c>
      <c r="V426" s="117">
        <v>0</v>
      </c>
      <c r="W426" s="117">
        <v>0</v>
      </c>
      <c r="X426" s="71">
        <f t="shared" si="262"/>
        <v>0</v>
      </c>
      <c r="Y426" s="71">
        <f t="shared" si="263"/>
        <v>0</v>
      </c>
      <c r="AA426" s="65"/>
      <c r="AC426" s="71">
        <f t="shared" si="264"/>
        <v>0</v>
      </c>
      <c r="AD426" s="39"/>
      <c r="AE426" s="7"/>
      <c r="AF426" s="15"/>
      <c r="AG426" s="71" t="b">
        <f t="shared" si="265"/>
        <v>1</v>
      </c>
      <c r="AI426" s="71">
        <f t="shared" si="266"/>
        <v>0</v>
      </c>
      <c r="AJ426" s="39"/>
      <c r="AK426" s="15"/>
      <c r="AL426" s="71" t="b">
        <f t="shared" si="267"/>
        <v>1</v>
      </c>
      <c r="AN426" s="65"/>
    </row>
    <row r="427" spans="2:40 16128:16147" ht="13" customHeight="1">
      <c r="B427" s="119"/>
      <c r="C427" s="23">
        <f t="shared" si="259"/>
        <v>2026091</v>
      </c>
      <c r="D427" s="23">
        <v>15</v>
      </c>
      <c r="E427" s="128">
        <v>0</v>
      </c>
      <c r="F427" s="126" t="e">
        <f>VLOOKUP(E427,'Códigos bancos'!$B$4:$C$29,2,0)</f>
        <v>#N/A</v>
      </c>
      <c r="G427" s="36">
        <v>1</v>
      </c>
      <c r="H427" s="126" t="str">
        <f>VLOOKUP(G427,'Códigos bancos'!$F$4:$G$14,2,0)</f>
        <v>Oficinas</v>
      </c>
      <c r="I427" s="130"/>
      <c r="J427" s="174">
        <v>0</v>
      </c>
      <c r="K427" s="174">
        <v>0</v>
      </c>
      <c r="L427" s="174">
        <v>0</v>
      </c>
      <c r="M427" s="174">
        <v>0</v>
      </c>
      <c r="N427" s="174">
        <v>0</v>
      </c>
      <c r="O427" s="174">
        <v>0</v>
      </c>
      <c r="P427" s="174">
        <v>0</v>
      </c>
      <c r="Q427" s="174">
        <v>0</v>
      </c>
      <c r="R427" s="174">
        <v>0</v>
      </c>
      <c r="S427" s="215">
        <v>0</v>
      </c>
      <c r="T427" s="71">
        <f t="shared" si="260"/>
        <v>0</v>
      </c>
      <c r="U427" s="71">
        <f t="shared" si="261"/>
        <v>0</v>
      </c>
      <c r="V427" s="117">
        <v>0</v>
      </c>
      <c r="W427" s="117">
        <v>0</v>
      </c>
      <c r="X427" s="71">
        <f t="shared" si="262"/>
        <v>0</v>
      </c>
      <c r="Y427" s="71">
        <f t="shared" si="263"/>
        <v>0</v>
      </c>
      <c r="AA427" s="65"/>
      <c r="AC427" s="71">
        <f t="shared" si="264"/>
        <v>0</v>
      </c>
      <c r="AD427" s="39"/>
      <c r="AE427" s="7"/>
      <c r="AF427" s="15"/>
      <c r="AG427" s="71" t="b">
        <f t="shared" si="265"/>
        <v>1</v>
      </c>
      <c r="AI427" s="71"/>
      <c r="AJ427" s="39"/>
      <c r="AK427" s="15"/>
      <c r="AL427" s="71" t="b">
        <f t="shared" si="267"/>
        <v>1</v>
      </c>
      <c r="AN427" s="65"/>
    </row>
    <row r="428" spans="2:40 16128:16147" ht="13" customHeight="1">
      <c r="B428" s="119"/>
      <c r="C428" s="23">
        <f t="shared" si="259"/>
        <v>2026091</v>
      </c>
      <c r="D428" s="23">
        <v>15</v>
      </c>
      <c r="E428" s="128">
        <v>0</v>
      </c>
      <c r="F428" s="126" t="e">
        <f>VLOOKUP(E428,'Códigos bancos'!$B$4:$C$29,2,0)</f>
        <v>#N/A</v>
      </c>
      <c r="G428" s="36">
        <v>1</v>
      </c>
      <c r="H428" s="126" t="str">
        <f>VLOOKUP(G428,'Códigos bancos'!$F$4:$G$14,2,0)</f>
        <v>Oficinas</v>
      </c>
      <c r="I428" s="130"/>
      <c r="J428" s="174">
        <v>0</v>
      </c>
      <c r="K428" s="174">
        <v>0</v>
      </c>
      <c r="L428" s="174">
        <v>0</v>
      </c>
      <c r="M428" s="174">
        <v>0</v>
      </c>
      <c r="N428" s="174">
        <v>0</v>
      </c>
      <c r="O428" s="174">
        <v>0</v>
      </c>
      <c r="P428" s="174">
        <v>0</v>
      </c>
      <c r="Q428" s="174">
        <v>0</v>
      </c>
      <c r="R428" s="174">
        <v>0</v>
      </c>
      <c r="S428" s="215">
        <v>0</v>
      </c>
      <c r="T428" s="71">
        <f t="shared" si="260"/>
        <v>0</v>
      </c>
      <c r="U428" s="71">
        <f t="shared" si="261"/>
        <v>0</v>
      </c>
      <c r="V428" s="117">
        <v>0</v>
      </c>
      <c r="W428" s="117">
        <v>0</v>
      </c>
      <c r="X428" s="71">
        <f t="shared" si="262"/>
        <v>0</v>
      </c>
      <c r="Y428" s="71">
        <f t="shared" si="263"/>
        <v>0</v>
      </c>
      <c r="AA428" s="65"/>
      <c r="AC428" s="71">
        <f t="shared" si="264"/>
        <v>0</v>
      </c>
      <c r="AD428" s="39"/>
      <c r="AE428" s="7"/>
      <c r="AF428" s="15"/>
      <c r="AG428" s="71" t="b">
        <f t="shared" si="265"/>
        <v>1</v>
      </c>
      <c r="AI428" s="71">
        <f>Y428</f>
        <v>0</v>
      </c>
      <c r="AJ428" s="39"/>
      <c r="AK428" s="15"/>
      <c r="AL428" s="71" t="b">
        <f t="shared" si="267"/>
        <v>1</v>
      </c>
      <c r="AN428" s="65"/>
    </row>
    <row r="429" spans="2:40 16128:16147" ht="13" customHeight="1" thickBot="1">
      <c r="B429" s="119"/>
      <c r="C429" s="159">
        <f t="shared" si="259"/>
        <v>2026091</v>
      </c>
      <c r="D429" s="23">
        <v>15</v>
      </c>
      <c r="E429" s="128">
        <v>0</v>
      </c>
      <c r="F429" s="126" t="e">
        <f>VLOOKUP(E429,'Códigos bancos'!$B$4:$C$29,2,0)</f>
        <v>#N/A</v>
      </c>
      <c r="G429" s="36">
        <v>1</v>
      </c>
      <c r="H429" s="126" t="str">
        <f>VLOOKUP(G429,'Códigos bancos'!$F$4:$G$14,2,0)</f>
        <v>Oficinas</v>
      </c>
      <c r="I429" s="130"/>
      <c r="J429" s="174">
        <v>0</v>
      </c>
      <c r="K429" s="174">
        <v>0</v>
      </c>
      <c r="L429" s="174">
        <v>0</v>
      </c>
      <c r="M429" s="174">
        <v>0</v>
      </c>
      <c r="N429" s="174">
        <v>0</v>
      </c>
      <c r="O429" s="174">
        <v>0</v>
      </c>
      <c r="P429" s="174">
        <v>0</v>
      </c>
      <c r="Q429" s="174">
        <v>0</v>
      </c>
      <c r="R429" s="174">
        <v>0</v>
      </c>
      <c r="S429" s="215">
        <v>0</v>
      </c>
      <c r="T429" s="71">
        <f t="shared" si="260"/>
        <v>0</v>
      </c>
      <c r="U429" s="71">
        <f t="shared" si="261"/>
        <v>0</v>
      </c>
      <c r="V429" s="117">
        <v>0</v>
      </c>
      <c r="W429" s="117">
        <v>0</v>
      </c>
      <c r="X429" s="71">
        <f t="shared" si="262"/>
        <v>0</v>
      </c>
      <c r="Y429" s="71">
        <f t="shared" si="263"/>
        <v>0</v>
      </c>
      <c r="AA429" s="65"/>
      <c r="AC429" s="71">
        <f t="shared" si="264"/>
        <v>0</v>
      </c>
      <c r="AD429" s="39"/>
      <c r="AE429" s="7"/>
      <c r="AF429" s="15"/>
      <c r="AG429" s="71" t="b">
        <f t="shared" si="265"/>
        <v>1</v>
      </c>
      <c r="AI429" s="71">
        <f t="shared" si="266"/>
        <v>0</v>
      </c>
      <c r="AJ429" s="39"/>
      <c r="AK429" s="15"/>
      <c r="AL429" s="71" t="b">
        <f t="shared" si="267"/>
        <v>1</v>
      </c>
      <c r="AN429" s="65"/>
    </row>
    <row r="430" spans="2:40 16128:16147" ht="13" customHeight="1" thickBot="1">
      <c r="E430" s="120" t="s">
        <v>0</v>
      </c>
      <c r="F430" s="121" t="s">
        <v>53</v>
      </c>
      <c r="G430" s="121"/>
      <c r="H430" s="121"/>
      <c r="I430" s="121"/>
      <c r="J430" s="122">
        <f t="shared" ref="J430:Y430" si="277">SUM(J405:J429)</f>
        <v>0</v>
      </c>
      <c r="K430" s="122">
        <f t="shared" si="277"/>
        <v>0</v>
      </c>
      <c r="L430" s="122">
        <f t="shared" si="277"/>
        <v>0</v>
      </c>
      <c r="M430" s="122">
        <f t="shared" si="277"/>
        <v>0</v>
      </c>
      <c r="N430" s="122">
        <f t="shared" si="277"/>
        <v>0</v>
      </c>
      <c r="O430" s="122">
        <f t="shared" si="277"/>
        <v>0</v>
      </c>
      <c r="P430" s="122">
        <f t="shared" si="277"/>
        <v>0</v>
      </c>
      <c r="Q430" s="122">
        <f t="shared" si="277"/>
        <v>0</v>
      </c>
      <c r="R430" s="122">
        <f t="shared" si="277"/>
        <v>143</v>
      </c>
      <c r="S430" s="122">
        <f t="shared" si="277"/>
        <v>6669370</v>
      </c>
      <c r="T430" s="122">
        <f t="shared" si="277"/>
        <v>143</v>
      </c>
      <c r="U430" s="122">
        <f t="shared" si="277"/>
        <v>6669370</v>
      </c>
      <c r="V430" s="122">
        <f t="shared" si="277"/>
        <v>143</v>
      </c>
      <c r="W430" s="122">
        <f t="shared" si="277"/>
        <v>6669370</v>
      </c>
      <c r="X430" s="122">
        <f t="shared" si="277"/>
        <v>0</v>
      </c>
      <c r="Y430" s="123">
        <f t="shared" si="277"/>
        <v>0</v>
      </c>
      <c r="AA430" s="65"/>
      <c r="AC430" s="122">
        <f>SUM(AC405:AC429)</f>
        <v>0</v>
      </c>
      <c r="AD430" s="122">
        <f>SUM(AD405:AD429)</f>
        <v>0</v>
      </c>
      <c r="AE430" s="122">
        <f>SUM(AE405:AE429)</f>
        <v>0</v>
      </c>
      <c r="AF430" s="123">
        <f>SUM(AF405:AF429)</f>
        <v>0</v>
      </c>
      <c r="AG430" s="100"/>
      <c r="AI430" s="122">
        <f>SUM(AI405:AI429)</f>
        <v>0</v>
      </c>
      <c r="AJ430" s="122">
        <f>SUM(AJ405:AJ429)</f>
        <v>0</v>
      </c>
      <c r="AK430" s="123">
        <f>SUM(AK405:AK429)</f>
        <v>0</v>
      </c>
      <c r="AL430" s="100"/>
      <c r="AN430" s="65"/>
    </row>
    <row r="431" spans="2:40 16128:16147" ht="13" thickBot="1">
      <c r="AA431" s="65"/>
      <c r="AN431" s="65"/>
    </row>
    <row r="432" spans="2:40 16128:16147" ht="41.25" customHeight="1" thickBot="1">
      <c r="B432" s="112" t="s">
        <v>4</v>
      </c>
      <c r="C432" s="34" t="s">
        <v>6</v>
      </c>
      <c r="D432" s="34" t="s">
        <v>7</v>
      </c>
      <c r="E432" s="34" t="s">
        <v>49</v>
      </c>
      <c r="F432" s="34" t="s">
        <v>50</v>
      </c>
      <c r="G432" s="34" t="s">
        <v>51</v>
      </c>
      <c r="H432" s="34" t="s">
        <v>52</v>
      </c>
      <c r="I432" s="34" t="s">
        <v>13</v>
      </c>
      <c r="J432" s="12" t="s">
        <v>8</v>
      </c>
      <c r="K432" s="12" t="s">
        <v>36</v>
      </c>
      <c r="L432" s="12" t="s">
        <v>9</v>
      </c>
      <c r="M432" s="12" t="s">
        <v>37</v>
      </c>
      <c r="N432" s="87" t="s">
        <v>10</v>
      </c>
      <c r="O432" s="88" t="s">
        <v>38</v>
      </c>
      <c r="P432" s="87" t="s">
        <v>11</v>
      </c>
      <c r="Q432" s="88" t="s">
        <v>39</v>
      </c>
      <c r="R432" s="87" t="s">
        <v>12</v>
      </c>
      <c r="S432" s="88" t="s">
        <v>40</v>
      </c>
      <c r="T432" s="64" t="s">
        <v>41</v>
      </c>
      <c r="U432" s="64" t="s">
        <v>42</v>
      </c>
      <c r="V432" s="35" t="s">
        <v>32</v>
      </c>
      <c r="W432" s="67" t="s">
        <v>35</v>
      </c>
      <c r="X432" s="12" t="s">
        <v>34</v>
      </c>
      <c r="Y432" s="68" t="s">
        <v>33</v>
      </c>
      <c r="AA432" s="66"/>
      <c r="AC432" s="12" t="s">
        <v>34</v>
      </c>
      <c r="AD432" s="12" t="s">
        <v>45</v>
      </c>
      <c r="AE432" s="12" t="s">
        <v>43</v>
      </c>
      <c r="AF432" s="12" t="s">
        <v>44</v>
      </c>
      <c r="AG432" s="12" t="s">
        <v>46</v>
      </c>
      <c r="AI432" s="12" t="s">
        <v>33</v>
      </c>
      <c r="AJ432" s="12" t="s">
        <v>47</v>
      </c>
      <c r="AK432" s="12" t="s">
        <v>48</v>
      </c>
      <c r="AL432" s="12" t="s">
        <v>46</v>
      </c>
      <c r="AN432" s="66"/>
      <c r="WVH432" s="1"/>
      <c r="WVI432" s="1"/>
      <c r="WVZ432"/>
      <c r="WWA432"/>
    </row>
    <row r="433" spans="2:40" ht="13" customHeight="1">
      <c r="B433" s="119" t="s">
        <v>79</v>
      </c>
      <c r="C433" s="158">
        <f>IF(D433&lt;=15,$C$1,$C$2)</f>
        <v>2026092</v>
      </c>
      <c r="D433" s="24">
        <v>16</v>
      </c>
      <c r="E433" s="127">
        <v>20</v>
      </c>
      <c r="F433" s="125" t="str">
        <f>VLOOKUP(E433,'Códigos bancos'!$B$4:$C$29,2,0)</f>
        <v>Bancolombia ENERBIT</v>
      </c>
      <c r="G433" s="18">
        <v>1</v>
      </c>
      <c r="H433" s="125" t="str">
        <f>VLOOKUP(G433,'Códigos bancos'!$F$4:$G$14,2,0)</f>
        <v>Oficinas</v>
      </c>
      <c r="I433" s="129"/>
      <c r="J433" s="213">
        <v>0</v>
      </c>
      <c r="K433" s="213">
        <v>0</v>
      </c>
      <c r="L433" s="213">
        <v>0</v>
      </c>
      <c r="M433" s="213">
        <v>0</v>
      </c>
      <c r="N433" s="213">
        <v>0</v>
      </c>
      <c r="O433" s="213">
        <v>0</v>
      </c>
      <c r="P433" s="213">
        <v>0</v>
      </c>
      <c r="Q433" s="213">
        <v>0</v>
      </c>
      <c r="R433" s="174">
        <f>77+2</f>
        <v>79</v>
      </c>
      <c r="S433" s="215">
        <f>3923390+102170</f>
        <v>4025560</v>
      </c>
      <c r="T433" s="70">
        <f>J433+L433+N433+P433+R433</f>
        <v>79</v>
      </c>
      <c r="U433" s="70">
        <f>K433+M433+O433+Q433+S433</f>
        <v>4025560</v>
      </c>
      <c r="V433" s="174">
        <f>77+2</f>
        <v>79</v>
      </c>
      <c r="W433" s="215">
        <f>3923390+102170</f>
        <v>4025560</v>
      </c>
      <c r="X433" s="70">
        <f>V433-T433</f>
        <v>0</v>
      </c>
      <c r="Y433" s="70">
        <f>W433-U433</f>
        <v>0</v>
      </c>
      <c r="AA433" s="65"/>
      <c r="AC433" s="124">
        <f>X433</f>
        <v>0</v>
      </c>
      <c r="AD433" s="115"/>
      <c r="AE433" s="16"/>
      <c r="AF433" s="114"/>
      <c r="AG433" s="124" t="b">
        <f>AC433=(AD433+AE433+AF433)</f>
        <v>1</v>
      </c>
      <c r="AI433" s="70">
        <f>Y433</f>
        <v>0</v>
      </c>
      <c r="AJ433" s="115"/>
      <c r="AK433" s="114"/>
      <c r="AL433" s="70" t="b">
        <f>AI433=(AJ433+AK433)</f>
        <v>1</v>
      </c>
      <c r="AN433" s="65"/>
    </row>
    <row r="434" spans="2:40" ht="13" customHeight="1">
      <c r="B434" s="119"/>
      <c r="C434" s="159">
        <f t="shared" ref="C434:C457" si="278">IF(D434&lt;=15,$C$1,$C$2)</f>
        <v>2026092</v>
      </c>
      <c r="D434" s="23">
        <v>16</v>
      </c>
      <c r="E434" s="128">
        <v>0</v>
      </c>
      <c r="F434" s="126" t="e">
        <f>VLOOKUP(E434,'Códigos bancos'!$B$4:$C$29,2,0)</f>
        <v>#N/A</v>
      </c>
      <c r="G434" s="36">
        <v>1</v>
      </c>
      <c r="H434" s="126" t="str">
        <f>VLOOKUP(G434,'Códigos bancos'!$F$4:$G$14,2,0)</f>
        <v>Oficinas</v>
      </c>
      <c r="I434" s="130"/>
      <c r="J434" s="174">
        <v>0</v>
      </c>
      <c r="K434" s="174">
        <v>0</v>
      </c>
      <c r="L434" s="174">
        <v>0</v>
      </c>
      <c r="M434" s="174">
        <v>0</v>
      </c>
      <c r="N434" s="174">
        <v>0</v>
      </c>
      <c r="O434" s="174">
        <v>0</v>
      </c>
      <c r="P434" s="174">
        <v>0</v>
      </c>
      <c r="Q434" s="174">
        <v>0</v>
      </c>
      <c r="R434" s="174">
        <v>0</v>
      </c>
      <c r="S434" s="215">
        <v>0</v>
      </c>
      <c r="T434" s="71">
        <f t="shared" ref="T434:T457" si="279">J434+L434+N434+P434+R434</f>
        <v>0</v>
      </c>
      <c r="U434" s="71">
        <f t="shared" ref="U434:U448" si="280">K434+M434+O434+Q434+S434</f>
        <v>0</v>
      </c>
      <c r="V434" s="117">
        <v>0</v>
      </c>
      <c r="W434" s="117">
        <v>0</v>
      </c>
      <c r="X434" s="71">
        <f t="shared" ref="X434:X457" si="281">V434-T434</f>
        <v>0</v>
      </c>
      <c r="Y434" s="71">
        <f t="shared" ref="Y434:Y457" si="282">W434-U434</f>
        <v>0</v>
      </c>
      <c r="AA434" s="65"/>
      <c r="AC434" s="71">
        <f t="shared" ref="AC434:AC457" si="283">X434</f>
        <v>0</v>
      </c>
      <c r="AD434" s="39"/>
      <c r="AE434" s="7"/>
      <c r="AF434" s="15"/>
      <c r="AG434" s="71" t="b">
        <f t="shared" ref="AG434:AG457" si="284">AC434=(AD434+AE434+AF434)</f>
        <v>1</v>
      </c>
      <c r="AI434" s="71">
        <f t="shared" ref="AI434:AI457" si="285">Y434</f>
        <v>0</v>
      </c>
      <c r="AJ434" s="39"/>
      <c r="AK434" s="15"/>
      <c r="AL434" s="71" t="b">
        <f t="shared" ref="AL434:AL457" si="286">AI434=(AJ434+AK434)</f>
        <v>1</v>
      </c>
      <c r="AN434" s="65"/>
    </row>
    <row r="435" spans="2:40" ht="13" customHeight="1">
      <c r="B435" s="119"/>
      <c r="C435" s="159">
        <f t="shared" si="278"/>
        <v>2026092</v>
      </c>
      <c r="D435" s="23">
        <v>16</v>
      </c>
      <c r="E435" s="128">
        <v>0</v>
      </c>
      <c r="F435" s="126" t="e">
        <f>VLOOKUP(E435,'Códigos bancos'!$B$4:$C$29,2,0)</f>
        <v>#N/A</v>
      </c>
      <c r="G435" s="36">
        <v>1</v>
      </c>
      <c r="H435" s="126" t="str">
        <f>VLOOKUP(G435,'Códigos bancos'!$F$4:$G$14,2,0)</f>
        <v>Oficinas</v>
      </c>
      <c r="I435" s="130"/>
      <c r="J435" s="174">
        <v>0</v>
      </c>
      <c r="K435" s="174">
        <v>0</v>
      </c>
      <c r="L435" s="174">
        <v>0</v>
      </c>
      <c r="M435" s="174">
        <v>0</v>
      </c>
      <c r="N435" s="174">
        <v>0</v>
      </c>
      <c r="O435" s="174">
        <v>0</v>
      </c>
      <c r="P435" s="174">
        <v>0</v>
      </c>
      <c r="Q435" s="174">
        <v>0</v>
      </c>
      <c r="R435" s="174">
        <v>0</v>
      </c>
      <c r="S435" s="215">
        <v>0</v>
      </c>
      <c r="T435" s="71">
        <f t="shared" si="279"/>
        <v>0</v>
      </c>
      <c r="U435" s="71">
        <f t="shared" si="280"/>
        <v>0</v>
      </c>
      <c r="V435" s="117">
        <v>0</v>
      </c>
      <c r="W435" s="117">
        <v>0</v>
      </c>
      <c r="X435" s="71">
        <f t="shared" si="281"/>
        <v>0</v>
      </c>
      <c r="Y435" s="71">
        <f t="shared" si="282"/>
        <v>0</v>
      </c>
      <c r="AA435" s="65"/>
      <c r="AC435" s="71">
        <f t="shared" si="283"/>
        <v>0</v>
      </c>
      <c r="AD435" s="45"/>
      <c r="AE435" s="14"/>
      <c r="AF435" s="46"/>
      <c r="AG435" s="71" t="b">
        <f t="shared" si="284"/>
        <v>1</v>
      </c>
      <c r="AI435" s="71">
        <f t="shared" si="285"/>
        <v>0</v>
      </c>
      <c r="AJ435" s="45"/>
      <c r="AK435" s="46"/>
      <c r="AL435" s="71" t="b">
        <f t="shared" si="286"/>
        <v>1</v>
      </c>
      <c r="AN435" s="65"/>
    </row>
    <row r="436" spans="2:40" ht="13" customHeight="1">
      <c r="B436" s="119"/>
      <c r="C436" s="159">
        <f t="shared" si="278"/>
        <v>2026092</v>
      </c>
      <c r="D436" s="23">
        <v>16</v>
      </c>
      <c r="E436" s="128">
        <v>0</v>
      </c>
      <c r="F436" s="126" t="e">
        <f>VLOOKUP(E436,'Códigos bancos'!$B$4:$C$29,2,0)</f>
        <v>#N/A</v>
      </c>
      <c r="G436" s="36">
        <v>1</v>
      </c>
      <c r="H436" s="126" t="str">
        <f>VLOOKUP(G436,'Códigos bancos'!$F$4:$G$14,2,0)</f>
        <v>Oficinas</v>
      </c>
      <c r="I436" s="130"/>
      <c r="J436" s="174">
        <v>0</v>
      </c>
      <c r="K436" s="174">
        <v>0</v>
      </c>
      <c r="L436" s="174">
        <v>0</v>
      </c>
      <c r="M436" s="174">
        <v>0</v>
      </c>
      <c r="N436" s="174">
        <v>0</v>
      </c>
      <c r="O436" s="174">
        <v>0</v>
      </c>
      <c r="P436" s="174">
        <v>0</v>
      </c>
      <c r="Q436" s="174">
        <v>0</v>
      </c>
      <c r="R436" s="174">
        <v>0</v>
      </c>
      <c r="S436" s="215">
        <v>0</v>
      </c>
      <c r="T436" s="71">
        <f t="shared" si="279"/>
        <v>0</v>
      </c>
      <c r="U436" s="71">
        <f t="shared" si="280"/>
        <v>0</v>
      </c>
      <c r="V436" s="117">
        <v>0</v>
      </c>
      <c r="W436" s="117">
        <v>0</v>
      </c>
      <c r="X436" s="71">
        <f t="shared" si="281"/>
        <v>0</v>
      </c>
      <c r="Y436" s="71">
        <f t="shared" si="282"/>
        <v>0</v>
      </c>
      <c r="AA436" s="65"/>
      <c r="AC436" s="71">
        <f t="shared" si="283"/>
        <v>0</v>
      </c>
      <c r="AD436" s="39"/>
      <c r="AE436" s="7"/>
      <c r="AF436" s="15"/>
      <c r="AG436" s="71" t="b">
        <f t="shared" si="284"/>
        <v>1</v>
      </c>
      <c r="AI436" s="71">
        <f t="shared" si="285"/>
        <v>0</v>
      </c>
      <c r="AJ436" s="39"/>
      <c r="AK436" s="15"/>
      <c r="AL436" s="71" t="b">
        <f t="shared" si="286"/>
        <v>1</v>
      </c>
      <c r="AN436" s="65"/>
    </row>
    <row r="437" spans="2:40" ht="13" customHeight="1">
      <c r="B437" s="119"/>
      <c r="C437" s="159">
        <f t="shared" si="278"/>
        <v>2026092</v>
      </c>
      <c r="D437" s="23">
        <v>16</v>
      </c>
      <c r="E437" s="128">
        <v>0</v>
      </c>
      <c r="F437" s="126" t="e">
        <f>VLOOKUP(E437,'Códigos bancos'!$B$4:$C$29,2,0)</f>
        <v>#N/A</v>
      </c>
      <c r="G437" s="36">
        <v>1</v>
      </c>
      <c r="H437" s="126" t="str">
        <f>VLOOKUP(G437,'Códigos bancos'!$F$4:$G$14,2,0)</f>
        <v>Oficinas</v>
      </c>
      <c r="I437" s="130"/>
      <c r="J437" s="174">
        <v>0</v>
      </c>
      <c r="K437" s="174">
        <v>0</v>
      </c>
      <c r="L437" s="174">
        <v>0</v>
      </c>
      <c r="M437" s="174">
        <v>0</v>
      </c>
      <c r="N437" s="174">
        <v>0</v>
      </c>
      <c r="O437" s="174">
        <v>0</v>
      </c>
      <c r="P437" s="174">
        <v>0</v>
      </c>
      <c r="Q437" s="174">
        <v>0</v>
      </c>
      <c r="R437" s="174">
        <v>0</v>
      </c>
      <c r="S437" s="215">
        <v>0</v>
      </c>
      <c r="T437" s="71">
        <f t="shared" si="279"/>
        <v>0</v>
      </c>
      <c r="U437" s="71">
        <f t="shared" si="280"/>
        <v>0</v>
      </c>
      <c r="V437" s="117">
        <v>0</v>
      </c>
      <c r="W437" s="117">
        <v>0</v>
      </c>
      <c r="X437" s="71">
        <f t="shared" si="281"/>
        <v>0</v>
      </c>
      <c r="Y437" s="71">
        <f t="shared" si="282"/>
        <v>0</v>
      </c>
      <c r="AA437" s="65"/>
      <c r="AC437" s="71">
        <f t="shared" si="283"/>
        <v>0</v>
      </c>
      <c r="AD437" s="39"/>
      <c r="AE437" s="7"/>
      <c r="AF437" s="15"/>
      <c r="AG437" s="71" t="b">
        <f t="shared" si="284"/>
        <v>1</v>
      </c>
      <c r="AI437" s="71">
        <f t="shared" si="285"/>
        <v>0</v>
      </c>
      <c r="AJ437" s="39"/>
      <c r="AK437" s="15"/>
      <c r="AL437" s="71" t="b">
        <f t="shared" si="286"/>
        <v>1</v>
      </c>
      <c r="AN437" s="65"/>
    </row>
    <row r="438" spans="2:40" ht="13" customHeight="1">
      <c r="B438" s="119"/>
      <c r="C438" s="159">
        <f t="shared" si="278"/>
        <v>2026092</v>
      </c>
      <c r="D438" s="23">
        <v>16</v>
      </c>
      <c r="E438" s="128">
        <v>0</v>
      </c>
      <c r="F438" s="126" t="e">
        <f>VLOOKUP(E438,'Códigos bancos'!$B$4:$C$29,2,0)</f>
        <v>#N/A</v>
      </c>
      <c r="G438" s="36">
        <v>1</v>
      </c>
      <c r="H438" s="126" t="str">
        <f>VLOOKUP(G438,'Códigos bancos'!$F$4:$G$14,2,0)</f>
        <v>Oficinas</v>
      </c>
      <c r="I438" s="130"/>
      <c r="J438" s="174">
        <v>0</v>
      </c>
      <c r="K438" s="174">
        <v>0</v>
      </c>
      <c r="L438" s="174">
        <v>0</v>
      </c>
      <c r="M438" s="174">
        <v>0</v>
      </c>
      <c r="N438" s="174">
        <v>0</v>
      </c>
      <c r="O438" s="174">
        <v>0</v>
      </c>
      <c r="P438" s="174">
        <v>0</v>
      </c>
      <c r="Q438" s="174">
        <v>0</v>
      </c>
      <c r="R438" s="174">
        <v>0</v>
      </c>
      <c r="S438" s="215">
        <v>0</v>
      </c>
      <c r="T438" s="71">
        <f t="shared" si="279"/>
        <v>0</v>
      </c>
      <c r="U438" s="71">
        <f t="shared" si="280"/>
        <v>0</v>
      </c>
      <c r="V438" s="117">
        <v>0</v>
      </c>
      <c r="W438" s="117">
        <v>0</v>
      </c>
      <c r="X438" s="71">
        <f t="shared" si="281"/>
        <v>0</v>
      </c>
      <c r="Y438" s="71">
        <f t="shared" si="282"/>
        <v>0</v>
      </c>
      <c r="AA438" s="65"/>
      <c r="AC438" s="71">
        <f t="shared" si="283"/>
        <v>0</v>
      </c>
      <c r="AD438" s="39"/>
      <c r="AE438" s="7"/>
      <c r="AF438" s="15"/>
      <c r="AG438" s="71" t="b">
        <f t="shared" si="284"/>
        <v>1</v>
      </c>
      <c r="AI438" s="71">
        <f t="shared" si="285"/>
        <v>0</v>
      </c>
      <c r="AJ438" s="39"/>
      <c r="AK438" s="15"/>
      <c r="AL438" s="71" t="b">
        <f t="shared" si="286"/>
        <v>1</v>
      </c>
      <c r="AN438" s="65"/>
    </row>
    <row r="439" spans="2:40" ht="13" customHeight="1">
      <c r="B439" s="119"/>
      <c r="C439" s="159">
        <f t="shared" si="278"/>
        <v>2026092</v>
      </c>
      <c r="D439" s="23">
        <v>16</v>
      </c>
      <c r="E439" s="128">
        <v>0</v>
      </c>
      <c r="F439" s="126" t="e">
        <f>VLOOKUP(E439,'Códigos bancos'!$B$4:$C$29,2,0)</f>
        <v>#N/A</v>
      </c>
      <c r="G439" s="36">
        <v>1</v>
      </c>
      <c r="H439" s="126" t="str">
        <f>VLOOKUP(G439,'Códigos bancos'!$F$4:$G$14,2,0)</f>
        <v>Oficinas</v>
      </c>
      <c r="I439" s="130"/>
      <c r="J439" s="174">
        <v>0</v>
      </c>
      <c r="K439" s="174">
        <v>0</v>
      </c>
      <c r="L439" s="174">
        <v>0</v>
      </c>
      <c r="M439" s="174">
        <v>0</v>
      </c>
      <c r="N439" s="174">
        <v>0</v>
      </c>
      <c r="O439" s="174">
        <v>0</v>
      </c>
      <c r="P439" s="174">
        <v>0</v>
      </c>
      <c r="Q439" s="174">
        <v>0</v>
      </c>
      <c r="R439" s="174">
        <v>0</v>
      </c>
      <c r="S439" s="215">
        <v>0</v>
      </c>
      <c r="T439" s="71">
        <f t="shared" si="279"/>
        <v>0</v>
      </c>
      <c r="U439" s="71">
        <f t="shared" si="280"/>
        <v>0</v>
      </c>
      <c r="V439" s="117">
        <v>0</v>
      </c>
      <c r="W439" s="117">
        <v>0</v>
      </c>
      <c r="X439" s="71">
        <f t="shared" si="281"/>
        <v>0</v>
      </c>
      <c r="Y439" s="71">
        <f t="shared" si="282"/>
        <v>0</v>
      </c>
      <c r="AA439" s="65"/>
      <c r="AC439" s="71">
        <f t="shared" si="283"/>
        <v>0</v>
      </c>
      <c r="AD439" s="39"/>
      <c r="AE439" s="7"/>
      <c r="AF439" s="15"/>
      <c r="AG439" s="71" t="b">
        <f t="shared" si="284"/>
        <v>1</v>
      </c>
      <c r="AI439" s="71">
        <f t="shared" si="285"/>
        <v>0</v>
      </c>
      <c r="AJ439" s="39"/>
      <c r="AK439" s="15"/>
      <c r="AL439" s="71" t="b">
        <f t="shared" si="286"/>
        <v>1</v>
      </c>
      <c r="AN439" s="65"/>
    </row>
    <row r="440" spans="2:40" ht="13" customHeight="1">
      <c r="B440" s="119"/>
      <c r="C440" s="159">
        <f t="shared" si="278"/>
        <v>2026092</v>
      </c>
      <c r="D440" s="23">
        <v>16</v>
      </c>
      <c r="E440" s="128">
        <v>0</v>
      </c>
      <c r="F440" s="126" t="e">
        <f>VLOOKUP(E440,'Códigos bancos'!$B$4:$C$29,2,0)</f>
        <v>#N/A</v>
      </c>
      <c r="G440" s="36">
        <v>1</v>
      </c>
      <c r="H440" s="126" t="str">
        <f>VLOOKUP(G440,'Códigos bancos'!$F$4:$G$14,2,0)</f>
        <v>Oficinas</v>
      </c>
      <c r="I440" s="130"/>
      <c r="J440" s="174">
        <v>0</v>
      </c>
      <c r="K440" s="174">
        <v>0</v>
      </c>
      <c r="L440" s="174">
        <v>0</v>
      </c>
      <c r="M440" s="174">
        <v>0</v>
      </c>
      <c r="N440" s="174">
        <v>0</v>
      </c>
      <c r="O440" s="174">
        <v>0</v>
      </c>
      <c r="P440" s="174">
        <v>0</v>
      </c>
      <c r="Q440" s="174">
        <v>0</v>
      </c>
      <c r="R440" s="174">
        <v>0</v>
      </c>
      <c r="S440" s="215">
        <v>0</v>
      </c>
      <c r="T440" s="71">
        <f t="shared" si="279"/>
        <v>0</v>
      </c>
      <c r="U440" s="71">
        <f t="shared" si="280"/>
        <v>0</v>
      </c>
      <c r="V440" s="117">
        <v>0</v>
      </c>
      <c r="W440" s="117">
        <v>0</v>
      </c>
      <c r="X440" s="71">
        <f t="shared" si="281"/>
        <v>0</v>
      </c>
      <c r="Y440" s="71">
        <f t="shared" si="282"/>
        <v>0</v>
      </c>
      <c r="AA440" s="65"/>
      <c r="AC440" s="71">
        <f t="shared" si="283"/>
        <v>0</v>
      </c>
      <c r="AD440" s="39"/>
      <c r="AE440" s="7"/>
      <c r="AF440" s="15"/>
      <c r="AG440" s="71" t="b">
        <f t="shared" si="284"/>
        <v>1</v>
      </c>
      <c r="AI440" s="71">
        <f t="shared" si="285"/>
        <v>0</v>
      </c>
      <c r="AJ440" s="39"/>
      <c r="AK440" s="15"/>
      <c r="AL440" s="71" t="b">
        <f t="shared" si="286"/>
        <v>1</v>
      </c>
      <c r="AN440" s="65"/>
    </row>
    <row r="441" spans="2:40" ht="13" customHeight="1">
      <c r="B441" s="119"/>
      <c r="C441" s="159">
        <f t="shared" si="278"/>
        <v>2026092</v>
      </c>
      <c r="D441" s="23">
        <v>16</v>
      </c>
      <c r="E441" s="128">
        <v>0</v>
      </c>
      <c r="F441" s="126" t="e">
        <f>VLOOKUP(E441,'Códigos bancos'!$B$4:$C$29,2,0)</f>
        <v>#N/A</v>
      </c>
      <c r="G441" s="36">
        <v>1</v>
      </c>
      <c r="H441" s="126" t="str">
        <f>VLOOKUP(G441,'Códigos bancos'!$F$4:$G$14,2,0)</f>
        <v>Oficinas</v>
      </c>
      <c r="I441" s="130"/>
      <c r="J441" s="174">
        <v>0</v>
      </c>
      <c r="K441" s="174">
        <v>0</v>
      </c>
      <c r="L441" s="174">
        <v>0</v>
      </c>
      <c r="M441" s="174">
        <v>0</v>
      </c>
      <c r="N441" s="174">
        <v>0</v>
      </c>
      <c r="O441" s="174">
        <v>0</v>
      </c>
      <c r="P441" s="174">
        <v>0</v>
      </c>
      <c r="Q441" s="174">
        <v>0</v>
      </c>
      <c r="R441" s="174">
        <v>0</v>
      </c>
      <c r="S441" s="215">
        <v>0</v>
      </c>
      <c r="T441" s="71">
        <f t="shared" si="279"/>
        <v>0</v>
      </c>
      <c r="U441" s="71">
        <f t="shared" si="280"/>
        <v>0</v>
      </c>
      <c r="V441" s="117">
        <v>0</v>
      </c>
      <c r="W441" s="117">
        <v>0</v>
      </c>
      <c r="X441" s="71">
        <f t="shared" si="281"/>
        <v>0</v>
      </c>
      <c r="Y441" s="71">
        <f t="shared" si="282"/>
        <v>0</v>
      </c>
      <c r="AA441" s="65"/>
      <c r="AC441" s="71">
        <f t="shared" si="283"/>
        <v>0</v>
      </c>
      <c r="AD441" s="39"/>
      <c r="AE441" s="7"/>
      <c r="AF441" s="15"/>
      <c r="AG441" s="71" t="b">
        <f t="shared" si="284"/>
        <v>1</v>
      </c>
      <c r="AI441" s="71">
        <f t="shared" si="285"/>
        <v>0</v>
      </c>
      <c r="AJ441" s="39"/>
      <c r="AK441" s="15"/>
      <c r="AL441" s="71" t="b">
        <f t="shared" si="286"/>
        <v>1</v>
      </c>
      <c r="AN441" s="65"/>
    </row>
    <row r="442" spans="2:40" ht="13" customHeight="1">
      <c r="B442" s="119"/>
      <c r="C442" s="159">
        <f t="shared" si="278"/>
        <v>2026092</v>
      </c>
      <c r="D442" s="23">
        <v>16</v>
      </c>
      <c r="E442" s="128">
        <v>0</v>
      </c>
      <c r="F442" s="126" t="e">
        <f>VLOOKUP(E442,'Códigos bancos'!$B$4:$C$29,2,0)</f>
        <v>#N/A</v>
      </c>
      <c r="G442" s="36">
        <v>1</v>
      </c>
      <c r="H442" s="126" t="str">
        <f>VLOOKUP(G442,'Códigos bancos'!$F$4:$G$14,2,0)</f>
        <v>Oficinas</v>
      </c>
      <c r="I442" s="130"/>
      <c r="J442" s="174">
        <v>0</v>
      </c>
      <c r="K442" s="174">
        <v>0</v>
      </c>
      <c r="L442" s="174">
        <v>0</v>
      </c>
      <c r="M442" s="174">
        <v>0</v>
      </c>
      <c r="N442" s="174">
        <v>0</v>
      </c>
      <c r="O442" s="174">
        <v>0</v>
      </c>
      <c r="P442" s="174">
        <v>0</v>
      </c>
      <c r="Q442" s="174">
        <v>0</v>
      </c>
      <c r="R442" s="174">
        <v>0</v>
      </c>
      <c r="S442" s="215">
        <v>0</v>
      </c>
      <c r="T442" s="71">
        <f t="shared" si="279"/>
        <v>0</v>
      </c>
      <c r="U442" s="71">
        <f t="shared" si="280"/>
        <v>0</v>
      </c>
      <c r="V442" s="117">
        <v>0</v>
      </c>
      <c r="W442" s="117">
        <v>0</v>
      </c>
      <c r="X442" s="71">
        <f t="shared" si="281"/>
        <v>0</v>
      </c>
      <c r="Y442" s="71">
        <f t="shared" si="282"/>
        <v>0</v>
      </c>
      <c r="AA442" s="65"/>
      <c r="AC442" s="71">
        <f t="shared" si="283"/>
        <v>0</v>
      </c>
      <c r="AD442" s="39"/>
      <c r="AE442" s="7"/>
      <c r="AF442" s="15"/>
      <c r="AG442" s="71" t="b">
        <f t="shared" si="284"/>
        <v>1</v>
      </c>
      <c r="AI442" s="71">
        <f t="shared" si="285"/>
        <v>0</v>
      </c>
      <c r="AJ442" s="39"/>
      <c r="AK442" s="15"/>
      <c r="AL442" s="71" t="b">
        <f t="shared" si="286"/>
        <v>1</v>
      </c>
      <c r="AN442" s="65"/>
    </row>
    <row r="443" spans="2:40" ht="13" customHeight="1">
      <c r="B443" s="119"/>
      <c r="C443" s="159">
        <f t="shared" si="278"/>
        <v>2026092</v>
      </c>
      <c r="D443" s="23">
        <v>16</v>
      </c>
      <c r="E443" s="128">
        <v>0</v>
      </c>
      <c r="F443" s="126" t="e">
        <f>VLOOKUP(E443,'Códigos bancos'!$B$4:$C$29,2,0)</f>
        <v>#N/A</v>
      </c>
      <c r="G443" s="36">
        <v>1</v>
      </c>
      <c r="H443" s="126" t="str">
        <f>VLOOKUP(G443,'Códigos bancos'!$F$4:$G$14,2,0)</f>
        <v>Oficinas</v>
      </c>
      <c r="I443" s="130"/>
      <c r="J443" s="174">
        <v>0</v>
      </c>
      <c r="K443" s="174">
        <v>0</v>
      </c>
      <c r="L443" s="174">
        <v>0</v>
      </c>
      <c r="M443" s="174">
        <v>0</v>
      </c>
      <c r="N443" s="174">
        <v>0</v>
      </c>
      <c r="O443" s="174">
        <v>0</v>
      </c>
      <c r="P443" s="174">
        <v>0</v>
      </c>
      <c r="Q443" s="174">
        <v>0</v>
      </c>
      <c r="R443" s="174">
        <v>0</v>
      </c>
      <c r="S443" s="215">
        <v>0</v>
      </c>
      <c r="T443" s="71">
        <f t="shared" si="279"/>
        <v>0</v>
      </c>
      <c r="U443" s="71">
        <f t="shared" si="280"/>
        <v>0</v>
      </c>
      <c r="V443" s="117">
        <v>0</v>
      </c>
      <c r="W443" s="117">
        <v>0</v>
      </c>
      <c r="X443" s="71">
        <f t="shared" si="281"/>
        <v>0</v>
      </c>
      <c r="Y443" s="71">
        <f t="shared" si="282"/>
        <v>0</v>
      </c>
      <c r="AA443" s="65"/>
      <c r="AC443" s="71">
        <f t="shared" si="283"/>
        <v>0</v>
      </c>
      <c r="AD443" s="39"/>
      <c r="AE443" s="7"/>
      <c r="AF443" s="15"/>
      <c r="AG443" s="71" t="b">
        <f t="shared" si="284"/>
        <v>1</v>
      </c>
      <c r="AI443" s="71">
        <f t="shared" si="285"/>
        <v>0</v>
      </c>
      <c r="AJ443" s="39"/>
      <c r="AK443" s="15"/>
      <c r="AL443" s="71" t="b">
        <f t="shared" si="286"/>
        <v>1</v>
      </c>
      <c r="AN443" s="65"/>
    </row>
    <row r="444" spans="2:40" ht="13" customHeight="1">
      <c r="B444" s="119"/>
      <c r="C444" s="159">
        <f t="shared" si="278"/>
        <v>2026092</v>
      </c>
      <c r="D444" s="23">
        <v>16</v>
      </c>
      <c r="E444" s="128">
        <v>0</v>
      </c>
      <c r="F444" s="126" t="e">
        <f>VLOOKUP(E444,'Códigos bancos'!$B$4:$C$29,2,0)</f>
        <v>#N/A</v>
      </c>
      <c r="G444" s="36">
        <v>1</v>
      </c>
      <c r="H444" s="126" t="str">
        <f>VLOOKUP(G444,'Códigos bancos'!$F$4:$G$14,2,0)</f>
        <v>Oficinas</v>
      </c>
      <c r="I444" s="130"/>
      <c r="J444" s="174">
        <v>0</v>
      </c>
      <c r="K444" s="174">
        <v>0</v>
      </c>
      <c r="L444" s="174">
        <v>0</v>
      </c>
      <c r="M444" s="174">
        <v>0</v>
      </c>
      <c r="N444" s="174">
        <v>0</v>
      </c>
      <c r="O444" s="174">
        <v>0</v>
      </c>
      <c r="P444" s="174">
        <v>0</v>
      </c>
      <c r="Q444" s="174">
        <v>0</v>
      </c>
      <c r="R444" s="174">
        <v>0</v>
      </c>
      <c r="S444" s="215">
        <v>0</v>
      </c>
      <c r="T444" s="71">
        <f t="shared" si="279"/>
        <v>0</v>
      </c>
      <c r="U444" s="71">
        <f t="shared" si="280"/>
        <v>0</v>
      </c>
      <c r="V444" s="117">
        <v>0</v>
      </c>
      <c r="W444" s="117">
        <v>0</v>
      </c>
      <c r="X444" s="71">
        <f t="shared" si="281"/>
        <v>0</v>
      </c>
      <c r="Y444" s="71">
        <f t="shared" si="282"/>
        <v>0</v>
      </c>
      <c r="AA444" s="65"/>
      <c r="AC444" s="71">
        <f t="shared" si="283"/>
        <v>0</v>
      </c>
      <c r="AD444" s="39"/>
      <c r="AE444" s="7"/>
      <c r="AF444" s="15"/>
      <c r="AG444" s="71" t="b">
        <f t="shared" si="284"/>
        <v>1</v>
      </c>
      <c r="AI444" s="71">
        <f t="shared" si="285"/>
        <v>0</v>
      </c>
      <c r="AJ444" s="39"/>
      <c r="AK444" s="15"/>
      <c r="AL444" s="71" t="b">
        <f t="shared" si="286"/>
        <v>1</v>
      </c>
      <c r="AN444" s="65"/>
    </row>
    <row r="445" spans="2:40" ht="13" customHeight="1">
      <c r="B445" s="119"/>
      <c r="C445" s="159">
        <f t="shared" si="278"/>
        <v>2026092</v>
      </c>
      <c r="D445" s="23">
        <v>16</v>
      </c>
      <c r="E445" s="128">
        <v>0</v>
      </c>
      <c r="F445" s="126" t="e">
        <f>VLOOKUP(E445,'Códigos bancos'!$B$4:$C$29,2,0)</f>
        <v>#N/A</v>
      </c>
      <c r="G445" s="36">
        <v>1</v>
      </c>
      <c r="H445" s="126" t="str">
        <f>VLOOKUP(G445,'Códigos bancos'!$F$4:$G$14,2,0)</f>
        <v>Oficinas</v>
      </c>
      <c r="I445" s="130"/>
      <c r="J445" s="174">
        <v>0</v>
      </c>
      <c r="K445" s="174">
        <v>0</v>
      </c>
      <c r="L445" s="174">
        <v>0</v>
      </c>
      <c r="M445" s="174">
        <v>0</v>
      </c>
      <c r="N445" s="174">
        <v>0</v>
      </c>
      <c r="O445" s="174">
        <v>0</v>
      </c>
      <c r="P445" s="174">
        <v>0</v>
      </c>
      <c r="Q445" s="174">
        <v>0</v>
      </c>
      <c r="R445" s="174">
        <v>0</v>
      </c>
      <c r="S445" s="215">
        <v>0</v>
      </c>
      <c r="T445" s="71">
        <f t="shared" si="279"/>
        <v>0</v>
      </c>
      <c r="U445" s="71">
        <f t="shared" si="280"/>
        <v>0</v>
      </c>
      <c r="V445" s="117">
        <v>0</v>
      </c>
      <c r="W445" s="117">
        <v>0</v>
      </c>
      <c r="X445" s="71">
        <f t="shared" si="281"/>
        <v>0</v>
      </c>
      <c r="Y445" s="71">
        <f t="shared" si="282"/>
        <v>0</v>
      </c>
      <c r="AA445" s="65"/>
      <c r="AC445" s="71">
        <f t="shared" si="283"/>
        <v>0</v>
      </c>
      <c r="AD445" s="39"/>
      <c r="AE445" s="7"/>
      <c r="AF445" s="15"/>
      <c r="AG445" s="71" t="b">
        <f t="shared" si="284"/>
        <v>1</v>
      </c>
      <c r="AI445" s="71">
        <f t="shared" si="285"/>
        <v>0</v>
      </c>
      <c r="AJ445" s="39"/>
      <c r="AK445" s="15"/>
      <c r="AL445" s="71" t="b">
        <f t="shared" si="286"/>
        <v>1</v>
      </c>
      <c r="AN445" s="65"/>
    </row>
    <row r="446" spans="2:40" ht="13" customHeight="1">
      <c r="B446" s="119"/>
      <c r="C446" s="159">
        <f t="shared" si="278"/>
        <v>2026092</v>
      </c>
      <c r="D446" s="23">
        <v>16</v>
      </c>
      <c r="E446" s="128">
        <v>0</v>
      </c>
      <c r="F446" s="126" t="e">
        <f>VLOOKUP(E446,'Códigos bancos'!$B$4:$C$29,2,0)</f>
        <v>#N/A</v>
      </c>
      <c r="G446" s="36">
        <v>1</v>
      </c>
      <c r="H446" s="126" t="str">
        <f>VLOOKUP(G446,'Códigos bancos'!$F$4:$G$14,2,0)</f>
        <v>Oficinas</v>
      </c>
      <c r="I446" s="130"/>
      <c r="J446" s="174">
        <v>0</v>
      </c>
      <c r="K446" s="174">
        <v>0</v>
      </c>
      <c r="L446" s="174">
        <v>0</v>
      </c>
      <c r="M446" s="174">
        <v>0</v>
      </c>
      <c r="N446" s="174">
        <v>0</v>
      </c>
      <c r="O446" s="174">
        <v>0</v>
      </c>
      <c r="P446" s="174">
        <v>0</v>
      </c>
      <c r="Q446" s="174">
        <v>0</v>
      </c>
      <c r="R446" s="174">
        <v>0</v>
      </c>
      <c r="S446" s="215">
        <v>0</v>
      </c>
      <c r="T446" s="71">
        <f t="shared" si="279"/>
        <v>0</v>
      </c>
      <c r="U446" s="71">
        <f t="shared" si="280"/>
        <v>0</v>
      </c>
      <c r="V446" s="117">
        <v>0</v>
      </c>
      <c r="W446" s="117">
        <v>0</v>
      </c>
      <c r="X446" s="71">
        <f t="shared" si="281"/>
        <v>0</v>
      </c>
      <c r="Y446" s="71">
        <f t="shared" si="282"/>
        <v>0</v>
      </c>
      <c r="AA446" s="65"/>
      <c r="AC446" s="71">
        <f t="shared" si="283"/>
        <v>0</v>
      </c>
      <c r="AD446" s="39"/>
      <c r="AE446" s="7"/>
      <c r="AF446" s="15"/>
      <c r="AG446" s="71" t="b">
        <f t="shared" si="284"/>
        <v>1</v>
      </c>
      <c r="AI446" s="71">
        <f t="shared" si="285"/>
        <v>0</v>
      </c>
      <c r="AJ446" s="39"/>
      <c r="AK446" s="15"/>
      <c r="AL446" s="71" t="b">
        <f t="shared" si="286"/>
        <v>1</v>
      </c>
      <c r="AN446" s="65"/>
    </row>
    <row r="447" spans="2:40" ht="13" customHeight="1">
      <c r="B447" s="119"/>
      <c r="C447" s="159">
        <f t="shared" si="278"/>
        <v>2026092</v>
      </c>
      <c r="D447" s="23">
        <v>16</v>
      </c>
      <c r="E447" s="128">
        <v>0</v>
      </c>
      <c r="F447" s="126" t="e">
        <f>VLOOKUP(E447,'Códigos bancos'!$B$4:$C$29,2,0)</f>
        <v>#N/A</v>
      </c>
      <c r="G447" s="36">
        <v>1</v>
      </c>
      <c r="H447" s="126" t="str">
        <f>VLOOKUP(G447,'Códigos bancos'!$F$4:$G$14,2,0)</f>
        <v>Oficinas</v>
      </c>
      <c r="I447" s="130"/>
      <c r="J447" s="174">
        <v>0</v>
      </c>
      <c r="K447" s="174">
        <v>0</v>
      </c>
      <c r="L447" s="174">
        <v>0</v>
      </c>
      <c r="M447" s="174">
        <v>0</v>
      </c>
      <c r="N447" s="174">
        <v>0</v>
      </c>
      <c r="O447" s="174">
        <v>0</v>
      </c>
      <c r="P447" s="174">
        <v>0</v>
      </c>
      <c r="Q447" s="174">
        <v>0</v>
      </c>
      <c r="R447" s="174">
        <v>0</v>
      </c>
      <c r="S447" s="215">
        <v>0</v>
      </c>
      <c r="T447" s="71">
        <f t="shared" si="279"/>
        <v>0</v>
      </c>
      <c r="U447" s="71">
        <f t="shared" si="280"/>
        <v>0</v>
      </c>
      <c r="V447" s="117">
        <v>0</v>
      </c>
      <c r="W447" s="117">
        <v>0</v>
      </c>
      <c r="X447" s="71">
        <f t="shared" si="281"/>
        <v>0</v>
      </c>
      <c r="Y447" s="71">
        <f t="shared" si="282"/>
        <v>0</v>
      </c>
      <c r="AA447" s="65"/>
      <c r="AC447" s="71">
        <f t="shared" si="283"/>
        <v>0</v>
      </c>
      <c r="AD447" s="39"/>
      <c r="AE447" s="7"/>
      <c r="AF447" s="15"/>
      <c r="AG447" s="71" t="b">
        <f t="shared" si="284"/>
        <v>1</v>
      </c>
      <c r="AI447" s="71">
        <f t="shared" si="285"/>
        <v>0</v>
      </c>
      <c r="AJ447" s="39"/>
      <c r="AK447" s="15"/>
      <c r="AL447" s="71" t="b">
        <f t="shared" si="286"/>
        <v>1</v>
      </c>
      <c r="AN447" s="65"/>
    </row>
    <row r="448" spans="2:40" ht="13" customHeight="1">
      <c r="B448" s="119"/>
      <c r="C448" s="159">
        <f t="shared" si="278"/>
        <v>2026092</v>
      </c>
      <c r="D448" s="23">
        <v>16</v>
      </c>
      <c r="E448" s="128">
        <v>0</v>
      </c>
      <c r="F448" s="126" t="e">
        <f>VLOOKUP(E448,'Códigos bancos'!$B$4:$C$29,2,0)</f>
        <v>#N/A</v>
      </c>
      <c r="G448" s="36">
        <v>1</v>
      </c>
      <c r="H448" s="126" t="str">
        <f>VLOOKUP(G448,'Códigos bancos'!$F$4:$G$14,2,0)</f>
        <v>Oficinas</v>
      </c>
      <c r="I448" s="130"/>
      <c r="J448" s="174">
        <v>0</v>
      </c>
      <c r="K448" s="174">
        <v>0</v>
      </c>
      <c r="L448" s="174">
        <v>0</v>
      </c>
      <c r="M448" s="174">
        <v>0</v>
      </c>
      <c r="N448" s="174">
        <v>0</v>
      </c>
      <c r="O448" s="174">
        <v>0</v>
      </c>
      <c r="P448" s="174">
        <v>0</v>
      </c>
      <c r="Q448" s="174">
        <v>0</v>
      </c>
      <c r="R448" s="174">
        <v>0</v>
      </c>
      <c r="S448" s="215">
        <v>0</v>
      </c>
      <c r="T448" s="71">
        <f t="shared" si="279"/>
        <v>0</v>
      </c>
      <c r="U448" s="71">
        <f t="shared" si="280"/>
        <v>0</v>
      </c>
      <c r="V448" s="117">
        <v>0</v>
      </c>
      <c r="W448" s="117">
        <v>0</v>
      </c>
      <c r="X448" s="71">
        <f t="shared" si="281"/>
        <v>0</v>
      </c>
      <c r="Y448" s="71">
        <f t="shared" si="282"/>
        <v>0</v>
      </c>
      <c r="AA448" s="65"/>
      <c r="AC448" s="71">
        <f t="shared" si="283"/>
        <v>0</v>
      </c>
      <c r="AD448" s="39"/>
      <c r="AE448" s="7"/>
      <c r="AF448" s="15"/>
      <c r="AG448" s="71" t="b">
        <f t="shared" si="284"/>
        <v>1</v>
      </c>
      <c r="AI448" s="71">
        <f t="shared" si="285"/>
        <v>0</v>
      </c>
      <c r="AJ448" s="39"/>
      <c r="AK448" s="15"/>
      <c r="AL448" s="71" t="b">
        <f t="shared" si="286"/>
        <v>1</v>
      </c>
      <c r="AN448" s="65"/>
    </row>
    <row r="449" spans="2:40 16128:16147" ht="13" customHeight="1">
      <c r="B449" s="119"/>
      <c r="C449" s="159">
        <f t="shared" si="278"/>
        <v>2026092</v>
      </c>
      <c r="D449" s="23">
        <v>16</v>
      </c>
      <c r="E449" s="128">
        <v>0</v>
      </c>
      <c r="F449" s="126" t="e">
        <f>VLOOKUP(E449,'Códigos bancos'!$B$4:$C$29,2,0)</f>
        <v>#N/A</v>
      </c>
      <c r="G449" s="36">
        <v>1</v>
      </c>
      <c r="H449" s="126" t="str">
        <f>VLOOKUP(G449,'Códigos bancos'!$F$4:$G$14,2,0)</f>
        <v>Oficinas</v>
      </c>
      <c r="I449" s="130"/>
      <c r="J449" s="174">
        <v>0</v>
      </c>
      <c r="K449" s="174">
        <v>0</v>
      </c>
      <c r="L449" s="174">
        <v>0</v>
      </c>
      <c r="M449" s="174">
        <v>0</v>
      </c>
      <c r="N449" s="174">
        <v>0</v>
      </c>
      <c r="O449" s="174">
        <v>0</v>
      </c>
      <c r="P449" s="174">
        <v>0</v>
      </c>
      <c r="Q449" s="174">
        <v>0</v>
      </c>
      <c r="R449" s="174">
        <v>0</v>
      </c>
      <c r="S449" s="215">
        <v>0</v>
      </c>
      <c r="T449" s="71">
        <f t="shared" si="279"/>
        <v>0</v>
      </c>
      <c r="U449" s="71">
        <f t="shared" ref="U449:U457" si="287">K449+M449+O449+Q449+S449</f>
        <v>0</v>
      </c>
      <c r="V449" s="117">
        <v>0</v>
      </c>
      <c r="W449" s="117">
        <v>0</v>
      </c>
      <c r="X449" s="71">
        <f t="shared" si="281"/>
        <v>0</v>
      </c>
      <c r="Y449" s="71">
        <f t="shared" si="282"/>
        <v>0</v>
      </c>
      <c r="AA449" s="65"/>
      <c r="AC449" s="71">
        <f t="shared" si="283"/>
        <v>0</v>
      </c>
      <c r="AD449" s="39"/>
      <c r="AE449" s="7"/>
      <c r="AF449" s="15"/>
      <c r="AG449" s="71" t="b">
        <f t="shared" si="284"/>
        <v>1</v>
      </c>
      <c r="AI449" s="71">
        <f t="shared" si="285"/>
        <v>0</v>
      </c>
      <c r="AJ449" s="39"/>
      <c r="AK449" s="15"/>
      <c r="AL449" s="71" t="b">
        <f t="shared" si="286"/>
        <v>1</v>
      </c>
      <c r="AN449" s="65"/>
    </row>
    <row r="450" spans="2:40 16128:16147" ht="13" customHeight="1">
      <c r="B450" s="119"/>
      <c r="C450" s="159">
        <f t="shared" si="278"/>
        <v>2026092</v>
      </c>
      <c r="D450" s="23">
        <v>16</v>
      </c>
      <c r="E450" s="128">
        <v>0</v>
      </c>
      <c r="F450" s="126" t="e">
        <f>VLOOKUP(E450,'Códigos bancos'!$B$4:$C$29,2,0)</f>
        <v>#N/A</v>
      </c>
      <c r="G450" s="36">
        <v>1</v>
      </c>
      <c r="H450" s="126" t="str">
        <f>VLOOKUP(G450,'Códigos bancos'!$F$4:$G$14,2,0)</f>
        <v>Oficinas</v>
      </c>
      <c r="I450" s="130"/>
      <c r="J450" s="174">
        <v>0</v>
      </c>
      <c r="K450" s="174">
        <v>0</v>
      </c>
      <c r="L450" s="174">
        <v>0</v>
      </c>
      <c r="M450" s="174">
        <v>0</v>
      </c>
      <c r="N450" s="174">
        <v>0</v>
      </c>
      <c r="O450" s="174">
        <v>0</v>
      </c>
      <c r="P450" s="174">
        <v>0</v>
      </c>
      <c r="Q450" s="174">
        <v>0</v>
      </c>
      <c r="R450" s="174">
        <v>0</v>
      </c>
      <c r="S450" s="215">
        <v>0</v>
      </c>
      <c r="T450" s="71">
        <f t="shared" si="279"/>
        <v>0</v>
      </c>
      <c r="U450" s="71">
        <f t="shared" si="287"/>
        <v>0</v>
      </c>
      <c r="V450" s="117">
        <v>0</v>
      </c>
      <c r="W450" s="117">
        <v>0</v>
      </c>
      <c r="X450" s="71">
        <f t="shared" si="281"/>
        <v>0</v>
      </c>
      <c r="Y450" s="71">
        <f t="shared" si="282"/>
        <v>0</v>
      </c>
      <c r="AA450" s="65"/>
      <c r="AC450" s="71">
        <f t="shared" si="283"/>
        <v>0</v>
      </c>
      <c r="AD450" s="39"/>
      <c r="AE450" s="7"/>
      <c r="AF450" s="15"/>
      <c r="AG450" s="71" t="b">
        <f t="shared" si="284"/>
        <v>1</v>
      </c>
      <c r="AI450" s="71">
        <f t="shared" si="285"/>
        <v>0</v>
      </c>
      <c r="AJ450" s="39"/>
      <c r="AK450" s="15"/>
      <c r="AL450" s="71" t="b">
        <f t="shared" si="286"/>
        <v>1</v>
      </c>
      <c r="AN450" s="65"/>
    </row>
    <row r="451" spans="2:40 16128:16147" ht="13" customHeight="1">
      <c r="B451" s="119"/>
      <c r="C451" s="159">
        <f t="shared" si="278"/>
        <v>2026092</v>
      </c>
      <c r="D451" s="23">
        <v>16</v>
      </c>
      <c r="E451" s="128">
        <v>0</v>
      </c>
      <c r="F451" s="126" t="e">
        <f>VLOOKUP(E451,'Códigos bancos'!$B$4:$C$29,2,0)</f>
        <v>#N/A</v>
      </c>
      <c r="G451" s="36">
        <v>1</v>
      </c>
      <c r="H451" s="126" t="str">
        <f>VLOOKUP(G451,'Códigos bancos'!$F$4:$G$14,2,0)</f>
        <v>Oficinas</v>
      </c>
      <c r="I451" s="130"/>
      <c r="J451" s="174">
        <v>0</v>
      </c>
      <c r="K451" s="174">
        <v>0</v>
      </c>
      <c r="L451" s="174">
        <v>0</v>
      </c>
      <c r="M451" s="174">
        <v>0</v>
      </c>
      <c r="N451" s="174">
        <v>0</v>
      </c>
      <c r="O451" s="174">
        <v>0</v>
      </c>
      <c r="P451" s="174">
        <v>0</v>
      </c>
      <c r="Q451" s="174">
        <v>0</v>
      </c>
      <c r="R451" s="174">
        <v>0</v>
      </c>
      <c r="S451" s="215">
        <v>0</v>
      </c>
      <c r="T451" s="71">
        <f t="shared" si="279"/>
        <v>0</v>
      </c>
      <c r="U451" s="71">
        <f t="shared" si="287"/>
        <v>0</v>
      </c>
      <c r="V451" s="117">
        <v>0</v>
      </c>
      <c r="W451" s="117">
        <v>0</v>
      </c>
      <c r="X451" s="71">
        <f t="shared" si="281"/>
        <v>0</v>
      </c>
      <c r="Y451" s="71">
        <f t="shared" si="282"/>
        <v>0</v>
      </c>
      <c r="AA451" s="65"/>
      <c r="AC451" s="71">
        <f t="shared" si="283"/>
        <v>0</v>
      </c>
      <c r="AD451" s="39"/>
      <c r="AE451" s="7"/>
      <c r="AF451" s="15"/>
      <c r="AG451" s="71" t="b">
        <f t="shared" si="284"/>
        <v>1</v>
      </c>
      <c r="AI451" s="71">
        <f t="shared" si="285"/>
        <v>0</v>
      </c>
      <c r="AJ451" s="39"/>
      <c r="AK451" s="15"/>
      <c r="AL451" s="71" t="b">
        <f t="shared" si="286"/>
        <v>1</v>
      </c>
      <c r="AN451" s="65"/>
    </row>
    <row r="452" spans="2:40 16128:16147" ht="13" customHeight="1">
      <c r="B452" s="119"/>
      <c r="C452" s="159">
        <f t="shared" ref="C452" si="288">IF(D452&lt;=15,$C$1,$C$2)</f>
        <v>2026092</v>
      </c>
      <c r="D452" s="23">
        <v>16</v>
      </c>
      <c r="E452" s="128">
        <v>0</v>
      </c>
      <c r="F452" s="126" t="e">
        <f>VLOOKUP(E452,'Códigos bancos'!$B$4:$C$29,2,0)</f>
        <v>#N/A</v>
      </c>
      <c r="G452" s="36">
        <v>1</v>
      </c>
      <c r="H452" s="126" t="str">
        <f>VLOOKUP(G452,'Códigos bancos'!$F$4:$G$14,2,0)</f>
        <v>Oficinas</v>
      </c>
      <c r="I452" s="130"/>
      <c r="J452" s="174">
        <v>0</v>
      </c>
      <c r="K452" s="174">
        <v>0</v>
      </c>
      <c r="L452" s="174">
        <v>0</v>
      </c>
      <c r="M452" s="174">
        <v>0</v>
      </c>
      <c r="N452" s="174">
        <v>0</v>
      </c>
      <c r="O452" s="174">
        <v>0</v>
      </c>
      <c r="P452" s="174">
        <v>0</v>
      </c>
      <c r="Q452" s="174">
        <v>0</v>
      </c>
      <c r="R452" s="174">
        <v>0</v>
      </c>
      <c r="S452" s="215">
        <v>0</v>
      </c>
      <c r="T452" s="71">
        <f t="shared" ref="T452" si="289">J452+L452+N452+P452+R452</f>
        <v>0</v>
      </c>
      <c r="U452" s="71">
        <f t="shared" ref="U452" si="290">K452+M452+O452+Q452+S452</f>
        <v>0</v>
      </c>
      <c r="V452" s="117">
        <v>0</v>
      </c>
      <c r="W452" s="117">
        <v>0</v>
      </c>
      <c r="X452" s="71">
        <f t="shared" ref="X452" si="291">V452-T452</f>
        <v>0</v>
      </c>
      <c r="Y452" s="71">
        <f t="shared" ref="Y452" si="292">W452-U452</f>
        <v>0</v>
      </c>
      <c r="AA452" s="65"/>
      <c r="AC452" s="71">
        <f t="shared" ref="AC452" si="293">X452</f>
        <v>0</v>
      </c>
      <c r="AD452" s="39"/>
      <c r="AE452" s="7"/>
      <c r="AF452" s="15"/>
      <c r="AG452" s="71" t="b">
        <f t="shared" ref="AG452" si="294">AC452=(AD452+AE452+AF452)</f>
        <v>1</v>
      </c>
      <c r="AI452" s="71">
        <f t="shared" ref="AI452" si="295">Y452</f>
        <v>0</v>
      </c>
      <c r="AJ452" s="39"/>
      <c r="AK452" s="15"/>
      <c r="AL452" s="71" t="b">
        <f t="shared" ref="AL452" si="296">AI452=(AJ452+AK452)</f>
        <v>1</v>
      </c>
      <c r="AN452" s="65"/>
    </row>
    <row r="453" spans="2:40 16128:16147" ht="13" customHeight="1">
      <c r="B453" s="119"/>
      <c r="C453" s="159">
        <f t="shared" si="278"/>
        <v>2026092</v>
      </c>
      <c r="D453" s="23">
        <v>16</v>
      </c>
      <c r="E453" s="128">
        <v>0</v>
      </c>
      <c r="F453" s="126" t="e">
        <f>VLOOKUP(E453,'Códigos bancos'!$B$4:$C$29,2,0)</f>
        <v>#N/A</v>
      </c>
      <c r="G453" s="36">
        <v>1</v>
      </c>
      <c r="H453" s="126" t="str">
        <f>VLOOKUP(G453,'Códigos bancos'!$F$4:$G$14,2,0)</f>
        <v>Oficinas</v>
      </c>
      <c r="I453" s="130"/>
      <c r="J453" s="174">
        <v>0</v>
      </c>
      <c r="K453" s="174">
        <v>0</v>
      </c>
      <c r="L453" s="174">
        <v>0</v>
      </c>
      <c r="M453" s="174">
        <v>0</v>
      </c>
      <c r="N453" s="174">
        <v>0</v>
      </c>
      <c r="O453" s="174">
        <v>0</v>
      </c>
      <c r="P453" s="174">
        <v>0</v>
      </c>
      <c r="Q453" s="174">
        <v>0</v>
      </c>
      <c r="R453" s="174">
        <v>0</v>
      </c>
      <c r="S453" s="215">
        <v>0</v>
      </c>
      <c r="T453" s="71">
        <f t="shared" si="279"/>
        <v>0</v>
      </c>
      <c r="U453" s="71">
        <f t="shared" si="287"/>
        <v>0</v>
      </c>
      <c r="V453" s="117">
        <v>0</v>
      </c>
      <c r="W453" s="117">
        <v>0</v>
      </c>
      <c r="X453" s="71">
        <f t="shared" si="281"/>
        <v>0</v>
      </c>
      <c r="Y453" s="71">
        <f t="shared" si="282"/>
        <v>0</v>
      </c>
      <c r="AA453" s="65"/>
      <c r="AC453" s="71">
        <f t="shared" si="283"/>
        <v>0</v>
      </c>
      <c r="AD453" s="39"/>
      <c r="AE453" s="7"/>
      <c r="AF453" s="15"/>
      <c r="AG453" s="71" t="b">
        <f t="shared" si="284"/>
        <v>1</v>
      </c>
      <c r="AI453" s="71">
        <f t="shared" si="285"/>
        <v>0</v>
      </c>
      <c r="AJ453" s="39"/>
      <c r="AK453" s="15"/>
      <c r="AL453" s="71" t="b">
        <f t="shared" si="286"/>
        <v>1</v>
      </c>
      <c r="AN453" s="65"/>
    </row>
    <row r="454" spans="2:40 16128:16147" ht="13" customHeight="1">
      <c r="B454" s="119"/>
      <c r="C454" s="159">
        <f t="shared" si="278"/>
        <v>2026092</v>
      </c>
      <c r="D454" s="23">
        <v>16</v>
      </c>
      <c r="E454" s="128">
        <v>0</v>
      </c>
      <c r="F454" s="126" t="e">
        <f>VLOOKUP(E454,'Códigos bancos'!$B$4:$C$29,2,0)</f>
        <v>#N/A</v>
      </c>
      <c r="G454" s="36">
        <v>1</v>
      </c>
      <c r="H454" s="126" t="str">
        <f>VLOOKUP(G454,'Códigos bancos'!$F$4:$G$14,2,0)</f>
        <v>Oficinas</v>
      </c>
      <c r="I454" s="130"/>
      <c r="J454" s="174">
        <v>0</v>
      </c>
      <c r="K454" s="174">
        <v>0</v>
      </c>
      <c r="L454" s="174">
        <v>0</v>
      </c>
      <c r="M454" s="174">
        <v>0</v>
      </c>
      <c r="N454" s="174">
        <v>0</v>
      </c>
      <c r="O454" s="174">
        <v>0</v>
      </c>
      <c r="P454" s="174">
        <v>0</v>
      </c>
      <c r="Q454" s="174">
        <v>0</v>
      </c>
      <c r="R454" s="174">
        <v>0</v>
      </c>
      <c r="S454" s="215">
        <v>0</v>
      </c>
      <c r="T454" s="71">
        <f t="shared" si="279"/>
        <v>0</v>
      </c>
      <c r="U454" s="71">
        <f t="shared" si="287"/>
        <v>0</v>
      </c>
      <c r="V454" s="117">
        <v>0</v>
      </c>
      <c r="W454" s="117">
        <v>0</v>
      </c>
      <c r="X454" s="71">
        <f t="shared" si="281"/>
        <v>0</v>
      </c>
      <c r="Y454" s="71">
        <f t="shared" si="282"/>
        <v>0</v>
      </c>
      <c r="AA454" s="65"/>
      <c r="AC454" s="71">
        <f t="shared" si="283"/>
        <v>0</v>
      </c>
      <c r="AD454" s="39"/>
      <c r="AE454" s="7"/>
      <c r="AF454" s="15"/>
      <c r="AG454" s="71" t="b">
        <f t="shared" si="284"/>
        <v>1</v>
      </c>
      <c r="AI454" s="71">
        <f t="shared" si="285"/>
        <v>0</v>
      </c>
      <c r="AJ454" s="39"/>
      <c r="AK454" s="15"/>
      <c r="AL454" s="71" t="b">
        <f t="shared" si="286"/>
        <v>1</v>
      </c>
      <c r="AN454" s="65"/>
    </row>
    <row r="455" spans="2:40 16128:16147" ht="13" customHeight="1">
      <c r="B455" s="119"/>
      <c r="C455" s="159">
        <f t="shared" si="278"/>
        <v>2026092</v>
      </c>
      <c r="D455" s="23">
        <v>16</v>
      </c>
      <c r="E455" s="128">
        <v>0</v>
      </c>
      <c r="F455" s="126" t="e">
        <f>VLOOKUP(E455,'Códigos bancos'!$B$4:$C$29,2,0)</f>
        <v>#N/A</v>
      </c>
      <c r="G455" s="36">
        <v>1</v>
      </c>
      <c r="H455" s="126" t="str">
        <f>VLOOKUP(G455,'Códigos bancos'!$F$4:$G$14,2,0)</f>
        <v>Oficinas</v>
      </c>
      <c r="I455" s="130"/>
      <c r="J455" s="174">
        <v>0</v>
      </c>
      <c r="K455" s="174">
        <v>0</v>
      </c>
      <c r="L455" s="174">
        <v>0</v>
      </c>
      <c r="M455" s="174">
        <v>0</v>
      </c>
      <c r="N455" s="174">
        <v>0</v>
      </c>
      <c r="O455" s="174">
        <v>0</v>
      </c>
      <c r="P455" s="174">
        <v>0</v>
      </c>
      <c r="Q455" s="174">
        <v>0</v>
      </c>
      <c r="R455" s="174">
        <v>0</v>
      </c>
      <c r="S455" s="215">
        <v>0</v>
      </c>
      <c r="T455" s="71">
        <f t="shared" si="279"/>
        <v>0</v>
      </c>
      <c r="U455" s="71">
        <f t="shared" si="287"/>
        <v>0</v>
      </c>
      <c r="V455" s="117">
        <v>0</v>
      </c>
      <c r="W455" s="117">
        <v>0</v>
      </c>
      <c r="X455" s="71">
        <f t="shared" si="281"/>
        <v>0</v>
      </c>
      <c r="Y455" s="71">
        <f t="shared" si="282"/>
        <v>0</v>
      </c>
      <c r="AA455" s="65"/>
      <c r="AC455" s="71">
        <f t="shared" si="283"/>
        <v>0</v>
      </c>
      <c r="AD455" s="39"/>
      <c r="AE455" s="7"/>
      <c r="AF455" s="15"/>
      <c r="AG455" s="71" t="b">
        <f t="shared" si="284"/>
        <v>1</v>
      </c>
      <c r="AI455" s="71">
        <f t="shared" si="285"/>
        <v>0</v>
      </c>
      <c r="AJ455" s="39"/>
      <c r="AK455" s="15"/>
      <c r="AL455" s="71" t="b">
        <f t="shared" si="286"/>
        <v>1</v>
      </c>
      <c r="AN455" s="65"/>
    </row>
    <row r="456" spans="2:40 16128:16147" ht="13" customHeight="1">
      <c r="B456" s="119"/>
      <c r="C456" s="159">
        <f t="shared" si="278"/>
        <v>2026092</v>
      </c>
      <c r="D456" s="23">
        <v>16</v>
      </c>
      <c r="E456" s="128">
        <v>0</v>
      </c>
      <c r="F456" s="126" t="e">
        <f>VLOOKUP(E456,'Códigos bancos'!$B$4:$C$29,2,0)</f>
        <v>#N/A</v>
      </c>
      <c r="G456" s="36">
        <v>1</v>
      </c>
      <c r="H456" s="126" t="str">
        <f>VLOOKUP(G456,'Códigos bancos'!$F$4:$G$14,2,0)</f>
        <v>Oficinas</v>
      </c>
      <c r="I456" s="130"/>
      <c r="J456" s="174">
        <v>0</v>
      </c>
      <c r="K456" s="174">
        <v>0</v>
      </c>
      <c r="L456" s="174">
        <v>0</v>
      </c>
      <c r="M456" s="174">
        <v>0</v>
      </c>
      <c r="N456" s="174">
        <v>0</v>
      </c>
      <c r="O456" s="174">
        <v>0</v>
      </c>
      <c r="P456" s="174">
        <v>0</v>
      </c>
      <c r="Q456" s="174">
        <v>0</v>
      </c>
      <c r="R456" s="174">
        <v>0</v>
      </c>
      <c r="S456" s="215">
        <v>0</v>
      </c>
      <c r="T456" s="71">
        <f>J456+L456+N456+P456+R456</f>
        <v>0</v>
      </c>
      <c r="U456" s="71">
        <f>K456+M456+O456+Q456+S456</f>
        <v>0</v>
      </c>
      <c r="V456" s="117">
        <v>0</v>
      </c>
      <c r="W456" s="117">
        <v>0</v>
      </c>
      <c r="X456" s="71">
        <f>V456-T456</f>
        <v>0</v>
      </c>
      <c r="Y456" s="71">
        <f>W456-U456</f>
        <v>0</v>
      </c>
      <c r="AA456" s="65"/>
      <c r="AC456" s="71">
        <f t="shared" si="283"/>
        <v>0</v>
      </c>
      <c r="AD456" s="39"/>
      <c r="AE456" s="7"/>
      <c r="AF456" s="15"/>
      <c r="AG456" s="71" t="b">
        <f t="shared" si="284"/>
        <v>1</v>
      </c>
      <c r="AI456" s="71">
        <f t="shared" si="285"/>
        <v>0</v>
      </c>
      <c r="AJ456" s="39"/>
      <c r="AK456" s="15"/>
      <c r="AL456" s="71" t="b">
        <f t="shared" si="286"/>
        <v>1</v>
      </c>
      <c r="AN456" s="65"/>
    </row>
    <row r="457" spans="2:40 16128:16147" ht="13" customHeight="1" thickBot="1">
      <c r="B457" s="119"/>
      <c r="C457" s="159">
        <f t="shared" si="278"/>
        <v>2026092</v>
      </c>
      <c r="D457" s="23">
        <v>16</v>
      </c>
      <c r="E457" s="128">
        <v>0</v>
      </c>
      <c r="F457" s="126" t="e">
        <f>VLOOKUP(E457,'Códigos bancos'!$B$4:$C$29,2,0)</f>
        <v>#N/A</v>
      </c>
      <c r="G457" s="36">
        <v>1</v>
      </c>
      <c r="H457" s="126" t="str">
        <f>VLOOKUP(G457,'Códigos bancos'!$F$4:$G$14,2,0)</f>
        <v>Oficinas</v>
      </c>
      <c r="I457" s="130"/>
      <c r="J457" s="174">
        <v>0</v>
      </c>
      <c r="K457" s="174">
        <v>0</v>
      </c>
      <c r="L457" s="174">
        <v>0</v>
      </c>
      <c r="M457" s="174">
        <v>0</v>
      </c>
      <c r="N457" s="174">
        <v>0</v>
      </c>
      <c r="O457" s="174">
        <v>0</v>
      </c>
      <c r="P457" s="174">
        <v>0</v>
      </c>
      <c r="Q457" s="174">
        <v>0</v>
      </c>
      <c r="R457" s="174">
        <v>0</v>
      </c>
      <c r="S457" s="215">
        <v>0</v>
      </c>
      <c r="T457" s="71">
        <f t="shared" si="279"/>
        <v>0</v>
      </c>
      <c r="U457" s="71">
        <f t="shared" si="287"/>
        <v>0</v>
      </c>
      <c r="V457" s="117">
        <v>0</v>
      </c>
      <c r="W457" s="117">
        <v>0</v>
      </c>
      <c r="X457" s="71">
        <f t="shared" si="281"/>
        <v>0</v>
      </c>
      <c r="Y457" s="71">
        <f t="shared" si="282"/>
        <v>0</v>
      </c>
      <c r="AA457" s="65"/>
      <c r="AC457" s="71">
        <f t="shared" si="283"/>
        <v>0</v>
      </c>
      <c r="AD457" s="39"/>
      <c r="AE457" s="7"/>
      <c r="AF457" s="15"/>
      <c r="AG457" s="71" t="b">
        <f t="shared" si="284"/>
        <v>1</v>
      </c>
      <c r="AI457" s="71">
        <f t="shared" si="285"/>
        <v>0</v>
      </c>
      <c r="AJ457" s="39"/>
      <c r="AK457" s="15"/>
      <c r="AL457" s="71" t="b">
        <f t="shared" si="286"/>
        <v>1</v>
      </c>
      <c r="AN457" s="65"/>
    </row>
    <row r="458" spans="2:40 16128:16147" ht="13" customHeight="1" thickBot="1">
      <c r="E458" s="120" t="s">
        <v>0</v>
      </c>
      <c r="F458" s="121" t="s">
        <v>53</v>
      </c>
      <c r="G458" s="121"/>
      <c r="H458" s="121"/>
      <c r="I458" s="121"/>
      <c r="J458" s="122">
        <f t="shared" ref="J458:Y458" si="297">SUM(J433:J457)</f>
        <v>0</v>
      </c>
      <c r="K458" s="122">
        <f t="shared" si="297"/>
        <v>0</v>
      </c>
      <c r="L458" s="122">
        <f t="shared" si="297"/>
        <v>0</v>
      </c>
      <c r="M458" s="122">
        <f t="shared" si="297"/>
        <v>0</v>
      </c>
      <c r="N458" s="122">
        <f t="shared" si="297"/>
        <v>0</v>
      </c>
      <c r="O458" s="122">
        <f t="shared" si="297"/>
        <v>0</v>
      </c>
      <c r="P458" s="122">
        <f t="shared" si="297"/>
        <v>0</v>
      </c>
      <c r="Q458" s="122">
        <f t="shared" si="297"/>
        <v>0</v>
      </c>
      <c r="R458" s="122">
        <f t="shared" si="297"/>
        <v>79</v>
      </c>
      <c r="S458" s="122">
        <f t="shared" si="297"/>
        <v>4025560</v>
      </c>
      <c r="T458" s="122">
        <f t="shared" si="297"/>
        <v>79</v>
      </c>
      <c r="U458" s="122">
        <f t="shared" si="297"/>
        <v>4025560</v>
      </c>
      <c r="V458" s="123">
        <f t="shared" si="297"/>
        <v>79</v>
      </c>
      <c r="W458" s="123">
        <f t="shared" si="297"/>
        <v>4025560</v>
      </c>
      <c r="X458" s="122">
        <f t="shared" si="297"/>
        <v>0</v>
      </c>
      <c r="Y458" s="123">
        <f t="shared" si="297"/>
        <v>0</v>
      </c>
      <c r="AA458" s="65"/>
      <c r="AC458" s="122">
        <f>SUM(AC433:AC457)</f>
        <v>0</v>
      </c>
      <c r="AD458" s="122">
        <f>SUM(AD433:AD457)</f>
        <v>0</v>
      </c>
      <c r="AE458" s="122">
        <f>SUM(AE433:AE457)</f>
        <v>0</v>
      </c>
      <c r="AF458" s="123">
        <f>SUM(AF433:AF457)</f>
        <v>0</v>
      </c>
      <c r="AG458" s="100"/>
      <c r="AI458" s="122">
        <f>SUM(AI433:AI457)</f>
        <v>0</v>
      </c>
      <c r="AJ458" s="122">
        <f>SUM(AJ433:AJ457)</f>
        <v>0</v>
      </c>
      <c r="AK458" s="123">
        <f>SUM(AK433:AK457)</f>
        <v>0</v>
      </c>
      <c r="AL458" s="100"/>
      <c r="AN458" s="65"/>
    </row>
    <row r="459" spans="2:40 16128:16147" ht="13" thickBot="1">
      <c r="AA459" s="65"/>
      <c r="AN459" s="65"/>
    </row>
    <row r="460" spans="2:40 16128:16147" ht="41.25" customHeight="1" thickBot="1">
      <c r="B460" s="112" t="s">
        <v>4</v>
      </c>
      <c r="C460" s="34" t="s">
        <v>6</v>
      </c>
      <c r="D460" s="34" t="s">
        <v>7</v>
      </c>
      <c r="E460" s="34" t="s">
        <v>49</v>
      </c>
      <c r="F460" s="34" t="s">
        <v>50</v>
      </c>
      <c r="G460" s="34" t="s">
        <v>51</v>
      </c>
      <c r="H460" s="34" t="s">
        <v>52</v>
      </c>
      <c r="I460" s="34" t="s">
        <v>13</v>
      </c>
      <c r="J460" s="12" t="s">
        <v>8</v>
      </c>
      <c r="K460" s="12" t="s">
        <v>36</v>
      </c>
      <c r="L460" s="12" t="s">
        <v>9</v>
      </c>
      <c r="M460" s="12" t="s">
        <v>37</v>
      </c>
      <c r="N460" s="87" t="s">
        <v>10</v>
      </c>
      <c r="O460" s="88" t="s">
        <v>38</v>
      </c>
      <c r="P460" s="87" t="s">
        <v>11</v>
      </c>
      <c r="Q460" s="88" t="s">
        <v>39</v>
      </c>
      <c r="R460" s="87" t="s">
        <v>12</v>
      </c>
      <c r="S460" s="88" t="s">
        <v>40</v>
      </c>
      <c r="T460" s="64" t="s">
        <v>41</v>
      </c>
      <c r="U460" s="64" t="s">
        <v>42</v>
      </c>
      <c r="V460" s="35" t="s">
        <v>32</v>
      </c>
      <c r="W460" s="67" t="s">
        <v>35</v>
      </c>
      <c r="X460" s="12" t="s">
        <v>34</v>
      </c>
      <c r="Y460" s="68" t="s">
        <v>33</v>
      </c>
      <c r="AA460" s="66"/>
      <c r="AC460" s="12" t="s">
        <v>34</v>
      </c>
      <c r="AD460" s="12" t="s">
        <v>45</v>
      </c>
      <c r="AE460" s="12" t="s">
        <v>43</v>
      </c>
      <c r="AF460" s="12" t="s">
        <v>44</v>
      </c>
      <c r="AG460" s="12" t="s">
        <v>46</v>
      </c>
      <c r="AI460" s="12" t="s">
        <v>33</v>
      </c>
      <c r="AJ460" s="12" t="s">
        <v>47</v>
      </c>
      <c r="AK460" s="12" t="s">
        <v>48</v>
      </c>
      <c r="AL460" s="12" t="s">
        <v>46</v>
      </c>
      <c r="AN460" s="66"/>
      <c r="WVH460" s="1"/>
      <c r="WVI460" s="1"/>
      <c r="WVZ460"/>
      <c r="WWA460"/>
    </row>
    <row r="461" spans="2:40 16128:16147" ht="13" customHeight="1">
      <c r="B461" s="119" t="s">
        <v>79</v>
      </c>
      <c r="C461" s="158">
        <f>IF(D461&lt;=15,$C$1,$C$2)</f>
        <v>2026092</v>
      </c>
      <c r="D461" s="24">
        <v>17</v>
      </c>
      <c r="E461" s="127">
        <v>20</v>
      </c>
      <c r="F461" s="125" t="str">
        <f>VLOOKUP(E461,'Códigos bancos'!$B$4:$C$29,2,0)</f>
        <v>Bancolombia ENERBIT</v>
      </c>
      <c r="G461" s="18">
        <v>1</v>
      </c>
      <c r="H461" s="125" t="str">
        <f>VLOOKUP(G461,'Códigos bancos'!$F$4:$G$14,2,0)</f>
        <v>Oficinas</v>
      </c>
      <c r="I461" s="129"/>
      <c r="J461" s="213">
        <v>0</v>
      </c>
      <c r="K461" s="213">
        <v>0</v>
      </c>
      <c r="L461" s="213">
        <v>0</v>
      </c>
      <c r="M461" s="213">
        <v>0</v>
      </c>
      <c r="N461" s="213">
        <v>0</v>
      </c>
      <c r="O461" s="213">
        <v>0</v>
      </c>
      <c r="P461" s="213">
        <v>0</v>
      </c>
      <c r="Q461" s="213">
        <v>0</v>
      </c>
      <c r="R461" s="174">
        <f>47+1</f>
        <v>48</v>
      </c>
      <c r="S461" s="215">
        <f>3477560+27470</f>
        <v>3505030</v>
      </c>
      <c r="T461" s="70">
        <f>J461+L461+N461+P461+R461</f>
        <v>48</v>
      </c>
      <c r="U461" s="70">
        <f>K461+M461+O461+Q461+S461</f>
        <v>3505030</v>
      </c>
      <c r="V461" s="174">
        <f>47+1</f>
        <v>48</v>
      </c>
      <c r="W461" s="215">
        <f>3477560+27470</f>
        <v>3505030</v>
      </c>
      <c r="X461" s="70">
        <f>V461-T461</f>
        <v>0</v>
      </c>
      <c r="Y461" s="70">
        <f>W461-U461</f>
        <v>0</v>
      </c>
      <c r="AA461" s="65"/>
      <c r="AC461" s="124">
        <f>X461</f>
        <v>0</v>
      </c>
      <c r="AD461" s="115"/>
      <c r="AE461" s="16"/>
      <c r="AF461" s="114"/>
      <c r="AG461" s="124" t="b">
        <f>AC461=(AD461+AE461+AF461)</f>
        <v>1</v>
      </c>
      <c r="AI461" s="70">
        <f>Y461</f>
        <v>0</v>
      </c>
      <c r="AJ461" s="115"/>
      <c r="AK461" s="114"/>
      <c r="AL461" s="70" t="b">
        <f>AI461=(AJ461+AK461)</f>
        <v>1</v>
      </c>
      <c r="AN461" s="65"/>
    </row>
    <row r="462" spans="2:40 16128:16147" ht="13" customHeight="1">
      <c r="B462" s="119"/>
      <c r="C462" s="159">
        <f t="shared" ref="C462:C485" si="298">IF(D462&lt;=15,$C$1,$C$2)</f>
        <v>2026092</v>
      </c>
      <c r="D462" s="23">
        <v>17</v>
      </c>
      <c r="E462" s="128">
        <v>0</v>
      </c>
      <c r="F462" s="126" t="e">
        <f>VLOOKUP(E462,'Códigos bancos'!$B$4:$C$29,2,0)</f>
        <v>#N/A</v>
      </c>
      <c r="G462" s="36">
        <v>1</v>
      </c>
      <c r="H462" s="126" t="str">
        <f>VLOOKUP(G462,'Códigos bancos'!$F$4:$G$14,2,0)</f>
        <v>Oficinas</v>
      </c>
      <c r="I462" s="130"/>
      <c r="J462" s="174">
        <v>0</v>
      </c>
      <c r="K462" s="174">
        <v>0</v>
      </c>
      <c r="L462" s="174">
        <v>0</v>
      </c>
      <c r="M462" s="174">
        <v>0</v>
      </c>
      <c r="N462" s="174">
        <v>0</v>
      </c>
      <c r="O462" s="174">
        <v>0</v>
      </c>
      <c r="P462" s="174">
        <v>0</v>
      </c>
      <c r="Q462" s="174">
        <v>0</v>
      </c>
      <c r="R462" s="174">
        <v>0</v>
      </c>
      <c r="S462" s="215">
        <v>0</v>
      </c>
      <c r="T462" s="71">
        <f t="shared" ref="T462:T485" si="299">J462+L462+N462+P462+R462</f>
        <v>0</v>
      </c>
      <c r="U462" s="71">
        <f t="shared" ref="U462:U485" si="300">K462+M462+O462+Q462+S462</f>
        <v>0</v>
      </c>
      <c r="V462" s="117">
        <v>0</v>
      </c>
      <c r="W462" s="117">
        <v>0</v>
      </c>
      <c r="X462" s="71">
        <f t="shared" ref="X462:X485" si="301">V462-T462</f>
        <v>0</v>
      </c>
      <c r="Y462" s="71">
        <f t="shared" ref="Y462:Y485" si="302">W462-U462</f>
        <v>0</v>
      </c>
      <c r="AA462" s="65"/>
      <c r="AC462" s="71">
        <f t="shared" ref="AC462:AC485" si="303">X462</f>
        <v>0</v>
      </c>
      <c r="AD462" s="39"/>
      <c r="AE462" s="7"/>
      <c r="AF462" s="15"/>
      <c r="AG462" s="71" t="b">
        <f t="shared" ref="AG462:AG485" si="304">AC462=(AD462+AE462+AF462)</f>
        <v>1</v>
      </c>
      <c r="AI462" s="71">
        <f t="shared" ref="AI462:AI485" si="305">Y462</f>
        <v>0</v>
      </c>
      <c r="AJ462" s="39"/>
      <c r="AK462" s="15"/>
      <c r="AL462" s="71" t="b">
        <f t="shared" ref="AL462:AL485" si="306">AI462=(AJ462+AK462)</f>
        <v>1</v>
      </c>
      <c r="AN462" s="65"/>
    </row>
    <row r="463" spans="2:40 16128:16147" ht="13" customHeight="1">
      <c r="B463" s="119"/>
      <c r="C463" s="159">
        <f t="shared" si="298"/>
        <v>2026092</v>
      </c>
      <c r="D463" s="23">
        <v>17</v>
      </c>
      <c r="E463" s="128">
        <v>0</v>
      </c>
      <c r="F463" s="126" t="e">
        <f>VLOOKUP(E463,'Códigos bancos'!$B$4:$C$29,2,0)</f>
        <v>#N/A</v>
      </c>
      <c r="G463" s="36">
        <v>1</v>
      </c>
      <c r="H463" s="126" t="str">
        <f>VLOOKUP(G463,'Códigos bancos'!$F$4:$G$14,2,0)</f>
        <v>Oficinas</v>
      </c>
      <c r="I463" s="130"/>
      <c r="J463" s="174">
        <v>0</v>
      </c>
      <c r="K463" s="174">
        <v>0</v>
      </c>
      <c r="L463" s="174">
        <v>0</v>
      </c>
      <c r="M463" s="174">
        <v>0</v>
      </c>
      <c r="N463" s="174">
        <v>0</v>
      </c>
      <c r="O463" s="174">
        <v>0</v>
      </c>
      <c r="P463" s="174">
        <v>0</v>
      </c>
      <c r="Q463" s="174">
        <v>0</v>
      </c>
      <c r="R463" s="174">
        <v>0</v>
      </c>
      <c r="S463" s="215">
        <v>0</v>
      </c>
      <c r="T463" s="71">
        <f t="shared" si="299"/>
        <v>0</v>
      </c>
      <c r="U463" s="71">
        <f t="shared" si="300"/>
        <v>0</v>
      </c>
      <c r="V463" s="117">
        <v>0</v>
      </c>
      <c r="W463" s="117">
        <v>0</v>
      </c>
      <c r="X463" s="71">
        <f t="shared" si="301"/>
        <v>0</v>
      </c>
      <c r="Y463" s="71">
        <f t="shared" si="302"/>
        <v>0</v>
      </c>
      <c r="AA463" s="65"/>
      <c r="AC463" s="71">
        <f t="shared" si="303"/>
        <v>0</v>
      </c>
      <c r="AD463" s="45"/>
      <c r="AE463" s="14"/>
      <c r="AF463" s="46"/>
      <c r="AG463" s="71" t="b">
        <f t="shared" si="304"/>
        <v>1</v>
      </c>
      <c r="AI463" s="71">
        <f t="shared" si="305"/>
        <v>0</v>
      </c>
      <c r="AJ463" s="45"/>
      <c r="AK463" s="46"/>
      <c r="AL463" s="71" t="b">
        <f t="shared" si="306"/>
        <v>1</v>
      </c>
      <c r="AN463" s="65"/>
    </row>
    <row r="464" spans="2:40 16128:16147" ht="13" customHeight="1">
      <c r="B464" s="119"/>
      <c r="C464" s="159">
        <f t="shared" si="298"/>
        <v>2026092</v>
      </c>
      <c r="D464" s="23">
        <v>17</v>
      </c>
      <c r="E464" s="128">
        <v>0</v>
      </c>
      <c r="F464" s="126" t="e">
        <f>VLOOKUP(E464,'Códigos bancos'!$B$4:$C$29,2,0)</f>
        <v>#N/A</v>
      </c>
      <c r="G464" s="36">
        <v>1</v>
      </c>
      <c r="H464" s="126" t="str">
        <f>VLOOKUP(G464,'Códigos bancos'!$F$4:$G$14,2,0)</f>
        <v>Oficinas</v>
      </c>
      <c r="I464" s="130"/>
      <c r="J464" s="174">
        <v>0</v>
      </c>
      <c r="K464" s="174">
        <v>0</v>
      </c>
      <c r="L464" s="174">
        <v>0</v>
      </c>
      <c r="M464" s="174">
        <v>0</v>
      </c>
      <c r="N464" s="174">
        <v>0</v>
      </c>
      <c r="O464" s="174">
        <v>0</v>
      </c>
      <c r="P464" s="174">
        <v>0</v>
      </c>
      <c r="Q464" s="174">
        <v>0</v>
      </c>
      <c r="R464" s="174">
        <v>0</v>
      </c>
      <c r="S464" s="215">
        <v>0</v>
      </c>
      <c r="T464" s="71">
        <f t="shared" si="299"/>
        <v>0</v>
      </c>
      <c r="U464" s="71">
        <f t="shared" si="300"/>
        <v>0</v>
      </c>
      <c r="V464" s="117">
        <v>0</v>
      </c>
      <c r="W464" s="117">
        <v>0</v>
      </c>
      <c r="X464" s="71">
        <f t="shared" si="301"/>
        <v>0</v>
      </c>
      <c r="Y464" s="71">
        <f t="shared" si="302"/>
        <v>0</v>
      </c>
      <c r="AA464" s="65"/>
      <c r="AC464" s="71">
        <f t="shared" si="303"/>
        <v>0</v>
      </c>
      <c r="AD464" s="39"/>
      <c r="AE464" s="7"/>
      <c r="AF464" s="15"/>
      <c r="AG464" s="71" t="b">
        <f t="shared" si="304"/>
        <v>1</v>
      </c>
      <c r="AI464" s="71">
        <f t="shared" si="305"/>
        <v>0</v>
      </c>
      <c r="AJ464" s="39"/>
      <c r="AK464" s="15"/>
      <c r="AL464" s="71" t="b">
        <f t="shared" si="306"/>
        <v>1</v>
      </c>
      <c r="AN464" s="65"/>
    </row>
    <row r="465" spans="2:40" ht="13" customHeight="1">
      <c r="B465" s="119"/>
      <c r="C465" s="159">
        <f t="shared" si="298"/>
        <v>2026092</v>
      </c>
      <c r="D465" s="23">
        <v>17</v>
      </c>
      <c r="E465" s="128">
        <v>0</v>
      </c>
      <c r="F465" s="126" t="e">
        <f>VLOOKUP(E465,'Códigos bancos'!$B$4:$C$29,2,0)</f>
        <v>#N/A</v>
      </c>
      <c r="G465" s="36">
        <v>1</v>
      </c>
      <c r="H465" s="126" t="str">
        <f>VLOOKUP(G465,'Códigos bancos'!$F$4:$G$14,2,0)</f>
        <v>Oficinas</v>
      </c>
      <c r="I465" s="130"/>
      <c r="J465" s="174">
        <v>0</v>
      </c>
      <c r="K465" s="174">
        <v>0</v>
      </c>
      <c r="L465" s="174">
        <v>0</v>
      </c>
      <c r="M465" s="174">
        <v>0</v>
      </c>
      <c r="N465" s="174">
        <v>0</v>
      </c>
      <c r="O465" s="174">
        <v>0</v>
      </c>
      <c r="P465" s="174">
        <v>0</v>
      </c>
      <c r="Q465" s="174">
        <v>0</v>
      </c>
      <c r="R465" s="174">
        <v>0</v>
      </c>
      <c r="S465" s="215">
        <v>0</v>
      </c>
      <c r="T465" s="71">
        <f t="shared" si="299"/>
        <v>0</v>
      </c>
      <c r="U465" s="71">
        <f t="shared" si="300"/>
        <v>0</v>
      </c>
      <c r="V465" s="117">
        <v>0</v>
      </c>
      <c r="W465" s="117">
        <v>0</v>
      </c>
      <c r="X465" s="71">
        <f t="shared" si="301"/>
        <v>0</v>
      </c>
      <c r="Y465" s="71">
        <f t="shared" si="302"/>
        <v>0</v>
      </c>
      <c r="AA465" s="65"/>
      <c r="AC465" s="71">
        <f t="shared" si="303"/>
        <v>0</v>
      </c>
      <c r="AD465" s="39"/>
      <c r="AE465" s="7"/>
      <c r="AF465" s="15"/>
      <c r="AG465" s="71" t="b">
        <f t="shared" si="304"/>
        <v>1</v>
      </c>
      <c r="AI465" s="71">
        <f t="shared" si="305"/>
        <v>0</v>
      </c>
      <c r="AJ465" s="39"/>
      <c r="AK465" s="15"/>
      <c r="AL465" s="71" t="b">
        <f t="shared" si="306"/>
        <v>1</v>
      </c>
      <c r="AN465" s="65"/>
    </row>
    <row r="466" spans="2:40" ht="13" customHeight="1">
      <c r="B466" s="119"/>
      <c r="C466" s="159">
        <f t="shared" si="298"/>
        <v>2026092</v>
      </c>
      <c r="D466" s="23">
        <v>17</v>
      </c>
      <c r="E466" s="128">
        <v>0</v>
      </c>
      <c r="F466" s="126" t="e">
        <f>VLOOKUP(E466,'Códigos bancos'!$B$4:$C$29,2,0)</f>
        <v>#N/A</v>
      </c>
      <c r="G466" s="36">
        <v>1</v>
      </c>
      <c r="H466" s="126" t="str">
        <f>VLOOKUP(G466,'Códigos bancos'!$F$4:$G$14,2,0)</f>
        <v>Oficinas</v>
      </c>
      <c r="I466" s="130"/>
      <c r="J466" s="174">
        <v>0</v>
      </c>
      <c r="K466" s="174">
        <v>0</v>
      </c>
      <c r="L466" s="174">
        <v>0</v>
      </c>
      <c r="M466" s="174">
        <v>0</v>
      </c>
      <c r="N466" s="174">
        <v>0</v>
      </c>
      <c r="O466" s="174">
        <v>0</v>
      </c>
      <c r="P466" s="174">
        <v>0</v>
      </c>
      <c r="Q466" s="174">
        <v>0</v>
      </c>
      <c r="R466" s="174">
        <v>0</v>
      </c>
      <c r="S466" s="215">
        <v>0</v>
      </c>
      <c r="T466" s="71">
        <f t="shared" si="299"/>
        <v>0</v>
      </c>
      <c r="U466" s="71">
        <f t="shared" si="300"/>
        <v>0</v>
      </c>
      <c r="V466" s="117">
        <v>0</v>
      </c>
      <c r="W466" s="117">
        <v>0</v>
      </c>
      <c r="X466" s="71">
        <f t="shared" si="301"/>
        <v>0</v>
      </c>
      <c r="Y466" s="71">
        <f t="shared" si="302"/>
        <v>0</v>
      </c>
      <c r="AA466" s="65"/>
      <c r="AC466" s="71">
        <f t="shared" si="303"/>
        <v>0</v>
      </c>
      <c r="AD466" s="39"/>
      <c r="AE466" s="7"/>
      <c r="AF466" s="15"/>
      <c r="AG466" s="71" t="b">
        <f t="shared" si="304"/>
        <v>1</v>
      </c>
      <c r="AI466" s="71">
        <f t="shared" si="305"/>
        <v>0</v>
      </c>
      <c r="AJ466" s="39"/>
      <c r="AK466" s="15"/>
      <c r="AL466" s="71" t="b">
        <f t="shared" si="306"/>
        <v>1</v>
      </c>
      <c r="AN466" s="65"/>
    </row>
    <row r="467" spans="2:40" ht="13" customHeight="1">
      <c r="B467" s="119"/>
      <c r="C467" s="159">
        <f t="shared" si="298"/>
        <v>2026092</v>
      </c>
      <c r="D467" s="23">
        <v>17</v>
      </c>
      <c r="E467" s="128">
        <v>0</v>
      </c>
      <c r="F467" s="126" t="e">
        <f>VLOOKUP(E467,'Códigos bancos'!$B$4:$C$29,2,0)</f>
        <v>#N/A</v>
      </c>
      <c r="G467" s="36">
        <v>1</v>
      </c>
      <c r="H467" s="126" t="str">
        <f>VLOOKUP(G467,'Códigos bancos'!$F$4:$G$14,2,0)</f>
        <v>Oficinas</v>
      </c>
      <c r="I467" s="130"/>
      <c r="J467" s="174">
        <v>0</v>
      </c>
      <c r="K467" s="174">
        <v>0</v>
      </c>
      <c r="L467" s="174">
        <v>0</v>
      </c>
      <c r="M467" s="174">
        <v>0</v>
      </c>
      <c r="N467" s="174">
        <v>0</v>
      </c>
      <c r="O467" s="174">
        <v>0</v>
      </c>
      <c r="P467" s="174">
        <v>0</v>
      </c>
      <c r="Q467" s="174">
        <v>0</v>
      </c>
      <c r="R467" s="174">
        <v>0</v>
      </c>
      <c r="S467" s="215">
        <v>0</v>
      </c>
      <c r="T467" s="71">
        <f t="shared" si="299"/>
        <v>0</v>
      </c>
      <c r="U467" s="71">
        <f t="shared" si="300"/>
        <v>0</v>
      </c>
      <c r="V467" s="117">
        <v>0</v>
      </c>
      <c r="W467" s="117">
        <v>0</v>
      </c>
      <c r="X467" s="71">
        <f t="shared" si="301"/>
        <v>0</v>
      </c>
      <c r="Y467" s="71">
        <f t="shared" si="302"/>
        <v>0</v>
      </c>
      <c r="AA467" s="65"/>
      <c r="AC467" s="71">
        <f t="shared" si="303"/>
        <v>0</v>
      </c>
      <c r="AD467" s="39"/>
      <c r="AE467" s="7"/>
      <c r="AF467" s="15"/>
      <c r="AG467" s="71" t="b">
        <f t="shared" si="304"/>
        <v>1</v>
      </c>
      <c r="AI467" s="71">
        <f t="shared" si="305"/>
        <v>0</v>
      </c>
      <c r="AJ467" s="39"/>
      <c r="AK467" s="15"/>
      <c r="AL467" s="71" t="b">
        <f t="shared" si="306"/>
        <v>1</v>
      </c>
      <c r="AN467" s="65"/>
    </row>
    <row r="468" spans="2:40" ht="13" customHeight="1">
      <c r="B468" s="119"/>
      <c r="C468" s="159">
        <f t="shared" si="298"/>
        <v>2026092</v>
      </c>
      <c r="D468" s="23">
        <v>17</v>
      </c>
      <c r="E468" s="128">
        <v>0</v>
      </c>
      <c r="F468" s="126" t="e">
        <f>VLOOKUP(E468,'Códigos bancos'!$B$4:$C$29,2,0)</f>
        <v>#N/A</v>
      </c>
      <c r="G468" s="36">
        <v>1</v>
      </c>
      <c r="H468" s="126" t="str">
        <f>VLOOKUP(G468,'Códigos bancos'!$F$4:$G$14,2,0)</f>
        <v>Oficinas</v>
      </c>
      <c r="I468" s="130"/>
      <c r="J468" s="174">
        <v>0</v>
      </c>
      <c r="K468" s="174">
        <v>0</v>
      </c>
      <c r="L468" s="174">
        <v>0</v>
      </c>
      <c r="M468" s="174">
        <v>0</v>
      </c>
      <c r="N468" s="174">
        <v>0</v>
      </c>
      <c r="O468" s="174">
        <v>0</v>
      </c>
      <c r="P468" s="174">
        <v>0</v>
      </c>
      <c r="Q468" s="174">
        <v>0</v>
      </c>
      <c r="R468" s="174">
        <v>0</v>
      </c>
      <c r="S468" s="215">
        <v>0</v>
      </c>
      <c r="T468" s="71">
        <f t="shared" si="299"/>
        <v>0</v>
      </c>
      <c r="U468" s="71">
        <f t="shared" si="300"/>
        <v>0</v>
      </c>
      <c r="V468" s="117">
        <v>0</v>
      </c>
      <c r="W468" s="117">
        <v>0</v>
      </c>
      <c r="X468" s="71">
        <f t="shared" si="301"/>
        <v>0</v>
      </c>
      <c r="Y468" s="71">
        <f t="shared" si="302"/>
        <v>0</v>
      </c>
      <c r="AA468" s="65"/>
      <c r="AC468" s="71">
        <f t="shared" si="303"/>
        <v>0</v>
      </c>
      <c r="AD468" s="39"/>
      <c r="AE468" s="7"/>
      <c r="AF468" s="15"/>
      <c r="AG468" s="71" t="b">
        <f t="shared" si="304"/>
        <v>1</v>
      </c>
      <c r="AI468" s="71">
        <f t="shared" si="305"/>
        <v>0</v>
      </c>
      <c r="AJ468" s="39"/>
      <c r="AK468" s="15"/>
      <c r="AL468" s="71" t="b">
        <f t="shared" si="306"/>
        <v>1</v>
      </c>
      <c r="AN468" s="65"/>
    </row>
    <row r="469" spans="2:40" ht="13" customHeight="1">
      <c r="B469" s="119"/>
      <c r="C469" s="159">
        <f t="shared" si="298"/>
        <v>2026092</v>
      </c>
      <c r="D469" s="23">
        <v>17</v>
      </c>
      <c r="E469" s="128">
        <v>0</v>
      </c>
      <c r="F469" s="126" t="e">
        <f>VLOOKUP(E469,'Códigos bancos'!$B$4:$C$29,2,0)</f>
        <v>#N/A</v>
      </c>
      <c r="G469" s="36">
        <v>1</v>
      </c>
      <c r="H469" s="126" t="str">
        <f>VLOOKUP(G469,'Códigos bancos'!$F$4:$G$14,2,0)</f>
        <v>Oficinas</v>
      </c>
      <c r="I469" s="130"/>
      <c r="J469" s="174">
        <v>0</v>
      </c>
      <c r="K469" s="174">
        <v>0</v>
      </c>
      <c r="L469" s="174">
        <v>0</v>
      </c>
      <c r="M469" s="174">
        <v>0</v>
      </c>
      <c r="N469" s="174">
        <v>0</v>
      </c>
      <c r="O469" s="174">
        <v>0</v>
      </c>
      <c r="P469" s="174">
        <v>0</v>
      </c>
      <c r="Q469" s="174">
        <v>0</v>
      </c>
      <c r="R469" s="174">
        <v>0</v>
      </c>
      <c r="S469" s="215">
        <v>0</v>
      </c>
      <c r="T469" s="71">
        <f t="shared" si="299"/>
        <v>0</v>
      </c>
      <c r="U469" s="71">
        <f t="shared" si="300"/>
        <v>0</v>
      </c>
      <c r="V469" s="117">
        <v>0</v>
      </c>
      <c r="W469" s="117">
        <v>0</v>
      </c>
      <c r="X469" s="71">
        <f t="shared" si="301"/>
        <v>0</v>
      </c>
      <c r="Y469" s="71">
        <f t="shared" si="302"/>
        <v>0</v>
      </c>
      <c r="AA469" s="65"/>
      <c r="AC469" s="71">
        <f t="shared" si="303"/>
        <v>0</v>
      </c>
      <c r="AD469" s="39"/>
      <c r="AE469" s="7"/>
      <c r="AF469" s="15"/>
      <c r="AG469" s="71" t="b">
        <f t="shared" si="304"/>
        <v>1</v>
      </c>
      <c r="AI469" s="71">
        <f t="shared" si="305"/>
        <v>0</v>
      </c>
      <c r="AJ469" s="39"/>
      <c r="AK469" s="15"/>
      <c r="AL469" s="71" t="b">
        <f t="shared" si="306"/>
        <v>1</v>
      </c>
      <c r="AN469" s="65"/>
    </row>
    <row r="470" spans="2:40" ht="13" customHeight="1">
      <c r="B470" s="119"/>
      <c r="C470" s="159">
        <f t="shared" si="298"/>
        <v>2026092</v>
      </c>
      <c r="D470" s="23">
        <v>17</v>
      </c>
      <c r="E470" s="128">
        <v>0</v>
      </c>
      <c r="F470" s="126" t="e">
        <f>VLOOKUP(E470,'Códigos bancos'!$B$4:$C$29,2,0)</f>
        <v>#N/A</v>
      </c>
      <c r="G470" s="36">
        <v>1</v>
      </c>
      <c r="H470" s="126" t="str">
        <f>VLOOKUP(G470,'Códigos bancos'!$F$4:$G$14,2,0)</f>
        <v>Oficinas</v>
      </c>
      <c r="I470" s="130"/>
      <c r="J470" s="174">
        <v>0</v>
      </c>
      <c r="K470" s="174">
        <v>0</v>
      </c>
      <c r="L470" s="174">
        <v>0</v>
      </c>
      <c r="M470" s="174">
        <v>0</v>
      </c>
      <c r="N470" s="174">
        <v>0</v>
      </c>
      <c r="O470" s="174">
        <v>0</v>
      </c>
      <c r="P470" s="174">
        <v>0</v>
      </c>
      <c r="Q470" s="174">
        <v>0</v>
      </c>
      <c r="R470" s="174">
        <v>0</v>
      </c>
      <c r="S470" s="215">
        <v>0</v>
      </c>
      <c r="T470" s="71">
        <f t="shared" si="299"/>
        <v>0</v>
      </c>
      <c r="U470" s="71">
        <f t="shared" si="300"/>
        <v>0</v>
      </c>
      <c r="V470" s="117">
        <v>0</v>
      </c>
      <c r="W470" s="117">
        <v>0</v>
      </c>
      <c r="X470" s="71">
        <f t="shared" si="301"/>
        <v>0</v>
      </c>
      <c r="Y470" s="71">
        <f t="shared" si="302"/>
        <v>0</v>
      </c>
      <c r="AA470" s="65"/>
      <c r="AC470" s="71">
        <f t="shared" si="303"/>
        <v>0</v>
      </c>
      <c r="AD470" s="39"/>
      <c r="AE470" s="7"/>
      <c r="AF470" s="15"/>
      <c r="AG470" s="71" t="b">
        <f t="shared" si="304"/>
        <v>1</v>
      </c>
      <c r="AI470" s="71">
        <f t="shared" si="305"/>
        <v>0</v>
      </c>
      <c r="AJ470" s="39"/>
      <c r="AK470" s="15"/>
      <c r="AL470" s="71" t="b">
        <f t="shared" si="306"/>
        <v>1</v>
      </c>
      <c r="AN470" s="65"/>
    </row>
    <row r="471" spans="2:40" ht="13" customHeight="1">
      <c r="B471" s="119"/>
      <c r="C471" s="159">
        <f t="shared" si="298"/>
        <v>2026092</v>
      </c>
      <c r="D471" s="23">
        <v>17</v>
      </c>
      <c r="E471" s="128">
        <v>0</v>
      </c>
      <c r="F471" s="126" t="e">
        <f>VLOOKUP(E471,'Códigos bancos'!$B$4:$C$29,2,0)</f>
        <v>#N/A</v>
      </c>
      <c r="G471" s="36">
        <v>1</v>
      </c>
      <c r="H471" s="126" t="str">
        <f>VLOOKUP(G471,'Códigos bancos'!$F$4:$G$14,2,0)</f>
        <v>Oficinas</v>
      </c>
      <c r="I471" s="130"/>
      <c r="J471" s="174">
        <v>0</v>
      </c>
      <c r="K471" s="174">
        <v>0</v>
      </c>
      <c r="L471" s="174">
        <v>0</v>
      </c>
      <c r="M471" s="174">
        <v>0</v>
      </c>
      <c r="N471" s="174">
        <v>0</v>
      </c>
      <c r="O471" s="174">
        <v>0</v>
      </c>
      <c r="P471" s="174">
        <v>0</v>
      </c>
      <c r="Q471" s="174">
        <v>0</v>
      </c>
      <c r="R471" s="174">
        <v>0</v>
      </c>
      <c r="S471" s="215">
        <v>0</v>
      </c>
      <c r="T471" s="71">
        <f t="shared" si="299"/>
        <v>0</v>
      </c>
      <c r="U471" s="71">
        <f t="shared" si="300"/>
        <v>0</v>
      </c>
      <c r="V471" s="117">
        <v>0</v>
      </c>
      <c r="W471" s="117">
        <v>0</v>
      </c>
      <c r="X471" s="71">
        <f t="shared" si="301"/>
        <v>0</v>
      </c>
      <c r="Y471" s="71">
        <f t="shared" si="302"/>
        <v>0</v>
      </c>
      <c r="AA471" s="65"/>
      <c r="AC471" s="71">
        <f t="shared" si="303"/>
        <v>0</v>
      </c>
      <c r="AD471" s="39"/>
      <c r="AE471" s="7"/>
      <c r="AF471" s="15"/>
      <c r="AG471" s="71" t="b">
        <f t="shared" si="304"/>
        <v>1</v>
      </c>
      <c r="AI471" s="71">
        <f t="shared" si="305"/>
        <v>0</v>
      </c>
      <c r="AJ471" s="39"/>
      <c r="AK471" s="15"/>
      <c r="AL471" s="71" t="b">
        <f t="shared" si="306"/>
        <v>1</v>
      </c>
      <c r="AN471" s="65"/>
    </row>
    <row r="472" spans="2:40" ht="13" customHeight="1">
      <c r="B472" s="119"/>
      <c r="C472" s="159">
        <f t="shared" si="298"/>
        <v>2026092</v>
      </c>
      <c r="D472" s="23">
        <v>17</v>
      </c>
      <c r="E472" s="128">
        <v>0</v>
      </c>
      <c r="F472" s="126" t="e">
        <f>VLOOKUP(E472,'Códigos bancos'!$B$4:$C$29,2,0)</f>
        <v>#N/A</v>
      </c>
      <c r="G472" s="36">
        <v>1</v>
      </c>
      <c r="H472" s="126" t="str">
        <f>VLOOKUP(G472,'Códigos bancos'!$F$4:$G$14,2,0)</f>
        <v>Oficinas</v>
      </c>
      <c r="I472" s="130"/>
      <c r="J472" s="174">
        <v>0</v>
      </c>
      <c r="K472" s="174">
        <v>0</v>
      </c>
      <c r="L472" s="174">
        <v>0</v>
      </c>
      <c r="M472" s="174">
        <v>0</v>
      </c>
      <c r="N472" s="174">
        <v>0</v>
      </c>
      <c r="O472" s="174">
        <v>0</v>
      </c>
      <c r="P472" s="174">
        <v>0</v>
      </c>
      <c r="Q472" s="174">
        <v>0</v>
      </c>
      <c r="R472" s="174">
        <v>0</v>
      </c>
      <c r="S472" s="215">
        <v>0</v>
      </c>
      <c r="T472" s="71">
        <f t="shared" si="299"/>
        <v>0</v>
      </c>
      <c r="U472" s="71">
        <f t="shared" si="300"/>
        <v>0</v>
      </c>
      <c r="V472" s="117">
        <v>0</v>
      </c>
      <c r="W472" s="117">
        <v>0</v>
      </c>
      <c r="X472" s="71">
        <f t="shared" si="301"/>
        <v>0</v>
      </c>
      <c r="Y472" s="71">
        <f t="shared" si="302"/>
        <v>0</v>
      </c>
      <c r="AA472" s="65"/>
      <c r="AC472" s="71">
        <f t="shared" si="303"/>
        <v>0</v>
      </c>
      <c r="AD472" s="39"/>
      <c r="AE472" s="7"/>
      <c r="AF472" s="15"/>
      <c r="AG472" s="71" t="b">
        <f t="shared" si="304"/>
        <v>1</v>
      </c>
      <c r="AI472" s="71">
        <f t="shared" si="305"/>
        <v>0</v>
      </c>
      <c r="AJ472" s="39"/>
      <c r="AK472" s="15"/>
      <c r="AL472" s="71" t="b">
        <f t="shared" si="306"/>
        <v>1</v>
      </c>
      <c r="AN472" s="65"/>
    </row>
    <row r="473" spans="2:40" ht="13" customHeight="1">
      <c r="B473" s="119"/>
      <c r="C473" s="159">
        <f t="shared" si="298"/>
        <v>2026092</v>
      </c>
      <c r="D473" s="23">
        <v>17</v>
      </c>
      <c r="E473" s="128">
        <v>0</v>
      </c>
      <c r="F473" s="126" t="e">
        <f>VLOOKUP(E473,'Códigos bancos'!$B$4:$C$29,2,0)</f>
        <v>#N/A</v>
      </c>
      <c r="G473" s="36">
        <v>1</v>
      </c>
      <c r="H473" s="126" t="str">
        <f>VLOOKUP(G473,'Códigos bancos'!$F$4:$G$14,2,0)</f>
        <v>Oficinas</v>
      </c>
      <c r="I473" s="130"/>
      <c r="J473" s="174">
        <v>0</v>
      </c>
      <c r="K473" s="174">
        <v>0</v>
      </c>
      <c r="L473" s="174">
        <v>0</v>
      </c>
      <c r="M473" s="174">
        <v>0</v>
      </c>
      <c r="N473" s="174">
        <v>0</v>
      </c>
      <c r="O473" s="174">
        <v>0</v>
      </c>
      <c r="P473" s="174">
        <v>0</v>
      </c>
      <c r="Q473" s="174">
        <v>0</v>
      </c>
      <c r="R473" s="174">
        <v>0</v>
      </c>
      <c r="S473" s="215">
        <v>0</v>
      </c>
      <c r="T473" s="71">
        <f t="shared" si="299"/>
        <v>0</v>
      </c>
      <c r="U473" s="71">
        <f t="shared" si="300"/>
        <v>0</v>
      </c>
      <c r="V473" s="117">
        <v>0</v>
      </c>
      <c r="W473" s="117">
        <v>0</v>
      </c>
      <c r="X473" s="71">
        <f t="shared" si="301"/>
        <v>0</v>
      </c>
      <c r="Y473" s="71">
        <f t="shared" si="302"/>
        <v>0</v>
      </c>
      <c r="AA473" s="65"/>
      <c r="AC473" s="71">
        <f t="shared" si="303"/>
        <v>0</v>
      </c>
      <c r="AD473" s="39"/>
      <c r="AE473" s="7"/>
      <c r="AF473" s="15"/>
      <c r="AG473" s="71" t="b">
        <f t="shared" si="304"/>
        <v>1</v>
      </c>
      <c r="AI473" s="71">
        <f t="shared" si="305"/>
        <v>0</v>
      </c>
      <c r="AJ473" s="39"/>
      <c r="AK473" s="15"/>
      <c r="AL473" s="71" t="b">
        <f t="shared" si="306"/>
        <v>1</v>
      </c>
      <c r="AN473" s="65"/>
    </row>
    <row r="474" spans="2:40" ht="13" customHeight="1">
      <c r="B474" s="119"/>
      <c r="C474" s="159">
        <f t="shared" si="298"/>
        <v>2026092</v>
      </c>
      <c r="D474" s="23">
        <v>17</v>
      </c>
      <c r="E474" s="128">
        <v>0</v>
      </c>
      <c r="F474" s="126" t="e">
        <f>VLOOKUP(E474,'Códigos bancos'!$B$4:$C$29,2,0)</f>
        <v>#N/A</v>
      </c>
      <c r="G474" s="36">
        <v>1</v>
      </c>
      <c r="H474" s="126" t="str">
        <f>VLOOKUP(G474,'Códigos bancos'!$F$4:$G$14,2,0)</f>
        <v>Oficinas</v>
      </c>
      <c r="I474" s="130"/>
      <c r="J474" s="174">
        <v>0</v>
      </c>
      <c r="K474" s="174">
        <v>0</v>
      </c>
      <c r="L474" s="174">
        <v>0</v>
      </c>
      <c r="M474" s="174">
        <v>0</v>
      </c>
      <c r="N474" s="174">
        <v>0</v>
      </c>
      <c r="O474" s="174">
        <v>0</v>
      </c>
      <c r="P474" s="174">
        <v>0</v>
      </c>
      <c r="Q474" s="174">
        <v>0</v>
      </c>
      <c r="R474" s="174">
        <v>0</v>
      </c>
      <c r="S474" s="215">
        <v>0</v>
      </c>
      <c r="T474" s="71">
        <f t="shared" si="299"/>
        <v>0</v>
      </c>
      <c r="U474" s="71">
        <f t="shared" si="300"/>
        <v>0</v>
      </c>
      <c r="V474" s="117">
        <v>0</v>
      </c>
      <c r="W474" s="117">
        <v>0</v>
      </c>
      <c r="X474" s="71">
        <f t="shared" si="301"/>
        <v>0</v>
      </c>
      <c r="Y474" s="71">
        <f t="shared" si="302"/>
        <v>0</v>
      </c>
      <c r="AA474" s="65"/>
      <c r="AC474" s="71">
        <f t="shared" si="303"/>
        <v>0</v>
      </c>
      <c r="AD474" s="39"/>
      <c r="AE474" s="7"/>
      <c r="AF474" s="15"/>
      <c r="AG474" s="71" t="b">
        <f t="shared" si="304"/>
        <v>1</v>
      </c>
      <c r="AI474" s="71">
        <f t="shared" si="305"/>
        <v>0</v>
      </c>
      <c r="AJ474" s="39"/>
      <c r="AK474" s="15"/>
      <c r="AL474" s="71" t="b">
        <f t="shared" si="306"/>
        <v>1</v>
      </c>
      <c r="AN474" s="65"/>
    </row>
    <row r="475" spans="2:40" ht="13" customHeight="1">
      <c r="B475" s="119"/>
      <c r="C475" s="159">
        <f t="shared" si="298"/>
        <v>2026092</v>
      </c>
      <c r="D475" s="23">
        <v>17</v>
      </c>
      <c r="E475" s="128">
        <v>0</v>
      </c>
      <c r="F475" s="126" t="e">
        <f>VLOOKUP(E475,'Códigos bancos'!$B$4:$C$29,2,0)</f>
        <v>#N/A</v>
      </c>
      <c r="G475" s="36">
        <v>1</v>
      </c>
      <c r="H475" s="126" t="str">
        <f>VLOOKUP(G475,'Códigos bancos'!$F$4:$G$14,2,0)</f>
        <v>Oficinas</v>
      </c>
      <c r="I475" s="130"/>
      <c r="J475" s="174">
        <v>0</v>
      </c>
      <c r="K475" s="174">
        <v>0</v>
      </c>
      <c r="L475" s="174">
        <v>0</v>
      </c>
      <c r="M475" s="174">
        <v>0</v>
      </c>
      <c r="N475" s="174">
        <v>0</v>
      </c>
      <c r="O475" s="174">
        <v>0</v>
      </c>
      <c r="P475" s="174">
        <v>0</v>
      </c>
      <c r="Q475" s="174">
        <v>0</v>
      </c>
      <c r="R475" s="174">
        <v>0</v>
      </c>
      <c r="S475" s="215">
        <v>0</v>
      </c>
      <c r="T475" s="71">
        <f t="shared" si="299"/>
        <v>0</v>
      </c>
      <c r="U475" s="71">
        <f t="shared" si="300"/>
        <v>0</v>
      </c>
      <c r="V475" s="117">
        <v>0</v>
      </c>
      <c r="W475" s="117">
        <v>0</v>
      </c>
      <c r="X475" s="71">
        <f t="shared" si="301"/>
        <v>0</v>
      </c>
      <c r="Y475" s="71">
        <f t="shared" si="302"/>
        <v>0</v>
      </c>
      <c r="AA475" s="65"/>
      <c r="AC475" s="71">
        <f t="shared" si="303"/>
        <v>0</v>
      </c>
      <c r="AD475" s="39"/>
      <c r="AE475" s="7"/>
      <c r="AF475" s="15"/>
      <c r="AG475" s="71" t="b">
        <f t="shared" si="304"/>
        <v>1</v>
      </c>
      <c r="AI475" s="71">
        <f t="shared" si="305"/>
        <v>0</v>
      </c>
      <c r="AJ475" s="39"/>
      <c r="AK475" s="15"/>
      <c r="AL475" s="71" t="b">
        <f t="shared" si="306"/>
        <v>1</v>
      </c>
      <c r="AN475" s="65"/>
    </row>
    <row r="476" spans="2:40" ht="13" customHeight="1">
      <c r="B476" s="119"/>
      <c r="C476" s="159">
        <f t="shared" si="298"/>
        <v>2026092</v>
      </c>
      <c r="D476" s="23">
        <v>17</v>
      </c>
      <c r="E476" s="128">
        <v>0</v>
      </c>
      <c r="F476" s="126" t="e">
        <f>VLOOKUP(E476,'Códigos bancos'!$B$4:$C$29,2,0)</f>
        <v>#N/A</v>
      </c>
      <c r="G476" s="36">
        <v>1</v>
      </c>
      <c r="H476" s="126" t="str">
        <f>VLOOKUP(G476,'Códigos bancos'!$F$4:$G$14,2,0)</f>
        <v>Oficinas</v>
      </c>
      <c r="I476" s="130"/>
      <c r="J476" s="174">
        <v>0</v>
      </c>
      <c r="K476" s="174">
        <v>0</v>
      </c>
      <c r="L476" s="174">
        <v>0</v>
      </c>
      <c r="M476" s="174">
        <v>0</v>
      </c>
      <c r="N476" s="174">
        <v>0</v>
      </c>
      <c r="O476" s="174">
        <v>0</v>
      </c>
      <c r="P476" s="174">
        <v>0</v>
      </c>
      <c r="Q476" s="174">
        <v>0</v>
      </c>
      <c r="R476" s="174">
        <v>0</v>
      </c>
      <c r="S476" s="215">
        <v>0</v>
      </c>
      <c r="T476" s="71">
        <f t="shared" si="299"/>
        <v>0</v>
      </c>
      <c r="U476" s="71">
        <f t="shared" si="300"/>
        <v>0</v>
      </c>
      <c r="V476" s="117">
        <v>0</v>
      </c>
      <c r="W476" s="117">
        <v>0</v>
      </c>
      <c r="X476" s="71">
        <f t="shared" si="301"/>
        <v>0</v>
      </c>
      <c r="Y476" s="71">
        <f t="shared" si="302"/>
        <v>0</v>
      </c>
      <c r="AA476" s="65"/>
      <c r="AC476" s="71">
        <f t="shared" si="303"/>
        <v>0</v>
      </c>
      <c r="AD476" s="39"/>
      <c r="AE476" s="7"/>
      <c r="AF476" s="15"/>
      <c r="AG476" s="71" t="b">
        <f t="shared" si="304"/>
        <v>1</v>
      </c>
      <c r="AI476" s="71">
        <f t="shared" si="305"/>
        <v>0</v>
      </c>
      <c r="AJ476" s="39"/>
      <c r="AK476" s="15"/>
      <c r="AL476" s="71" t="b">
        <f t="shared" si="306"/>
        <v>1</v>
      </c>
      <c r="AN476" s="65"/>
    </row>
    <row r="477" spans="2:40" ht="13" customHeight="1">
      <c r="B477" s="119"/>
      <c r="C477" s="159">
        <f t="shared" si="298"/>
        <v>2026092</v>
      </c>
      <c r="D477" s="23">
        <v>17</v>
      </c>
      <c r="E477" s="128">
        <v>0</v>
      </c>
      <c r="F477" s="126" t="e">
        <f>VLOOKUP(E477,'Códigos bancos'!$B$4:$C$29,2,0)</f>
        <v>#N/A</v>
      </c>
      <c r="G477" s="36">
        <v>1</v>
      </c>
      <c r="H477" s="126" t="str">
        <f>VLOOKUP(G477,'Códigos bancos'!$F$4:$G$14,2,0)</f>
        <v>Oficinas</v>
      </c>
      <c r="I477" s="130"/>
      <c r="J477" s="174">
        <v>0</v>
      </c>
      <c r="K477" s="174">
        <v>0</v>
      </c>
      <c r="L477" s="174">
        <v>0</v>
      </c>
      <c r="M477" s="174">
        <v>0</v>
      </c>
      <c r="N477" s="174">
        <v>0</v>
      </c>
      <c r="O477" s="174">
        <v>0</v>
      </c>
      <c r="P477" s="174">
        <v>0</v>
      </c>
      <c r="Q477" s="174">
        <v>0</v>
      </c>
      <c r="R477" s="174">
        <v>0</v>
      </c>
      <c r="S477" s="215">
        <v>0</v>
      </c>
      <c r="T477" s="71">
        <f t="shared" si="299"/>
        <v>0</v>
      </c>
      <c r="U477" s="71">
        <f t="shared" si="300"/>
        <v>0</v>
      </c>
      <c r="V477" s="117">
        <v>0</v>
      </c>
      <c r="W477" s="117">
        <v>0</v>
      </c>
      <c r="X477" s="71">
        <f t="shared" si="301"/>
        <v>0</v>
      </c>
      <c r="Y477" s="71">
        <f t="shared" si="302"/>
        <v>0</v>
      </c>
      <c r="AA477" s="65"/>
      <c r="AC477" s="71">
        <f t="shared" si="303"/>
        <v>0</v>
      </c>
      <c r="AD477" s="39"/>
      <c r="AE477" s="7"/>
      <c r="AF477" s="15"/>
      <c r="AG477" s="71" t="b">
        <f t="shared" si="304"/>
        <v>1</v>
      </c>
      <c r="AI477" s="71">
        <f t="shared" si="305"/>
        <v>0</v>
      </c>
      <c r="AJ477" s="39"/>
      <c r="AK477" s="15"/>
      <c r="AL477" s="71" t="b">
        <f t="shared" si="306"/>
        <v>1</v>
      </c>
      <c r="AN477" s="65"/>
    </row>
    <row r="478" spans="2:40" ht="13" customHeight="1">
      <c r="B478" s="119"/>
      <c r="C478" s="159">
        <f t="shared" si="298"/>
        <v>2026092</v>
      </c>
      <c r="D478" s="23">
        <v>17</v>
      </c>
      <c r="E478" s="128">
        <v>0</v>
      </c>
      <c r="F478" s="126" t="e">
        <f>VLOOKUP(E478,'Códigos bancos'!$B$4:$C$29,2,0)</f>
        <v>#N/A</v>
      </c>
      <c r="G478" s="36">
        <v>1</v>
      </c>
      <c r="H478" s="126" t="str">
        <f>VLOOKUP(G478,'Códigos bancos'!$F$4:$G$14,2,0)</f>
        <v>Oficinas</v>
      </c>
      <c r="I478" s="130"/>
      <c r="J478" s="174">
        <v>0</v>
      </c>
      <c r="K478" s="174">
        <v>0</v>
      </c>
      <c r="L478" s="174">
        <v>0</v>
      </c>
      <c r="M478" s="174">
        <v>0</v>
      </c>
      <c r="N478" s="174">
        <v>0</v>
      </c>
      <c r="O478" s="174">
        <v>0</v>
      </c>
      <c r="P478" s="174">
        <v>0</v>
      </c>
      <c r="Q478" s="174">
        <v>0</v>
      </c>
      <c r="R478" s="174">
        <v>0</v>
      </c>
      <c r="S478" s="215">
        <v>0</v>
      </c>
      <c r="T478" s="71">
        <f t="shared" si="299"/>
        <v>0</v>
      </c>
      <c r="U478" s="71">
        <f t="shared" si="300"/>
        <v>0</v>
      </c>
      <c r="V478" s="117">
        <v>0</v>
      </c>
      <c r="W478" s="117">
        <v>0</v>
      </c>
      <c r="X478" s="71">
        <f t="shared" si="301"/>
        <v>0</v>
      </c>
      <c r="Y478" s="71">
        <f t="shared" si="302"/>
        <v>0</v>
      </c>
      <c r="AA478" s="65"/>
      <c r="AC478" s="71">
        <f t="shared" si="303"/>
        <v>0</v>
      </c>
      <c r="AD478" s="39"/>
      <c r="AE478" s="7"/>
      <c r="AF478" s="15"/>
      <c r="AG478" s="71" t="b">
        <f t="shared" si="304"/>
        <v>1</v>
      </c>
      <c r="AI478" s="71">
        <f t="shared" si="305"/>
        <v>0</v>
      </c>
      <c r="AJ478" s="39"/>
      <c r="AK478" s="15"/>
      <c r="AL478" s="71" t="b">
        <f t="shared" si="306"/>
        <v>1</v>
      </c>
      <c r="AN478" s="65"/>
    </row>
    <row r="479" spans="2:40" ht="13" customHeight="1">
      <c r="B479" s="119"/>
      <c r="C479" s="159">
        <f t="shared" si="298"/>
        <v>2026092</v>
      </c>
      <c r="D479" s="23">
        <v>17</v>
      </c>
      <c r="E479" s="128">
        <v>0</v>
      </c>
      <c r="F479" s="126" t="e">
        <f>VLOOKUP(E479,'Códigos bancos'!$B$4:$C$29,2,0)</f>
        <v>#N/A</v>
      </c>
      <c r="G479" s="36">
        <v>1</v>
      </c>
      <c r="H479" s="126" t="str">
        <f>VLOOKUP(G479,'Códigos bancos'!$F$4:$G$14,2,0)</f>
        <v>Oficinas</v>
      </c>
      <c r="I479" s="130"/>
      <c r="J479" s="174">
        <v>0</v>
      </c>
      <c r="K479" s="174">
        <v>0</v>
      </c>
      <c r="L479" s="174">
        <v>0</v>
      </c>
      <c r="M479" s="174">
        <v>0</v>
      </c>
      <c r="N479" s="174">
        <v>0</v>
      </c>
      <c r="O479" s="174">
        <v>0</v>
      </c>
      <c r="P479" s="174">
        <v>0</v>
      </c>
      <c r="Q479" s="174">
        <v>0</v>
      </c>
      <c r="R479" s="174">
        <v>0</v>
      </c>
      <c r="S479" s="215">
        <v>0</v>
      </c>
      <c r="T479" s="71">
        <f t="shared" si="299"/>
        <v>0</v>
      </c>
      <c r="U479" s="71">
        <f t="shared" si="300"/>
        <v>0</v>
      </c>
      <c r="V479" s="117">
        <v>0</v>
      </c>
      <c r="W479" s="117">
        <v>0</v>
      </c>
      <c r="X479" s="71">
        <f t="shared" si="301"/>
        <v>0</v>
      </c>
      <c r="Y479" s="71">
        <f t="shared" si="302"/>
        <v>0</v>
      </c>
      <c r="AA479" s="65"/>
      <c r="AC479" s="71">
        <f t="shared" si="303"/>
        <v>0</v>
      </c>
      <c r="AD479" s="39"/>
      <c r="AE479" s="7"/>
      <c r="AF479" s="15"/>
      <c r="AG479" s="71" t="b">
        <f t="shared" si="304"/>
        <v>1</v>
      </c>
      <c r="AI479" s="71">
        <f t="shared" si="305"/>
        <v>0</v>
      </c>
      <c r="AJ479" s="39"/>
      <c r="AK479" s="15"/>
      <c r="AL479" s="71" t="b">
        <f t="shared" si="306"/>
        <v>1</v>
      </c>
      <c r="AN479" s="65"/>
    </row>
    <row r="480" spans="2:40" ht="13" customHeight="1">
      <c r="B480" s="119"/>
      <c r="C480" s="159">
        <f t="shared" ref="C480" si="307">IF(D480&lt;=15,$C$1,$C$2)</f>
        <v>2026092</v>
      </c>
      <c r="D480" s="23">
        <v>17</v>
      </c>
      <c r="E480" s="128">
        <v>0</v>
      </c>
      <c r="F480" s="126" t="e">
        <f>VLOOKUP(E480,'Códigos bancos'!$B$4:$C$29,2,0)</f>
        <v>#N/A</v>
      </c>
      <c r="G480" s="36">
        <v>1</v>
      </c>
      <c r="H480" s="126" t="str">
        <f>VLOOKUP(G480,'Códigos bancos'!$F$4:$G$14,2,0)</f>
        <v>Oficinas</v>
      </c>
      <c r="I480" s="130"/>
      <c r="J480" s="174">
        <v>0</v>
      </c>
      <c r="K480" s="174">
        <v>0</v>
      </c>
      <c r="L480" s="174">
        <v>0</v>
      </c>
      <c r="M480" s="174">
        <v>0</v>
      </c>
      <c r="N480" s="174">
        <v>0</v>
      </c>
      <c r="O480" s="174">
        <v>0</v>
      </c>
      <c r="P480" s="174">
        <v>0</v>
      </c>
      <c r="Q480" s="174">
        <v>0</v>
      </c>
      <c r="R480" s="174">
        <v>0</v>
      </c>
      <c r="S480" s="215">
        <v>0</v>
      </c>
      <c r="T480" s="71">
        <f t="shared" ref="T480" si="308">J480+L480+N480+P480+R480</f>
        <v>0</v>
      </c>
      <c r="U480" s="71">
        <f t="shared" ref="U480" si="309">K480+M480+O480+Q480+S480</f>
        <v>0</v>
      </c>
      <c r="V480" s="117">
        <v>0</v>
      </c>
      <c r="W480" s="117">
        <v>0</v>
      </c>
      <c r="X480" s="71">
        <f t="shared" ref="X480" si="310">V480-T480</f>
        <v>0</v>
      </c>
      <c r="Y480" s="71">
        <f t="shared" ref="Y480" si="311">W480-U480</f>
        <v>0</v>
      </c>
      <c r="AA480" s="65"/>
      <c r="AC480" s="71">
        <f t="shared" ref="AC480" si="312">X480</f>
        <v>0</v>
      </c>
      <c r="AD480" s="39"/>
      <c r="AE480" s="7"/>
      <c r="AF480" s="15"/>
      <c r="AG480" s="71" t="b">
        <f t="shared" ref="AG480" si="313">AC480=(AD480+AE480+AF480)</f>
        <v>1</v>
      </c>
      <c r="AI480" s="71">
        <f t="shared" ref="AI480" si="314">Y480</f>
        <v>0</v>
      </c>
      <c r="AJ480" s="39"/>
      <c r="AK480" s="15"/>
      <c r="AL480" s="71" t="b">
        <f t="shared" ref="AL480" si="315">AI480=(AJ480+AK480)</f>
        <v>1</v>
      </c>
      <c r="AN480" s="65"/>
    </row>
    <row r="481" spans="2:40 16128:16147" ht="13" customHeight="1">
      <c r="B481" s="119"/>
      <c r="C481" s="159">
        <f t="shared" si="298"/>
        <v>2026092</v>
      </c>
      <c r="D481" s="23">
        <v>17</v>
      </c>
      <c r="E481" s="128">
        <v>0</v>
      </c>
      <c r="F481" s="126" t="e">
        <f>VLOOKUP(E481,'Códigos bancos'!$B$4:$C$29,2,0)</f>
        <v>#N/A</v>
      </c>
      <c r="G481" s="36">
        <v>1</v>
      </c>
      <c r="H481" s="126" t="str">
        <f>VLOOKUP(G481,'Códigos bancos'!$F$4:$G$14,2,0)</f>
        <v>Oficinas</v>
      </c>
      <c r="I481" s="130"/>
      <c r="J481" s="174">
        <v>0</v>
      </c>
      <c r="K481" s="174">
        <v>0</v>
      </c>
      <c r="L481" s="174">
        <v>0</v>
      </c>
      <c r="M481" s="174">
        <v>0</v>
      </c>
      <c r="N481" s="174">
        <v>0</v>
      </c>
      <c r="O481" s="174">
        <v>0</v>
      </c>
      <c r="P481" s="174">
        <v>0</v>
      </c>
      <c r="Q481" s="174">
        <v>0</v>
      </c>
      <c r="R481" s="174">
        <v>0</v>
      </c>
      <c r="S481" s="215">
        <v>0</v>
      </c>
      <c r="T481" s="71">
        <f t="shared" si="299"/>
        <v>0</v>
      </c>
      <c r="U481" s="71">
        <f t="shared" si="300"/>
        <v>0</v>
      </c>
      <c r="V481" s="117">
        <v>0</v>
      </c>
      <c r="W481" s="117">
        <v>0</v>
      </c>
      <c r="X481" s="71">
        <f t="shared" si="301"/>
        <v>0</v>
      </c>
      <c r="Y481" s="71">
        <f t="shared" si="302"/>
        <v>0</v>
      </c>
      <c r="AA481" s="65"/>
      <c r="AC481" s="71">
        <f t="shared" si="303"/>
        <v>0</v>
      </c>
      <c r="AD481" s="39"/>
      <c r="AE481" s="7"/>
      <c r="AF481" s="15"/>
      <c r="AG481" s="71" t="b">
        <f t="shared" si="304"/>
        <v>1</v>
      </c>
      <c r="AI481" s="71">
        <f t="shared" si="305"/>
        <v>0</v>
      </c>
      <c r="AJ481" s="39"/>
      <c r="AK481" s="15"/>
      <c r="AL481" s="71" t="b">
        <f t="shared" si="306"/>
        <v>1</v>
      </c>
      <c r="AN481" s="65"/>
    </row>
    <row r="482" spans="2:40 16128:16147" ht="13" customHeight="1">
      <c r="B482" s="119"/>
      <c r="C482" s="159">
        <f t="shared" si="298"/>
        <v>2026092</v>
      </c>
      <c r="D482" s="23">
        <v>17</v>
      </c>
      <c r="E482" s="128">
        <v>0</v>
      </c>
      <c r="F482" s="126" t="e">
        <f>VLOOKUP(E482,'Códigos bancos'!$B$4:$C$29,2,0)</f>
        <v>#N/A</v>
      </c>
      <c r="G482" s="36">
        <v>1</v>
      </c>
      <c r="H482" s="126" t="str">
        <f>VLOOKUP(G482,'Códigos bancos'!$F$4:$G$14,2,0)</f>
        <v>Oficinas</v>
      </c>
      <c r="I482" s="130"/>
      <c r="J482" s="174">
        <v>0</v>
      </c>
      <c r="K482" s="174">
        <v>0</v>
      </c>
      <c r="L482" s="174">
        <v>0</v>
      </c>
      <c r="M482" s="174">
        <v>0</v>
      </c>
      <c r="N482" s="174">
        <v>0</v>
      </c>
      <c r="O482" s="174">
        <v>0</v>
      </c>
      <c r="P482" s="174">
        <v>0</v>
      </c>
      <c r="Q482" s="174">
        <v>0</v>
      </c>
      <c r="R482" s="174">
        <v>0</v>
      </c>
      <c r="S482" s="215">
        <v>0</v>
      </c>
      <c r="T482" s="71">
        <f t="shared" si="299"/>
        <v>0</v>
      </c>
      <c r="U482" s="71">
        <f t="shared" si="300"/>
        <v>0</v>
      </c>
      <c r="V482" s="117">
        <v>0</v>
      </c>
      <c r="W482" s="117">
        <v>0</v>
      </c>
      <c r="X482" s="71">
        <f t="shared" si="301"/>
        <v>0</v>
      </c>
      <c r="Y482" s="71">
        <f t="shared" si="302"/>
        <v>0</v>
      </c>
      <c r="AA482" s="65"/>
      <c r="AC482" s="71">
        <f t="shared" si="303"/>
        <v>0</v>
      </c>
      <c r="AD482" s="39"/>
      <c r="AE482" s="7"/>
      <c r="AF482" s="15"/>
      <c r="AG482" s="71" t="b">
        <f t="shared" si="304"/>
        <v>1</v>
      </c>
      <c r="AI482" s="71">
        <f t="shared" si="305"/>
        <v>0</v>
      </c>
      <c r="AJ482" s="39"/>
      <c r="AK482" s="15"/>
      <c r="AL482" s="71" t="b">
        <f t="shared" si="306"/>
        <v>1</v>
      </c>
      <c r="AN482" s="65"/>
    </row>
    <row r="483" spans="2:40 16128:16147" ht="13" customHeight="1">
      <c r="B483" s="119"/>
      <c r="C483" s="159">
        <f t="shared" si="298"/>
        <v>2026092</v>
      </c>
      <c r="D483" s="23">
        <v>17</v>
      </c>
      <c r="E483" s="128">
        <v>0</v>
      </c>
      <c r="F483" s="126" t="e">
        <f>VLOOKUP(E483,'Códigos bancos'!$B$4:$C$29,2,0)</f>
        <v>#N/A</v>
      </c>
      <c r="G483" s="36">
        <v>1</v>
      </c>
      <c r="H483" s="126" t="str">
        <f>VLOOKUP(G483,'Códigos bancos'!$F$4:$G$14,2,0)</f>
        <v>Oficinas</v>
      </c>
      <c r="I483" s="130"/>
      <c r="J483" s="174">
        <v>0</v>
      </c>
      <c r="K483" s="174">
        <v>0</v>
      </c>
      <c r="L483" s="174">
        <v>0</v>
      </c>
      <c r="M483" s="174">
        <v>0</v>
      </c>
      <c r="N483" s="174">
        <v>0</v>
      </c>
      <c r="O483" s="174">
        <v>0</v>
      </c>
      <c r="P483" s="174">
        <v>0</v>
      </c>
      <c r="Q483" s="174">
        <v>0</v>
      </c>
      <c r="R483" s="174">
        <v>0</v>
      </c>
      <c r="S483" s="215">
        <v>0</v>
      </c>
      <c r="T483" s="71">
        <f t="shared" si="299"/>
        <v>0</v>
      </c>
      <c r="U483" s="71">
        <f t="shared" si="300"/>
        <v>0</v>
      </c>
      <c r="V483" s="117">
        <v>0</v>
      </c>
      <c r="W483" s="117">
        <v>0</v>
      </c>
      <c r="X483" s="71">
        <f t="shared" si="301"/>
        <v>0</v>
      </c>
      <c r="Y483" s="71">
        <f t="shared" si="302"/>
        <v>0</v>
      </c>
      <c r="AA483" s="65"/>
      <c r="AC483" s="71">
        <f t="shared" si="303"/>
        <v>0</v>
      </c>
      <c r="AD483" s="39"/>
      <c r="AE483" s="7"/>
      <c r="AF483" s="15"/>
      <c r="AG483" s="71" t="b">
        <f t="shared" si="304"/>
        <v>1</v>
      </c>
      <c r="AI483" s="71"/>
      <c r="AJ483" s="39"/>
      <c r="AK483" s="15"/>
      <c r="AL483" s="71" t="b">
        <f t="shared" si="306"/>
        <v>1</v>
      </c>
      <c r="AN483" s="65"/>
    </row>
    <row r="484" spans="2:40 16128:16147" ht="13" customHeight="1">
      <c r="B484" s="119"/>
      <c r="C484" s="159">
        <f t="shared" si="298"/>
        <v>2026092</v>
      </c>
      <c r="D484" s="23">
        <v>17</v>
      </c>
      <c r="E484" s="128">
        <v>0</v>
      </c>
      <c r="F484" s="126" t="e">
        <f>VLOOKUP(E484,'Códigos bancos'!$B$4:$C$29,2,0)</f>
        <v>#N/A</v>
      </c>
      <c r="G484" s="36">
        <v>1</v>
      </c>
      <c r="H484" s="126" t="str">
        <f>VLOOKUP(G484,'Códigos bancos'!$F$4:$G$14,2,0)</f>
        <v>Oficinas</v>
      </c>
      <c r="I484" s="130"/>
      <c r="J484" s="174">
        <v>0</v>
      </c>
      <c r="K484" s="174">
        <v>0</v>
      </c>
      <c r="L484" s="174">
        <v>0</v>
      </c>
      <c r="M484" s="174">
        <v>0</v>
      </c>
      <c r="N484" s="174">
        <v>0</v>
      </c>
      <c r="O484" s="174">
        <v>0</v>
      </c>
      <c r="P484" s="174">
        <v>0</v>
      </c>
      <c r="Q484" s="174">
        <v>0</v>
      </c>
      <c r="R484" s="174">
        <v>0</v>
      </c>
      <c r="S484" s="215">
        <v>0</v>
      </c>
      <c r="T484" s="71">
        <f t="shared" si="299"/>
        <v>0</v>
      </c>
      <c r="U484" s="71">
        <f t="shared" si="300"/>
        <v>0</v>
      </c>
      <c r="V484" s="117">
        <v>0</v>
      </c>
      <c r="W484" s="117">
        <v>0</v>
      </c>
      <c r="X484" s="71">
        <f t="shared" si="301"/>
        <v>0</v>
      </c>
      <c r="Y484" s="71">
        <f t="shared" si="302"/>
        <v>0</v>
      </c>
      <c r="AA484" s="65"/>
      <c r="AC484" s="71">
        <f t="shared" si="303"/>
        <v>0</v>
      </c>
      <c r="AD484" s="39"/>
      <c r="AE484" s="7"/>
      <c r="AF484" s="15"/>
      <c r="AG484" s="71" t="b">
        <f t="shared" si="304"/>
        <v>1</v>
      </c>
      <c r="AI484" s="71">
        <f>Y484</f>
        <v>0</v>
      </c>
      <c r="AJ484" s="39"/>
      <c r="AK484" s="15"/>
      <c r="AL484" s="71" t="b">
        <f t="shared" si="306"/>
        <v>1</v>
      </c>
      <c r="AN484" s="65"/>
    </row>
    <row r="485" spans="2:40 16128:16147" ht="13" customHeight="1" thickBot="1">
      <c r="B485" s="119"/>
      <c r="C485" s="159">
        <f t="shared" si="298"/>
        <v>2026092</v>
      </c>
      <c r="D485" s="23">
        <v>17</v>
      </c>
      <c r="E485" s="128">
        <v>0</v>
      </c>
      <c r="F485" s="126" t="e">
        <f>VLOOKUP(E485,'Códigos bancos'!$B$4:$C$29,2,0)</f>
        <v>#N/A</v>
      </c>
      <c r="G485" s="36">
        <v>1</v>
      </c>
      <c r="H485" s="126" t="str">
        <f>VLOOKUP(G485,'Códigos bancos'!$F$4:$G$14,2,0)</f>
        <v>Oficinas</v>
      </c>
      <c r="I485" s="130"/>
      <c r="J485" s="174">
        <v>0</v>
      </c>
      <c r="K485" s="174">
        <v>0</v>
      </c>
      <c r="L485" s="174">
        <v>0</v>
      </c>
      <c r="M485" s="174">
        <v>0</v>
      </c>
      <c r="N485" s="174">
        <v>0</v>
      </c>
      <c r="O485" s="174">
        <v>0</v>
      </c>
      <c r="P485" s="174">
        <v>0</v>
      </c>
      <c r="Q485" s="174">
        <v>0</v>
      </c>
      <c r="R485" s="174">
        <v>0</v>
      </c>
      <c r="S485" s="215">
        <v>0</v>
      </c>
      <c r="T485" s="71">
        <f t="shared" si="299"/>
        <v>0</v>
      </c>
      <c r="U485" s="71">
        <f t="shared" si="300"/>
        <v>0</v>
      </c>
      <c r="V485" s="117">
        <v>0</v>
      </c>
      <c r="W485" s="117">
        <v>0</v>
      </c>
      <c r="X485" s="71">
        <f t="shared" si="301"/>
        <v>0</v>
      </c>
      <c r="Y485" s="71">
        <f t="shared" si="302"/>
        <v>0</v>
      </c>
      <c r="AA485" s="65"/>
      <c r="AC485" s="71">
        <f t="shared" si="303"/>
        <v>0</v>
      </c>
      <c r="AD485" s="39"/>
      <c r="AE485" s="7"/>
      <c r="AF485" s="15"/>
      <c r="AG485" s="71" t="b">
        <f t="shared" si="304"/>
        <v>1</v>
      </c>
      <c r="AI485" s="71">
        <f t="shared" si="305"/>
        <v>0</v>
      </c>
      <c r="AJ485" s="39"/>
      <c r="AK485" s="15"/>
      <c r="AL485" s="71" t="b">
        <f t="shared" si="306"/>
        <v>1</v>
      </c>
      <c r="AN485" s="65"/>
    </row>
    <row r="486" spans="2:40 16128:16147" ht="13" customHeight="1" thickBot="1">
      <c r="E486" s="120" t="s">
        <v>0</v>
      </c>
      <c r="F486" s="121" t="s">
        <v>53</v>
      </c>
      <c r="G486" s="121"/>
      <c r="H486" s="121"/>
      <c r="I486" s="121"/>
      <c r="J486" s="122">
        <f t="shared" ref="J486:Y486" si="316">SUM(J461:J485)</f>
        <v>0</v>
      </c>
      <c r="K486" s="122">
        <f>SUM(K461:K485)</f>
        <v>0</v>
      </c>
      <c r="L486" s="122">
        <f t="shared" si="316"/>
        <v>0</v>
      </c>
      <c r="M486" s="122">
        <f t="shared" si="316"/>
        <v>0</v>
      </c>
      <c r="N486" s="122">
        <f t="shared" si="316"/>
        <v>0</v>
      </c>
      <c r="O486" s="122">
        <f t="shared" si="316"/>
        <v>0</v>
      </c>
      <c r="P486" s="122">
        <f t="shared" si="316"/>
        <v>0</v>
      </c>
      <c r="Q486" s="122">
        <f t="shared" si="316"/>
        <v>0</v>
      </c>
      <c r="R486" s="122">
        <f t="shared" si="316"/>
        <v>48</v>
      </c>
      <c r="S486" s="122">
        <f t="shared" si="316"/>
        <v>3505030</v>
      </c>
      <c r="T486" s="122">
        <f t="shared" si="316"/>
        <v>48</v>
      </c>
      <c r="U486" s="122">
        <f t="shared" si="316"/>
        <v>3505030</v>
      </c>
      <c r="V486" s="123">
        <f t="shared" si="316"/>
        <v>48</v>
      </c>
      <c r="W486" s="123">
        <f t="shared" si="316"/>
        <v>3505030</v>
      </c>
      <c r="X486" s="122">
        <f t="shared" si="316"/>
        <v>0</v>
      </c>
      <c r="Y486" s="123">
        <f t="shared" si="316"/>
        <v>0</v>
      </c>
      <c r="AA486" s="65"/>
      <c r="AC486" s="122">
        <f>SUM(AC461:AC485)</f>
        <v>0</v>
      </c>
      <c r="AD486" s="122">
        <f>SUM(AD461:AD485)</f>
        <v>0</v>
      </c>
      <c r="AE486" s="122">
        <f>SUM(AE461:AE485)</f>
        <v>0</v>
      </c>
      <c r="AF486" s="123">
        <f>SUM(AF461:AF485)</f>
        <v>0</v>
      </c>
      <c r="AG486" s="100"/>
      <c r="AI486" s="122">
        <f>SUM(AI461:AI485)</f>
        <v>0</v>
      </c>
      <c r="AJ486" s="122">
        <f>SUM(AJ461:AJ485)</f>
        <v>0</v>
      </c>
      <c r="AK486" s="123">
        <f>SUM(AK461:AK485)</f>
        <v>0</v>
      </c>
      <c r="AL486" s="100"/>
      <c r="AN486" s="65"/>
    </row>
    <row r="487" spans="2:40 16128:16147" ht="13" thickBot="1">
      <c r="AA487" s="65"/>
      <c r="AN487" s="65"/>
    </row>
    <row r="488" spans="2:40 16128:16147" ht="41.25" customHeight="1" thickBot="1">
      <c r="B488" s="112" t="s">
        <v>4</v>
      </c>
      <c r="C488" s="34" t="s">
        <v>6</v>
      </c>
      <c r="D488" s="34" t="s">
        <v>7</v>
      </c>
      <c r="E488" s="34" t="s">
        <v>49</v>
      </c>
      <c r="F488" s="34" t="s">
        <v>50</v>
      </c>
      <c r="G488" s="34" t="s">
        <v>51</v>
      </c>
      <c r="H488" s="34" t="s">
        <v>52</v>
      </c>
      <c r="I488" s="34" t="s">
        <v>13</v>
      </c>
      <c r="J488" s="12" t="s">
        <v>8</v>
      </c>
      <c r="K488" s="12" t="s">
        <v>36</v>
      </c>
      <c r="L488" s="12" t="s">
        <v>9</v>
      </c>
      <c r="M488" s="12" t="s">
        <v>37</v>
      </c>
      <c r="N488" s="87" t="s">
        <v>10</v>
      </c>
      <c r="O488" s="88" t="s">
        <v>38</v>
      </c>
      <c r="P488" s="87" t="s">
        <v>11</v>
      </c>
      <c r="Q488" s="88" t="s">
        <v>39</v>
      </c>
      <c r="R488" s="87" t="s">
        <v>12</v>
      </c>
      <c r="S488" s="88" t="s">
        <v>40</v>
      </c>
      <c r="T488" s="64" t="s">
        <v>41</v>
      </c>
      <c r="U488" s="64" t="s">
        <v>42</v>
      </c>
      <c r="V488" s="35" t="s">
        <v>32</v>
      </c>
      <c r="W488" s="67" t="s">
        <v>35</v>
      </c>
      <c r="X488" s="12" t="s">
        <v>34</v>
      </c>
      <c r="Y488" s="68" t="s">
        <v>33</v>
      </c>
      <c r="AA488" s="66"/>
      <c r="AC488" s="12" t="s">
        <v>34</v>
      </c>
      <c r="AD488" s="12" t="s">
        <v>45</v>
      </c>
      <c r="AE488" s="12" t="s">
        <v>43</v>
      </c>
      <c r="AF488" s="12" t="s">
        <v>44</v>
      </c>
      <c r="AG488" s="12" t="s">
        <v>46</v>
      </c>
      <c r="AI488" s="12" t="s">
        <v>33</v>
      </c>
      <c r="AJ488" s="12" t="s">
        <v>47</v>
      </c>
      <c r="AK488" s="12" t="s">
        <v>48</v>
      </c>
      <c r="AL488" s="12" t="s">
        <v>46</v>
      </c>
      <c r="AN488" s="66"/>
      <c r="WVH488" s="1"/>
      <c r="WVI488" s="1"/>
      <c r="WVZ488"/>
      <c r="WWA488"/>
    </row>
    <row r="489" spans="2:40 16128:16147" ht="13" customHeight="1">
      <c r="B489" s="119" t="s">
        <v>80</v>
      </c>
      <c r="C489" s="158">
        <f>IF(D489&lt;=15,$C$1,$C$2)</f>
        <v>2026092</v>
      </c>
      <c r="D489" s="24">
        <v>18</v>
      </c>
      <c r="E489" s="127">
        <v>20</v>
      </c>
      <c r="F489" s="125" t="str">
        <f>VLOOKUP(E489,'Códigos bancos'!$B$4:$C$29,2,0)</f>
        <v>Bancolombia ENERBIT</v>
      </c>
      <c r="G489" s="18">
        <v>1</v>
      </c>
      <c r="H489" s="125" t="str">
        <f>VLOOKUP(G489,'Códigos bancos'!$F$4:$G$14,2,0)</f>
        <v>Oficinas</v>
      </c>
      <c r="I489" s="129"/>
      <c r="J489" s="213">
        <v>0</v>
      </c>
      <c r="K489" s="213">
        <v>0</v>
      </c>
      <c r="L489" s="213">
        <v>0</v>
      </c>
      <c r="M489" s="213">
        <v>0</v>
      </c>
      <c r="N489" s="213">
        <v>0</v>
      </c>
      <c r="O489" s="213">
        <v>0</v>
      </c>
      <c r="P489" s="213">
        <v>0</v>
      </c>
      <c r="Q489" s="213">
        <v>0</v>
      </c>
      <c r="R489" s="174">
        <f>36+1</f>
        <v>37</v>
      </c>
      <c r="S489" s="215">
        <f>2216530+212780</f>
        <v>2429310</v>
      </c>
      <c r="T489" s="70">
        <f>J489+L489+N489+P489+R489</f>
        <v>37</v>
      </c>
      <c r="U489" s="70">
        <f>K489+M489+O489+Q489+S489</f>
        <v>2429310</v>
      </c>
      <c r="V489" s="174">
        <f>36+1</f>
        <v>37</v>
      </c>
      <c r="W489" s="215">
        <f>2216530+212780</f>
        <v>2429310</v>
      </c>
      <c r="X489" s="70">
        <f>V489-T489</f>
        <v>0</v>
      </c>
      <c r="Y489" s="70">
        <f>W489-U489</f>
        <v>0</v>
      </c>
      <c r="AA489" s="65"/>
      <c r="AC489" s="124">
        <f>X489</f>
        <v>0</v>
      </c>
      <c r="AD489" s="115"/>
      <c r="AE489" s="16"/>
      <c r="AF489" s="114"/>
      <c r="AG489" s="124" t="b">
        <f>AC489=(AD489+AE489+AF489)</f>
        <v>1</v>
      </c>
      <c r="AI489" s="70">
        <f>Y489</f>
        <v>0</v>
      </c>
      <c r="AJ489" s="115"/>
      <c r="AK489" s="114"/>
      <c r="AL489" s="70" t="b">
        <f>AI489=(AJ489+AK489)</f>
        <v>1</v>
      </c>
      <c r="AN489" s="65"/>
    </row>
    <row r="490" spans="2:40 16128:16147" ht="13" customHeight="1">
      <c r="B490" s="119"/>
      <c r="C490" s="159">
        <f t="shared" ref="C490:C513" si="317">IF(D490&lt;=15,$C$1,$C$2)</f>
        <v>2026092</v>
      </c>
      <c r="D490" s="23">
        <v>18</v>
      </c>
      <c r="E490" s="128">
        <v>0</v>
      </c>
      <c r="F490" s="126" t="e">
        <f>VLOOKUP(E490,'Códigos bancos'!$B$4:$C$29,2,0)</f>
        <v>#N/A</v>
      </c>
      <c r="G490" s="36">
        <v>1</v>
      </c>
      <c r="H490" s="126" t="str">
        <f>VLOOKUP(G490,'Códigos bancos'!$F$4:$G$14,2,0)</f>
        <v>Oficinas</v>
      </c>
      <c r="I490" s="130"/>
      <c r="J490" s="174">
        <v>0</v>
      </c>
      <c r="K490" s="174">
        <v>0</v>
      </c>
      <c r="L490" s="174">
        <v>0</v>
      </c>
      <c r="M490" s="174">
        <v>0</v>
      </c>
      <c r="N490" s="174">
        <v>0</v>
      </c>
      <c r="O490" s="174">
        <v>0</v>
      </c>
      <c r="P490" s="174">
        <v>0</v>
      </c>
      <c r="Q490" s="174">
        <v>0</v>
      </c>
      <c r="R490" s="174">
        <v>0</v>
      </c>
      <c r="S490" s="215">
        <v>0</v>
      </c>
      <c r="T490" s="71">
        <f t="shared" ref="T490:T513" si="318">J490+L490+N490+P490+R490</f>
        <v>0</v>
      </c>
      <c r="U490" s="71">
        <f t="shared" ref="U490:U513" si="319">K490+M490+O490+Q490+S490</f>
        <v>0</v>
      </c>
      <c r="V490" s="117">
        <v>0</v>
      </c>
      <c r="W490" s="117">
        <v>0</v>
      </c>
      <c r="X490" s="71">
        <f t="shared" ref="X490:X513" si="320">V490-T490</f>
        <v>0</v>
      </c>
      <c r="Y490" s="71">
        <f t="shared" ref="Y490:Y513" si="321">W490-U490</f>
        <v>0</v>
      </c>
      <c r="AA490" s="65"/>
      <c r="AC490" s="71">
        <f t="shared" ref="AC490:AC513" si="322">X490</f>
        <v>0</v>
      </c>
      <c r="AD490" s="39"/>
      <c r="AE490" s="7"/>
      <c r="AF490" s="15"/>
      <c r="AG490" s="71" t="b">
        <f t="shared" ref="AG490:AG513" si="323">AC490=(AD490+AE490+AF490)</f>
        <v>1</v>
      </c>
      <c r="AI490" s="71">
        <f t="shared" ref="AI490:AI513" si="324">Y490</f>
        <v>0</v>
      </c>
      <c r="AJ490" s="39"/>
      <c r="AK490" s="15"/>
      <c r="AL490" s="71" t="b">
        <f t="shared" ref="AL490:AL513" si="325">AI490=(AJ490+AK490)</f>
        <v>1</v>
      </c>
      <c r="AN490" s="65"/>
    </row>
    <row r="491" spans="2:40 16128:16147" ht="13" customHeight="1">
      <c r="B491" s="119"/>
      <c r="C491" s="159">
        <f t="shared" si="317"/>
        <v>2026092</v>
      </c>
      <c r="D491" s="23">
        <v>18</v>
      </c>
      <c r="E491" s="128">
        <v>0</v>
      </c>
      <c r="F491" s="126" t="e">
        <f>VLOOKUP(E491,'Códigos bancos'!$B$4:$C$29,2,0)</f>
        <v>#N/A</v>
      </c>
      <c r="G491" s="36">
        <v>1</v>
      </c>
      <c r="H491" s="126" t="str">
        <f>VLOOKUP(G491,'Códigos bancos'!$F$4:$G$14,2,0)</f>
        <v>Oficinas</v>
      </c>
      <c r="I491" s="130"/>
      <c r="J491" s="174">
        <v>0</v>
      </c>
      <c r="K491" s="174">
        <v>0</v>
      </c>
      <c r="L491" s="174">
        <v>0</v>
      </c>
      <c r="M491" s="174">
        <v>0</v>
      </c>
      <c r="N491" s="174">
        <v>0</v>
      </c>
      <c r="O491" s="174">
        <v>0</v>
      </c>
      <c r="P491" s="174">
        <v>0</v>
      </c>
      <c r="Q491" s="174">
        <v>0</v>
      </c>
      <c r="R491" s="174">
        <v>0</v>
      </c>
      <c r="S491" s="215">
        <v>0</v>
      </c>
      <c r="T491" s="71">
        <f t="shared" si="318"/>
        <v>0</v>
      </c>
      <c r="U491" s="71">
        <f t="shared" si="319"/>
        <v>0</v>
      </c>
      <c r="V491" s="117">
        <v>0</v>
      </c>
      <c r="W491" s="117">
        <v>0</v>
      </c>
      <c r="X491" s="71">
        <f t="shared" si="320"/>
        <v>0</v>
      </c>
      <c r="Y491" s="71">
        <f t="shared" si="321"/>
        <v>0</v>
      </c>
      <c r="AA491" s="65"/>
      <c r="AC491" s="71">
        <f t="shared" si="322"/>
        <v>0</v>
      </c>
      <c r="AD491" s="45"/>
      <c r="AE491" s="14"/>
      <c r="AF491" s="46"/>
      <c r="AG491" s="71" t="b">
        <f t="shared" si="323"/>
        <v>1</v>
      </c>
      <c r="AI491" s="71">
        <f t="shared" si="324"/>
        <v>0</v>
      </c>
      <c r="AJ491" s="45"/>
      <c r="AK491" s="46"/>
      <c r="AL491" s="71" t="b">
        <f t="shared" si="325"/>
        <v>1</v>
      </c>
      <c r="AN491" s="65"/>
    </row>
    <row r="492" spans="2:40 16128:16147" ht="13" customHeight="1">
      <c r="B492" s="119"/>
      <c r="C492" s="159">
        <f t="shared" si="317"/>
        <v>2026092</v>
      </c>
      <c r="D492" s="23">
        <v>18</v>
      </c>
      <c r="E492" s="128">
        <v>0</v>
      </c>
      <c r="F492" s="126" t="e">
        <f>VLOOKUP(E492,'Códigos bancos'!$B$4:$C$29,2,0)</f>
        <v>#N/A</v>
      </c>
      <c r="G492" s="36">
        <v>1</v>
      </c>
      <c r="H492" s="126" t="str">
        <f>VLOOKUP(G492,'Códigos bancos'!$F$4:$G$14,2,0)</f>
        <v>Oficinas</v>
      </c>
      <c r="I492" s="130"/>
      <c r="J492" s="174">
        <v>0</v>
      </c>
      <c r="K492" s="174">
        <v>0</v>
      </c>
      <c r="L492" s="174">
        <v>0</v>
      </c>
      <c r="M492" s="174">
        <v>0</v>
      </c>
      <c r="N492" s="174">
        <v>0</v>
      </c>
      <c r="O492" s="174">
        <v>0</v>
      </c>
      <c r="P492" s="174">
        <v>0</v>
      </c>
      <c r="Q492" s="174">
        <v>0</v>
      </c>
      <c r="R492" s="174">
        <v>0</v>
      </c>
      <c r="S492" s="215">
        <v>0</v>
      </c>
      <c r="T492" s="71">
        <f t="shared" si="318"/>
        <v>0</v>
      </c>
      <c r="U492" s="71">
        <f t="shared" si="319"/>
        <v>0</v>
      </c>
      <c r="V492" s="117">
        <v>0</v>
      </c>
      <c r="W492" s="117">
        <v>0</v>
      </c>
      <c r="X492" s="71">
        <f t="shared" si="320"/>
        <v>0</v>
      </c>
      <c r="Y492" s="71">
        <f t="shared" si="321"/>
        <v>0</v>
      </c>
      <c r="AA492" s="65"/>
      <c r="AC492" s="71">
        <f t="shared" si="322"/>
        <v>0</v>
      </c>
      <c r="AD492" s="39"/>
      <c r="AE492" s="7"/>
      <c r="AF492" s="15"/>
      <c r="AG492" s="71" t="b">
        <f t="shared" si="323"/>
        <v>1</v>
      </c>
      <c r="AI492" s="71">
        <f t="shared" si="324"/>
        <v>0</v>
      </c>
      <c r="AJ492" s="39"/>
      <c r="AK492" s="15"/>
      <c r="AL492" s="71" t="b">
        <f t="shared" si="325"/>
        <v>1</v>
      </c>
      <c r="AN492" s="65"/>
    </row>
    <row r="493" spans="2:40 16128:16147" ht="13" customHeight="1">
      <c r="B493" s="119"/>
      <c r="C493" s="159">
        <f t="shared" si="317"/>
        <v>2026092</v>
      </c>
      <c r="D493" s="23">
        <v>18</v>
      </c>
      <c r="E493" s="128">
        <v>0</v>
      </c>
      <c r="F493" s="126" t="e">
        <f>VLOOKUP(E493,'Códigos bancos'!$B$4:$C$29,2,0)</f>
        <v>#N/A</v>
      </c>
      <c r="G493" s="36">
        <v>1</v>
      </c>
      <c r="H493" s="126" t="str">
        <f>VLOOKUP(G493,'Códigos bancos'!$F$4:$G$14,2,0)</f>
        <v>Oficinas</v>
      </c>
      <c r="I493" s="130"/>
      <c r="J493" s="174">
        <v>0</v>
      </c>
      <c r="K493" s="174">
        <v>0</v>
      </c>
      <c r="L493" s="174">
        <v>0</v>
      </c>
      <c r="M493" s="174">
        <v>0</v>
      </c>
      <c r="N493" s="174">
        <v>0</v>
      </c>
      <c r="O493" s="174">
        <v>0</v>
      </c>
      <c r="P493" s="174">
        <v>0</v>
      </c>
      <c r="Q493" s="174">
        <v>0</v>
      </c>
      <c r="R493" s="174">
        <v>0</v>
      </c>
      <c r="S493" s="215">
        <v>0</v>
      </c>
      <c r="T493" s="71">
        <f t="shared" si="318"/>
        <v>0</v>
      </c>
      <c r="U493" s="71">
        <f t="shared" si="319"/>
        <v>0</v>
      </c>
      <c r="V493" s="117">
        <v>0</v>
      </c>
      <c r="W493" s="117">
        <v>0</v>
      </c>
      <c r="X493" s="71">
        <f t="shared" si="320"/>
        <v>0</v>
      </c>
      <c r="Y493" s="71">
        <f t="shared" si="321"/>
        <v>0</v>
      </c>
      <c r="AA493" s="65"/>
      <c r="AC493" s="71">
        <f t="shared" si="322"/>
        <v>0</v>
      </c>
      <c r="AD493" s="39"/>
      <c r="AE493" s="7"/>
      <c r="AF493" s="15"/>
      <c r="AG493" s="71" t="b">
        <f t="shared" si="323"/>
        <v>1</v>
      </c>
      <c r="AI493" s="71">
        <f t="shared" si="324"/>
        <v>0</v>
      </c>
      <c r="AJ493" s="39"/>
      <c r="AK493" s="15"/>
      <c r="AL493" s="71" t="b">
        <f t="shared" si="325"/>
        <v>1</v>
      </c>
      <c r="AN493" s="65"/>
    </row>
    <row r="494" spans="2:40 16128:16147" ht="13" customHeight="1">
      <c r="B494" s="119"/>
      <c r="C494" s="159">
        <f t="shared" si="317"/>
        <v>2026092</v>
      </c>
      <c r="D494" s="23">
        <v>18</v>
      </c>
      <c r="E494" s="128">
        <v>0</v>
      </c>
      <c r="F494" s="126" t="e">
        <f>VLOOKUP(E494,'Códigos bancos'!$B$4:$C$29,2,0)</f>
        <v>#N/A</v>
      </c>
      <c r="G494" s="36">
        <v>1</v>
      </c>
      <c r="H494" s="126" t="str">
        <f>VLOOKUP(G494,'Códigos bancos'!$F$4:$G$14,2,0)</f>
        <v>Oficinas</v>
      </c>
      <c r="I494" s="130"/>
      <c r="J494" s="174">
        <v>0</v>
      </c>
      <c r="K494" s="174">
        <v>0</v>
      </c>
      <c r="L494" s="174">
        <v>0</v>
      </c>
      <c r="M494" s="174">
        <v>0</v>
      </c>
      <c r="N494" s="174">
        <v>0</v>
      </c>
      <c r="O494" s="174">
        <v>0</v>
      </c>
      <c r="P494" s="174">
        <v>0</v>
      </c>
      <c r="Q494" s="174">
        <v>0</v>
      </c>
      <c r="R494" s="174">
        <v>0</v>
      </c>
      <c r="S494" s="215">
        <v>0</v>
      </c>
      <c r="T494" s="71">
        <f t="shared" si="318"/>
        <v>0</v>
      </c>
      <c r="U494" s="71">
        <f t="shared" si="319"/>
        <v>0</v>
      </c>
      <c r="V494" s="117">
        <v>0</v>
      </c>
      <c r="W494" s="117">
        <v>0</v>
      </c>
      <c r="X494" s="71">
        <f t="shared" si="320"/>
        <v>0</v>
      </c>
      <c r="Y494" s="71">
        <f t="shared" si="321"/>
        <v>0</v>
      </c>
      <c r="AA494" s="65"/>
      <c r="AC494" s="71">
        <f t="shared" si="322"/>
        <v>0</v>
      </c>
      <c r="AD494" s="39"/>
      <c r="AE494" s="7"/>
      <c r="AF494" s="15"/>
      <c r="AG494" s="71" t="b">
        <f t="shared" si="323"/>
        <v>1</v>
      </c>
      <c r="AI494" s="71">
        <f t="shared" si="324"/>
        <v>0</v>
      </c>
      <c r="AJ494" s="39"/>
      <c r="AK494" s="15"/>
      <c r="AL494" s="71" t="b">
        <f t="shared" si="325"/>
        <v>1</v>
      </c>
      <c r="AN494" s="65"/>
    </row>
    <row r="495" spans="2:40 16128:16147" ht="13" customHeight="1">
      <c r="B495" s="119"/>
      <c r="C495" s="159">
        <f t="shared" si="317"/>
        <v>2026092</v>
      </c>
      <c r="D495" s="23">
        <v>18</v>
      </c>
      <c r="E495" s="128">
        <v>0</v>
      </c>
      <c r="F495" s="126" t="e">
        <f>VLOOKUP(E495,'Códigos bancos'!$B$4:$C$29,2,0)</f>
        <v>#N/A</v>
      </c>
      <c r="G495" s="36">
        <v>1</v>
      </c>
      <c r="H495" s="126" t="str">
        <f>VLOOKUP(G495,'Códigos bancos'!$F$4:$G$14,2,0)</f>
        <v>Oficinas</v>
      </c>
      <c r="I495" s="130"/>
      <c r="J495" s="174">
        <v>0</v>
      </c>
      <c r="K495" s="174">
        <v>0</v>
      </c>
      <c r="L495" s="174">
        <v>0</v>
      </c>
      <c r="M495" s="174">
        <v>0</v>
      </c>
      <c r="N495" s="174">
        <v>0</v>
      </c>
      <c r="O495" s="174">
        <v>0</v>
      </c>
      <c r="P495" s="174">
        <v>0</v>
      </c>
      <c r="Q495" s="174">
        <v>0</v>
      </c>
      <c r="R495" s="174">
        <v>0</v>
      </c>
      <c r="S495" s="215">
        <v>0</v>
      </c>
      <c r="T495" s="71">
        <f t="shared" si="318"/>
        <v>0</v>
      </c>
      <c r="U495" s="71">
        <f t="shared" si="319"/>
        <v>0</v>
      </c>
      <c r="V495" s="117">
        <v>0</v>
      </c>
      <c r="W495" s="117">
        <v>0</v>
      </c>
      <c r="X495" s="71">
        <f t="shared" si="320"/>
        <v>0</v>
      </c>
      <c r="Y495" s="71">
        <f t="shared" si="321"/>
        <v>0</v>
      </c>
      <c r="AA495" s="65"/>
      <c r="AC495" s="71">
        <f t="shared" si="322"/>
        <v>0</v>
      </c>
      <c r="AD495" s="39"/>
      <c r="AE495" s="7"/>
      <c r="AF495" s="15"/>
      <c r="AG495" s="71" t="b">
        <f t="shared" si="323"/>
        <v>1</v>
      </c>
      <c r="AI495" s="71">
        <f t="shared" si="324"/>
        <v>0</v>
      </c>
      <c r="AJ495" s="39"/>
      <c r="AK495" s="15"/>
      <c r="AL495" s="71" t="b">
        <f t="shared" si="325"/>
        <v>1</v>
      </c>
      <c r="AN495" s="65"/>
    </row>
    <row r="496" spans="2:40 16128:16147" ht="13" customHeight="1">
      <c r="B496" s="119"/>
      <c r="C496" s="159">
        <f t="shared" si="317"/>
        <v>2026092</v>
      </c>
      <c r="D496" s="23">
        <v>18</v>
      </c>
      <c r="E496" s="128">
        <v>0</v>
      </c>
      <c r="F496" s="126" t="e">
        <f>VLOOKUP(E496,'Códigos bancos'!$B$4:$C$29,2,0)</f>
        <v>#N/A</v>
      </c>
      <c r="G496" s="36">
        <v>1</v>
      </c>
      <c r="H496" s="126" t="str">
        <f>VLOOKUP(G496,'Códigos bancos'!$F$4:$G$14,2,0)</f>
        <v>Oficinas</v>
      </c>
      <c r="I496" s="130"/>
      <c r="J496" s="174">
        <v>0</v>
      </c>
      <c r="K496" s="174">
        <v>0</v>
      </c>
      <c r="L496" s="174">
        <v>0</v>
      </c>
      <c r="M496" s="174">
        <v>0</v>
      </c>
      <c r="N496" s="174">
        <v>0</v>
      </c>
      <c r="O496" s="174">
        <v>0</v>
      </c>
      <c r="P496" s="174">
        <v>0</v>
      </c>
      <c r="Q496" s="174">
        <v>0</v>
      </c>
      <c r="R496" s="174">
        <v>0</v>
      </c>
      <c r="S496" s="215">
        <v>0</v>
      </c>
      <c r="T496" s="71">
        <f t="shared" si="318"/>
        <v>0</v>
      </c>
      <c r="U496" s="71">
        <f t="shared" si="319"/>
        <v>0</v>
      </c>
      <c r="V496" s="117">
        <v>0</v>
      </c>
      <c r="W496" s="117">
        <v>0</v>
      </c>
      <c r="X496" s="71">
        <f t="shared" si="320"/>
        <v>0</v>
      </c>
      <c r="Y496" s="71">
        <f t="shared" si="321"/>
        <v>0</v>
      </c>
      <c r="AA496" s="65"/>
      <c r="AC496" s="71">
        <f t="shared" si="322"/>
        <v>0</v>
      </c>
      <c r="AD496" s="39"/>
      <c r="AE496" s="7"/>
      <c r="AF496" s="15"/>
      <c r="AG496" s="71" t="b">
        <f t="shared" si="323"/>
        <v>1</v>
      </c>
      <c r="AI496" s="71">
        <f t="shared" si="324"/>
        <v>0</v>
      </c>
      <c r="AJ496" s="39"/>
      <c r="AK496" s="15"/>
      <c r="AL496" s="71" t="b">
        <f t="shared" si="325"/>
        <v>1</v>
      </c>
      <c r="AN496" s="65"/>
    </row>
    <row r="497" spans="2:40" ht="13" customHeight="1">
      <c r="B497" s="119"/>
      <c r="C497" s="159">
        <f t="shared" si="317"/>
        <v>2026092</v>
      </c>
      <c r="D497" s="23">
        <v>18</v>
      </c>
      <c r="E497" s="128">
        <v>0</v>
      </c>
      <c r="F497" s="126" t="e">
        <f>VLOOKUP(E497,'Códigos bancos'!$B$4:$C$29,2,0)</f>
        <v>#N/A</v>
      </c>
      <c r="G497" s="36">
        <v>1</v>
      </c>
      <c r="H497" s="126" t="str">
        <f>VLOOKUP(G497,'Códigos bancos'!$F$4:$G$14,2,0)</f>
        <v>Oficinas</v>
      </c>
      <c r="I497" s="130"/>
      <c r="J497" s="174">
        <v>0</v>
      </c>
      <c r="K497" s="174">
        <v>0</v>
      </c>
      <c r="L497" s="174">
        <v>0</v>
      </c>
      <c r="M497" s="174">
        <v>0</v>
      </c>
      <c r="N497" s="174">
        <v>0</v>
      </c>
      <c r="O497" s="174">
        <v>0</v>
      </c>
      <c r="P497" s="174">
        <v>0</v>
      </c>
      <c r="Q497" s="174">
        <v>0</v>
      </c>
      <c r="R497" s="174">
        <v>0</v>
      </c>
      <c r="S497" s="215">
        <v>0</v>
      </c>
      <c r="T497" s="71">
        <f t="shared" si="318"/>
        <v>0</v>
      </c>
      <c r="U497" s="71">
        <f t="shared" si="319"/>
        <v>0</v>
      </c>
      <c r="V497" s="117">
        <v>0</v>
      </c>
      <c r="W497" s="117">
        <v>0</v>
      </c>
      <c r="X497" s="71">
        <f t="shared" si="320"/>
        <v>0</v>
      </c>
      <c r="Y497" s="71">
        <f t="shared" si="321"/>
        <v>0</v>
      </c>
      <c r="AA497" s="65"/>
      <c r="AC497" s="71">
        <f t="shared" si="322"/>
        <v>0</v>
      </c>
      <c r="AD497" s="39"/>
      <c r="AE497" s="7"/>
      <c r="AF497" s="15"/>
      <c r="AG497" s="71" t="b">
        <f t="shared" si="323"/>
        <v>1</v>
      </c>
      <c r="AI497" s="71">
        <f t="shared" si="324"/>
        <v>0</v>
      </c>
      <c r="AJ497" s="39"/>
      <c r="AK497" s="15"/>
      <c r="AL497" s="71" t="b">
        <f t="shared" si="325"/>
        <v>1</v>
      </c>
      <c r="AN497" s="65"/>
    </row>
    <row r="498" spans="2:40" ht="13" customHeight="1">
      <c r="B498" s="119"/>
      <c r="C498" s="159">
        <f t="shared" si="317"/>
        <v>2026092</v>
      </c>
      <c r="D498" s="23">
        <v>18</v>
      </c>
      <c r="E498" s="128">
        <v>0</v>
      </c>
      <c r="F498" s="126" t="e">
        <f>VLOOKUP(E498,'Códigos bancos'!$B$4:$C$29,2,0)</f>
        <v>#N/A</v>
      </c>
      <c r="G498" s="36">
        <v>1</v>
      </c>
      <c r="H498" s="126" t="str">
        <f>VLOOKUP(G498,'Códigos bancos'!$F$4:$G$14,2,0)</f>
        <v>Oficinas</v>
      </c>
      <c r="I498" s="130"/>
      <c r="J498" s="174">
        <v>0</v>
      </c>
      <c r="K498" s="174">
        <v>0</v>
      </c>
      <c r="L498" s="174">
        <v>0</v>
      </c>
      <c r="M498" s="174">
        <v>0</v>
      </c>
      <c r="N498" s="174">
        <v>0</v>
      </c>
      <c r="O498" s="174">
        <v>0</v>
      </c>
      <c r="P498" s="174">
        <v>0</v>
      </c>
      <c r="Q498" s="174">
        <v>0</v>
      </c>
      <c r="R498" s="174">
        <v>0</v>
      </c>
      <c r="S498" s="215">
        <v>0</v>
      </c>
      <c r="T498" s="71">
        <f t="shared" si="318"/>
        <v>0</v>
      </c>
      <c r="U498" s="71">
        <f t="shared" si="319"/>
        <v>0</v>
      </c>
      <c r="V498" s="117">
        <v>0</v>
      </c>
      <c r="W498" s="117">
        <v>0</v>
      </c>
      <c r="X498" s="71">
        <f t="shared" si="320"/>
        <v>0</v>
      </c>
      <c r="Y498" s="71">
        <f t="shared" si="321"/>
        <v>0</v>
      </c>
      <c r="AA498" s="65"/>
      <c r="AC498" s="71">
        <f t="shared" si="322"/>
        <v>0</v>
      </c>
      <c r="AD498" s="39"/>
      <c r="AE498" s="7"/>
      <c r="AF498" s="15"/>
      <c r="AG498" s="71" t="b">
        <f t="shared" si="323"/>
        <v>1</v>
      </c>
      <c r="AI498" s="71">
        <f t="shared" si="324"/>
        <v>0</v>
      </c>
      <c r="AJ498" s="39"/>
      <c r="AK498" s="15"/>
      <c r="AL498" s="71" t="b">
        <f t="shared" si="325"/>
        <v>1</v>
      </c>
      <c r="AN498" s="65"/>
    </row>
    <row r="499" spans="2:40" ht="13" customHeight="1">
      <c r="B499" s="119"/>
      <c r="C499" s="159">
        <f t="shared" si="317"/>
        <v>2026092</v>
      </c>
      <c r="D499" s="23">
        <v>18</v>
      </c>
      <c r="E499" s="128">
        <v>0</v>
      </c>
      <c r="F499" s="126" t="e">
        <f>VLOOKUP(E499,'Códigos bancos'!$B$4:$C$29,2,0)</f>
        <v>#N/A</v>
      </c>
      <c r="G499" s="36">
        <v>1</v>
      </c>
      <c r="H499" s="126" t="str">
        <f>VLOOKUP(G499,'Códigos bancos'!$F$4:$G$14,2,0)</f>
        <v>Oficinas</v>
      </c>
      <c r="I499" s="130"/>
      <c r="J499" s="174">
        <v>0</v>
      </c>
      <c r="K499" s="174">
        <v>0</v>
      </c>
      <c r="L499" s="174">
        <v>0</v>
      </c>
      <c r="M499" s="174">
        <v>0</v>
      </c>
      <c r="N499" s="174">
        <v>0</v>
      </c>
      <c r="O499" s="174">
        <v>0</v>
      </c>
      <c r="P499" s="174">
        <v>0</v>
      </c>
      <c r="Q499" s="174">
        <v>0</v>
      </c>
      <c r="R499" s="174">
        <v>0</v>
      </c>
      <c r="S499" s="215">
        <v>0</v>
      </c>
      <c r="T499" s="71">
        <f t="shared" si="318"/>
        <v>0</v>
      </c>
      <c r="U499" s="71">
        <f t="shared" si="319"/>
        <v>0</v>
      </c>
      <c r="V499" s="117">
        <v>0</v>
      </c>
      <c r="W499" s="117">
        <v>0</v>
      </c>
      <c r="X499" s="71">
        <f t="shared" si="320"/>
        <v>0</v>
      </c>
      <c r="Y499" s="71">
        <f t="shared" si="321"/>
        <v>0</v>
      </c>
      <c r="AA499" s="65"/>
      <c r="AC499" s="71">
        <f t="shared" si="322"/>
        <v>0</v>
      </c>
      <c r="AD499" s="39"/>
      <c r="AE499" s="7"/>
      <c r="AF499" s="15"/>
      <c r="AG499" s="71" t="b">
        <f t="shared" si="323"/>
        <v>1</v>
      </c>
      <c r="AI499" s="71">
        <f t="shared" si="324"/>
        <v>0</v>
      </c>
      <c r="AJ499" s="39"/>
      <c r="AK499" s="15"/>
      <c r="AL499" s="71" t="b">
        <f t="shared" si="325"/>
        <v>1</v>
      </c>
      <c r="AN499" s="65"/>
    </row>
    <row r="500" spans="2:40" ht="13" customHeight="1">
      <c r="B500" s="119"/>
      <c r="C500" s="159">
        <f t="shared" si="317"/>
        <v>2026092</v>
      </c>
      <c r="D500" s="23">
        <v>18</v>
      </c>
      <c r="E500" s="128">
        <v>0</v>
      </c>
      <c r="F500" s="126" t="e">
        <f>VLOOKUP(E500,'Códigos bancos'!$B$4:$C$29,2,0)</f>
        <v>#N/A</v>
      </c>
      <c r="G500" s="36">
        <v>1</v>
      </c>
      <c r="H500" s="126" t="str">
        <f>VLOOKUP(G500,'Códigos bancos'!$F$4:$G$14,2,0)</f>
        <v>Oficinas</v>
      </c>
      <c r="I500" s="130"/>
      <c r="J500" s="174">
        <v>0</v>
      </c>
      <c r="K500" s="174">
        <v>0</v>
      </c>
      <c r="L500" s="174">
        <v>0</v>
      </c>
      <c r="M500" s="174">
        <v>0</v>
      </c>
      <c r="N500" s="174">
        <v>0</v>
      </c>
      <c r="O500" s="174">
        <v>0</v>
      </c>
      <c r="P500" s="174">
        <v>0</v>
      </c>
      <c r="Q500" s="174">
        <v>0</v>
      </c>
      <c r="R500" s="174">
        <v>0</v>
      </c>
      <c r="S500" s="215">
        <v>0</v>
      </c>
      <c r="T500" s="71">
        <f t="shared" si="318"/>
        <v>0</v>
      </c>
      <c r="U500" s="71">
        <f t="shared" si="319"/>
        <v>0</v>
      </c>
      <c r="V500" s="117">
        <v>0</v>
      </c>
      <c r="W500" s="117">
        <v>0</v>
      </c>
      <c r="X500" s="71">
        <f t="shared" si="320"/>
        <v>0</v>
      </c>
      <c r="Y500" s="71">
        <f t="shared" si="321"/>
        <v>0</v>
      </c>
      <c r="AA500" s="65"/>
      <c r="AC500" s="71">
        <f t="shared" si="322"/>
        <v>0</v>
      </c>
      <c r="AD500" s="39"/>
      <c r="AE500" s="7"/>
      <c r="AF500" s="15"/>
      <c r="AG500" s="71" t="b">
        <f t="shared" si="323"/>
        <v>1</v>
      </c>
      <c r="AI500" s="71">
        <f t="shared" si="324"/>
        <v>0</v>
      </c>
      <c r="AJ500" s="39"/>
      <c r="AK500" s="15"/>
      <c r="AL500" s="71" t="b">
        <f t="shared" si="325"/>
        <v>1</v>
      </c>
      <c r="AN500" s="65"/>
    </row>
    <row r="501" spans="2:40" ht="13" customHeight="1">
      <c r="B501" s="119"/>
      <c r="C501" s="159">
        <f t="shared" si="317"/>
        <v>2026092</v>
      </c>
      <c r="D501" s="23">
        <v>18</v>
      </c>
      <c r="E501" s="128">
        <v>0</v>
      </c>
      <c r="F501" s="126" t="e">
        <f>VLOOKUP(E501,'Códigos bancos'!$B$4:$C$29,2,0)</f>
        <v>#N/A</v>
      </c>
      <c r="G501" s="36">
        <v>1</v>
      </c>
      <c r="H501" s="126" t="str">
        <f>VLOOKUP(G501,'Códigos bancos'!$F$4:$G$14,2,0)</f>
        <v>Oficinas</v>
      </c>
      <c r="I501" s="130"/>
      <c r="J501" s="174">
        <v>0</v>
      </c>
      <c r="K501" s="174">
        <v>0</v>
      </c>
      <c r="L501" s="174">
        <v>0</v>
      </c>
      <c r="M501" s="174">
        <v>0</v>
      </c>
      <c r="N501" s="174">
        <v>0</v>
      </c>
      <c r="O501" s="174">
        <v>0</v>
      </c>
      <c r="P501" s="174">
        <v>0</v>
      </c>
      <c r="Q501" s="174">
        <v>0</v>
      </c>
      <c r="R501" s="174">
        <v>0</v>
      </c>
      <c r="S501" s="215">
        <v>0</v>
      </c>
      <c r="T501" s="71">
        <f t="shared" si="318"/>
        <v>0</v>
      </c>
      <c r="U501" s="71">
        <f t="shared" si="319"/>
        <v>0</v>
      </c>
      <c r="V501" s="117">
        <v>0</v>
      </c>
      <c r="W501" s="117">
        <v>0</v>
      </c>
      <c r="X501" s="71">
        <f t="shared" si="320"/>
        <v>0</v>
      </c>
      <c r="Y501" s="71">
        <f t="shared" si="321"/>
        <v>0</v>
      </c>
      <c r="AA501" s="65"/>
      <c r="AC501" s="71">
        <f t="shared" si="322"/>
        <v>0</v>
      </c>
      <c r="AD501" s="39"/>
      <c r="AE501" s="7"/>
      <c r="AF501" s="15"/>
      <c r="AG501" s="71" t="b">
        <f t="shared" si="323"/>
        <v>1</v>
      </c>
      <c r="AI501" s="71">
        <f t="shared" si="324"/>
        <v>0</v>
      </c>
      <c r="AJ501" s="39"/>
      <c r="AK501" s="15"/>
      <c r="AL501" s="71" t="b">
        <f t="shared" si="325"/>
        <v>1</v>
      </c>
      <c r="AN501" s="65"/>
    </row>
    <row r="502" spans="2:40" ht="13" customHeight="1">
      <c r="B502" s="119"/>
      <c r="C502" s="159">
        <f t="shared" si="317"/>
        <v>2026092</v>
      </c>
      <c r="D502" s="23">
        <v>18</v>
      </c>
      <c r="E502" s="128">
        <v>0</v>
      </c>
      <c r="F502" s="126" t="e">
        <f>VLOOKUP(E502,'Códigos bancos'!$B$4:$C$29,2,0)</f>
        <v>#N/A</v>
      </c>
      <c r="G502" s="36">
        <v>1</v>
      </c>
      <c r="H502" s="126" t="str">
        <f>VLOOKUP(G502,'Códigos bancos'!$F$4:$G$14,2,0)</f>
        <v>Oficinas</v>
      </c>
      <c r="I502" s="130"/>
      <c r="J502" s="174">
        <v>0</v>
      </c>
      <c r="K502" s="174">
        <v>0</v>
      </c>
      <c r="L502" s="174">
        <v>0</v>
      </c>
      <c r="M502" s="174">
        <v>0</v>
      </c>
      <c r="N502" s="174">
        <v>0</v>
      </c>
      <c r="O502" s="174">
        <v>0</v>
      </c>
      <c r="P502" s="174">
        <v>0</v>
      </c>
      <c r="Q502" s="174">
        <v>0</v>
      </c>
      <c r="R502" s="174">
        <v>0</v>
      </c>
      <c r="S502" s="215">
        <v>0</v>
      </c>
      <c r="T502" s="71">
        <f t="shared" si="318"/>
        <v>0</v>
      </c>
      <c r="U502" s="71">
        <f t="shared" si="319"/>
        <v>0</v>
      </c>
      <c r="V502" s="117">
        <v>0</v>
      </c>
      <c r="W502" s="117">
        <v>0</v>
      </c>
      <c r="X502" s="71">
        <f t="shared" si="320"/>
        <v>0</v>
      </c>
      <c r="Y502" s="71">
        <f t="shared" si="321"/>
        <v>0</v>
      </c>
      <c r="AA502" s="65"/>
      <c r="AC502" s="71">
        <f t="shared" si="322"/>
        <v>0</v>
      </c>
      <c r="AD502" s="39"/>
      <c r="AE502" s="7"/>
      <c r="AF502" s="15"/>
      <c r="AG502" s="71" t="b">
        <f t="shared" si="323"/>
        <v>1</v>
      </c>
      <c r="AI502" s="71">
        <f t="shared" si="324"/>
        <v>0</v>
      </c>
      <c r="AJ502" s="39"/>
      <c r="AK502" s="15"/>
      <c r="AL502" s="71" t="b">
        <f t="shared" si="325"/>
        <v>1</v>
      </c>
      <c r="AN502" s="65"/>
    </row>
    <row r="503" spans="2:40" ht="13" customHeight="1">
      <c r="B503" s="119"/>
      <c r="C503" s="159">
        <f t="shared" si="317"/>
        <v>2026092</v>
      </c>
      <c r="D503" s="23">
        <v>18</v>
      </c>
      <c r="E503" s="128">
        <v>0</v>
      </c>
      <c r="F503" s="126" t="e">
        <f>VLOOKUP(E503,'Códigos bancos'!$B$4:$C$29,2,0)</f>
        <v>#N/A</v>
      </c>
      <c r="G503" s="36">
        <v>1</v>
      </c>
      <c r="H503" s="126" t="str">
        <f>VLOOKUP(G503,'Códigos bancos'!$F$4:$G$14,2,0)</f>
        <v>Oficinas</v>
      </c>
      <c r="I503" s="130"/>
      <c r="J503" s="174">
        <v>0</v>
      </c>
      <c r="K503" s="174">
        <v>0</v>
      </c>
      <c r="L503" s="174">
        <v>0</v>
      </c>
      <c r="M503" s="174">
        <v>0</v>
      </c>
      <c r="N503" s="174">
        <v>0</v>
      </c>
      <c r="O503" s="174">
        <v>0</v>
      </c>
      <c r="P503" s="174">
        <v>0</v>
      </c>
      <c r="Q503" s="174">
        <v>0</v>
      </c>
      <c r="R503" s="174">
        <v>0</v>
      </c>
      <c r="S503" s="215">
        <v>0</v>
      </c>
      <c r="T503" s="71">
        <f t="shared" si="318"/>
        <v>0</v>
      </c>
      <c r="U503" s="71">
        <f t="shared" si="319"/>
        <v>0</v>
      </c>
      <c r="V503" s="117">
        <v>0</v>
      </c>
      <c r="W503" s="117">
        <v>0</v>
      </c>
      <c r="X503" s="71">
        <f t="shared" si="320"/>
        <v>0</v>
      </c>
      <c r="Y503" s="71">
        <f t="shared" si="321"/>
        <v>0</v>
      </c>
      <c r="AA503" s="65"/>
      <c r="AC503" s="71">
        <f t="shared" si="322"/>
        <v>0</v>
      </c>
      <c r="AD503" s="39"/>
      <c r="AE503" s="7"/>
      <c r="AF503" s="15"/>
      <c r="AG503" s="71" t="b">
        <f t="shared" si="323"/>
        <v>1</v>
      </c>
      <c r="AI503" s="71">
        <f t="shared" si="324"/>
        <v>0</v>
      </c>
      <c r="AJ503" s="39"/>
      <c r="AK503" s="15"/>
      <c r="AL503" s="71" t="b">
        <f t="shared" si="325"/>
        <v>1</v>
      </c>
      <c r="AN503" s="65"/>
    </row>
    <row r="504" spans="2:40" ht="13" customHeight="1">
      <c r="B504" s="119"/>
      <c r="C504" s="159">
        <f t="shared" si="317"/>
        <v>2026092</v>
      </c>
      <c r="D504" s="23">
        <v>18</v>
      </c>
      <c r="E504" s="128">
        <v>0</v>
      </c>
      <c r="F504" s="126" t="e">
        <f>VLOOKUP(E504,'Códigos bancos'!$B$4:$C$29,2,0)</f>
        <v>#N/A</v>
      </c>
      <c r="G504" s="36">
        <v>1</v>
      </c>
      <c r="H504" s="126" t="str">
        <f>VLOOKUP(G504,'Códigos bancos'!$F$4:$G$14,2,0)</f>
        <v>Oficinas</v>
      </c>
      <c r="I504" s="130"/>
      <c r="J504" s="174">
        <v>0</v>
      </c>
      <c r="K504" s="174">
        <v>0</v>
      </c>
      <c r="L504" s="174">
        <v>0</v>
      </c>
      <c r="M504" s="174">
        <v>0</v>
      </c>
      <c r="N504" s="174">
        <v>0</v>
      </c>
      <c r="O504" s="174">
        <v>0</v>
      </c>
      <c r="P504" s="174">
        <v>0</v>
      </c>
      <c r="Q504" s="174">
        <v>0</v>
      </c>
      <c r="R504" s="174">
        <v>0</v>
      </c>
      <c r="S504" s="215">
        <v>0</v>
      </c>
      <c r="T504" s="71">
        <f t="shared" si="318"/>
        <v>0</v>
      </c>
      <c r="U504" s="71">
        <f t="shared" si="319"/>
        <v>0</v>
      </c>
      <c r="V504" s="117">
        <v>0</v>
      </c>
      <c r="W504" s="117">
        <v>0</v>
      </c>
      <c r="X504" s="71">
        <f t="shared" si="320"/>
        <v>0</v>
      </c>
      <c r="Y504" s="71">
        <f t="shared" si="321"/>
        <v>0</v>
      </c>
      <c r="AA504" s="65"/>
      <c r="AC504" s="71">
        <f t="shared" si="322"/>
        <v>0</v>
      </c>
      <c r="AD504" s="39"/>
      <c r="AE504" s="7"/>
      <c r="AF504" s="15"/>
      <c r="AG504" s="71" t="b">
        <f t="shared" si="323"/>
        <v>1</v>
      </c>
      <c r="AI504" s="71">
        <f t="shared" si="324"/>
        <v>0</v>
      </c>
      <c r="AJ504" s="39"/>
      <c r="AK504" s="15"/>
      <c r="AL504" s="71" t="b">
        <f t="shared" si="325"/>
        <v>1</v>
      </c>
      <c r="AN504" s="65"/>
    </row>
    <row r="505" spans="2:40" ht="13" customHeight="1">
      <c r="B505" s="119"/>
      <c r="C505" s="159">
        <f t="shared" si="317"/>
        <v>2026092</v>
      </c>
      <c r="D505" s="23">
        <v>18</v>
      </c>
      <c r="E505" s="128">
        <v>0</v>
      </c>
      <c r="F505" s="126" t="e">
        <f>VLOOKUP(E505,'Códigos bancos'!$B$4:$C$29,2,0)</f>
        <v>#N/A</v>
      </c>
      <c r="G505" s="36">
        <v>1</v>
      </c>
      <c r="H505" s="126" t="str">
        <f>VLOOKUP(G505,'Códigos bancos'!$F$4:$G$14,2,0)</f>
        <v>Oficinas</v>
      </c>
      <c r="I505" s="130"/>
      <c r="J505" s="174">
        <v>0</v>
      </c>
      <c r="K505" s="174">
        <v>0</v>
      </c>
      <c r="L505" s="174">
        <v>0</v>
      </c>
      <c r="M505" s="174">
        <v>0</v>
      </c>
      <c r="N505" s="174">
        <v>0</v>
      </c>
      <c r="O505" s="174">
        <v>0</v>
      </c>
      <c r="P505" s="174">
        <v>0</v>
      </c>
      <c r="Q505" s="174">
        <v>0</v>
      </c>
      <c r="R505" s="174">
        <v>0</v>
      </c>
      <c r="S505" s="215">
        <v>0</v>
      </c>
      <c r="T505" s="71">
        <f t="shared" si="318"/>
        <v>0</v>
      </c>
      <c r="U505" s="71">
        <f t="shared" si="319"/>
        <v>0</v>
      </c>
      <c r="V505" s="117">
        <v>0</v>
      </c>
      <c r="W505" s="117">
        <v>0</v>
      </c>
      <c r="X505" s="71">
        <f t="shared" si="320"/>
        <v>0</v>
      </c>
      <c r="Y505" s="71">
        <f t="shared" si="321"/>
        <v>0</v>
      </c>
      <c r="AA505" s="65"/>
      <c r="AC505" s="71">
        <f t="shared" si="322"/>
        <v>0</v>
      </c>
      <c r="AD505" s="39"/>
      <c r="AE505" s="7"/>
      <c r="AF505" s="15"/>
      <c r="AG505" s="71" t="b">
        <f t="shared" si="323"/>
        <v>1</v>
      </c>
      <c r="AI505" s="71">
        <f t="shared" si="324"/>
        <v>0</v>
      </c>
      <c r="AJ505" s="39"/>
      <c r="AK505" s="15"/>
      <c r="AL505" s="71" t="b">
        <f t="shared" si="325"/>
        <v>1</v>
      </c>
      <c r="AN505" s="65"/>
    </row>
    <row r="506" spans="2:40" ht="13" customHeight="1">
      <c r="B506" s="119"/>
      <c r="C506" s="159">
        <f t="shared" si="317"/>
        <v>2026092</v>
      </c>
      <c r="D506" s="23">
        <v>18</v>
      </c>
      <c r="E506" s="128">
        <v>0</v>
      </c>
      <c r="F506" s="126" t="e">
        <f>VLOOKUP(E506,'Códigos bancos'!$B$4:$C$29,2,0)</f>
        <v>#N/A</v>
      </c>
      <c r="G506" s="36">
        <v>1</v>
      </c>
      <c r="H506" s="126" t="str">
        <f>VLOOKUP(G506,'Códigos bancos'!$F$4:$G$14,2,0)</f>
        <v>Oficinas</v>
      </c>
      <c r="I506" s="130"/>
      <c r="J506" s="174">
        <v>0</v>
      </c>
      <c r="K506" s="174">
        <v>0</v>
      </c>
      <c r="L506" s="174">
        <v>0</v>
      </c>
      <c r="M506" s="174">
        <v>0</v>
      </c>
      <c r="N506" s="174">
        <v>0</v>
      </c>
      <c r="O506" s="174">
        <v>0</v>
      </c>
      <c r="P506" s="174">
        <v>0</v>
      </c>
      <c r="Q506" s="174">
        <v>0</v>
      </c>
      <c r="R506" s="174">
        <v>0</v>
      </c>
      <c r="S506" s="215">
        <v>0</v>
      </c>
      <c r="T506" s="71">
        <f t="shared" si="318"/>
        <v>0</v>
      </c>
      <c r="U506" s="71">
        <f t="shared" si="319"/>
        <v>0</v>
      </c>
      <c r="V506" s="117">
        <v>0</v>
      </c>
      <c r="W506" s="117">
        <v>0</v>
      </c>
      <c r="X506" s="71">
        <f t="shared" si="320"/>
        <v>0</v>
      </c>
      <c r="Y506" s="71">
        <f t="shared" si="321"/>
        <v>0</v>
      </c>
      <c r="AA506" s="65"/>
      <c r="AC506" s="71">
        <f t="shared" si="322"/>
        <v>0</v>
      </c>
      <c r="AD506" s="39"/>
      <c r="AE506" s="7"/>
      <c r="AF506" s="15"/>
      <c r="AG506" s="71" t="b">
        <f t="shared" si="323"/>
        <v>1</v>
      </c>
      <c r="AI506" s="71">
        <f t="shared" si="324"/>
        <v>0</v>
      </c>
      <c r="AJ506" s="39"/>
      <c r="AK506" s="15"/>
      <c r="AL506" s="71" t="b">
        <f t="shared" si="325"/>
        <v>1</v>
      </c>
      <c r="AN506" s="65"/>
    </row>
    <row r="507" spans="2:40" ht="13" customHeight="1">
      <c r="B507" s="119"/>
      <c r="C507" s="159">
        <f t="shared" si="317"/>
        <v>2026092</v>
      </c>
      <c r="D507" s="23">
        <v>18</v>
      </c>
      <c r="E507" s="128">
        <v>0</v>
      </c>
      <c r="F507" s="126" t="e">
        <f>VLOOKUP(E507,'Códigos bancos'!$B$4:$C$29,2,0)</f>
        <v>#N/A</v>
      </c>
      <c r="G507" s="36">
        <v>1</v>
      </c>
      <c r="H507" s="126" t="str">
        <f>VLOOKUP(G507,'Códigos bancos'!$F$4:$G$14,2,0)</f>
        <v>Oficinas</v>
      </c>
      <c r="I507" s="130"/>
      <c r="J507" s="174">
        <v>0</v>
      </c>
      <c r="K507" s="174">
        <v>0</v>
      </c>
      <c r="L507" s="174">
        <v>0</v>
      </c>
      <c r="M507" s="174">
        <v>0</v>
      </c>
      <c r="N507" s="174">
        <v>0</v>
      </c>
      <c r="O507" s="174">
        <v>0</v>
      </c>
      <c r="P507" s="174">
        <v>0</v>
      </c>
      <c r="Q507" s="174">
        <v>0</v>
      </c>
      <c r="R507" s="174">
        <v>0</v>
      </c>
      <c r="S507" s="215">
        <v>0</v>
      </c>
      <c r="T507" s="71">
        <f t="shared" si="318"/>
        <v>0</v>
      </c>
      <c r="U507" s="71">
        <f t="shared" si="319"/>
        <v>0</v>
      </c>
      <c r="V507" s="117">
        <v>0</v>
      </c>
      <c r="W507" s="117">
        <v>0</v>
      </c>
      <c r="X507" s="71">
        <f t="shared" si="320"/>
        <v>0</v>
      </c>
      <c r="Y507" s="71">
        <f t="shared" si="321"/>
        <v>0</v>
      </c>
      <c r="AA507" s="65"/>
      <c r="AC507" s="71">
        <f t="shared" si="322"/>
        <v>0</v>
      </c>
      <c r="AD507" s="39"/>
      <c r="AE507" s="7"/>
      <c r="AF507" s="15"/>
      <c r="AG507" s="71" t="b">
        <f t="shared" si="323"/>
        <v>1</v>
      </c>
      <c r="AI507" s="71">
        <f t="shared" si="324"/>
        <v>0</v>
      </c>
      <c r="AJ507" s="39"/>
      <c r="AK507" s="15"/>
      <c r="AL507" s="71" t="b">
        <f t="shared" si="325"/>
        <v>1</v>
      </c>
      <c r="AN507" s="65"/>
    </row>
    <row r="508" spans="2:40" ht="13" customHeight="1">
      <c r="B508" s="119"/>
      <c r="C508" s="159">
        <f t="shared" ref="C508" si="326">IF(D508&lt;=15,$C$1,$C$2)</f>
        <v>2026092</v>
      </c>
      <c r="D508" s="23">
        <v>18</v>
      </c>
      <c r="E508" s="128">
        <v>0</v>
      </c>
      <c r="F508" s="126" t="e">
        <f>VLOOKUP(E508,'Códigos bancos'!$B$4:$C$29,2,0)</f>
        <v>#N/A</v>
      </c>
      <c r="G508" s="36">
        <v>1</v>
      </c>
      <c r="H508" s="126" t="str">
        <f>VLOOKUP(G508,'Códigos bancos'!$F$4:$G$14,2,0)</f>
        <v>Oficinas</v>
      </c>
      <c r="I508" s="130"/>
      <c r="J508" s="174">
        <v>0</v>
      </c>
      <c r="K508" s="174">
        <v>0</v>
      </c>
      <c r="L508" s="174">
        <v>0</v>
      </c>
      <c r="M508" s="174">
        <v>0</v>
      </c>
      <c r="N508" s="174">
        <v>0</v>
      </c>
      <c r="O508" s="174">
        <v>0</v>
      </c>
      <c r="P508" s="174">
        <v>0</v>
      </c>
      <c r="Q508" s="174">
        <v>0</v>
      </c>
      <c r="R508" s="174">
        <v>0</v>
      </c>
      <c r="S508" s="215">
        <v>0</v>
      </c>
      <c r="T508" s="71">
        <f t="shared" ref="T508" si="327">J508+L508+N508+P508+R508</f>
        <v>0</v>
      </c>
      <c r="U508" s="71">
        <f t="shared" ref="U508" si="328">K508+M508+O508+Q508+S508</f>
        <v>0</v>
      </c>
      <c r="V508" s="117">
        <v>0</v>
      </c>
      <c r="W508" s="117">
        <v>0</v>
      </c>
      <c r="X508" s="71">
        <f t="shared" ref="X508" si="329">V508-T508</f>
        <v>0</v>
      </c>
      <c r="Y508" s="71">
        <f t="shared" ref="Y508" si="330">W508-U508</f>
        <v>0</v>
      </c>
      <c r="AA508" s="65"/>
      <c r="AC508" s="71">
        <f t="shared" ref="AC508" si="331">X508</f>
        <v>0</v>
      </c>
      <c r="AD508" s="39"/>
      <c r="AE508" s="7"/>
      <c r="AF508" s="15"/>
      <c r="AG508" s="71" t="b">
        <f t="shared" ref="AG508" si="332">AC508=(AD508+AE508+AF508)</f>
        <v>1</v>
      </c>
      <c r="AI508" s="71">
        <f t="shared" ref="AI508" si="333">Y508</f>
        <v>0</v>
      </c>
      <c r="AJ508" s="39"/>
      <c r="AK508" s="15"/>
      <c r="AL508" s="71" t="b">
        <f t="shared" ref="AL508" si="334">AI508=(AJ508+AK508)</f>
        <v>1</v>
      </c>
      <c r="AN508" s="65"/>
    </row>
    <row r="509" spans="2:40" ht="13" customHeight="1">
      <c r="B509" s="119"/>
      <c r="C509" s="159">
        <f t="shared" si="317"/>
        <v>2026092</v>
      </c>
      <c r="D509" s="23">
        <v>18</v>
      </c>
      <c r="E509" s="128">
        <v>0</v>
      </c>
      <c r="F509" s="126" t="e">
        <f>VLOOKUP(E509,'Códigos bancos'!$B$4:$C$29,2,0)</f>
        <v>#N/A</v>
      </c>
      <c r="G509" s="36">
        <v>1</v>
      </c>
      <c r="H509" s="126" t="str">
        <f>VLOOKUP(G509,'Códigos bancos'!$F$4:$G$14,2,0)</f>
        <v>Oficinas</v>
      </c>
      <c r="I509" s="130"/>
      <c r="J509" s="174">
        <v>0</v>
      </c>
      <c r="K509" s="174">
        <v>0</v>
      </c>
      <c r="L509" s="174">
        <v>0</v>
      </c>
      <c r="M509" s="174">
        <v>0</v>
      </c>
      <c r="N509" s="174">
        <v>0</v>
      </c>
      <c r="O509" s="174">
        <v>0</v>
      </c>
      <c r="P509" s="174">
        <v>0</v>
      </c>
      <c r="Q509" s="174">
        <v>0</v>
      </c>
      <c r="R509" s="174">
        <v>0</v>
      </c>
      <c r="S509" s="215">
        <v>0</v>
      </c>
      <c r="T509" s="71">
        <f t="shared" si="318"/>
        <v>0</v>
      </c>
      <c r="U509" s="71">
        <f t="shared" si="319"/>
        <v>0</v>
      </c>
      <c r="V509" s="117">
        <v>0</v>
      </c>
      <c r="W509" s="117">
        <v>0</v>
      </c>
      <c r="X509" s="71">
        <f t="shared" si="320"/>
        <v>0</v>
      </c>
      <c r="Y509" s="71">
        <f t="shared" si="321"/>
        <v>0</v>
      </c>
      <c r="AA509" s="65"/>
      <c r="AC509" s="71">
        <f t="shared" si="322"/>
        <v>0</v>
      </c>
      <c r="AD509" s="39"/>
      <c r="AE509" s="7"/>
      <c r="AF509" s="15"/>
      <c r="AG509" s="71" t="b">
        <f t="shared" si="323"/>
        <v>1</v>
      </c>
      <c r="AI509" s="71">
        <f t="shared" si="324"/>
        <v>0</v>
      </c>
      <c r="AJ509" s="39"/>
      <c r="AK509" s="15"/>
      <c r="AL509" s="71" t="b">
        <f t="shared" si="325"/>
        <v>1</v>
      </c>
      <c r="AN509" s="65"/>
    </row>
    <row r="510" spans="2:40" ht="13" customHeight="1">
      <c r="B510" s="119"/>
      <c r="C510" s="159">
        <f t="shared" si="317"/>
        <v>2026092</v>
      </c>
      <c r="D510" s="23">
        <v>18</v>
      </c>
      <c r="E510" s="128">
        <v>0</v>
      </c>
      <c r="F510" s="126" t="e">
        <f>VLOOKUP(E510,'Códigos bancos'!$B$4:$C$29,2,0)</f>
        <v>#N/A</v>
      </c>
      <c r="G510" s="36">
        <v>1</v>
      </c>
      <c r="H510" s="126" t="str">
        <f>VLOOKUP(G510,'Códigos bancos'!$F$4:$G$14,2,0)</f>
        <v>Oficinas</v>
      </c>
      <c r="I510" s="130"/>
      <c r="J510" s="174">
        <v>0</v>
      </c>
      <c r="K510" s="174">
        <v>0</v>
      </c>
      <c r="L510" s="174">
        <v>0</v>
      </c>
      <c r="M510" s="174">
        <v>0</v>
      </c>
      <c r="N510" s="174">
        <v>0</v>
      </c>
      <c r="O510" s="174">
        <v>0</v>
      </c>
      <c r="P510" s="174">
        <v>0</v>
      </c>
      <c r="Q510" s="174">
        <v>0</v>
      </c>
      <c r="R510" s="174">
        <v>0</v>
      </c>
      <c r="S510" s="215">
        <v>0</v>
      </c>
      <c r="T510" s="71">
        <f t="shared" si="318"/>
        <v>0</v>
      </c>
      <c r="U510" s="71">
        <f t="shared" si="319"/>
        <v>0</v>
      </c>
      <c r="V510" s="117">
        <v>0</v>
      </c>
      <c r="W510" s="117">
        <v>0</v>
      </c>
      <c r="X510" s="71">
        <f t="shared" si="320"/>
        <v>0</v>
      </c>
      <c r="Y510" s="71">
        <f t="shared" si="321"/>
        <v>0</v>
      </c>
      <c r="AA510" s="65"/>
      <c r="AC510" s="71">
        <f t="shared" si="322"/>
        <v>0</v>
      </c>
      <c r="AD510" s="39"/>
      <c r="AE510" s="7"/>
      <c r="AF510" s="15"/>
      <c r="AG510" s="71" t="b">
        <f t="shared" si="323"/>
        <v>1</v>
      </c>
      <c r="AI510" s="71">
        <f t="shared" si="324"/>
        <v>0</v>
      </c>
      <c r="AJ510" s="39"/>
      <c r="AK510" s="15"/>
      <c r="AL510" s="71" t="b">
        <f t="shared" si="325"/>
        <v>1</v>
      </c>
      <c r="AN510" s="65"/>
    </row>
    <row r="511" spans="2:40" ht="13" customHeight="1">
      <c r="B511" s="119"/>
      <c r="C511" s="159">
        <f t="shared" si="317"/>
        <v>2026092</v>
      </c>
      <c r="D511" s="23">
        <v>18</v>
      </c>
      <c r="E511" s="128">
        <v>0</v>
      </c>
      <c r="F511" s="126" t="e">
        <f>VLOOKUP(E511,'Códigos bancos'!$B$4:$C$29,2,0)</f>
        <v>#N/A</v>
      </c>
      <c r="G511" s="36">
        <v>1</v>
      </c>
      <c r="H511" s="126" t="str">
        <f>VLOOKUP(G511,'Códigos bancos'!$F$4:$G$14,2,0)</f>
        <v>Oficinas</v>
      </c>
      <c r="I511" s="130"/>
      <c r="J511" s="174">
        <v>0</v>
      </c>
      <c r="K511" s="174">
        <v>0</v>
      </c>
      <c r="L511" s="174">
        <v>0</v>
      </c>
      <c r="M511" s="174">
        <v>0</v>
      </c>
      <c r="N511" s="174">
        <v>0</v>
      </c>
      <c r="O511" s="174">
        <v>0</v>
      </c>
      <c r="P511" s="174">
        <v>0</v>
      </c>
      <c r="Q511" s="174">
        <v>0</v>
      </c>
      <c r="R511" s="174">
        <v>0</v>
      </c>
      <c r="S511" s="215">
        <v>0</v>
      </c>
      <c r="T511" s="71">
        <f t="shared" si="318"/>
        <v>0</v>
      </c>
      <c r="U511" s="71">
        <f t="shared" si="319"/>
        <v>0</v>
      </c>
      <c r="V511" s="117">
        <v>0</v>
      </c>
      <c r="W511" s="117">
        <v>0</v>
      </c>
      <c r="X511" s="71">
        <f t="shared" si="320"/>
        <v>0</v>
      </c>
      <c r="Y511" s="71">
        <f t="shared" si="321"/>
        <v>0</v>
      </c>
      <c r="AA511" s="65"/>
      <c r="AC511" s="71">
        <f t="shared" si="322"/>
        <v>0</v>
      </c>
      <c r="AD511" s="39"/>
      <c r="AE511" s="7"/>
      <c r="AF511" s="15"/>
      <c r="AG511" s="71" t="b">
        <f t="shared" si="323"/>
        <v>1</v>
      </c>
      <c r="AI511" s="71"/>
      <c r="AJ511" s="39"/>
      <c r="AK511" s="15"/>
      <c r="AL511" s="71" t="b">
        <f t="shared" si="325"/>
        <v>1</v>
      </c>
      <c r="AN511" s="65"/>
    </row>
    <row r="512" spans="2:40" ht="13" customHeight="1">
      <c r="B512" s="119"/>
      <c r="C512" s="159">
        <f t="shared" si="317"/>
        <v>2026092</v>
      </c>
      <c r="D512" s="23">
        <v>18</v>
      </c>
      <c r="E512" s="128">
        <v>0</v>
      </c>
      <c r="F512" s="126" t="e">
        <f>VLOOKUP(E512,'Códigos bancos'!$B$4:$C$29,2,0)</f>
        <v>#N/A</v>
      </c>
      <c r="G512" s="36">
        <v>1</v>
      </c>
      <c r="H512" s="126" t="str">
        <f>VLOOKUP(G512,'Códigos bancos'!$F$4:$G$14,2,0)</f>
        <v>Oficinas</v>
      </c>
      <c r="I512" s="130"/>
      <c r="J512" s="174">
        <v>0</v>
      </c>
      <c r="K512" s="174">
        <v>0</v>
      </c>
      <c r="L512" s="174">
        <v>0</v>
      </c>
      <c r="M512" s="174">
        <v>0</v>
      </c>
      <c r="N512" s="174">
        <v>0</v>
      </c>
      <c r="O512" s="174">
        <v>0</v>
      </c>
      <c r="P512" s="174">
        <v>0</v>
      </c>
      <c r="Q512" s="174">
        <v>0</v>
      </c>
      <c r="R512" s="174">
        <v>0</v>
      </c>
      <c r="S512" s="215">
        <v>0</v>
      </c>
      <c r="T512" s="71">
        <f t="shared" si="318"/>
        <v>0</v>
      </c>
      <c r="U512" s="71">
        <f t="shared" si="319"/>
        <v>0</v>
      </c>
      <c r="V512" s="117">
        <v>0</v>
      </c>
      <c r="W512" s="117">
        <v>0</v>
      </c>
      <c r="X512" s="71">
        <f t="shared" si="320"/>
        <v>0</v>
      </c>
      <c r="Y512" s="71">
        <f t="shared" si="321"/>
        <v>0</v>
      </c>
      <c r="AA512" s="65"/>
      <c r="AC512" s="71">
        <f t="shared" si="322"/>
        <v>0</v>
      </c>
      <c r="AD512" s="39"/>
      <c r="AE512" s="7"/>
      <c r="AF512" s="15"/>
      <c r="AG512" s="71" t="b">
        <f t="shared" si="323"/>
        <v>1</v>
      </c>
      <c r="AI512" s="71">
        <f>Y512</f>
        <v>0</v>
      </c>
      <c r="AJ512" s="39"/>
      <c r="AK512" s="15"/>
      <c r="AL512" s="71" t="b">
        <f t="shared" si="325"/>
        <v>1</v>
      </c>
      <c r="AN512" s="65"/>
    </row>
    <row r="513" spans="2:40 16128:16147" ht="13" customHeight="1" thickBot="1">
      <c r="B513" s="119"/>
      <c r="C513" s="159">
        <f t="shared" si="317"/>
        <v>2026092</v>
      </c>
      <c r="D513" s="23">
        <v>18</v>
      </c>
      <c r="E513" s="128">
        <v>0</v>
      </c>
      <c r="F513" s="126" t="e">
        <f>VLOOKUP(E513,'Códigos bancos'!$B$4:$C$29,2,0)</f>
        <v>#N/A</v>
      </c>
      <c r="G513" s="36">
        <v>1</v>
      </c>
      <c r="H513" s="126" t="str">
        <f>VLOOKUP(G513,'Códigos bancos'!$F$4:$G$14,2,0)</f>
        <v>Oficinas</v>
      </c>
      <c r="I513" s="130"/>
      <c r="J513" s="174">
        <v>0</v>
      </c>
      <c r="K513" s="174">
        <v>0</v>
      </c>
      <c r="L513" s="174">
        <v>0</v>
      </c>
      <c r="M513" s="174">
        <v>0</v>
      </c>
      <c r="N513" s="174">
        <v>0</v>
      </c>
      <c r="O513" s="174">
        <v>0</v>
      </c>
      <c r="P513" s="174">
        <v>0</v>
      </c>
      <c r="Q513" s="174">
        <v>0</v>
      </c>
      <c r="R513" s="174">
        <v>0</v>
      </c>
      <c r="S513" s="215">
        <v>0</v>
      </c>
      <c r="T513" s="71">
        <f t="shared" si="318"/>
        <v>0</v>
      </c>
      <c r="U513" s="71">
        <f t="shared" si="319"/>
        <v>0</v>
      </c>
      <c r="V513" s="117">
        <v>0</v>
      </c>
      <c r="W513" s="117">
        <v>0</v>
      </c>
      <c r="X513" s="71">
        <f t="shared" si="320"/>
        <v>0</v>
      </c>
      <c r="Y513" s="71">
        <f t="shared" si="321"/>
        <v>0</v>
      </c>
      <c r="AA513" s="65"/>
      <c r="AC513" s="71">
        <f t="shared" si="322"/>
        <v>0</v>
      </c>
      <c r="AD513" s="39"/>
      <c r="AE513" s="7"/>
      <c r="AF513" s="15"/>
      <c r="AG513" s="71" t="b">
        <f t="shared" si="323"/>
        <v>1</v>
      </c>
      <c r="AI513" s="71">
        <f t="shared" si="324"/>
        <v>0</v>
      </c>
      <c r="AJ513" s="39"/>
      <c r="AK513" s="15"/>
      <c r="AL513" s="71" t="b">
        <f t="shared" si="325"/>
        <v>1</v>
      </c>
      <c r="AN513" s="65"/>
    </row>
    <row r="514" spans="2:40 16128:16147" ht="13" customHeight="1" thickBot="1">
      <c r="E514" s="120" t="s">
        <v>0</v>
      </c>
      <c r="F514" s="121" t="s">
        <v>53</v>
      </c>
      <c r="G514" s="121"/>
      <c r="H514" s="121"/>
      <c r="I514" s="121"/>
      <c r="J514" s="122">
        <f t="shared" ref="J514:Y514" si="335">SUM(J489:J513)</f>
        <v>0</v>
      </c>
      <c r="K514" s="122">
        <f t="shared" si="335"/>
        <v>0</v>
      </c>
      <c r="L514" s="122">
        <f t="shared" si="335"/>
        <v>0</v>
      </c>
      <c r="M514" s="122">
        <f t="shared" si="335"/>
        <v>0</v>
      </c>
      <c r="N514" s="122">
        <f t="shared" si="335"/>
        <v>0</v>
      </c>
      <c r="O514" s="122">
        <f t="shared" si="335"/>
        <v>0</v>
      </c>
      <c r="P514" s="122">
        <f t="shared" si="335"/>
        <v>0</v>
      </c>
      <c r="Q514" s="122">
        <f t="shared" si="335"/>
        <v>0</v>
      </c>
      <c r="R514" s="122">
        <f t="shared" si="335"/>
        <v>37</v>
      </c>
      <c r="S514" s="122">
        <f t="shared" si="335"/>
        <v>2429310</v>
      </c>
      <c r="T514" s="122">
        <f t="shared" si="335"/>
        <v>37</v>
      </c>
      <c r="U514" s="122">
        <f t="shared" si="335"/>
        <v>2429310</v>
      </c>
      <c r="V514" s="123">
        <f t="shared" si="335"/>
        <v>37</v>
      </c>
      <c r="W514" s="123">
        <f t="shared" si="335"/>
        <v>2429310</v>
      </c>
      <c r="X514" s="122">
        <f t="shared" si="335"/>
        <v>0</v>
      </c>
      <c r="Y514" s="123">
        <f t="shared" si="335"/>
        <v>0</v>
      </c>
      <c r="AA514" s="65"/>
      <c r="AC514" s="122">
        <f>SUM(AC489:AC513)</f>
        <v>0</v>
      </c>
      <c r="AD514" s="122">
        <f>SUM(AD489:AD513)</f>
        <v>0</v>
      </c>
      <c r="AE514" s="122">
        <f>SUM(AE489:AE513)</f>
        <v>0</v>
      </c>
      <c r="AF514" s="123">
        <f>SUM(AF489:AF513)</f>
        <v>0</v>
      </c>
      <c r="AG514" s="100"/>
      <c r="AI514" s="122">
        <f>SUM(AI489:AI513)</f>
        <v>0</v>
      </c>
      <c r="AJ514" s="122">
        <f>SUM(AJ489:AJ513)</f>
        <v>0</v>
      </c>
      <c r="AK514" s="123">
        <f>SUM(AK489:AK513)</f>
        <v>0</v>
      </c>
      <c r="AL514" s="100"/>
      <c r="AN514" s="65"/>
    </row>
    <row r="515" spans="2:40 16128:16147" ht="13" thickBot="1">
      <c r="AA515" s="65"/>
      <c r="AN515" s="65"/>
    </row>
    <row r="516" spans="2:40 16128:16147" ht="41.25" customHeight="1" thickBot="1">
      <c r="B516" s="112" t="s">
        <v>4</v>
      </c>
      <c r="C516" s="34" t="s">
        <v>6</v>
      </c>
      <c r="D516" s="34" t="s">
        <v>7</v>
      </c>
      <c r="E516" s="34" t="s">
        <v>49</v>
      </c>
      <c r="F516" s="34" t="s">
        <v>50</v>
      </c>
      <c r="G516" s="34" t="s">
        <v>51</v>
      </c>
      <c r="H516" s="34" t="s">
        <v>52</v>
      </c>
      <c r="I516" s="34" t="s">
        <v>13</v>
      </c>
      <c r="J516" s="12" t="s">
        <v>8</v>
      </c>
      <c r="K516" s="12" t="s">
        <v>36</v>
      </c>
      <c r="L516" s="12" t="s">
        <v>9</v>
      </c>
      <c r="M516" s="12" t="s">
        <v>37</v>
      </c>
      <c r="N516" s="87" t="s">
        <v>10</v>
      </c>
      <c r="O516" s="88" t="s">
        <v>38</v>
      </c>
      <c r="P516" s="87" t="s">
        <v>11</v>
      </c>
      <c r="Q516" s="88" t="s">
        <v>39</v>
      </c>
      <c r="R516" s="87" t="s">
        <v>12</v>
      </c>
      <c r="S516" s="88" t="s">
        <v>40</v>
      </c>
      <c r="T516" s="64" t="s">
        <v>41</v>
      </c>
      <c r="U516" s="64" t="s">
        <v>42</v>
      </c>
      <c r="V516" s="35" t="s">
        <v>32</v>
      </c>
      <c r="W516" s="67" t="s">
        <v>35</v>
      </c>
      <c r="X516" s="12" t="s">
        <v>34</v>
      </c>
      <c r="Y516" s="68" t="s">
        <v>33</v>
      </c>
      <c r="AA516" s="66"/>
      <c r="AC516" s="12" t="s">
        <v>34</v>
      </c>
      <c r="AD516" s="12" t="s">
        <v>45</v>
      </c>
      <c r="AE516" s="12" t="s">
        <v>43</v>
      </c>
      <c r="AF516" s="12" t="s">
        <v>44</v>
      </c>
      <c r="AG516" s="12" t="s">
        <v>46</v>
      </c>
      <c r="AI516" s="12" t="s">
        <v>33</v>
      </c>
      <c r="AJ516" s="12" t="s">
        <v>47</v>
      </c>
      <c r="AK516" s="12" t="s">
        <v>48</v>
      </c>
      <c r="AL516" s="12" t="s">
        <v>46</v>
      </c>
      <c r="AN516" s="66"/>
      <c r="WVH516" s="1"/>
      <c r="WVI516" s="1"/>
      <c r="WVZ516"/>
      <c r="WWA516"/>
    </row>
    <row r="517" spans="2:40 16128:16147" ht="13" customHeight="1">
      <c r="B517" s="119" t="s">
        <v>80</v>
      </c>
      <c r="C517" s="24">
        <f>IF(D517&lt;=15,$C$1,$C$2)</f>
        <v>2026092</v>
      </c>
      <c r="D517" s="24">
        <v>19</v>
      </c>
      <c r="E517" s="127">
        <v>20</v>
      </c>
      <c r="F517" s="125" t="str">
        <f>VLOOKUP(E517,'Códigos bancos'!$B$4:$C$29,2,0)</f>
        <v>Bancolombia ENERBIT</v>
      </c>
      <c r="G517" s="18">
        <v>1</v>
      </c>
      <c r="H517" s="125" t="str">
        <f>VLOOKUP(G517,'Códigos bancos'!$F$4:$G$14,2,0)</f>
        <v>Oficinas</v>
      </c>
      <c r="I517" s="129"/>
      <c r="J517" s="213">
        <v>0</v>
      </c>
      <c r="K517" s="213">
        <v>0</v>
      </c>
      <c r="L517" s="213">
        <v>0</v>
      </c>
      <c r="M517" s="213">
        <v>0</v>
      </c>
      <c r="N517" s="213">
        <v>0</v>
      </c>
      <c r="O517" s="213">
        <v>0</v>
      </c>
      <c r="P517" s="213">
        <v>0</v>
      </c>
      <c r="Q517" s="213">
        <v>0</v>
      </c>
      <c r="R517" s="174">
        <v>20</v>
      </c>
      <c r="S517" s="215">
        <v>1106630</v>
      </c>
      <c r="T517" s="70">
        <f>J517+L517+N517+P517+R517</f>
        <v>20</v>
      </c>
      <c r="U517" s="70">
        <f>K517+M517+O517+Q517+S517</f>
        <v>1106630</v>
      </c>
      <c r="V517" s="174">
        <v>20</v>
      </c>
      <c r="W517" s="215">
        <v>1106630</v>
      </c>
      <c r="X517" s="70">
        <f>V517-T517</f>
        <v>0</v>
      </c>
      <c r="Y517" s="70">
        <f>W517-U517</f>
        <v>0</v>
      </c>
      <c r="AA517" s="65"/>
      <c r="AC517" s="124">
        <f>X517</f>
        <v>0</v>
      </c>
      <c r="AD517" s="115"/>
      <c r="AE517" s="16"/>
      <c r="AF517" s="114"/>
      <c r="AG517" s="124" t="b">
        <f>AC517=(AD517+AE517+AF517)</f>
        <v>1</v>
      </c>
      <c r="AI517" s="70">
        <f>Y517</f>
        <v>0</v>
      </c>
      <c r="AJ517" s="115"/>
      <c r="AK517" s="114"/>
      <c r="AL517" s="70" t="b">
        <f>AI517=(AJ517+AK517)</f>
        <v>1</v>
      </c>
      <c r="AN517" s="65"/>
    </row>
    <row r="518" spans="2:40 16128:16147" ht="13" customHeight="1">
      <c r="B518" s="119"/>
      <c r="C518" s="23">
        <f t="shared" ref="C518:C541" si="336">IF(D518&lt;=15,$C$1,$C$2)</f>
        <v>2026092</v>
      </c>
      <c r="D518" s="23">
        <v>19</v>
      </c>
      <c r="E518" s="128">
        <v>0</v>
      </c>
      <c r="F518" s="126" t="e">
        <f>VLOOKUP(E518,'Códigos bancos'!$B$4:$C$29,2,0)</f>
        <v>#N/A</v>
      </c>
      <c r="G518" s="36">
        <v>1</v>
      </c>
      <c r="H518" s="126" t="str">
        <f>VLOOKUP(G518,'Códigos bancos'!$F$4:$G$14,2,0)</f>
        <v>Oficinas</v>
      </c>
      <c r="I518" s="130"/>
      <c r="J518" s="174">
        <v>0</v>
      </c>
      <c r="K518" s="174">
        <v>0</v>
      </c>
      <c r="L518" s="174">
        <v>0</v>
      </c>
      <c r="M518" s="174">
        <v>0</v>
      </c>
      <c r="N518" s="174">
        <v>0</v>
      </c>
      <c r="O518" s="174">
        <v>0</v>
      </c>
      <c r="P518" s="174">
        <v>0</v>
      </c>
      <c r="Q518" s="174">
        <v>0</v>
      </c>
      <c r="R518" s="174">
        <v>0</v>
      </c>
      <c r="S518" s="215">
        <v>0</v>
      </c>
      <c r="T518" s="71">
        <f t="shared" ref="T518:T541" si="337">J518+L518+N518+P518+R518</f>
        <v>0</v>
      </c>
      <c r="U518" s="71">
        <f t="shared" ref="U518:U541" si="338">K518+M518+O518+Q518+S518</f>
        <v>0</v>
      </c>
      <c r="V518" s="117">
        <v>0</v>
      </c>
      <c r="W518" s="117">
        <v>0</v>
      </c>
      <c r="X518" s="71">
        <f t="shared" ref="X518:X541" si="339">V518-T518</f>
        <v>0</v>
      </c>
      <c r="Y518" s="71">
        <f t="shared" ref="Y518:Y541" si="340">W518-U518</f>
        <v>0</v>
      </c>
      <c r="AA518" s="65"/>
      <c r="AC518" s="71">
        <f t="shared" ref="AC518:AC541" si="341">X518</f>
        <v>0</v>
      </c>
      <c r="AD518" s="39"/>
      <c r="AE518" s="7"/>
      <c r="AF518" s="15"/>
      <c r="AG518" s="71" t="b">
        <f t="shared" ref="AG518:AG541" si="342">AC518=(AD518+AE518+AF518)</f>
        <v>1</v>
      </c>
      <c r="AI518" s="71">
        <f t="shared" ref="AI518:AI541" si="343">Y518</f>
        <v>0</v>
      </c>
      <c r="AJ518" s="39"/>
      <c r="AK518" s="15"/>
      <c r="AL518" s="71" t="b">
        <f t="shared" ref="AL518:AL541" si="344">AI518=(AJ518+AK518)</f>
        <v>1</v>
      </c>
      <c r="AN518" s="65"/>
    </row>
    <row r="519" spans="2:40 16128:16147" ht="13" customHeight="1">
      <c r="B519" s="119"/>
      <c r="C519" s="23">
        <f t="shared" si="336"/>
        <v>2026092</v>
      </c>
      <c r="D519" s="23">
        <v>19</v>
      </c>
      <c r="E519" s="128">
        <v>0</v>
      </c>
      <c r="F519" s="126" t="e">
        <f>VLOOKUP(E519,'Códigos bancos'!$B$4:$C$29,2,0)</f>
        <v>#N/A</v>
      </c>
      <c r="G519" s="36">
        <v>1</v>
      </c>
      <c r="H519" s="126" t="str">
        <f>VLOOKUP(G519,'Códigos bancos'!$F$4:$G$14,2,0)</f>
        <v>Oficinas</v>
      </c>
      <c r="I519" s="130"/>
      <c r="J519" s="174">
        <v>0</v>
      </c>
      <c r="K519" s="174">
        <v>0</v>
      </c>
      <c r="L519" s="174">
        <v>0</v>
      </c>
      <c r="M519" s="174">
        <v>0</v>
      </c>
      <c r="N519" s="174">
        <v>0</v>
      </c>
      <c r="O519" s="174">
        <v>0</v>
      </c>
      <c r="P519" s="174">
        <v>0</v>
      </c>
      <c r="Q519" s="174">
        <v>0</v>
      </c>
      <c r="R519" s="174">
        <v>0</v>
      </c>
      <c r="S519" s="215">
        <v>0</v>
      </c>
      <c r="T519" s="71">
        <f t="shared" si="337"/>
        <v>0</v>
      </c>
      <c r="U519" s="71">
        <f t="shared" si="338"/>
        <v>0</v>
      </c>
      <c r="V519" s="117">
        <v>0</v>
      </c>
      <c r="W519" s="117">
        <v>0</v>
      </c>
      <c r="X519" s="71">
        <f t="shared" si="339"/>
        <v>0</v>
      </c>
      <c r="Y519" s="71">
        <f t="shared" si="340"/>
        <v>0</v>
      </c>
      <c r="AA519" s="65"/>
      <c r="AC519" s="71">
        <f t="shared" si="341"/>
        <v>0</v>
      </c>
      <c r="AD519" s="45"/>
      <c r="AE519" s="14"/>
      <c r="AF519" s="46"/>
      <c r="AG519" s="71" t="b">
        <f t="shared" si="342"/>
        <v>1</v>
      </c>
      <c r="AI519" s="71">
        <f t="shared" si="343"/>
        <v>0</v>
      </c>
      <c r="AJ519" s="45"/>
      <c r="AK519" s="46"/>
      <c r="AL519" s="71" t="b">
        <f t="shared" si="344"/>
        <v>1</v>
      </c>
      <c r="AN519" s="65"/>
    </row>
    <row r="520" spans="2:40 16128:16147" ht="13" customHeight="1">
      <c r="B520" s="119"/>
      <c r="C520" s="23">
        <f t="shared" si="336"/>
        <v>2026092</v>
      </c>
      <c r="D520" s="23">
        <v>19</v>
      </c>
      <c r="E520" s="128">
        <v>0</v>
      </c>
      <c r="F520" s="126" t="e">
        <f>VLOOKUP(E520,'Códigos bancos'!$B$4:$C$29,2,0)</f>
        <v>#N/A</v>
      </c>
      <c r="G520" s="36">
        <v>1</v>
      </c>
      <c r="H520" s="126" t="str">
        <f>VLOOKUP(G520,'Códigos bancos'!$F$4:$G$14,2,0)</f>
        <v>Oficinas</v>
      </c>
      <c r="I520" s="130"/>
      <c r="J520" s="174">
        <v>0</v>
      </c>
      <c r="K520" s="174">
        <v>0</v>
      </c>
      <c r="L520" s="174">
        <v>0</v>
      </c>
      <c r="M520" s="174">
        <v>0</v>
      </c>
      <c r="N520" s="174">
        <v>0</v>
      </c>
      <c r="O520" s="174">
        <v>0</v>
      </c>
      <c r="P520" s="174">
        <v>0</v>
      </c>
      <c r="Q520" s="174">
        <v>0</v>
      </c>
      <c r="R520" s="174">
        <v>0</v>
      </c>
      <c r="S520" s="215">
        <v>0</v>
      </c>
      <c r="T520" s="71">
        <f t="shared" si="337"/>
        <v>0</v>
      </c>
      <c r="U520" s="71">
        <f t="shared" si="338"/>
        <v>0</v>
      </c>
      <c r="V520" s="117">
        <v>0</v>
      </c>
      <c r="W520" s="117">
        <v>0</v>
      </c>
      <c r="X520" s="71">
        <f t="shared" si="339"/>
        <v>0</v>
      </c>
      <c r="Y520" s="71">
        <f t="shared" si="340"/>
        <v>0</v>
      </c>
      <c r="AA520" s="65"/>
      <c r="AC520" s="71">
        <f t="shared" si="341"/>
        <v>0</v>
      </c>
      <c r="AD520" s="39"/>
      <c r="AE520" s="7"/>
      <c r="AF520" s="15"/>
      <c r="AG520" s="71" t="b">
        <f t="shared" si="342"/>
        <v>1</v>
      </c>
      <c r="AI520" s="71">
        <f t="shared" si="343"/>
        <v>0</v>
      </c>
      <c r="AJ520" s="39"/>
      <c r="AK520" s="15"/>
      <c r="AL520" s="71" t="b">
        <f t="shared" si="344"/>
        <v>1</v>
      </c>
      <c r="AN520" s="65"/>
    </row>
    <row r="521" spans="2:40 16128:16147" ht="13" customHeight="1">
      <c r="B521" s="119"/>
      <c r="C521" s="23">
        <f t="shared" si="336"/>
        <v>2026092</v>
      </c>
      <c r="D521" s="23">
        <v>19</v>
      </c>
      <c r="E521" s="128">
        <v>0</v>
      </c>
      <c r="F521" s="126" t="e">
        <f>VLOOKUP(E521,'Códigos bancos'!$B$4:$C$29,2,0)</f>
        <v>#N/A</v>
      </c>
      <c r="G521" s="36">
        <v>1</v>
      </c>
      <c r="H521" s="126" t="str">
        <f>VLOOKUP(G521,'Códigos bancos'!$F$4:$G$14,2,0)</f>
        <v>Oficinas</v>
      </c>
      <c r="I521" s="130"/>
      <c r="J521" s="174">
        <v>0</v>
      </c>
      <c r="K521" s="174">
        <v>0</v>
      </c>
      <c r="L521" s="174">
        <v>0</v>
      </c>
      <c r="M521" s="174">
        <v>0</v>
      </c>
      <c r="N521" s="174">
        <v>0</v>
      </c>
      <c r="O521" s="174">
        <v>0</v>
      </c>
      <c r="P521" s="174">
        <v>0</v>
      </c>
      <c r="Q521" s="174">
        <v>0</v>
      </c>
      <c r="R521" s="174">
        <v>0</v>
      </c>
      <c r="S521" s="215">
        <v>0</v>
      </c>
      <c r="T521" s="71">
        <f t="shared" si="337"/>
        <v>0</v>
      </c>
      <c r="U521" s="71">
        <f t="shared" si="338"/>
        <v>0</v>
      </c>
      <c r="V521" s="117">
        <v>0</v>
      </c>
      <c r="W521" s="117">
        <v>0</v>
      </c>
      <c r="X521" s="71">
        <f t="shared" si="339"/>
        <v>0</v>
      </c>
      <c r="Y521" s="71">
        <f t="shared" si="340"/>
        <v>0</v>
      </c>
      <c r="AA521" s="65"/>
      <c r="AC521" s="71">
        <f t="shared" si="341"/>
        <v>0</v>
      </c>
      <c r="AD521" s="39"/>
      <c r="AE521" s="7"/>
      <c r="AF521" s="15"/>
      <c r="AG521" s="71" t="b">
        <f t="shared" si="342"/>
        <v>1</v>
      </c>
      <c r="AI521" s="71">
        <f t="shared" si="343"/>
        <v>0</v>
      </c>
      <c r="AJ521" s="39"/>
      <c r="AK521" s="15"/>
      <c r="AL521" s="71" t="b">
        <f t="shared" si="344"/>
        <v>1</v>
      </c>
      <c r="AN521" s="65"/>
    </row>
    <row r="522" spans="2:40 16128:16147" ht="13.5" customHeight="1">
      <c r="B522" s="119"/>
      <c r="C522" s="23">
        <f t="shared" si="336"/>
        <v>2026092</v>
      </c>
      <c r="D522" s="23">
        <v>19</v>
      </c>
      <c r="E522" s="128">
        <v>0</v>
      </c>
      <c r="F522" s="126" t="e">
        <f>VLOOKUP(E522,'Códigos bancos'!$B$4:$C$29,2,0)</f>
        <v>#N/A</v>
      </c>
      <c r="G522" s="36">
        <v>1</v>
      </c>
      <c r="H522" s="126" t="str">
        <f>VLOOKUP(G522,'Códigos bancos'!$F$4:$G$14,2,0)</f>
        <v>Oficinas</v>
      </c>
      <c r="I522" s="130"/>
      <c r="J522" s="174">
        <v>0</v>
      </c>
      <c r="K522" s="174">
        <v>0</v>
      </c>
      <c r="L522" s="174">
        <v>0</v>
      </c>
      <c r="M522" s="174">
        <v>0</v>
      </c>
      <c r="N522" s="174">
        <v>0</v>
      </c>
      <c r="O522" s="174">
        <v>0</v>
      </c>
      <c r="P522" s="174">
        <v>0</v>
      </c>
      <c r="Q522" s="174">
        <v>0</v>
      </c>
      <c r="R522" s="174">
        <v>0</v>
      </c>
      <c r="S522" s="215">
        <v>0</v>
      </c>
      <c r="T522" s="71">
        <f t="shared" si="337"/>
        <v>0</v>
      </c>
      <c r="U522" s="71">
        <f t="shared" si="338"/>
        <v>0</v>
      </c>
      <c r="V522" s="117">
        <v>0</v>
      </c>
      <c r="W522" s="117">
        <v>0</v>
      </c>
      <c r="X522" s="71">
        <f t="shared" si="339"/>
        <v>0</v>
      </c>
      <c r="Y522" s="71">
        <f t="shared" si="340"/>
        <v>0</v>
      </c>
      <c r="AA522" s="65"/>
      <c r="AC522" s="71">
        <f t="shared" si="341"/>
        <v>0</v>
      </c>
      <c r="AD522" s="39"/>
      <c r="AE522" s="7"/>
      <c r="AF522" s="15"/>
      <c r="AG522" s="71" t="b">
        <f t="shared" si="342"/>
        <v>1</v>
      </c>
      <c r="AI522" s="71">
        <f t="shared" si="343"/>
        <v>0</v>
      </c>
      <c r="AJ522" s="39"/>
      <c r="AK522" s="15"/>
      <c r="AL522" s="71" t="b">
        <f t="shared" si="344"/>
        <v>1</v>
      </c>
      <c r="AN522" s="65"/>
    </row>
    <row r="523" spans="2:40 16128:16147" ht="13" customHeight="1">
      <c r="B523" s="119"/>
      <c r="C523" s="23">
        <f t="shared" si="336"/>
        <v>2026092</v>
      </c>
      <c r="D523" s="23">
        <v>19</v>
      </c>
      <c r="E523" s="128">
        <v>0</v>
      </c>
      <c r="F523" s="126" t="e">
        <f>VLOOKUP(E523,'Códigos bancos'!$B$4:$C$29,2,0)</f>
        <v>#N/A</v>
      </c>
      <c r="G523" s="36">
        <v>1</v>
      </c>
      <c r="H523" s="126" t="str">
        <f>VLOOKUP(G523,'Códigos bancos'!$F$4:$G$14,2,0)</f>
        <v>Oficinas</v>
      </c>
      <c r="I523" s="130"/>
      <c r="J523" s="174">
        <v>0</v>
      </c>
      <c r="K523" s="174">
        <v>0</v>
      </c>
      <c r="L523" s="174">
        <v>0</v>
      </c>
      <c r="M523" s="174">
        <v>0</v>
      </c>
      <c r="N523" s="174">
        <v>0</v>
      </c>
      <c r="O523" s="174">
        <v>0</v>
      </c>
      <c r="P523" s="174">
        <v>0</v>
      </c>
      <c r="Q523" s="174">
        <v>0</v>
      </c>
      <c r="R523" s="174">
        <v>0</v>
      </c>
      <c r="S523" s="215">
        <v>0</v>
      </c>
      <c r="T523" s="71">
        <f t="shared" si="337"/>
        <v>0</v>
      </c>
      <c r="U523" s="71">
        <f t="shared" si="338"/>
        <v>0</v>
      </c>
      <c r="V523" s="117">
        <v>0</v>
      </c>
      <c r="W523" s="117">
        <v>0</v>
      </c>
      <c r="X523" s="71">
        <f t="shared" si="339"/>
        <v>0</v>
      </c>
      <c r="Y523" s="71">
        <f t="shared" si="340"/>
        <v>0</v>
      </c>
      <c r="AA523" s="65"/>
      <c r="AC523" s="71">
        <f t="shared" si="341"/>
        <v>0</v>
      </c>
      <c r="AD523" s="39"/>
      <c r="AE523" s="7"/>
      <c r="AF523" s="15"/>
      <c r="AG523" s="71" t="b">
        <f t="shared" si="342"/>
        <v>1</v>
      </c>
      <c r="AI523" s="71">
        <f t="shared" si="343"/>
        <v>0</v>
      </c>
      <c r="AJ523" s="39"/>
      <c r="AK523" s="15"/>
      <c r="AL523" s="71" t="b">
        <f t="shared" si="344"/>
        <v>1</v>
      </c>
      <c r="AN523" s="65"/>
    </row>
    <row r="524" spans="2:40 16128:16147" ht="13" customHeight="1">
      <c r="B524" s="119"/>
      <c r="C524" s="23">
        <f t="shared" si="336"/>
        <v>2026092</v>
      </c>
      <c r="D524" s="23">
        <v>19</v>
      </c>
      <c r="E524" s="128">
        <v>0</v>
      </c>
      <c r="F524" s="126" t="e">
        <f>VLOOKUP(E524,'Códigos bancos'!$B$4:$C$29,2,0)</f>
        <v>#N/A</v>
      </c>
      <c r="G524" s="36">
        <v>1</v>
      </c>
      <c r="H524" s="126" t="str">
        <f>VLOOKUP(G524,'Códigos bancos'!$F$4:$G$14,2,0)</f>
        <v>Oficinas</v>
      </c>
      <c r="I524" s="130"/>
      <c r="J524" s="174">
        <v>0</v>
      </c>
      <c r="K524" s="174">
        <v>0</v>
      </c>
      <c r="L524" s="174">
        <v>0</v>
      </c>
      <c r="M524" s="174">
        <v>0</v>
      </c>
      <c r="N524" s="174">
        <v>0</v>
      </c>
      <c r="O524" s="174">
        <v>0</v>
      </c>
      <c r="P524" s="174">
        <v>0</v>
      </c>
      <c r="Q524" s="174">
        <v>0</v>
      </c>
      <c r="R524" s="174">
        <v>0</v>
      </c>
      <c r="S524" s="215">
        <v>0</v>
      </c>
      <c r="T524" s="71">
        <f t="shared" si="337"/>
        <v>0</v>
      </c>
      <c r="U524" s="71">
        <f t="shared" si="338"/>
        <v>0</v>
      </c>
      <c r="V524" s="117">
        <v>0</v>
      </c>
      <c r="W524" s="117">
        <v>0</v>
      </c>
      <c r="X524" s="71">
        <f t="shared" si="339"/>
        <v>0</v>
      </c>
      <c r="Y524" s="71">
        <f t="shared" si="340"/>
        <v>0</v>
      </c>
      <c r="AA524" s="65"/>
      <c r="AC524" s="71">
        <f t="shared" si="341"/>
        <v>0</v>
      </c>
      <c r="AD524" s="39"/>
      <c r="AE524" s="7"/>
      <c r="AF524" s="15"/>
      <c r="AG524" s="71" t="b">
        <f t="shared" si="342"/>
        <v>1</v>
      </c>
      <c r="AI524" s="71">
        <f t="shared" si="343"/>
        <v>0</v>
      </c>
      <c r="AJ524" s="39"/>
      <c r="AK524" s="15"/>
      <c r="AL524" s="71" t="b">
        <f t="shared" si="344"/>
        <v>1</v>
      </c>
      <c r="AN524" s="65"/>
    </row>
    <row r="525" spans="2:40 16128:16147" ht="13" customHeight="1">
      <c r="B525" s="119"/>
      <c r="C525" s="23">
        <f t="shared" si="336"/>
        <v>2026092</v>
      </c>
      <c r="D525" s="23">
        <v>19</v>
      </c>
      <c r="E525" s="128">
        <v>0</v>
      </c>
      <c r="F525" s="126" t="e">
        <f>VLOOKUP(E525,'Códigos bancos'!$B$4:$C$29,2,0)</f>
        <v>#N/A</v>
      </c>
      <c r="G525" s="36">
        <v>1</v>
      </c>
      <c r="H525" s="126" t="str">
        <f>VLOOKUP(G525,'Códigos bancos'!$F$4:$G$14,2,0)</f>
        <v>Oficinas</v>
      </c>
      <c r="I525" s="130"/>
      <c r="J525" s="174">
        <v>0</v>
      </c>
      <c r="K525" s="174">
        <v>0</v>
      </c>
      <c r="L525" s="174">
        <v>0</v>
      </c>
      <c r="M525" s="174">
        <v>0</v>
      </c>
      <c r="N525" s="174">
        <v>0</v>
      </c>
      <c r="O525" s="174">
        <v>0</v>
      </c>
      <c r="P525" s="174">
        <v>0</v>
      </c>
      <c r="Q525" s="174">
        <v>0</v>
      </c>
      <c r="R525" s="174">
        <v>0</v>
      </c>
      <c r="S525" s="215">
        <v>0</v>
      </c>
      <c r="T525" s="71">
        <f t="shared" si="337"/>
        <v>0</v>
      </c>
      <c r="U525" s="71">
        <f t="shared" si="338"/>
        <v>0</v>
      </c>
      <c r="V525" s="117">
        <v>0</v>
      </c>
      <c r="W525" s="117">
        <v>0</v>
      </c>
      <c r="X525" s="71">
        <f t="shared" si="339"/>
        <v>0</v>
      </c>
      <c r="Y525" s="71">
        <f t="shared" si="340"/>
        <v>0</v>
      </c>
      <c r="AA525" s="65"/>
      <c r="AC525" s="71">
        <f t="shared" si="341"/>
        <v>0</v>
      </c>
      <c r="AD525" s="39"/>
      <c r="AE525" s="7"/>
      <c r="AF525" s="15"/>
      <c r="AG525" s="71" t="b">
        <f t="shared" si="342"/>
        <v>1</v>
      </c>
      <c r="AI525" s="71">
        <f t="shared" si="343"/>
        <v>0</v>
      </c>
      <c r="AJ525" s="39"/>
      <c r="AK525" s="15"/>
      <c r="AL525" s="71" t="b">
        <f t="shared" si="344"/>
        <v>1</v>
      </c>
      <c r="AN525" s="65"/>
    </row>
    <row r="526" spans="2:40 16128:16147" ht="13" customHeight="1">
      <c r="B526" s="119"/>
      <c r="C526" s="23">
        <f t="shared" si="336"/>
        <v>2026092</v>
      </c>
      <c r="D526" s="23">
        <v>19</v>
      </c>
      <c r="E526" s="128">
        <v>0</v>
      </c>
      <c r="F526" s="126" t="e">
        <f>VLOOKUP(E526,'Códigos bancos'!$B$4:$C$29,2,0)</f>
        <v>#N/A</v>
      </c>
      <c r="G526" s="36">
        <v>1</v>
      </c>
      <c r="H526" s="126" t="str">
        <f>VLOOKUP(G526,'Códigos bancos'!$F$4:$G$14,2,0)</f>
        <v>Oficinas</v>
      </c>
      <c r="I526" s="130"/>
      <c r="J526" s="174">
        <v>0</v>
      </c>
      <c r="K526" s="174">
        <v>0</v>
      </c>
      <c r="L526" s="174">
        <v>0</v>
      </c>
      <c r="M526" s="174">
        <v>0</v>
      </c>
      <c r="N526" s="174">
        <v>0</v>
      </c>
      <c r="O526" s="174">
        <v>0</v>
      </c>
      <c r="P526" s="174">
        <v>0</v>
      </c>
      <c r="Q526" s="174">
        <v>0</v>
      </c>
      <c r="R526" s="174">
        <v>0</v>
      </c>
      <c r="S526" s="215">
        <v>0</v>
      </c>
      <c r="T526" s="71">
        <f t="shared" si="337"/>
        <v>0</v>
      </c>
      <c r="U526" s="71">
        <f t="shared" si="338"/>
        <v>0</v>
      </c>
      <c r="V526" s="117">
        <v>0</v>
      </c>
      <c r="W526" s="117">
        <v>0</v>
      </c>
      <c r="X526" s="71">
        <f t="shared" si="339"/>
        <v>0</v>
      </c>
      <c r="Y526" s="71">
        <f t="shared" si="340"/>
        <v>0</v>
      </c>
      <c r="AA526" s="65"/>
      <c r="AC526" s="71">
        <f t="shared" si="341"/>
        <v>0</v>
      </c>
      <c r="AD526" s="39"/>
      <c r="AE526" s="7"/>
      <c r="AF526" s="15"/>
      <c r="AG526" s="71" t="b">
        <f t="shared" si="342"/>
        <v>1</v>
      </c>
      <c r="AI526" s="71">
        <f t="shared" si="343"/>
        <v>0</v>
      </c>
      <c r="AJ526" s="39"/>
      <c r="AK526" s="15"/>
      <c r="AL526" s="71" t="b">
        <f t="shared" si="344"/>
        <v>1</v>
      </c>
      <c r="AN526" s="65"/>
    </row>
    <row r="527" spans="2:40 16128:16147" ht="13" customHeight="1">
      <c r="B527" s="119"/>
      <c r="C527" s="23">
        <f t="shared" si="336"/>
        <v>2026092</v>
      </c>
      <c r="D527" s="23">
        <v>19</v>
      </c>
      <c r="E527" s="128">
        <v>0</v>
      </c>
      <c r="F527" s="126" t="e">
        <f>VLOOKUP(E527,'Códigos bancos'!$B$4:$C$29,2,0)</f>
        <v>#N/A</v>
      </c>
      <c r="G527" s="36">
        <v>1</v>
      </c>
      <c r="H527" s="126" t="str">
        <f>VLOOKUP(G527,'Códigos bancos'!$F$4:$G$14,2,0)</f>
        <v>Oficinas</v>
      </c>
      <c r="I527" s="130"/>
      <c r="J527" s="174">
        <v>0</v>
      </c>
      <c r="K527" s="174">
        <v>0</v>
      </c>
      <c r="L527" s="174">
        <v>0</v>
      </c>
      <c r="M527" s="174">
        <v>0</v>
      </c>
      <c r="N527" s="174">
        <v>0</v>
      </c>
      <c r="O527" s="174">
        <v>0</v>
      </c>
      <c r="P527" s="174">
        <v>0</v>
      </c>
      <c r="Q527" s="174">
        <v>0</v>
      </c>
      <c r="R527" s="174">
        <v>0</v>
      </c>
      <c r="S527" s="215">
        <v>0</v>
      </c>
      <c r="T527" s="71">
        <f t="shared" si="337"/>
        <v>0</v>
      </c>
      <c r="U527" s="71">
        <f t="shared" si="338"/>
        <v>0</v>
      </c>
      <c r="V527" s="117">
        <v>0</v>
      </c>
      <c r="W527" s="117">
        <v>0</v>
      </c>
      <c r="X527" s="71">
        <f t="shared" si="339"/>
        <v>0</v>
      </c>
      <c r="Y527" s="71">
        <f t="shared" si="340"/>
        <v>0</v>
      </c>
      <c r="AA527" s="65"/>
      <c r="AC527" s="71">
        <f t="shared" si="341"/>
        <v>0</v>
      </c>
      <c r="AD527" s="39"/>
      <c r="AE527" s="7"/>
      <c r="AF527" s="15"/>
      <c r="AG527" s="71" t="b">
        <f t="shared" si="342"/>
        <v>1</v>
      </c>
      <c r="AI527" s="71">
        <f t="shared" si="343"/>
        <v>0</v>
      </c>
      <c r="AJ527" s="39"/>
      <c r="AK527" s="15"/>
      <c r="AL527" s="71" t="b">
        <f t="shared" si="344"/>
        <v>1</v>
      </c>
      <c r="AN527" s="65"/>
    </row>
    <row r="528" spans="2:40 16128:16147" ht="13" customHeight="1">
      <c r="B528" s="119"/>
      <c r="C528" s="23">
        <f t="shared" si="336"/>
        <v>2026092</v>
      </c>
      <c r="D528" s="23">
        <v>19</v>
      </c>
      <c r="E528" s="128">
        <v>0</v>
      </c>
      <c r="F528" s="126" t="e">
        <f>VLOOKUP(E528,'Códigos bancos'!$B$4:$C$29,2,0)</f>
        <v>#N/A</v>
      </c>
      <c r="G528" s="36">
        <v>1</v>
      </c>
      <c r="H528" s="126" t="str">
        <f>VLOOKUP(G528,'Códigos bancos'!$F$4:$G$14,2,0)</f>
        <v>Oficinas</v>
      </c>
      <c r="I528" s="130"/>
      <c r="J528" s="174">
        <v>0</v>
      </c>
      <c r="K528" s="174">
        <v>0</v>
      </c>
      <c r="L528" s="174">
        <v>0</v>
      </c>
      <c r="M528" s="174">
        <v>0</v>
      </c>
      <c r="N528" s="174">
        <v>0</v>
      </c>
      <c r="O528" s="174">
        <v>0</v>
      </c>
      <c r="P528" s="174">
        <v>0</v>
      </c>
      <c r="Q528" s="174">
        <v>0</v>
      </c>
      <c r="R528" s="174">
        <v>0</v>
      </c>
      <c r="S528" s="215">
        <v>0</v>
      </c>
      <c r="T528" s="71">
        <f t="shared" si="337"/>
        <v>0</v>
      </c>
      <c r="U528" s="71">
        <f t="shared" si="338"/>
        <v>0</v>
      </c>
      <c r="V528" s="117">
        <v>0</v>
      </c>
      <c r="W528" s="117">
        <v>0</v>
      </c>
      <c r="X528" s="71">
        <f t="shared" si="339"/>
        <v>0</v>
      </c>
      <c r="Y528" s="71">
        <f t="shared" si="340"/>
        <v>0</v>
      </c>
      <c r="AA528" s="65"/>
      <c r="AC528" s="71">
        <f t="shared" si="341"/>
        <v>0</v>
      </c>
      <c r="AD528" s="39"/>
      <c r="AE528" s="7"/>
      <c r="AF528" s="15"/>
      <c r="AG528" s="71" t="b">
        <f t="shared" si="342"/>
        <v>1</v>
      </c>
      <c r="AI528" s="71">
        <f t="shared" si="343"/>
        <v>0</v>
      </c>
      <c r="AJ528" s="39"/>
      <c r="AK528" s="15"/>
      <c r="AL528" s="71" t="b">
        <f t="shared" si="344"/>
        <v>1</v>
      </c>
      <c r="AN528" s="65"/>
    </row>
    <row r="529" spans="2:40 16128:16147" ht="13" customHeight="1">
      <c r="B529" s="119"/>
      <c r="C529" s="23">
        <f t="shared" si="336"/>
        <v>2026092</v>
      </c>
      <c r="D529" s="23">
        <v>19</v>
      </c>
      <c r="E529" s="128">
        <v>0</v>
      </c>
      <c r="F529" s="126" t="e">
        <f>VLOOKUP(E529,'Códigos bancos'!$B$4:$C$29,2,0)</f>
        <v>#N/A</v>
      </c>
      <c r="G529" s="36">
        <v>1</v>
      </c>
      <c r="H529" s="126" t="str">
        <f>VLOOKUP(G529,'Códigos bancos'!$F$4:$G$14,2,0)</f>
        <v>Oficinas</v>
      </c>
      <c r="I529" s="130"/>
      <c r="J529" s="174">
        <v>0</v>
      </c>
      <c r="K529" s="174">
        <v>0</v>
      </c>
      <c r="L529" s="174">
        <v>0</v>
      </c>
      <c r="M529" s="174">
        <v>0</v>
      </c>
      <c r="N529" s="174">
        <v>0</v>
      </c>
      <c r="O529" s="174">
        <v>0</v>
      </c>
      <c r="P529" s="174">
        <v>0</v>
      </c>
      <c r="Q529" s="174">
        <v>0</v>
      </c>
      <c r="R529" s="174">
        <v>0</v>
      </c>
      <c r="S529" s="215">
        <v>0</v>
      </c>
      <c r="T529" s="71">
        <f t="shared" si="337"/>
        <v>0</v>
      </c>
      <c r="U529" s="71">
        <f t="shared" si="338"/>
        <v>0</v>
      </c>
      <c r="V529" s="117">
        <v>0</v>
      </c>
      <c r="W529" s="117">
        <v>0</v>
      </c>
      <c r="X529" s="71">
        <f t="shared" si="339"/>
        <v>0</v>
      </c>
      <c r="Y529" s="71">
        <f t="shared" si="340"/>
        <v>0</v>
      </c>
      <c r="AA529" s="65"/>
      <c r="AC529" s="71">
        <f t="shared" si="341"/>
        <v>0</v>
      </c>
      <c r="AD529" s="39"/>
      <c r="AE529" s="7"/>
      <c r="AF529" s="15"/>
      <c r="AG529" s="71" t="b">
        <f t="shared" si="342"/>
        <v>1</v>
      </c>
      <c r="AI529" s="71">
        <f t="shared" si="343"/>
        <v>0</v>
      </c>
      <c r="AJ529" s="39"/>
      <c r="AK529" s="15"/>
      <c r="AL529" s="71" t="b">
        <f t="shared" si="344"/>
        <v>1</v>
      </c>
      <c r="AN529" s="65"/>
    </row>
    <row r="530" spans="2:40 16128:16147" ht="13" customHeight="1">
      <c r="B530" s="119"/>
      <c r="C530" s="159">
        <f t="shared" si="336"/>
        <v>2026092</v>
      </c>
      <c r="D530" s="23">
        <v>19</v>
      </c>
      <c r="E530" s="128">
        <v>0</v>
      </c>
      <c r="F530" s="126" t="e">
        <f>VLOOKUP(E530,'Códigos bancos'!$B$4:$C$29,2,0)</f>
        <v>#N/A</v>
      </c>
      <c r="G530" s="36">
        <v>1</v>
      </c>
      <c r="H530" s="126" t="str">
        <f>VLOOKUP(G530,'Códigos bancos'!$F$4:$G$14,2,0)</f>
        <v>Oficinas</v>
      </c>
      <c r="I530" s="130"/>
      <c r="J530" s="174">
        <v>0</v>
      </c>
      <c r="K530" s="174">
        <v>0</v>
      </c>
      <c r="L530" s="174">
        <v>0</v>
      </c>
      <c r="M530" s="174">
        <v>0</v>
      </c>
      <c r="N530" s="174">
        <v>0</v>
      </c>
      <c r="O530" s="174">
        <v>0</v>
      </c>
      <c r="P530" s="174">
        <v>0</v>
      </c>
      <c r="Q530" s="174">
        <v>0</v>
      </c>
      <c r="R530" s="174">
        <v>0</v>
      </c>
      <c r="S530" s="215">
        <v>0</v>
      </c>
      <c r="T530" s="71">
        <f t="shared" si="337"/>
        <v>0</v>
      </c>
      <c r="U530" s="71">
        <f t="shared" si="338"/>
        <v>0</v>
      </c>
      <c r="V530" s="117">
        <v>0</v>
      </c>
      <c r="W530" s="117">
        <v>0</v>
      </c>
      <c r="X530" s="71">
        <f t="shared" si="339"/>
        <v>0</v>
      </c>
      <c r="Y530" s="71">
        <f t="shared" si="340"/>
        <v>0</v>
      </c>
      <c r="AA530" s="65"/>
      <c r="AC530" s="71">
        <f t="shared" si="341"/>
        <v>0</v>
      </c>
      <c r="AD530" s="39"/>
      <c r="AE530" s="7"/>
      <c r="AF530" s="15"/>
      <c r="AG530" s="71" t="b">
        <f t="shared" si="342"/>
        <v>1</v>
      </c>
      <c r="AI530" s="71">
        <f t="shared" si="343"/>
        <v>0</v>
      </c>
      <c r="AJ530" s="39"/>
      <c r="AK530" s="15"/>
      <c r="AL530" s="71" t="b">
        <f t="shared" si="344"/>
        <v>1</v>
      </c>
      <c r="AN530" s="65"/>
    </row>
    <row r="531" spans="2:40 16128:16147" ht="13" customHeight="1">
      <c r="B531" s="119"/>
      <c r="C531" s="23">
        <f t="shared" si="336"/>
        <v>2026092</v>
      </c>
      <c r="D531" s="23">
        <v>19</v>
      </c>
      <c r="E531" s="128">
        <v>0</v>
      </c>
      <c r="F531" s="126" t="e">
        <f>VLOOKUP(E531,'Códigos bancos'!$B$4:$C$29,2,0)</f>
        <v>#N/A</v>
      </c>
      <c r="G531" s="36">
        <v>1</v>
      </c>
      <c r="H531" s="126" t="str">
        <f>VLOOKUP(G531,'Códigos bancos'!$F$4:$G$14,2,0)</f>
        <v>Oficinas</v>
      </c>
      <c r="I531" s="130"/>
      <c r="J531" s="174">
        <v>0</v>
      </c>
      <c r="K531" s="174">
        <v>0</v>
      </c>
      <c r="L531" s="174">
        <v>0</v>
      </c>
      <c r="M531" s="174">
        <v>0</v>
      </c>
      <c r="N531" s="174">
        <v>0</v>
      </c>
      <c r="O531" s="174">
        <v>0</v>
      </c>
      <c r="P531" s="174">
        <v>0</v>
      </c>
      <c r="Q531" s="174">
        <v>0</v>
      </c>
      <c r="R531" s="174">
        <v>0</v>
      </c>
      <c r="S531" s="215">
        <v>0</v>
      </c>
      <c r="T531" s="71">
        <f t="shared" si="337"/>
        <v>0</v>
      </c>
      <c r="U531" s="71">
        <f t="shared" si="338"/>
        <v>0</v>
      </c>
      <c r="V531" s="117">
        <v>0</v>
      </c>
      <c r="W531" s="117">
        <v>0</v>
      </c>
      <c r="X531" s="71">
        <f t="shared" si="339"/>
        <v>0</v>
      </c>
      <c r="Y531" s="71">
        <f t="shared" si="340"/>
        <v>0</v>
      </c>
      <c r="AA531" s="65"/>
      <c r="AC531" s="71">
        <f t="shared" si="341"/>
        <v>0</v>
      </c>
      <c r="AD531" s="39"/>
      <c r="AE531" s="7"/>
      <c r="AF531" s="15"/>
      <c r="AG531" s="71" t="b">
        <f t="shared" si="342"/>
        <v>1</v>
      </c>
      <c r="AI531" s="71">
        <f t="shared" si="343"/>
        <v>0</v>
      </c>
      <c r="AJ531" s="39"/>
      <c r="AK531" s="15"/>
      <c r="AL531" s="71" t="b">
        <f t="shared" si="344"/>
        <v>1</v>
      </c>
      <c r="AN531" s="65"/>
    </row>
    <row r="532" spans="2:40 16128:16147" ht="13" customHeight="1">
      <c r="B532" s="119"/>
      <c r="C532" s="23">
        <f t="shared" si="336"/>
        <v>2026092</v>
      </c>
      <c r="D532" s="23">
        <v>19</v>
      </c>
      <c r="E532" s="128">
        <v>0</v>
      </c>
      <c r="F532" s="126" t="e">
        <f>VLOOKUP(E532,'Códigos bancos'!$B$4:$C$29,2,0)</f>
        <v>#N/A</v>
      </c>
      <c r="G532" s="36">
        <v>1</v>
      </c>
      <c r="H532" s="126" t="str">
        <f>VLOOKUP(G532,'Códigos bancos'!$F$4:$G$14,2,0)</f>
        <v>Oficinas</v>
      </c>
      <c r="I532" s="130"/>
      <c r="J532" s="174">
        <v>0</v>
      </c>
      <c r="K532" s="174">
        <v>0</v>
      </c>
      <c r="L532" s="174">
        <v>0</v>
      </c>
      <c r="M532" s="174">
        <v>0</v>
      </c>
      <c r="N532" s="174">
        <v>0</v>
      </c>
      <c r="O532" s="174">
        <v>0</v>
      </c>
      <c r="P532" s="174">
        <v>0</v>
      </c>
      <c r="Q532" s="174">
        <v>0</v>
      </c>
      <c r="R532" s="174">
        <v>0</v>
      </c>
      <c r="S532" s="215">
        <v>0</v>
      </c>
      <c r="T532" s="71">
        <f t="shared" si="337"/>
        <v>0</v>
      </c>
      <c r="U532" s="71">
        <f t="shared" si="338"/>
        <v>0</v>
      </c>
      <c r="V532" s="117">
        <v>0</v>
      </c>
      <c r="W532" s="117">
        <v>0</v>
      </c>
      <c r="X532" s="71">
        <f t="shared" si="339"/>
        <v>0</v>
      </c>
      <c r="Y532" s="71">
        <f t="shared" si="340"/>
        <v>0</v>
      </c>
      <c r="AA532" s="65"/>
      <c r="AC532" s="71">
        <f t="shared" si="341"/>
        <v>0</v>
      </c>
      <c r="AD532" s="39"/>
      <c r="AE532" s="7"/>
      <c r="AF532" s="15"/>
      <c r="AG532" s="71" t="b">
        <f t="shared" si="342"/>
        <v>1</v>
      </c>
      <c r="AI532" s="71">
        <f t="shared" si="343"/>
        <v>0</v>
      </c>
      <c r="AJ532" s="39"/>
      <c r="AK532" s="15"/>
      <c r="AL532" s="71" t="b">
        <f t="shared" si="344"/>
        <v>1</v>
      </c>
      <c r="AN532" s="65"/>
    </row>
    <row r="533" spans="2:40 16128:16147" ht="13" customHeight="1">
      <c r="B533" s="119"/>
      <c r="C533" s="23">
        <f t="shared" si="336"/>
        <v>2026092</v>
      </c>
      <c r="D533" s="23">
        <v>19</v>
      </c>
      <c r="E533" s="128">
        <v>0</v>
      </c>
      <c r="F533" s="126" t="e">
        <f>VLOOKUP(E533,'Códigos bancos'!$B$4:$C$29,2,0)</f>
        <v>#N/A</v>
      </c>
      <c r="G533" s="36">
        <v>1</v>
      </c>
      <c r="H533" s="126" t="str">
        <f>VLOOKUP(G533,'Códigos bancos'!$F$4:$G$14,2,0)</f>
        <v>Oficinas</v>
      </c>
      <c r="I533" s="130"/>
      <c r="J533" s="174">
        <v>0</v>
      </c>
      <c r="K533" s="174">
        <v>0</v>
      </c>
      <c r="L533" s="174">
        <v>0</v>
      </c>
      <c r="M533" s="174">
        <v>0</v>
      </c>
      <c r="N533" s="174">
        <v>0</v>
      </c>
      <c r="O533" s="174">
        <v>0</v>
      </c>
      <c r="P533" s="174">
        <v>0</v>
      </c>
      <c r="Q533" s="174">
        <v>0</v>
      </c>
      <c r="R533" s="174">
        <v>0</v>
      </c>
      <c r="S533" s="215">
        <v>0</v>
      </c>
      <c r="T533" s="71">
        <f t="shared" si="337"/>
        <v>0</v>
      </c>
      <c r="U533" s="71">
        <f t="shared" si="338"/>
        <v>0</v>
      </c>
      <c r="V533" s="117">
        <v>0</v>
      </c>
      <c r="W533" s="117">
        <v>0</v>
      </c>
      <c r="X533" s="71">
        <f t="shared" si="339"/>
        <v>0</v>
      </c>
      <c r="Y533" s="71">
        <f t="shared" si="340"/>
        <v>0</v>
      </c>
      <c r="AA533" s="65"/>
      <c r="AC533" s="71">
        <f t="shared" si="341"/>
        <v>0</v>
      </c>
      <c r="AD533" s="39"/>
      <c r="AE533" s="7"/>
      <c r="AF533" s="15"/>
      <c r="AG533" s="71" t="b">
        <f t="shared" si="342"/>
        <v>1</v>
      </c>
      <c r="AI533" s="71">
        <f t="shared" si="343"/>
        <v>0</v>
      </c>
      <c r="AJ533" s="39"/>
      <c r="AK533" s="15"/>
      <c r="AL533" s="71" t="b">
        <f t="shared" si="344"/>
        <v>1</v>
      </c>
      <c r="AN533" s="65"/>
    </row>
    <row r="534" spans="2:40 16128:16147" ht="13" customHeight="1">
      <c r="B534" s="119"/>
      <c r="C534" s="23">
        <f t="shared" si="336"/>
        <v>2026092</v>
      </c>
      <c r="D534" s="23">
        <v>19</v>
      </c>
      <c r="E534" s="128">
        <v>0</v>
      </c>
      <c r="F534" s="126" t="e">
        <f>VLOOKUP(E534,'Códigos bancos'!$B$4:$C$29,2,0)</f>
        <v>#N/A</v>
      </c>
      <c r="G534" s="36">
        <v>1</v>
      </c>
      <c r="H534" s="126" t="str">
        <f>VLOOKUP(G534,'Códigos bancos'!$F$4:$G$14,2,0)</f>
        <v>Oficinas</v>
      </c>
      <c r="I534" s="130"/>
      <c r="J534" s="174">
        <v>0</v>
      </c>
      <c r="K534" s="174">
        <v>0</v>
      </c>
      <c r="L534" s="174">
        <v>0</v>
      </c>
      <c r="M534" s="174">
        <v>0</v>
      </c>
      <c r="N534" s="174">
        <v>0</v>
      </c>
      <c r="O534" s="174">
        <v>0</v>
      </c>
      <c r="P534" s="174">
        <v>0</v>
      </c>
      <c r="Q534" s="174">
        <v>0</v>
      </c>
      <c r="R534" s="174">
        <v>0</v>
      </c>
      <c r="S534" s="215">
        <v>0</v>
      </c>
      <c r="T534" s="71">
        <f t="shared" si="337"/>
        <v>0</v>
      </c>
      <c r="U534" s="71">
        <f t="shared" si="338"/>
        <v>0</v>
      </c>
      <c r="V534" s="117">
        <v>0</v>
      </c>
      <c r="W534" s="117">
        <v>0</v>
      </c>
      <c r="X534" s="71">
        <f t="shared" si="339"/>
        <v>0</v>
      </c>
      <c r="Y534" s="71">
        <f t="shared" si="340"/>
        <v>0</v>
      </c>
      <c r="AA534" s="65"/>
      <c r="AC534" s="71">
        <f t="shared" si="341"/>
        <v>0</v>
      </c>
      <c r="AD534" s="39"/>
      <c r="AE534" s="7"/>
      <c r="AF534" s="15"/>
      <c r="AG534" s="71" t="b">
        <f t="shared" si="342"/>
        <v>1</v>
      </c>
      <c r="AI534" s="71">
        <f t="shared" si="343"/>
        <v>0</v>
      </c>
      <c r="AJ534" s="39"/>
      <c r="AK534" s="15"/>
      <c r="AL534" s="71" t="b">
        <f t="shared" si="344"/>
        <v>1</v>
      </c>
      <c r="AN534" s="65"/>
    </row>
    <row r="535" spans="2:40 16128:16147" ht="13" customHeight="1">
      <c r="B535" s="119"/>
      <c r="C535" s="23">
        <f t="shared" si="336"/>
        <v>2026092</v>
      </c>
      <c r="D535" s="23">
        <v>19</v>
      </c>
      <c r="E535" s="128">
        <v>0</v>
      </c>
      <c r="F535" s="126" t="e">
        <f>VLOOKUP(E535,'Códigos bancos'!$B$4:$C$29,2,0)</f>
        <v>#N/A</v>
      </c>
      <c r="G535" s="36">
        <v>1</v>
      </c>
      <c r="H535" s="126" t="str">
        <f>VLOOKUP(G535,'Códigos bancos'!$F$4:$G$14,2,0)</f>
        <v>Oficinas</v>
      </c>
      <c r="I535" s="130"/>
      <c r="J535" s="174">
        <v>0</v>
      </c>
      <c r="K535" s="174">
        <v>0</v>
      </c>
      <c r="L535" s="174">
        <v>0</v>
      </c>
      <c r="M535" s="174">
        <v>0</v>
      </c>
      <c r="N535" s="174">
        <v>0</v>
      </c>
      <c r="O535" s="174">
        <v>0</v>
      </c>
      <c r="P535" s="174">
        <v>0</v>
      </c>
      <c r="Q535" s="174">
        <v>0</v>
      </c>
      <c r="R535" s="174">
        <v>0</v>
      </c>
      <c r="S535" s="215">
        <v>0</v>
      </c>
      <c r="T535" s="71">
        <f t="shared" si="337"/>
        <v>0</v>
      </c>
      <c r="U535" s="71">
        <f t="shared" si="338"/>
        <v>0</v>
      </c>
      <c r="V535" s="117">
        <v>0</v>
      </c>
      <c r="W535" s="117">
        <v>0</v>
      </c>
      <c r="X535" s="71">
        <f t="shared" si="339"/>
        <v>0</v>
      </c>
      <c r="Y535" s="71">
        <f t="shared" si="340"/>
        <v>0</v>
      </c>
      <c r="AA535" s="65"/>
      <c r="AC535" s="71">
        <f t="shared" si="341"/>
        <v>0</v>
      </c>
      <c r="AD535" s="39"/>
      <c r="AE535" s="7"/>
      <c r="AF535" s="15"/>
      <c r="AG535" s="71" t="b">
        <f t="shared" si="342"/>
        <v>1</v>
      </c>
      <c r="AI535" s="71">
        <f t="shared" si="343"/>
        <v>0</v>
      </c>
      <c r="AJ535" s="39"/>
      <c r="AK535" s="15"/>
      <c r="AL535" s="71" t="b">
        <f t="shared" si="344"/>
        <v>1</v>
      </c>
      <c r="AN535" s="65"/>
    </row>
    <row r="536" spans="2:40 16128:16147" ht="13" customHeight="1">
      <c r="B536" s="119"/>
      <c r="C536" s="23">
        <f t="shared" ref="C536" si="345">IF(D536&lt;=15,$C$1,$C$2)</f>
        <v>2026092</v>
      </c>
      <c r="D536" s="23">
        <v>19</v>
      </c>
      <c r="E536" s="128">
        <v>0</v>
      </c>
      <c r="F536" s="126" t="e">
        <f>VLOOKUP(E536,'Códigos bancos'!$B$4:$C$29,2,0)</f>
        <v>#N/A</v>
      </c>
      <c r="G536" s="36">
        <v>1</v>
      </c>
      <c r="H536" s="126" t="str">
        <f>VLOOKUP(G536,'Códigos bancos'!$F$4:$G$14,2,0)</f>
        <v>Oficinas</v>
      </c>
      <c r="I536" s="130"/>
      <c r="J536" s="174">
        <v>0</v>
      </c>
      <c r="K536" s="174">
        <v>0</v>
      </c>
      <c r="L536" s="174">
        <v>0</v>
      </c>
      <c r="M536" s="174">
        <v>0</v>
      </c>
      <c r="N536" s="174">
        <v>0</v>
      </c>
      <c r="O536" s="174">
        <v>0</v>
      </c>
      <c r="P536" s="174">
        <v>0</v>
      </c>
      <c r="Q536" s="174">
        <v>0</v>
      </c>
      <c r="R536" s="174">
        <v>0</v>
      </c>
      <c r="S536" s="215">
        <v>0</v>
      </c>
      <c r="T536" s="71">
        <f t="shared" ref="T536" si="346">J536+L536+N536+P536+R536</f>
        <v>0</v>
      </c>
      <c r="U536" s="71">
        <f t="shared" ref="U536" si="347">K536+M536+O536+Q536+S536</f>
        <v>0</v>
      </c>
      <c r="V536" s="117">
        <v>0</v>
      </c>
      <c r="W536" s="117">
        <v>0</v>
      </c>
      <c r="X536" s="71">
        <f t="shared" ref="X536" si="348">V536-T536</f>
        <v>0</v>
      </c>
      <c r="Y536" s="71">
        <f t="shared" ref="Y536" si="349">W536-U536</f>
        <v>0</v>
      </c>
      <c r="AA536" s="65"/>
      <c r="AC536" s="71">
        <f t="shared" ref="AC536" si="350">X536</f>
        <v>0</v>
      </c>
      <c r="AD536" s="39"/>
      <c r="AE536" s="7"/>
      <c r="AF536" s="15"/>
      <c r="AG536" s="71" t="b">
        <f t="shared" ref="AG536" si="351">AC536=(AD536+AE536+AF536)</f>
        <v>1</v>
      </c>
      <c r="AI536" s="71">
        <f t="shared" ref="AI536" si="352">Y536</f>
        <v>0</v>
      </c>
      <c r="AJ536" s="39"/>
      <c r="AK536" s="15"/>
      <c r="AL536" s="71" t="b">
        <f t="shared" ref="AL536" si="353">AI536=(AJ536+AK536)</f>
        <v>1</v>
      </c>
      <c r="AN536" s="65"/>
    </row>
    <row r="537" spans="2:40 16128:16147" ht="13" customHeight="1">
      <c r="B537" s="119"/>
      <c r="C537" s="23">
        <f t="shared" si="336"/>
        <v>2026092</v>
      </c>
      <c r="D537" s="23">
        <v>19</v>
      </c>
      <c r="E537" s="128">
        <v>0</v>
      </c>
      <c r="F537" s="126" t="e">
        <f>VLOOKUP(E537,'Códigos bancos'!$B$4:$C$29,2,0)</f>
        <v>#N/A</v>
      </c>
      <c r="G537" s="36">
        <v>1</v>
      </c>
      <c r="H537" s="126" t="str">
        <f>VLOOKUP(G537,'Códigos bancos'!$F$4:$G$14,2,0)</f>
        <v>Oficinas</v>
      </c>
      <c r="I537" s="130"/>
      <c r="J537" s="174">
        <v>0</v>
      </c>
      <c r="K537" s="174">
        <v>0</v>
      </c>
      <c r="L537" s="174">
        <v>0</v>
      </c>
      <c r="M537" s="174">
        <v>0</v>
      </c>
      <c r="N537" s="174">
        <v>0</v>
      </c>
      <c r="O537" s="174">
        <v>0</v>
      </c>
      <c r="P537" s="174">
        <v>0</v>
      </c>
      <c r="Q537" s="174">
        <v>0</v>
      </c>
      <c r="R537" s="174">
        <v>0</v>
      </c>
      <c r="S537" s="215">
        <v>0</v>
      </c>
      <c r="T537" s="71">
        <f t="shared" si="337"/>
        <v>0</v>
      </c>
      <c r="U537" s="71">
        <f t="shared" si="338"/>
        <v>0</v>
      </c>
      <c r="V537" s="117">
        <v>0</v>
      </c>
      <c r="W537" s="117">
        <v>0</v>
      </c>
      <c r="X537" s="71">
        <f t="shared" si="339"/>
        <v>0</v>
      </c>
      <c r="Y537" s="71">
        <f t="shared" si="340"/>
        <v>0</v>
      </c>
      <c r="AA537" s="65"/>
      <c r="AC537" s="71">
        <f t="shared" si="341"/>
        <v>0</v>
      </c>
      <c r="AD537" s="39"/>
      <c r="AE537" s="7"/>
      <c r="AF537" s="15"/>
      <c r="AG537" s="71" t="b">
        <f t="shared" si="342"/>
        <v>1</v>
      </c>
      <c r="AI537" s="71">
        <f t="shared" si="343"/>
        <v>0</v>
      </c>
      <c r="AJ537" s="39"/>
      <c r="AK537" s="15"/>
      <c r="AL537" s="71" t="b">
        <f t="shared" si="344"/>
        <v>1</v>
      </c>
      <c r="AN537" s="65"/>
    </row>
    <row r="538" spans="2:40 16128:16147" ht="13" customHeight="1">
      <c r="B538" s="119"/>
      <c r="C538" s="23">
        <f t="shared" si="336"/>
        <v>2026092</v>
      </c>
      <c r="D538" s="23">
        <v>19</v>
      </c>
      <c r="E538" s="128">
        <v>0</v>
      </c>
      <c r="F538" s="126" t="e">
        <f>VLOOKUP(E538,'Códigos bancos'!$B$4:$C$29,2,0)</f>
        <v>#N/A</v>
      </c>
      <c r="G538" s="36">
        <v>1</v>
      </c>
      <c r="H538" s="126" t="str">
        <f>VLOOKUP(G538,'Códigos bancos'!$F$4:$G$14,2,0)</f>
        <v>Oficinas</v>
      </c>
      <c r="I538" s="130"/>
      <c r="J538" s="174">
        <v>0</v>
      </c>
      <c r="K538" s="174">
        <v>0</v>
      </c>
      <c r="L538" s="174">
        <v>0</v>
      </c>
      <c r="M538" s="174">
        <v>0</v>
      </c>
      <c r="N538" s="174">
        <v>0</v>
      </c>
      <c r="O538" s="174">
        <v>0</v>
      </c>
      <c r="P538" s="174">
        <v>0</v>
      </c>
      <c r="Q538" s="174">
        <v>0</v>
      </c>
      <c r="R538" s="174">
        <v>0</v>
      </c>
      <c r="S538" s="215">
        <v>0</v>
      </c>
      <c r="T538" s="71">
        <f t="shared" si="337"/>
        <v>0</v>
      </c>
      <c r="U538" s="71">
        <f t="shared" si="338"/>
        <v>0</v>
      </c>
      <c r="V538" s="117">
        <v>0</v>
      </c>
      <c r="W538" s="117">
        <v>0</v>
      </c>
      <c r="X538" s="71">
        <f t="shared" si="339"/>
        <v>0</v>
      </c>
      <c r="Y538" s="71">
        <f t="shared" si="340"/>
        <v>0</v>
      </c>
      <c r="AA538" s="65"/>
      <c r="AC538" s="71">
        <f t="shared" si="341"/>
        <v>0</v>
      </c>
      <c r="AD538" s="39"/>
      <c r="AE538" s="7"/>
      <c r="AF538" s="15"/>
      <c r="AG538" s="71" t="b">
        <f t="shared" si="342"/>
        <v>1</v>
      </c>
      <c r="AI538" s="71">
        <f t="shared" si="343"/>
        <v>0</v>
      </c>
      <c r="AJ538" s="39"/>
      <c r="AK538" s="15"/>
      <c r="AL538" s="71" t="b">
        <f t="shared" si="344"/>
        <v>1</v>
      </c>
      <c r="AN538" s="65"/>
    </row>
    <row r="539" spans="2:40 16128:16147" ht="13" customHeight="1">
      <c r="B539" s="119"/>
      <c r="C539" s="23">
        <f t="shared" si="336"/>
        <v>2026092</v>
      </c>
      <c r="D539" s="23">
        <v>19</v>
      </c>
      <c r="E539" s="128">
        <v>0</v>
      </c>
      <c r="F539" s="126" t="e">
        <f>VLOOKUP(E539,'Códigos bancos'!$B$4:$C$29,2,0)</f>
        <v>#N/A</v>
      </c>
      <c r="G539" s="36">
        <v>1</v>
      </c>
      <c r="H539" s="126" t="str">
        <f>VLOOKUP(G539,'Códigos bancos'!$F$4:$G$14,2,0)</f>
        <v>Oficinas</v>
      </c>
      <c r="I539" s="130"/>
      <c r="J539" s="174">
        <v>0</v>
      </c>
      <c r="K539" s="174">
        <v>0</v>
      </c>
      <c r="L539" s="174">
        <v>0</v>
      </c>
      <c r="M539" s="174">
        <v>0</v>
      </c>
      <c r="N539" s="174">
        <v>0</v>
      </c>
      <c r="O539" s="174">
        <v>0</v>
      </c>
      <c r="P539" s="174">
        <v>0</v>
      </c>
      <c r="Q539" s="174">
        <v>0</v>
      </c>
      <c r="R539" s="174">
        <v>0</v>
      </c>
      <c r="S539" s="215">
        <v>0</v>
      </c>
      <c r="T539" s="71">
        <f t="shared" si="337"/>
        <v>0</v>
      </c>
      <c r="U539" s="71">
        <f t="shared" si="338"/>
        <v>0</v>
      </c>
      <c r="V539" s="117">
        <v>0</v>
      </c>
      <c r="W539" s="117">
        <v>0</v>
      </c>
      <c r="X539" s="71">
        <f t="shared" si="339"/>
        <v>0</v>
      </c>
      <c r="Y539" s="71">
        <f t="shared" si="340"/>
        <v>0</v>
      </c>
      <c r="AA539" s="65"/>
      <c r="AC539" s="71">
        <f t="shared" si="341"/>
        <v>0</v>
      </c>
      <c r="AD539" s="39"/>
      <c r="AE539" s="7"/>
      <c r="AF539" s="15"/>
      <c r="AG539" s="71" t="b">
        <f t="shared" si="342"/>
        <v>1</v>
      </c>
      <c r="AI539" s="71"/>
      <c r="AJ539" s="39"/>
      <c r="AK539" s="15"/>
      <c r="AL539" s="71" t="b">
        <f t="shared" si="344"/>
        <v>1</v>
      </c>
      <c r="AN539" s="65"/>
    </row>
    <row r="540" spans="2:40 16128:16147" ht="13" customHeight="1">
      <c r="B540" s="119"/>
      <c r="C540" s="23">
        <f t="shared" si="336"/>
        <v>2026092</v>
      </c>
      <c r="D540" s="23">
        <v>19</v>
      </c>
      <c r="E540" s="128">
        <v>0</v>
      </c>
      <c r="F540" s="126" t="e">
        <f>VLOOKUP(E540,'Códigos bancos'!$B$4:$C$29,2,0)</f>
        <v>#N/A</v>
      </c>
      <c r="G540" s="36">
        <v>1</v>
      </c>
      <c r="H540" s="126" t="str">
        <f>VLOOKUP(G540,'Códigos bancos'!$F$4:$G$14,2,0)</f>
        <v>Oficinas</v>
      </c>
      <c r="I540" s="130"/>
      <c r="J540" s="174">
        <v>0</v>
      </c>
      <c r="K540" s="174">
        <v>0</v>
      </c>
      <c r="L540" s="174">
        <v>0</v>
      </c>
      <c r="M540" s="174">
        <v>0</v>
      </c>
      <c r="N540" s="174">
        <v>0</v>
      </c>
      <c r="O540" s="174">
        <v>0</v>
      </c>
      <c r="P540" s="174">
        <v>0</v>
      </c>
      <c r="Q540" s="174">
        <v>0</v>
      </c>
      <c r="R540" s="174">
        <v>0</v>
      </c>
      <c r="S540" s="215">
        <v>0</v>
      </c>
      <c r="T540" s="71">
        <f t="shared" si="337"/>
        <v>0</v>
      </c>
      <c r="U540" s="71">
        <f t="shared" si="338"/>
        <v>0</v>
      </c>
      <c r="V540" s="117">
        <v>0</v>
      </c>
      <c r="W540" s="117">
        <v>0</v>
      </c>
      <c r="X540" s="71">
        <f t="shared" si="339"/>
        <v>0</v>
      </c>
      <c r="Y540" s="71">
        <f t="shared" si="340"/>
        <v>0</v>
      </c>
      <c r="AA540" s="65"/>
      <c r="AC540" s="71">
        <f t="shared" si="341"/>
        <v>0</v>
      </c>
      <c r="AD540" s="39"/>
      <c r="AE540" s="7"/>
      <c r="AF540" s="15"/>
      <c r="AG540" s="71" t="b">
        <f t="shared" si="342"/>
        <v>1</v>
      </c>
      <c r="AI540" s="71">
        <f>Y540</f>
        <v>0</v>
      </c>
      <c r="AJ540" s="39"/>
      <c r="AK540" s="15"/>
      <c r="AL540" s="71" t="b">
        <f t="shared" si="344"/>
        <v>1</v>
      </c>
      <c r="AN540" s="65"/>
    </row>
    <row r="541" spans="2:40 16128:16147" ht="13" customHeight="1" thickBot="1">
      <c r="B541" s="119"/>
      <c r="C541" s="23">
        <f t="shared" si="336"/>
        <v>2026092</v>
      </c>
      <c r="D541" s="23">
        <v>19</v>
      </c>
      <c r="E541" s="128">
        <v>0</v>
      </c>
      <c r="F541" s="126" t="e">
        <f>VLOOKUP(E541,'Códigos bancos'!$B$4:$C$29,2,0)</f>
        <v>#N/A</v>
      </c>
      <c r="G541" s="36">
        <v>1</v>
      </c>
      <c r="H541" s="126" t="str">
        <f>VLOOKUP(G541,'Códigos bancos'!$F$4:$G$14,2,0)</f>
        <v>Oficinas</v>
      </c>
      <c r="I541" s="130"/>
      <c r="J541" s="174">
        <v>0</v>
      </c>
      <c r="K541" s="174">
        <v>0</v>
      </c>
      <c r="L541" s="174">
        <v>0</v>
      </c>
      <c r="M541" s="174">
        <v>0</v>
      </c>
      <c r="N541" s="174">
        <v>0</v>
      </c>
      <c r="O541" s="174">
        <v>0</v>
      </c>
      <c r="P541" s="174">
        <v>0</v>
      </c>
      <c r="Q541" s="174">
        <v>0</v>
      </c>
      <c r="R541" s="174">
        <v>0</v>
      </c>
      <c r="S541" s="215">
        <v>0</v>
      </c>
      <c r="T541" s="71">
        <f t="shared" si="337"/>
        <v>0</v>
      </c>
      <c r="U541" s="71">
        <f t="shared" si="338"/>
        <v>0</v>
      </c>
      <c r="V541" s="117">
        <v>0</v>
      </c>
      <c r="W541" s="117">
        <v>0</v>
      </c>
      <c r="X541" s="71">
        <f t="shared" si="339"/>
        <v>0</v>
      </c>
      <c r="Y541" s="71">
        <f t="shared" si="340"/>
        <v>0</v>
      </c>
      <c r="AA541" s="65"/>
      <c r="AC541" s="71">
        <f t="shared" si="341"/>
        <v>0</v>
      </c>
      <c r="AD541" s="39"/>
      <c r="AE541" s="7"/>
      <c r="AF541" s="15"/>
      <c r="AG541" s="71" t="b">
        <f t="shared" si="342"/>
        <v>1</v>
      </c>
      <c r="AI541" s="71">
        <f t="shared" si="343"/>
        <v>0</v>
      </c>
      <c r="AJ541" s="39"/>
      <c r="AK541" s="15"/>
      <c r="AL541" s="71" t="b">
        <f t="shared" si="344"/>
        <v>1</v>
      </c>
      <c r="AN541" s="65"/>
    </row>
    <row r="542" spans="2:40 16128:16147" ht="13" customHeight="1" thickBot="1">
      <c r="E542" s="120" t="s">
        <v>0</v>
      </c>
      <c r="F542" s="121" t="s">
        <v>53</v>
      </c>
      <c r="G542" s="121"/>
      <c r="H542" s="121"/>
      <c r="I542" s="121"/>
      <c r="J542" s="122">
        <f t="shared" ref="J542:Y542" si="354">SUM(J517:J541)</f>
        <v>0</v>
      </c>
      <c r="K542" s="122">
        <f t="shared" si="354"/>
        <v>0</v>
      </c>
      <c r="L542" s="122">
        <f t="shared" si="354"/>
        <v>0</v>
      </c>
      <c r="M542" s="122">
        <f t="shared" si="354"/>
        <v>0</v>
      </c>
      <c r="N542" s="122">
        <f t="shared" si="354"/>
        <v>0</v>
      </c>
      <c r="O542" s="122">
        <f t="shared" si="354"/>
        <v>0</v>
      </c>
      <c r="P542" s="122">
        <f t="shared" si="354"/>
        <v>0</v>
      </c>
      <c r="Q542" s="122">
        <f t="shared" si="354"/>
        <v>0</v>
      </c>
      <c r="R542" s="122">
        <f t="shared" si="354"/>
        <v>20</v>
      </c>
      <c r="S542" s="122">
        <f t="shared" si="354"/>
        <v>1106630</v>
      </c>
      <c r="T542" s="122">
        <f t="shared" si="354"/>
        <v>20</v>
      </c>
      <c r="U542" s="122">
        <f t="shared" si="354"/>
        <v>1106630</v>
      </c>
      <c r="V542" s="123">
        <f t="shared" si="354"/>
        <v>20</v>
      </c>
      <c r="W542" s="123">
        <f t="shared" si="354"/>
        <v>1106630</v>
      </c>
      <c r="X542" s="122">
        <f t="shared" si="354"/>
        <v>0</v>
      </c>
      <c r="Y542" s="123">
        <f t="shared" si="354"/>
        <v>0</v>
      </c>
      <c r="AA542" s="65"/>
      <c r="AC542" s="122">
        <f>SUM(AC517:AC541)</f>
        <v>0</v>
      </c>
      <c r="AD542" s="122">
        <f>SUM(AD517:AD541)</f>
        <v>0</v>
      </c>
      <c r="AE542" s="122">
        <f>SUM(AE517:AE541)</f>
        <v>0</v>
      </c>
      <c r="AF542" s="123">
        <f>SUM(AF517:AF541)</f>
        <v>0</v>
      </c>
      <c r="AG542" s="100"/>
      <c r="AI542" s="122">
        <f>SUM(AI517:AI541)</f>
        <v>0</v>
      </c>
      <c r="AJ542" s="122">
        <f>SUM(AJ517:AJ541)</f>
        <v>0</v>
      </c>
      <c r="AK542" s="123">
        <f>SUM(AK517:AK541)</f>
        <v>0</v>
      </c>
      <c r="AL542" s="100"/>
      <c r="AN542" s="65"/>
    </row>
    <row r="543" spans="2:40 16128:16147" ht="13" thickBot="1">
      <c r="AA543" s="65"/>
      <c r="AN543" s="65"/>
    </row>
    <row r="544" spans="2:40 16128:16147" ht="41.25" customHeight="1" thickBot="1">
      <c r="B544" s="112" t="s">
        <v>4</v>
      </c>
      <c r="C544" s="34" t="s">
        <v>6</v>
      </c>
      <c r="D544" s="34" t="s">
        <v>7</v>
      </c>
      <c r="E544" s="34" t="s">
        <v>49</v>
      </c>
      <c r="F544" s="34" t="s">
        <v>50</v>
      </c>
      <c r="G544" s="34" t="s">
        <v>51</v>
      </c>
      <c r="H544" s="34" t="s">
        <v>52</v>
      </c>
      <c r="I544" s="34" t="s">
        <v>13</v>
      </c>
      <c r="J544" s="12" t="s">
        <v>8</v>
      </c>
      <c r="K544" s="12" t="s">
        <v>36</v>
      </c>
      <c r="L544" s="12" t="s">
        <v>9</v>
      </c>
      <c r="M544" s="12" t="s">
        <v>37</v>
      </c>
      <c r="N544" s="87" t="s">
        <v>10</v>
      </c>
      <c r="O544" s="88" t="s">
        <v>38</v>
      </c>
      <c r="P544" s="87" t="s">
        <v>11</v>
      </c>
      <c r="Q544" s="88" t="s">
        <v>39</v>
      </c>
      <c r="R544" s="87" t="s">
        <v>12</v>
      </c>
      <c r="S544" s="88" t="s">
        <v>40</v>
      </c>
      <c r="T544" s="64" t="s">
        <v>41</v>
      </c>
      <c r="U544" s="64" t="s">
        <v>42</v>
      </c>
      <c r="V544" s="35" t="s">
        <v>32</v>
      </c>
      <c r="W544" s="67" t="s">
        <v>35</v>
      </c>
      <c r="X544" s="12" t="s">
        <v>34</v>
      </c>
      <c r="Y544" s="68" t="s">
        <v>33</v>
      </c>
      <c r="AA544" s="66"/>
      <c r="AC544" s="12" t="s">
        <v>34</v>
      </c>
      <c r="AD544" s="12" t="s">
        <v>45</v>
      </c>
      <c r="AE544" s="12" t="s">
        <v>43</v>
      </c>
      <c r="AF544" s="12" t="s">
        <v>44</v>
      </c>
      <c r="AG544" s="12" t="s">
        <v>46</v>
      </c>
      <c r="AI544" s="12" t="s">
        <v>33</v>
      </c>
      <c r="AJ544" s="12" t="s">
        <v>47</v>
      </c>
      <c r="AK544" s="12" t="s">
        <v>48</v>
      </c>
      <c r="AL544" s="12" t="s">
        <v>46</v>
      </c>
      <c r="AN544" s="66"/>
      <c r="WVH544" s="1"/>
      <c r="WVI544" s="1"/>
      <c r="WVZ544"/>
      <c r="WWA544"/>
    </row>
    <row r="545" spans="2:40" ht="13" customHeight="1">
      <c r="B545" s="119" t="s">
        <v>80</v>
      </c>
      <c r="C545" s="24">
        <f>IF(D545&lt;=15,$C$1,$C$2)</f>
        <v>2026092</v>
      </c>
      <c r="D545" s="24">
        <v>20</v>
      </c>
      <c r="E545" s="127">
        <v>20</v>
      </c>
      <c r="F545" s="125" t="str">
        <f>VLOOKUP(E545,'Códigos bancos'!$B$4:$C$29,2,0)</f>
        <v>Bancolombia ENERBIT</v>
      </c>
      <c r="G545" s="18">
        <v>1</v>
      </c>
      <c r="H545" s="125" t="str">
        <f>VLOOKUP(G545,'Códigos bancos'!$F$4:$G$14,2,0)</f>
        <v>Oficinas</v>
      </c>
      <c r="I545" s="129"/>
      <c r="J545" s="213">
        <v>0</v>
      </c>
      <c r="K545" s="213">
        <v>0</v>
      </c>
      <c r="L545" s="213">
        <v>0</v>
      </c>
      <c r="M545" s="213">
        <v>0</v>
      </c>
      <c r="N545" s="213">
        <v>0</v>
      </c>
      <c r="O545" s="213">
        <v>0</v>
      </c>
      <c r="P545" s="213">
        <v>0</v>
      </c>
      <c r="Q545" s="213">
        <v>0</v>
      </c>
      <c r="R545" s="174">
        <v>16</v>
      </c>
      <c r="S545" s="215">
        <v>803070</v>
      </c>
      <c r="T545" s="70">
        <f>J545+L545+N545+P545+R545</f>
        <v>16</v>
      </c>
      <c r="U545" s="70">
        <f>K545+M545+O545+Q545+S545</f>
        <v>803070</v>
      </c>
      <c r="V545" s="174">
        <v>16</v>
      </c>
      <c r="W545" s="215">
        <v>803070</v>
      </c>
      <c r="X545" s="70">
        <f>V545-T545</f>
        <v>0</v>
      </c>
      <c r="Y545" s="70">
        <f>W545-U545</f>
        <v>0</v>
      </c>
      <c r="AA545" s="65"/>
      <c r="AC545" s="124">
        <f>X545</f>
        <v>0</v>
      </c>
      <c r="AD545" s="115"/>
      <c r="AE545" s="16"/>
      <c r="AF545" s="114"/>
      <c r="AG545" s="124" t="b">
        <f>AC545=(AD545+AE545+AF545)</f>
        <v>1</v>
      </c>
      <c r="AI545" s="70">
        <f>Y545</f>
        <v>0</v>
      </c>
      <c r="AJ545" s="115"/>
      <c r="AK545" s="114"/>
      <c r="AL545" s="70" t="b">
        <f>AI545=(AJ545+AK545)</f>
        <v>1</v>
      </c>
      <c r="AN545" s="65"/>
    </row>
    <row r="546" spans="2:40" ht="13" customHeight="1">
      <c r="B546" s="119"/>
      <c r="C546" s="23">
        <f t="shared" ref="C546:C569" si="355">IF(D546&lt;=15,$C$1,$C$2)</f>
        <v>2026092</v>
      </c>
      <c r="D546" s="23">
        <v>20</v>
      </c>
      <c r="E546" s="128">
        <v>0</v>
      </c>
      <c r="F546" s="126" t="e">
        <f>VLOOKUP(E546,'Códigos bancos'!$B$4:$C$29,2,0)</f>
        <v>#N/A</v>
      </c>
      <c r="G546" s="36">
        <v>1</v>
      </c>
      <c r="H546" s="126" t="str">
        <f>VLOOKUP(G546,'Códigos bancos'!$F$4:$G$14,2,0)</f>
        <v>Oficinas</v>
      </c>
      <c r="I546" s="130"/>
      <c r="J546" s="174">
        <v>0</v>
      </c>
      <c r="K546" s="174">
        <v>0</v>
      </c>
      <c r="L546" s="174">
        <v>0</v>
      </c>
      <c r="M546" s="174">
        <v>0</v>
      </c>
      <c r="N546" s="174">
        <v>0</v>
      </c>
      <c r="O546" s="174">
        <v>0</v>
      </c>
      <c r="P546" s="174">
        <v>0</v>
      </c>
      <c r="Q546" s="174">
        <v>0</v>
      </c>
      <c r="R546" s="174">
        <v>0</v>
      </c>
      <c r="S546" s="215">
        <v>0</v>
      </c>
      <c r="T546" s="71">
        <f t="shared" ref="T546:T569" si="356">J546+L546+N546+P546+R546</f>
        <v>0</v>
      </c>
      <c r="U546" s="71">
        <f t="shared" ref="U546:U569" si="357">K546+M546+O546+Q546+S546</f>
        <v>0</v>
      </c>
      <c r="V546" s="117">
        <v>0</v>
      </c>
      <c r="W546" s="117">
        <v>0</v>
      </c>
      <c r="X546" s="71">
        <f t="shared" ref="X546:X569" si="358">V546-T546</f>
        <v>0</v>
      </c>
      <c r="Y546" s="71">
        <f t="shared" ref="Y546:Y569" si="359">W546-U546</f>
        <v>0</v>
      </c>
      <c r="AA546" s="65"/>
      <c r="AC546" s="71">
        <f t="shared" ref="AC546:AC569" si="360">X546</f>
        <v>0</v>
      </c>
      <c r="AD546" s="39"/>
      <c r="AE546" s="7"/>
      <c r="AF546" s="15"/>
      <c r="AG546" s="71" t="b">
        <f t="shared" ref="AG546:AG569" si="361">AC546=(AD546+AE546+AF546)</f>
        <v>1</v>
      </c>
      <c r="AI546" s="71">
        <f t="shared" ref="AI546:AI569" si="362">Y546</f>
        <v>0</v>
      </c>
      <c r="AJ546" s="39"/>
      <c r="AK546" s="15"/>
      <c r="AL546" s="71" t="b">
        <f t="shared" ref="AL546:AL569" si="363">AI546=(AJ546+AK546)</f>
        <v>1</v>
      </c>
      <c r="AN546" s="65"/>
    </row>
    <row r="547" spans="2:40" ht="13" customHeight="1">
      <c r="B547" s="119"/>
      <c r="C547" s="23">
        <f t="shared" si="355"/>
        <v>2026092</v>
      </c>
      <c r="D547" s="23">
        <v>20</v>
      </c>
      <c r="E547" s="128">
        <v>0</v>
      </c>
      <c r="F547" s="126" t="e">
        <f>VLOOKUP(E547,'Códigos bancos'!$B$4:$C$29,2,0)</f>
        <v>#N/A</v>
      </c>
      <c r="G547" s="36">
        <v>1</v>
      </c>
      <c r="H547" s="126" t="str">
        <f>VLOOKUP(G547,'Códigos bancos'!$F$4:$G$14,2,0)</f>
        <v>Oficinas</v>
      </c>
      <c r="I547" s="130"/>
      <c r="J547" s="174">
        <v>0</v>
      </c>
      <c r="K547" s="174">
        <v>0</v>
      </c>
      <c r="L547" s="174">
        <v>0</v>
      </c>
      <c r="M547" s="174">
        <v>0</v>
      </c>
      <c r="N547" s="174">
        <v>0</v>
      </c>
      <c r="O547" s="174">
        <v>0</v>
      </c>
      <c r="P547" s="174">
        <v>0</v>
      </c>
      <c r="Q547" s="174">
        <v>0</v>
      </c>
      <c r="R547" s="174">
        <v>0</v>
      </c>
      <c r="S547" s="215">
        <v>0</v>
      </c>
      <c r="T547" s="71">
        <f t="shared" si="356"/>
        <v>0</v>
      </c>
      <c r="U547" s="71">
        <f t="shared" si="357"/>
        <v>0</v>
      </c>
      <c r="V547" s="117">
        <v>0</v>
      </c>
      <c r="W547" s="117">
        <v>0</v>
      </c>
      <c r="X547" s="71">
        <f t="shared" si="358"/>
        <v>0</v>
      </c>
      <c r="Y547" s="71">
        <f t="shared" si="359"/>
        <v>0</v>
      </c>
      <c r="AA547" s="65"/>
      <c r="AC547" s="71">
        <f t="shared" si="360"/>
        <v>0</v>
      </c>
      <c r="AD547" s="45"/>
      <c r="AE547" s="14"/>
      <c r="AF547" s="46"/>
      <c r="AG547" s="71" t="b">
        <f t="shared" si="361"/>
        <v>1</v>
      </c>
      <c r="AI547" s="71">
        <f t="shared" si="362"/>
        <v>0</v>
      </c>
      <c r="AJ547" s="45"/>
      <c r="AK547" s="46"/>
      <c r="AL547" s="71" t="b">
        <f t="shared" si="363"/>
        <v>1</v>
      </c>
      <c r="AN547" s="65"/>
    </row>
    <row r="548" spans="2:40" ht="13" customHeight="1">
      <c r="B548" s="119"/>
      <c r="C548" s="23">
        <f t="shared" si="355"/>
        <v>2026092</v>
      </c>
      <c r="D548" s="23">
        <v>20</v>
      </c>
      <c r="E548" s="128">
        <v>0</v>
      </c>
      <c r="F548" s="126" t="e">
        <f>VLOOKUP(E548,'Códigos bancos'!$B$4:$C$29,2,0)</f>
        <v>#N/A</v>
      </c>
      <c r="G548" s="36">
        <v>1</v>
      </c>
      <c r="H548" s="126" t="str">
        <f>VLOOKUP(G548,'Códigos bancos'!$F$4:$G$14,2,0)</f>
        <v>Oficinas</v>
      </c>
      <c r="I548" s="130"/>
      <c r="J548" s="174">
        <v>0</v>
      </c>
      <c r="K548" s="174">
        <v>0</v>
      </c>
      <c r="L548" s="174">
        <v>0</v>
      </c>
      <c r="M548" s="174">
        <v>0</v>
      </c>
      <c r="N548" s="174">
        <v>0</v>
      </c>
      <c r="O548" s="174">
        <v>0</v>
      </c>
      <c r="P548" s="174">
        <v>0</v>
      </c>
      <c r="Q548" s="174">
        <v>0</v>
      </c>
      <c r="R548" s="174">
        <v>0</v>
      </c>
      <c r="S548" s="215">
        <v>0</v>
      </c>
      <c r="T548" s="71">
        <f t="shared" si="356"/>
        <v>0</v>
      </c>
      <c r="U548" s="71">
        <f t="shared" si="357"/>
        <v>0</v>
      </c>
      <c r="V548" s="117">
        <v>0</v>
      </c>
      <c r="W548" s="117">
        <v>0</v>
      </c>
      <c r="X548" s="71">
        <f t="shared" si="358"/>
        <v>0</v>
      </c>
      <c r="Y548" s="71">
        <f t="shared" si="359"/>
        <v>0</v>
      </c>
      <c r="AA548" s="65"/>
      <c r="AC548" s="71">
        <f t="shared" si="360"/>
        <v>0</v>
      </c>
      <c r="AD548" s="39"/>
      <c r="AE548" s="7"/>
      <c r="AF548" s="15"/>
      <c r="AG548" s="71" t="b">
        <f t="shared" si="361"/>
        <v>1</v>
      </c>
      <c r="AI548" s="71">
        <f t="shared" si="362"/>
        <v>0</v>
      </c>
      <c r="AJ548" s="39"/>
      <c r="AK548" s="15"/>
      <c r="AL548" s="71" t="b">
        <f t="shared" si="363"/>
        <v>1</v>
      </c>
      <c r="AN548" s="65"/>
    </row>
    <row r="549" spans="2:40" ht="13" customHeight="1">
      <c r="B549" s="119"/>
      <c r="C549" s="23">
        <f t="shared" si="355"/>
        <v>2026092</v>
      </c>
      <c r="D549" s="23">
        <v>20</v>
      </c>
      <c r="E549" s="128">
        <v>0</v>
      </c>
      <c r="F549" s="126" t="e">
        <f>VLOOKUP(E549,'Códigos bancos'!$B$4:$C$29,2,0)</f>
        <v>#N/A</v>
      </c>
      <c r="G549" s="36">
        <v>1</v>
      </c>
      <c r="H549" s="126" t="str">
        <f>VLOOKUP(G549,'Códigos bancos'!$F$4:$G$14,2,0)</f>
        <v>Oficinas</v>
      </c>
      <c r="I549" s="130"/>
      <c r="J549" s="174">
        <v>0</v>
      </c>
      <c r="K549" s="174">
        <v>0</v>
      </c>
      <c r="L549" s="174">
        <v>0</v>
      </c>
      <c r="M549" s="174">
        <v>0</v>
      </c>
      <c r="N549" s="174">
        <v>0</v>
      </c>
      <c r="O549" s="174">
        <v>0</v>
      </c>
      <c r="P549" s="174">
        <v>0</v>
      </c>
      <c r="Q549" s="174">
        <v>0</v>
      </c>
      <c r="R549" s="174">
        <v>0</v>
      </c>
      <c r="S549" s="215">
        <v>0</v>
      </c>
      <c r="T549" s="71">
        <f t="shared" si="356"/>
        <v>0</v>
      </c>
      <c r="U549" s="71">
        <f t="shared" si="357"/>
        <v>0</v>
      </c>
      <c r="V549" s="117">
        <v>0</v>
      </c>
      <c r="W549" s="117">
        <v>0</v>
      </c>
      <c r="X549" s="71">
        <f t="shared" si="358"/>
        <v>0</v>
      </c>
      <c r="Y549" s="71">
        <f t="shared" si="359"/>
        <v>0</v>
      </c>
      <c r="AA549" s="65"/>
      <c r="AC549" s="71">
        <f t="shared" si="360"/>
        <v>0</v>
      </c>
      <c r="AD549" s="39"/>
      <c r="AE549" s="7"/>
      <c r="AF549" s="15"/>
      <c r="AG549" s="71" t="b">
        <f t="shared" si="361"/>
        <v>1</v>
      </c>
      <c r="AI549" s="71">
        <f t="shared" si="362"/>
        <v>0</v>
      </c>
      <c r="AJ549" s="39"/>
      <c r="AK549" s="15"/>
      <c r="AL549" s="71" t="b">
        <f t="shared" si="363"/>
        <v>1</v>
      </c>
      <c r="AN549" s="65"/>
    </row>
    <row r="550" spans="2:40" ht="13" customHeight="1">
      <c r="B550" s="119"/>
      <c r="C550" s="23">
        <f t="shared" si="355"/>
        <v>2026092</v>
      </c>
      <c r="D550" s="23">
        <v>20</v>
      </c>
      <c r="E550" s="128">
        <v>0</v>
      </c>
      <c r="F550" s="126" t="e">
        <f>VLOOKUP(E550,'Códigos bancos'!$B$4:$C$29,2,0)</f>
        <v>#N/A</v>
      </c>
      <c r="G550" s="36">
        <v>1</v>
      </c>
      <c r="H550" s="126" t="str">
        <f>VLOOKUP(G550,'Códigos bancos'!$F$4:$G$14,2,0)</f>
        <v>Oficinas</v>
      </c>
      <c r="I550" s="130"/>
      <c r="J550" s="174">
        <v>0</v>
      </c>
      <c r="K550" s="174">
        <v>0</v>
      </c>
      <c r="L550" s="174">
        <v>0</v>
      </c>
      <c r="M550" s="174">
        <v>0</v>
      </c>
      <c r="N550" s="174">
        <v>0</v>
      </c>
      <c r="O550" s="174">
        <v>0</v>
      </c>
      <c r="P550" s="174">
        <v>0</v>
      </c>
      <c r="Q550" s="174">
        <v>0</v>
      </c>
      <c r="R550" s="174">
        <v>0</v>
      </c>
      <c r="S550" s="215">
        <v>0</v>
      </c>
      <c r="T550" s="71">
        <f t="shared" si="356"/>
        <v>0</v>
      </c>
      <c r="U550" s="71">
        <f t="shared" si="357"/>
        <v>0</v>
      </c>
      <c r="V550" s="117">
        <v>0</v>
      </c>
      <c r="W550" s="117">
        <v>0</v>
      </c>
      <c r="X550" s="71">
        <f t="shared" si="358"/>
        <v>0</v>
      </c>
      <c r="Y550" s="71">
        <f t="shared" si="359"/>
        <v>0</v>
      </c>
      <c r="AA550" s="65"/>
      <c r="AC550" s="71">
        <f t="shared" si="360"/>
        <v>0</v>
      </c>
      <c r="AD550" s="39"/>
      <c r="AE550" s="7"/>
      <c r="AF550" s="15"/>
      <c r="AG550" s="71" t="b">
        <f t="shared" si="361"/>
        <v>1</v>
      </c>
      <c r="AI550" s="71">
        <f t="shared" si="362"/>
        <v>0</v>
      </c>
      <c r="AJ550" s="39"/>
      <c r="AK550" s="15"/>
      <c r="AL550" s="71" t="b">
        <f t="shared" si="363"/>
        <v>1</v>
      </c>
      <c r="AN550" s="65"/>
    </row>
    <row r="551" spans="2:40" ht="13" customHeight="1">
      <c r="B551" s="119"/>
      <c r="C551" s="23">
        <f t="shared" si="355"/>
        <v>2026092</v>
      </c>
      <c r="D551" s="23">
        <v>20</v>
      </c>
      <c r="E551" s="128">
        <v>0</v>
      </c>
      <c r="F551" s="126" t="e">
        <f>VLOOKUP(E551,'Códigos bancos'!$B$4:$C$29,2,0)</f>
        <v>#N/A</v>
      </c>
      <c r="G551" s="36">
        <v>1</v>
      </c>
      <c r="H551" s="126" t="str">
        <f>VLOOKUP(G551,'Códigos bancos'!$F$4:$G$14,2,0)</f>
        <v>Oficinas</v>
      </c>
      <c r="I551" s="130"/>
      <c r="J551" s="174">
        <v>0</v>
      </c>
      <c r="K551" s="174">
        <v>0</v>
      </c>
      <c r="L551" s="174">
        <v>0</v>
      </c>
      <c r="M551" s="174">
        <v>0</v>
      </c>
      <c r="N551" s="174">
        <v>0</v>
      </c>
      <c r="O551" s="174">
        <v>0</v>
      </c>
      <c r="P551" s="174">
        <v>0</v>
      </c>
      <c r="Q551" s="174">
        <v>0</v>
      </c>
      <c r="R551" s="174">
        <v>0</v>
      </c>
      <c r="S551" s="215">
        <v>0</v>
      </c>
      <c r="T551" s="71">
        <f t="shared" si="356"/>
        <v>0</v>
      </c>
      <c r="U551" s="71">
        <f t="shared" si="357"/>
        <v>0</v>
      </c>
      <c r="V551" s="117">
        <v>0</v>
      </c>
      <c r="W551" s="117">
        <v>0</v>
      </c>
      <c r="X551" s="71">
        <f t="shared" si="358"/>
        <v>0</v>
      </c>
      <c r="Y551" s="71">
        <f t="shared" si="359"/>
        <v>0</v>
      </c>
      <c r="AA551" s="65"/>
      <c r="AC551" s="71">
        <f t="shared" si="360"/>
        <v>0</v>
      </c>
      <c r="AD551" s="39"/>
      <c r="AE551" s="7"/>
      <c r="AF551" s="15"/>
      <c r="AG551" s="71" t="b">
        <f t="shared" si="361"/>
        <v>1</v>
      </c>
      <c r="AI551" s="71">
        <f t="shared" si="362"/>
        <v>0</v>
      </c>
      <c r="AJ551" s="39"/>
      <c r="AK551" s="15"/>
      <c r="AL551" s="71" t="b">
        <f t="shared" si="363"/>
        <v>1</v>
      </c>
      <c r="AN551" s="65"/>
    </row>
    <row r="552" spans="2:40" ht="13" customHeight="1">
      <c r="B552" s="119"/>
      <c r="C552" s="23">
        <f t="shared" si="355"/>
        <v>2026092</v>
      </c>
      <c r="D552" s="23">
        <v>20</v>
      </c>
      <c r="E552" s="128">
        <v>0</v>
      </c>
      <c r="F552" s="126" t="e">
        <f>VLOOKUP(E552,'Códigos bancos'!$B$4:$C$29,2,0)</f>
        <v>#N/A</v>
      </c>
      <c r="G552" s="36">
        <v>1</v>
      </c>
      <c r="H552" s="126" t="str">
        <f>VLOOKUP(G552,'Códigos bancos'!$F$4:$G$14,2,0)</f>
        <v>Oficinas</v>
      </c>
      <c r="I552" s="130"/>
      <c r="J552" s="174">
        <v>0</v>
      </c>
      <c r="K552" s="174">
        <v>0</v>
      </c>
      <c r="L552" s="174">
        <v>0</v>
      </c>
      <c r="M552" s="174">
        <v>0</v>
      </c>
      <c r="N552" s="174">
        <v>0</v>
      </c>
      <c r="O552" s="174">
        <v>0</v>
      </c>
      <c r="P552" s="174">
        <v>0</v>
      </c>
      <c r="Q552" s="174">
        <v>0</v>
      </c>
      <c r="R552" s="174">
        <v>0</v>
      </c>
      <c r="S552" s="215">
        <v>0</v>
      </c>
      <c r="T552" s="71">
        <f t="shared" si="356"/>
        <v>0</v>
      </c>
      <c r="U552" s="71">
        <f t="shared" si="357"/>
        <v>0</v>
      </c>
      <c r="V552" s="117">
        <v>0</v>
      </c>
      <c r="W552" s="117">
        <v>0</v>
      </c>
      <c r="X552" s="71">
        <f t="shared" si="358"/>
        <v>0</v>
      </c>
      <c r="Y552" s="71">
        <f t="shared" si="359"/>
        <v>0</v>
      </c>
      <c r="AA552" s="65"/>
      <c r="AC552" s="71">
        <f t="shared" si="360"/>
        <v>0</v>
      </c>
      <c r="AD552" s="39"/>
      <c r="AE552" s="7"/>
      <c r="AF552" s="15"/>
      <c r="AG552" s="71" t="b">
        <f t="shared" si="361"/>
        <v>1</v>
      </c>
      <c r="AI552" s="71">
        <f t="shared" si="362"/>
        <v>0</v>
      </c>
      <c r="AJ552" s="39"/>
      <c r="AK552" s="15"/>
      <c r="AL552" s="71" t="b">
        <f t="shared" si="363"/>
        <v>1</v>
      </c>
      <c r="AN552" s="65"/>
    </row>
    <row r="553" spans="2:40" ht="13" customHeight="1">
      <c r="B553" s="119"/>
      <c r="C553" s="23">
        <f t="shared" si="355"/>
        <v>2026092</v>
      </c>
      <c r="D553" s="23">
        <v>20</v>
      </c>
      <c r="E553" s="128">
        <v>0</v>
      </c>
      <c r="F553" s="126" t="e">
        <f>VLOOKUP(E553,'Códigos bancos'!$B$4:$C$29,2,0)</f>
        <v>#N/A</v>
      </c>
      <c r="G553" s="36">
        <v>1</v>
      </c>
      <c r="H553" s="126" t="str">
        <f>VLOOKUP(G553,'Códigos bancos'!$F$4:$G$14,2,0)</f>
        <v>Oficinas</v>
      </c>
      <c r="I553" s="130"/>
      <c r="J553" s="174">
        <v>0</v>
      </c>
      <c r="K553" s="174">
        <v>0</v>
      </c>
      <c r="L553" s="174">
        <v>0</v>
      </c>
      <c r="M553" s="174">
        <v>0</v>
      </c>
      <c r="N553" s="174">
        <v>0</v>
      </c>
      <c r="O553" s="174">
        <v>0</v>
      </c>
      <c r="P553" s="174">
        <v>0</v>
      </c>
      <c r="Q553" s="174">
        <v>0</v>
      </c>
      <c r="R553" s="174">
        <v>0</v>
      </c>
      <c r="S553" s="215">
        <v>0</v>
      </c>
      <c r="T553" s="71">
        <f t="shared" si="356"/>
        <v>0</v>
      </c>
      <c r="U553" s="71">
        <f t="shared" si="357"/>
        <v>0</v>
      </c>
      <c r="V553" s="117">
        <v>0</v>
      </c>
      <c r="W553" s="117">
        <v>0</v>
      </c>
      <c r="X553" s="71">
        <f t="shared" si="358"/>
        <v>0</v>
      </c>
      <c r="Y553" s="71">
        <f t="shared" si="359"/>
        <v>0</v>
      </c>
      <c r="AA553" s="65"/>
      <c r="AC553" s="71">
        <f t="shared" si="360"/>
        <v>0</v>
      </c>
      <c r="AD553" s="39"/>
      <c r="AE553" s="7"/>
      <c r="AF553" s="15"/>
      <c r="AG553" s="71" t="b">
        <f t="shared" si="361"/>
        <v>1</v>
      </c>
      <c r="AI553" s="71">
        <f t="shared" si="362"/>
        <v>0</v>
      </c>
      <c r="AJ553" s="39"/>
      <c r="AK553" s="15"/>
      <c r="AL553" s="71" t="b">
        <f t="shared" si="363"/>
        <v>1</v>
      </c>
      <c r="AN553" s="65"/>
    </row>
    <row r="554" spans="2:40" ht="13" customHeight="1">
      <c r="B554" s="119"/>
      <c r="C554" s="23">
        <f t="shared" si="355"/>
        <v>2026092</v>
      </c>
      <c r="D554" s="23">
        <v>20</v>
      </c>
      <c r="E554" s="128">
        <v>0</v>
      </c>
      <c r="F554" s="126" t="e">
        <f>VLOOKUP(E554,'Códigos bancos'!$B$4:$C$29,2,0)</f>
        <v>#N/A</v>
      </c>
      <c r="G554" s="36">
        <v>1</v>
      </c>
      <c r="H554" s="126" t="str">
        <f>VLOOKUP(G554,'Códigos bancos'!$F$4:$G$14,2,0)</f>
        <v>Oficinas</v>
      </c>
      <c r="I554" s="130"/>
      <c r="J554" s="174">
        <v>0</v>
      </c>
      <c r="K554" s="174">
        <v>0</v>
      </c>
      <c r="L554" s="174">
        <v>0</v>
      </c>
      <c r="M554" s="174">
        <v>0</v>
      </c>
      <c r="N554" s="174">
        <v>0</v>
      </c>
      <c r="O554" s="174">
        <v>0</v>
      </c>
      <c r="P554" s="174">
        <v>0</v>
      </c>
      <c r="Q554" s="174">
        <v>0</v>
      </c>
      <c r="R554" s="174">
        <v>0</v>
      </c>
      <c r="S554" s="215">
        <v>0</v>
      </c>
      <c r="T554" s="71">
        <f t="shared" si="356"/>
        <v>0</v>
      </c>
      <c r="U554" s="71">
        <f t="shared" si="357"/>
        <v>0</v>
      </c>
      <c r="V554" s="117">
        <v>0</v>
      </c>
      <c r="W554" s="117">
        <v>0</v>
      </c>
      <c r="X554" s="71">
        <f t="shared" si="358"/>
        <v>0</v>
      </c>
      <c r="Y554" s="71">
        <f t="shared" si="359"/>
        <v>0</v>
      </c>
      <c r="AA554" s="65"/>
      <c r="AC554" s="71">
        <f t="shared" si="360"/>
        <v>0</v>
      </c>
      <c r="AD554" s="39"/>
      <c r="AE554" s="7"/>
      <c r="AF554" s="15"/>
      <c r="AG554" s="71" t="b">
        <f t="shared" si="361"/>
        <v>1</v>
      </c>
      <c r="AI554" s="71">
        <f t="shared" si="362"/>
        <v>0</v>
      </c>
      <c r="AJ554" s="39"/>
      <c r="AK554" s="15"/>
      <c r="AL554" s="71" t="b">
        <f t="shared" si="363"/>
        <v>1</v>
      </c>
      <c r="AN554" s="65"/>
    </row>
    <row r="555" spans="2:40" ht="13" customHeight="1">
      <c r="B555" s="119"/>
      <c r="C555" s="23">
        <f t="shared" si="355"/>
        <v>2026092</v>
      </c>
      <c r="D555" s="23">
        <v>20</v>
      </c>
      <c r="E555" s="128">
        <v>0</v>
      </c>
      <c r="F555" s="126" t="e">
        <f>VLOOKUP(E555,'Códigos bancos'!$B$4:$C$29,2,0)</f>
        <v>#N/A</v>
      </c>
      <c r="G555" s="36">
        <v>1</v>
      </c>
      <c r="H555" s="126" t="str">
        <f>VLOOKUP(G555,'Códigos bancos'!$F$4:$G$14,2,0)</f>
        <v>Oficinas</v>
      </c>
      <c r="I555" s="130"/>
      <c r="J555" s="174">
        <v>0</v>
      </c>
      <c r="K555" s="174">
        <v>0</v>
      </c>
      <c r="L555" s="174">
        <v>0</v>
      </c>
      <c r="M555" s="174">
        <v>0</v>
      </c>
      <c r="N555" s="174">
        <v>0</v>
      </c>
      <c r="O555" s="174">
        <v>0</v>
      </c>
      <c r="P555" s="174">
        <v>0</v>
      </c>
      <c r="Q555" s="174">
        <v>0</v>
      </c>
      <c r="R555" s="174">
        <v>0</v>
      </c>
      <c r="S555" s="215">
        <v>0</v>
      </c>
      <c r="T555" s="71">
        <f t="shared" si="356"/>
        <v>0</v>
      </c>
      <c r="U555" s="71">
        <f t="shared" si="357"/>
        <v>0</v>
      </c>
      <c r="V555" s="117">
        <v>0</v>
      </c>
      <c r="W555" s="117">
        <v>0</v>
      </c>
      <c r="X555" s="71">
        <f t="shared" si="358"/>
        <v>0</v>
      </c>
      <c r="Y555" s="71">
        <f t="shared" si="359"/>
        <v>0</v>
      </c>
      <c r="AA555" s="65"/>
      <c r="AC555" s="71">
        <f t="shared" si="360"/>
        <v>0</v>
      </c>
      <c r="AD555" s="39"/>
      <c r="AE555" s="7"/>
      <c r="AF555" s="15"/>
      <c r="AG555" s="71" t="b">
        <f t="shared" si="361"/>
        <v>1</v>
      </c>
      <c r="AI555" s="71">
        <f t="shared" si="362"/>
        <v>0</v>
      </c>
      <c r="AJ555" s="39"/>
      <c r="AK555" s="15"/>
      <c r="AL555" s="71" t="b">
        <f t="shared" si="363"/>
        <v>1</v>
      </c>
      <c r="AN555" s="65"/>
    </row>
    <row r="556" spans="2:40" ht="13" customHeight="1">
      <c r="B556" s="119"/>
      <c r="C556" s="23">
        <f t="shared" si="355"/>
        <v>2026092</v>
      </c>
      <c r="D556" s="23">
        <v>20</v>
      </c>
      <c r="E556" s="128">
        <v>0</v>
      </c>
      <c r="F556" s="126" t="e">
        <f>VLOOKUP(E556,'Códigos bancos'!$B$4:$C$29,2,0)</f>
        <v>#N/A</v>
      </c>
      <c r="G556" s="36">
        <v>1</v>
      </c>
      <c r="H556" s="126" t="str">
        <f>VLOOKUP(G556,'Códigos bancos'!$F$4:$G$14,2,0)</f>
        <v>Oficinas</v>
      </c>
      <c r="I556" s="130"/>
      <c r="J556" s="174">
        <v>0</v>
      </c>
      <c r="K556" s="174">
        <v>0</v>
      </c>
      <c r="L556" s="174">
        <v>0</v>
      </c>
      <c r="M556" s="174">
        <v>0</v>
      </c>
      <c r="N556" s="174">
        <v>0</v>
      </c>
      <c r="O556" s="174">
        <v>0</v>
      </c>
      <c r="P556" s="174">
        <v>0</v>
      </c>
      <c r="Q556" s="174">
        <v>0</v>
      </c>
      <c r="R556" s="174">
        <v>0</v>
      </c>
      <c r="S556" s="215">
        <v>0</v>
      </c>
      <c r="T556" s="71">
        <f t="shared" si="356"/>
        <v>0</v>
      </c>
      <c r="U556" s="71">
        <f t="shared" si="357"/>
        <v>0</v>
      </c>
      <c r="V556" s="117">
        <v>0</v>
      </c>
      <c r="W556" s="117">
        <v>0</v>
      </c>
      <c r="X556" s="71">
        <f t="shared" si="358"/>
        <v>0</v>
      </c>
      <c r="Y556" s="71">
        <f t="shared" si="359"/>
        <v>0</v>
      </c>
      <c r="AA556" s="65"/>
      <c r="AC556" s="71">
        <f t="shared" si="360"/>
        <v>0</v>
      </c>
      <c r="AD556" s="39"/>
      <c r="AE556" s="7"/>
      <c r="AF556" s="15"/>
      <c r="AG556" s="71" t="b">
        <f t="shared" si="361"/>
        <v>1</v>
      </c>
      <c r="AI556" s="71">
        <f t="shared" si="362"/>
        <v>0</v>
      </c>
      <c r="AJ556" s="39"/>
      <c r="AK556" s="15"/>
      <c r="AL556" s="71" t="b">
        <f t="shared" si="363"/>
        <v>1</v>
      </c>
      <c r="AN556" s="65"/>
    </row>
    <row r="557" spans="2:40" ht="13" customHeight="1">
      <c r="B557" s="119"/>
      <c r="C557" s="23">
        <f t="shared" si="355"/>
        <v>2026092</v>
      </c>
      <c r="D557" s="23">
        <v>20</v>
      </c>
      <c r="E557" s="128">
        <v>0</v>
      </c>
      <c r="F557" s="126" t="e">
        <f>VLOOKUP(E557,'Códigos bancos'!$B$4:$C$29,2,0)</f>
        <v>#N/A</v>
      </c>
      <c r="G557" s="36">
        <v>1</v>
      </c>
      <c r="H557" s="126" t="str">
        <f>VLOOKUP(G557,'Códigos bancos'!$F$4:$G$14,2,0)</f>
        <v>Oficinas</v>
      </c>
      <c r="I557" s="130"/>
      <c r="J557" s="174">
        <v>0</v>
      </c>
      <c r="K557" s="174">
        <v>0</v>
      </c>
      <c r="L557" s="174">
        <v>0</v>
      </c>
      <c r="M557" s="174">
        <v>0</v>
      </c>
      <c r="N557" s="174">
        <v>0</v>
      </c>
      <c r="O557" s="174">
        <v>0</v>
      </c>
      <c r="P557" s="174">
        <v>0</v>
      </c>
      <c r="Q557" s="174">
        <v>0</v>
      </c>
      <c r="R557" s="174">
        <v>0</v>
      </c>
      <c r="S557" s="215">
        <v>0</v>
      </c>
      <c r="T557" s="71">
        <f t="shared" si="356"/>
        <v>0</v>
      </c>
      <c r="U557" s="71">
        <f t="shared" si="357"/>
        <v>0</v>
      </c>
      <c r="V557" s="117">
        <v>0</v>
      </c>
      <c r="W557" s="117">
        <v>0</v>
      </c>
      <c r="X557" s="71">
        <f t="shared" si="358"/>
        <v>0</v>
      </c>
      <c r="Y557" s="71">
        <f t="shared" si="359"/>
        <v>0</v>
      </c>
      <c r="AA557" s="65"/>
      <c r="AC557" s="71">
        <f t="shared" si="360"/>
        <v>0</v>
      </c>
      <c r="AD557" s="39"/>
      <c r="AE557" s="7"/>
      <c r="AF557" s="15"/>
      <c r="AG557" s="71" t="b">
        <f t="shared" si="361"/>
        <v>1</v>
      </c>
      <c r="AI557" s="71">
        <f t="shared" si="362"/>
        <v>0</v>
      </c>
      <c r="AJ557" s="39"/>
      <c r="AK557" s="15"/>
      <c r="AL557" s="71" t="b">
        <f t="shared" si="363"/>
        <v>1</v>
      </c>
      <c r="AN557" s="65"/>
    </row>
    <row r="558" spans="2:40" ht="13" customHeight="1">
      <c r="B558" s="119"/>
      <c r="C558" s="159">
        <f t="shared" si="355"/>
        <v>2026092</v>
      </c>
      <c r="D558" s="23">
        <v>20</v>
      </c>
      <c r="E558" s="128">
        <v>0</v>
      </c>
      <c r="F558" s="126" t="e">
        <f>VLOOKUP(E558,'Códigos bancos'!$B$4:$C$29,2,0)</f>
        <v>#N/A</v>
      </c>
      <c r="G558" s="36">
        <v>1</v>
      </c>
      <c r="H558" s="126" t="str">
        <f>VLOOKUP(G558,'Códigos bancos'!$F$4:$G$14,2,0)</f>
        <v>Oficinas</v>
      </c>
      <c r="I558" s="130"/>
      <c r="J558" s="174">
        <v>0</v>
      </c>
      <c r="K558" s="174">
        <v>0</v>
      </c>
      <c r="L558" s="174">
        <v>0</v>
      </c>
      <c r="M558" s="174">
        <v>0</v>
      </c>
      <c r="N558" s="174">
        <v>0</v>
      </c>
      <c r="O558" s="174">
        <v>0</v>
      </c>
      <c r="P558" s="174">
        <v>0</v>
      </c>
      <c r="Q558" s="174">
        <v>0</v>
      </c>
      <c r="R558" s="174">
        <v>0</v>
      </c>
      <c r="S558" s="215">
        <v>0</v>
      </c>
      <c r="T558" s="71">
        <f t="shared" si="356"/>
        <v>0</v>
      </c>
      <c r="U558" s="71">
        <f t="shared" si="357"/>
        <v>0</v>
      </c>
      <c r="V558" s="117">
        <v>0</v>
      </c>
      <c r="W558" s="117">
        <v>0</v>
      </c>
      <c r="X558" s="71">
        <f t="shared" si="358"/>
        <v>0</v>
      </c>
      <c r="Y558" s="71">
        <f t="shared" si="359"/>
        <v>0</v>
      </c>
      <c r="AA558" s="65"/>
      <c r="AC558" s="71">
        <f t="shared" si="360"/>
        <v>0</v>
      </c>
      <c r="AD558" s="39"/>
      <c r="AE558" s="7"/>
      <c r="AF558" s="15"/>
      <c r="AG558" s="71" t="b">
        <f t="shared" si="361"/>
        <v>1</v>
      </c>
      <c r="AI558" s="71">
        <f t="shared" si="362"/>
        <v>0</v>
      </c>
      <c r="AJ558" s="39"/>
      <c r="AK558" s="15"/>
      <c r="AL558" s="71" t="b">
        <f t="shared" si="363"/>
        <v>1</v>
      </c>
      <c r="AN558" s="65"/>
    </row>
    <row r="559" spans="2:40" ht="13" customHeight="1">
      <c r="B559" s="119"/>
      <c r="C559" s="23">
        <f t="shared" si="355"/>
        <v>2026092</v>
      </c>
      <c r="D559" s="23">
        <v>20</v>
      </c>
      <c r="E559" s="128">
        <v>0</v>
      </c>
      <c r="F559" s="126" t="e">
        <f>VLOOKUP(E559,'Códigos bancos'!$B$4:$C$29,2,0)</f>
        <v>#N/A</v>
      </c>
      <c r="G559" s="36">
        <v>1</v>
      </c>
      <c r="H559" s="126" t="str">
        <f>VLOOKUP(G559,'Códigos bancos'!$F$4:$G$14,2,0)</f>
        <v>Oficinas</v>
      </c>
      <c r="I559" s="130"/>
      <c r="J559" s="174">
        <v>0</v>
      </c>
      <c r="K559" s="174">
        <v>0</v>
      </c>
      <c r="L559" s="174">
        <v>0</v>
      </c>
      <c r="M559" s="174">
        <v>0</v>
      </c>
      <c r="N559" s="174">
        <v>0</v>
      </c>
      <c r="O559" s="174">
        <v>0</v>
      </c>
      <c r="P559" s="174">
        <v>0</v>
      </c>
      <c r="Q559" s="174">
        <v>0</v>
      </c>
      <c r="R559" s="174">
        <v>0</v>
      </c>
      <c r="S559" s="215">
        <v>0</v>
      </c>
      <c r="T559" s="71">
        <f t="shared" si="356"/>
        <v>0</v>
      </c>
      <c r="U559" s="71">
        <f t="shared" si="357"/>
        <v>0</v>
      </c>
      <c r="V559" s="117">
        <v>0</v>
      </c>
      <c r="W559" s="117">
        <v>0</v>
      </c>
      <c r="X559" s="71">
        <f t="shared" si="358"/>
        <v>0</v>
      </c>
      <c r="Y559" s="71">
        <f t="shared" si="359"/>
        <v>0</v>
      </c>
      <c r="AA559" s="65"/>
      <c r="AC559" s="71">
        <f t="shared" si="360"/>
        <v>0</v>
      </c>
      <c r="AD559" s="39"/>
      <c r="AE559" s="7"/>
      <c r="AF559" s="15"/>
      <c r="AG559" s="71" t="b">
        <f t="shared" si="361"/>
        <v>1</v>
      </c>
      <c r="AI559" s="71">
        <f t="shared" si="362"/>
        <v>0</v>
      </c>
      <c r="AJ559" s="39"/>
      <c r="AK559" s="15"/>
      <c r="AL559" s="71" t="b">
        <f t="shared" si="363"/>
        <v>1</v>
      </c>
      <c r="AN559" s="65"/>
    </row>
    <row r="560" spans="2:40" ht="13" customHeight="1">
      <c r="B560" s="119"/>
      <c r="C560" s="23">
        <f t="shared" si="355"/>
        <v>2026092</v>
      </c>
      <c r="D560" s="23">
        <v>20</v>
      </c>
      <c r="E560" s="128">
        <v>0</v>
      </c>
      <c r="F560" s="126" t="e">
        <f>VLOOKUP(E560,'Códigos bancos'!$B$4:$C$29,2,0)</f>
        <v>#N/A</v>
      </c>
      <c r="G560" s="36">
        <v>1</v>
      </c>
      <c r="H560" s="126" t="str">
        <f>VLOOKUP(G560,'Códigos bancos'!$F$4:$G$14,2,0)</f>
        <v>Oficinas</v>
      </c>
      <c r="I560" s="130"/>
      <c r="J560" s="174">
        <v>0</v>
      </c>
      <c r="K560" s="174">
        <v>0</v>
      </c>
      <c r="L560" s="174">
        <v>0</v>
      </c>
      <c r="M560" s="174">
        <v>0</v>
      </c>
      <c r="N560" s="174">
        <v>0</v>
      </c>
      <c r="O560" s="174">
        <v>0</v>
      </c>
      <c r="P560" s="174">
        <v>0</v>
      </c>
      <c r="Q560" s="174">
        <v>0</v>
      </c>
      <c r="R560" s="174">
        <v>0</v>
      </c>
      <c r="S560" s="215">
        <v>0</v>
      </c>
      <c r="T560" s="71">
        <f t="shared" si="356"/>
        <v>0</v>
      </c>
      <c r="U560" s="71">
        <f t="shared" si="357"/>
        <v>0</v>
      </c>
      <c r="V560" s="117">
        <v>0</v>
      </c>
      <c r="W560" s="117">
        <v>0</v>
      </c>
      <c r="X560" s="71">
        <f t="shared" si="358"/>
        <v>0</v>
      </c>
      <c r="Y560" s="71">
        <f t="shared" si="359"/>
        <v>0</v>
      </c>
      <c r="AA560" s="65"/>
      <c r="AC560" s="71">
        <f t="shared" si="360"/>
        <v>0</v>
      </c>
      <c r="AD560" s="39"/>
      <c r="AE560" s="7"/>
      <c r="AF560" s="15"/>
      <c r="AG560" s="71" t="b">
        <f t="shared" si="361"/>
        <v>1</v>
      </c>
      <c r="AI560" s="71">
        <f t="shared" si="362"/>
        <v>0</v>
      </c>
      <c r="AJ560" s="39"/>
      <c r="AK560" s="15"/>
      <c r="AL560" s="71" t="b">
        <f t="shared" si="363"/>
        <v>1</v>
      </c>
      <c r="AN560" s="65"/>
    </row>
    <row r="561" spans="2:40 16128:16147" ht="13" customHeight="1">
      <c r="B561" s="119"/>
      <c r="C561" s="23">
        <f t="shared" si="355"/>
        <v>2026092</v>
      </c>
      <c r="D561" s="23">
        <v>20</v>
      </c>
      <c r="E561" s="128">
        <v>0</v>
      </c>
      <c r="F561" s="126" t="e">
        <f>VLOOKUP(E561,'Códigos bancos'!$B$4:$C$29,2,0)</f>
        <v>#N/A</v>
      </c>
      <c r="G561" s="36">
        <v>1</v>
      </c>
      <c r="H561" s="126" t="str">
        <f>VLOOKUP(G561,'Códigos bancos'!$F$4:$G$14,2,0)</f>
        <v>Oficinas</v>
      </c>
      <c r="I561" s="130"/>
      <c r="J561" s="174">
        <v>0</v>
      </c>
      <c r="K561" s="174">
        <v>0</v>
      </c>
      <c r="L561" s="174">
        <v>0</v>
      </c>
      <c r="M561" s="174">
        <v>0</v>
      </c>
      <c r="N561" s="174">
        <v>0</v>
      </c>
      <c r="O561" s="174">
        <v>0</v>
      </c>
      <c r="P561" s="174">
        <v>0</v>
      </c>
      <c r="Q561" s="174">
        <v>0</v>
      </c>
      <c r="R561" s="174">
        <v>0</v>
      </c>
      <c r="S561" s="215">
        <v>0</v>
      </c>
      <c r="T561" s="71">
        <f t="shared" si="356"/>
        <v>0</v>
      </c>
      <c r="U561" s="71">
        <f t="shared" si="357"/>
        <v>0</v>
      </c>
      <c r="V561" s="117">
        <v>0</v>
      </c>
      <c r="W561" s="117">
        <v>0</v>
      </c>
      <c r="X561" s="71">
        <f t="shared" si="358"/>
        <v>0</v>
      </c>
      <c r="Y561" s="71">
        <f t="shared" si="359"/>
        <v>0</v>
      </c>
      <c r="AA561" s="65"/>
      <c r="AC561" s="71">
        <f t="shared" si="360"/>
        <v>0</v>
      </c>
      <c r="AD561" s="39"/>
      <c r="AE561" s="7"/>
      <c r="AF561" s="15"/>
      <c r="AG561" s="71" t="b">
        <f t="shared" si="361"/>
        <v>1</v>
      </c>
      <c r="AI561" s="71">
        <f t="shared" si="362"/>
        <v>0</v>
      </c>
      <c r="AJ561" s="39"/>
      <c r="AK561" s="15"/>
      <c r="AL561" s="71" t="b">
        <f t="shared" si="363"/>
        <v>1</v>
      </c>
      <c r="AN561" s="65"/>
    </row>
    <row r="562" spans="2:40 16128:16147" ht="13" customHeight="1">
      <c r="B562" s="119"/>
      <c r="C562" s="23">
        <f t="shared" si="355"/>
        <v>2026092</v>
      </c>
      <c r="D562" s="23">
        <v>20</v>
      </c>
      <c r="E562" s="128">
        <v>0</v>
      </c>
      <c r="F562" s="126" t="e">
        <f>VLOOKUP(E562,'Códigos bancos'!$B$4:$C$29,2,0)</f>
        <v>#N/A</v>
      </c>
      <c r="G562" s="36">
        <v>1</v>
      </c>
      <c r="H562" s="126" t="str">
        <f>VLOOKUP(G562,'Códigos bancos'!$F$4:$G$14,2,0)</f>
        <v>Oficinas</v>
      </c>
      <c r="I562" s="130"/>
      <c r="J562" s="174">
        <v>0</v>
      </c>
      <c r="K562" s="174">
        <v>0</v>
      </c>
      <c r="L562" s="174">
        <v>0</v>
      </c>
      <c r="M562" s="174">
        <v>0</v>
      </c>
      <c r="N562" s="174">
        <v>0</v>
      </c>
      <c r="O562" s="174">
        <v>0</v>
      </c>
      <c r="P562" s="174">
        <v>0</v>
      </c>
      <c r="Q562" s="174">
        <v>0</v>
      </c>
      <c r="R562" s="174">
        <v>0</v>
      </c>
      <c r="S562" s="215">
        <v>0</v>
      </c>
      <c r="T562" s="71">
        <f t="shared" si="356"/>
        <v>0</v>
      </c>
      <c r="U562" s="71">
        <f t="shared" si="357"/>
        <v>0</v>
      </c>
      <c r="V562" s="117">
        <v>0</v>
      </c>
      <c r="W562" s="117">
        <v>0</v>
      </c>
      <c r="X562" s="71">
        <f t="shared" si="358"/>
        <v>0</v>
      </c>
      <c r="Y562" s="71">
        <f t="shared" si="359"/>
        <v>0</v>
      </c>
      <c r="AA562" s="65"/>
      <c r="AC562" s="71">
        <f t="shared" si="360"/>
        <v>0</v>
      </c>
      <c r="AD562" s="39"/>
      <c r="AE562" s="7"/>
      <c r="AF562" s="15"/>
      <c r="AG562" s="71" t="b">
        <f t="shared" si="361"/>
        <v>1</v>
      </c>
      <c r="AI562" s="71">
        <f t="shared" si="362"/>
        <v>0</v>
      </c>
      <c r="AJ562" s="39"/>
      <c r="AK562" s="15"/>
      <c r="AL562" s="71" t="b">
        <f t="shared" si="363"/>
        <v>1</v>
      </c>
      <c r="AN562" s="65"/>
    </row>
    <row r="563" spans="2:40 16128:16147" ht="13" customHeight="1">
      <c r="B563" s="119"/>
      <c r="C563" s="23">
        <f t="shared" si="355"/>
        <v>2026092</v>
      </c>
      <c r="D563" s="23">
        <v>20</v>
      </c>
      <c r="E563" s="128">
        <v>0</v>
      </c>
      <c r="F563" s="126" t="e">
        <f>VLOOKUP(E563,'Códigos bancos'!$B$4:$C$29,2,0)</f>
        <v>#N/A</v>
      </c>
      <c r="G563" s="36">
        <v>1</v>
      </c>
      <c r="H563" s="126" t="str">
        <f>VLOOKUP(G563,'Códigos bancos'!$F$4:$G$14,2,0)</f>
        <v>Oficinas</v>
      </c>
      <c r="I563" s="130"/>
      <c r="J563" s="174">
        <v>0</v>
      </c>
      <c r="K563" s="174">
        <v>0</v>
      </c>
      <c r="L563" s="174">
        <v>0</v>
      </c>
      <c r="M563" s="174">
        <v>0</v>
      </c>
      <c r="N563" s="174">
        <v>0</v>
      </c>
      <c r="O563" s="174">
        <v>0</v>
      </c>
      <c r="P563" s="174">
        <v>0</v>
      </c>
      <c r="Q563" s="174">
        <v>0</v>
      </c>
      <c r="R563" s="174">
        <v>0</v>
      </c>
      <c r="S563" s="215">
        <v>0</v>
      </c>
      <c r="T563" s="71">
        <f t="shared" si="356"/>
        <v>0</v>
      </c>
      <c r="U563" s="71">
        <f t="shared" si="357"/>
        <v>0</v>
      </c>
      <c r="V563" s="117">
        <v>0</v>
      </c>
      <c r="W563" s="117">
        <v>0</v>
      </c>
      <c r="X563" s="71">
        <f t="shared" si="358"/>
        <v>0</v>
      </c>
      <c r="Y563" s="71">
        <f t="shared" si="359"/>
        <v>0</v>
      </c>
      <c r="AA563" s="65"/>
      <c r="AC563" s="71">
        <f t="shared" si="360"/>
        <v>0</v>
      </c>
      <c r="AD563" s="39"/>
      <c r="AE563" s="7"/>
      <c r="AF563" s="15"/>
      <c r="AG563" s="71" t="b">
        <f t="shared" si="361"/>
        <v>1</v>
      </c>
      <c r="AI563" s="71">
        <f t="shared" si="362"/>
        <v>0</v>
      </c>
      <c r="AJ563" s="39"/>
      <c r="AK563" s="15"/>
      <c r="AL563" s="71" t="b">
        <f t="shared" si="363"/>
        <v>1</v>
      </c>
      <c r="AN563" s="65"/>
    </row>
    <row r="564" spans="2:40 16128:16147" ht="13" customHeight="1">
      <c r="B564" s="119"/>
      <c r="C564" s="23">
        <f>IF(D564&lt;=15,$C$1,$C$2)</f>
        <v>2026092</v>
      </c>
      <c r="D564" s="23">
        <v>20</v>
      </c>
      <c r="E564" s="128">
        <v>0</v>
      </c>
      <c r="F564" s="126" t="e">
        <f>VLOOKUP(E564,'Códigos bancos'!$B$4:$C$29,2,0)</f>
        <v>#N/A</v>
      </c>
      <c r="G564" s="36">
        <v>1</v>
      </c>
      <c r="H564" s="126" t="str">
        <f>VLOOKUP(G564,'Códigos bancos'!$F$4:$G$14,2,0)</f>
        <v>Oficinas</v>
      </c>
      <c r="I564" s="130"/>
      <c r="J564" s="174">
        <v>0</v>
      </c>
      <c r="K564" s="174">
        <v>0</v>
      </c>
      <c r="L564" s="174">
        <v>0</v>
      </c>
      <c r="M564" s="174">
        <v>0</v>
      </c>
      <c r="N564" s="174">
        <v>0</v>
      </c>
      <c r="O564" s="174">
        <v>0</v>
      </c>
      <c r="P564" s="174">
        <v>0</v>
      </c>
      <c r="Q564" s="174">
        <v>0</v>
      </c>
      <c r="R564" s="174">
        <v>0</v>
      </c>
      <c r="S564" s="215">
        <v>0</v>
      </c>
      <c r="T564" s="71">
        <f t="shared" si="356"/>
        <v>0</v>
      </c>
      <c r="U564" s="71">
        <f t="shared" si="357"/>
        <v>0</v>
      </c>
      <c r="V564" s="117">
        <v>0</v>
      </c>
      <c r="W564" s="117">
        <v>0</v>
      </c>
      <c r="X564" s="71">
        <f t="shared" si="358"/>
        <v>0</v>
      </c>
      <c r="Y564" s="71">
        <f t="shared" si="359"/>
        <v>0</v>
      </c>
      <c r="AA564" s="65"/>
      <c r="AC564" s="71">
        <f t="shared" si="360"/>
        <v>0</v>
      </c>
      <c r="AD564" s="39"/>
      <c r="AE564" s="7"/>
      <c r="AF564" s="15"/>
      <c r="AG564" s="71" t="b">
        <f t="shared" si="361"/>
        <v>1</v>
      </c>
      <c r="AI564" s="71">
        <f t="shared" si="362"/>
        <v>0</v>
      </c>
      <c r="AJ564" s="39"/>
      <c r="AK564" s="15"/>
      <c r="AL564" s="71" t="b">
        <f t="shared" si="363"/>
        <v>1</v>
      </c>
      <c r="AN564" s="65"/>
    </row>
    <row r="565" spans="2:40 16128:16147" ht="13" customHeight="1">
      <c r="B565" s="119"/>
      <c r="C565" s="23">
        <f t="shared" si="355"/>
        <v>2026092</v>
      </c>
      <c r="D565" s="23">
        <v>20</v>
      </c>
      <c r="E565" s="128">
        <v>0</v>
      </c>
      <c r="F565" s="126" t="e">
        <f>VLOOKUP(E565,'Códigos bancos'!$B$4:$C$29,2,0)</f>
        <v>#N/A</v>
      </c>
      <c r="G565" s="36">
        <v>1</v>
      </c>
      <c r="H565" s="126" t="str">
        <f>VLOOKUP(G565,'Códigos bancos'!$F$4:$G$14,2,0)</f>
        <v>Oficinas</v>
      </c>
      <c r="I565" s="130"/>
      <c r="J565" s="174">
        <v>0</v>
      </c>
      <c r="K565" s="174">
        <v>0</v>
      </c>
      <c r="L565" s="174">
        <v>0</v>
      </c>
      <c r="M565" s="174">
        <v>0</v>
      </c>
      <c r="N565" s="174">
        <v>0</v>
      </c>
      <c r="O565" s="174">
        <v>0</v>
      </c>
      <c r="P565" s="174">
        <v>0</v>
      </c>
      <c r="Q565" s="174">
        <v>0</v>
      </c>
      <c r="R565" s="174">
        <v>0</v>
      </c>
      <c r="S565" s="215">
        <v>0</v>
      </c>
      <c r="T565" s="71">
        <f t="shared" si="356"/>
        <v>0</v>
      </c>
      <c r="U565" s="71">
        <f t="shared" si="357"/>
        <v>0</v>
      </c>
      <c r="V565" s="117">
        <v>0</v>
      </c>
      <c r="W565" s="117">
        <v>0</v>
      </c>
      <c r="X565" s="71">
        <f t="shared" si="358"/>
        <v>0</v>
      </c>
      <c r="Y565" s="71">
        <f t="shared" si="359"/>
        <v>0</v>
      </c>
      <c r="AA565" s="65"/>
      <c r="AC565" s="71">
        <f t="shared" si="360"/>
        <v>0</v>
      </c>
      <c r="AD565" s="39"/>
      <c r="AE565" s="7"/>
      <c r="AF565" s="15"/>
      <c r="AG565" s="71" t="b">
        <f t="shared" si="361"/>
        <v>1</v>
      </c>
      <c r="AI565" s="71">
        <f t="shared" si="362"/>
        <v>0</v>
      </c>
      <c r="AJ565" s="39"/>
      <c r="AK565" s="15"/>
      <c r="AL565" s="71" t="b">
        <f t="shared" si="363"/>
        <v>1</v>
      </c>
      <c r="AN565" s="65"/>
    </row>
    <row r="566" spans="2:40 16128:16147" ht="13" customHeight="1">
      <c r="B566" s="119"/>
      <c r="C566" s="23">
        <f t="shared" si="355"/>
        <v>2026092</v>
      </c>
      <c r="D566" s="23">
        <v>20</v>
      </c>
      <c r="E566" s="128">
        <v>0</v>
      </c>
      <c r="F566" s="126" t="e">
        <f>VLOOKUP(E566,'Códigos bancos'!$B$4:$C$29,2,0)</f>
        <v>#N/A</v>
      </c>
      <c r="G566" s="36">
        <v>1</v>
      </c>
      <c r="H566" s="126" t="str">
        <f>VLOOKUP(G566,'Códigos bancos'!$F$4:$G$14,2,0)</f>
        <v>Oficinas</v>
      </c>
      <c r="I566" s="130"/>
      <c r="J566" s="174">
        <v>0</v>
      </c>
      <c r="K566" s="174">
        <v>0</v>
      </c>
      <c r="L566" s="174">
        <v>0</v>
      </c>
      <c r="M566" s="174">
        <v>0</v>
      </c>
      <c r="N566" s="174">
        <v>0</v>
      </c>
      <c r="O566" s="174">
        <v>0</v>
      </c>
      <c r="P566" s="174">
        <v>0</v>
      </c>
      <c r="Q566" s="174">
        <v>0</v>
      </c>
      <c r="R566" s="174">
        <v>0</v>
      </c>
      <c r="S566" s="215">
        <v>0</v>
      </c>
      <c r="T566" s="71">
        <f t="shared" si="356"/>
        <v>0</v>
      </c>
      <c r="U566" s="71">
        <f t="shared" si="357"/>
        <v>0</v>
      </c>
      <c r="V566" s="117">
        <v>0</v>
      </c>
      <c r="W566" s="117">
        <v>0</v>
      </c>
      <c r="X566" s="71">
        <f t="shared" si="358"/>
        <v>0</v>
      </c>
      <c r="Y566" s="71">
        <f t="shared" si="359"/>
        <v>0</v>
      </c>
      <c r="AA566" s="65"/>
      <c r="AC566" s="71">
        <f t="shared" si="360"/>
        <v>0</v>
      </c>
      <c r="AD566" s="39"/>
      <c r="AE566" s="7"/>
      <c r="AF566" s="15"/>
      <c r="AG566" s="71" t="b">
        <f t="shared" si="361"/>
        <v>1</v>
      </c>
      <c r="AI566" s="71">
        <f t="shared" si="362"/>
        <v>0</v>
      </c>
      <c r="AJ566" s="39"/>
      <c r="AK566" s="15"/>
      <c r="AL566" s="71" t="b">
        <f t="shared" si="363"/>
        <v>1</v>
      </c>
      <c r="AN566" s="65"/>
    </row>
    <row r="567" spans="2:40 16128:16147" ht="13" customHeight="1">
      <c r="B567" s="119"/>
      <c r="C567" s="23">
        <f t="shared" si="355"/>
        <v>2026092</v>
      </c>
      <c r="D567" s="23">
        <v>20</v>
      </c>
      <c r="E567" s="128">
        <v>0</v>
      </c>
      <c r="F567" s="126" t="e">
        <f>VLOOKUP(E567,'Códigos bancos'!$B$4:$C$29,2,0)</f>
        <v>#N/A</v>
      </c>
      <c r="G567" s="36">
        <v>1</v>
      </c>
      <c r="H567" s="126" t="str">
        <f>VLOOKUP(G567,'Códigos bancos'!$F$4:$G$14,2,0)</f>
        <v>Oficinas</v>
      </c>
      <c r="I567" s="130"/>
      <c r="J567" s="174">
        <v>0</v>
      </c>
      <c r="K567" s="174">
        <v>0</v>
      </c>
      <c r="L567" s="174">
        <v>0</v>
      </c>
      <c r="M567" s="174">
        <v>0</v>
      </c>
      <c r="N567" s="174">
        <v>0</v>
      </c>
      <c r="O567" s="174">
        <v>0</v>
      </c>
      <c r="P567" s="174">
        <v>0</v>
      </c>
      <c r="Q567" s="174">
        <v>0</v>
      </c>
      <c r="R567" s="174">
        <v>0</v>
      </c>
      <c r="S567" s="215">
        <v>0</v>
      </c>
      <c r="T567" s="71">
        <f t="shared" si="356"/>
        <v>0</v>
      </c>
      <c r="U567" s="71">
        <f t="shared" si="357"/>
        <v>0</v>
      </c>
      <c r="V567" s="117">
        <v>0</v>
      </c>
      <c r="W567" s="117">
        <v>0</v>
      </c>
      <c r="X567" s="71">
        <f t="shared" si="358"/>
        <v>0</v>
      </c>
      <c r="Y567" s="71">
        <f t="shared" si="359"/>
        <v>0</v>
      </c>
      <c r="AA567" s="65"/>
      <c r="AC567" s="71">
        <f t="shared" si="360"/>
        <v>0</v>
      </c>
      <c r="AD567" s="39"/>
      <c r="AE567" s="7"/>
      <c r="AF567" s="15"/>
      <c r="AG567" s="71" t="b">
        <f t="shared" si="361"/>
        <v>1</v>
      </c>
      <c r="AI567" s="71"/>
      <c r="AJ567" s="39"/>
      <c r="AK567" s="15"/>
      <c r="AL567" s="71" t="b">
        <f t="shared" si="363"/>
        <v>1</v>
      </c>
      <c r="AN567" s="65"/>
    </row>
    <row r="568" spans="2:40 16128:16147" ht="13" customHeight="1">
      <c r="B568" s="119"/>
      <c r="C568" s="23">
        <f t="shared" si="355"/>
        <v>2026092</v>
      </c>
      <c r="D568" s="23">
        <v>20</v>
      </c>
      <c r="E568" s="128">
        <v>0</v>
      </c>
      <c r="F568" s="126" t="e">
        <f>VLOOKUP(E568,'Códigos bancos'!$B$4:$C$29,2,0)</f>
        <v>#N/A</v>
      </c>
      <c r="G568" s="36">
        <v>1</v>
      </c>
      <c r="H568" s="126" t="str">
        <f>VLOOKUP(G568,'Códigos bancos'!$F$4:$G$14,2,0)</f>
        <v>Oficinas</v>
      </c>
      <c r="I568" s="130"/>
      <c r="J568" s="174">
        <v>0</v>
      </c>
      <c r="K568" s="174">
        <v>0</v>
      </c>
      <c r="L568" s="174">
        <v>0</v>
      </c>
      <c r="M568" s="174">
        <v>0</v>
      </c>
      <c r="N568" s="174">
        <v>0</v>
      </c>
      <c r="O568" s="174">
        <v>0</v>
      </c>
      <c r="P568" s="174">
        <v>0</v>
      </c>
      <c r="Q568" s="174">
        <v>0</v>
      </c>
      <c r="R568" s="174">
        <v>0</v>
      </c>
      <c r="S568" s="215">
        <v>0</v>
      </c>
      <c r="T568" s="71">
        <f t="shared" si="356"/>
        <v>0</v>
      </c>
      <c r="U568" s="71">
        <f t="shared" si="357"/>
        <v>0</v>
      </c>
      <c r="V568" s="117">
        <v>0</v>
      </c>
      <c r="W568" s="117">
        <v>0</v>
      </c>
      <c r="X568" s="71">
        <f t="shared" si="358"/>
        <v>0</v>
      </c>
      <c r="Y568" s="71">
        <f t="shared" si="359"/>
        <v>0</v>
      </c>
      <c r="AA568" s="65"/>
      <c r="AC568" s="71">
        <f t="shared" si="360"/>
        <v>0</v>
      </c>
      <c r="AD568" s="39"/>
      <c r="AE568" s="7"/>
      <c r="AF568" s="15"/>
      <c r="AG568" s="71" t="b">
        <f t="shared" si="361"/>
        <v>1</v>
      </c>
      <c r="AI568" s="71">
        <f>Y568</f>
        <v>0</v>
      </c>
      <c r="AJ568" s="39"/>
      <c r="AK568" s="15"/>
      <c r="AL568" s="71" t="b">
        <f t="shared" si="363"/>
        <v>1</v>
      </c>
      <c r="AN568" s="65"/>
    </row>
    <row r="569" spans="2:40 16128:16147" ht="13" customHeight="1" thickBot="1">
      <c r="B569" s="119"/>
      <c r="C569" s="23">
        <f t="shared" si="355"/>
        <v>2026092</v>
      </c>
      <c r="D569" s="23">
        <v>20</v>
      </c>
      <c r="E569" s="128">
        <v>0</v>
      </c>
      <c r="F569" s="126" t="e">
        <f>VLOOKUP(E569,'Códigos bancos'!$B$4:$C$29,2,0)</f>
        <v>#N/A</v>
      </c>
      <c r="G569" s="36">
        <v>1</v>
      </c>
      <c r="H569" s="126" t="str">
        <f>VLOOKUP(G569,'Códigos bancos'!$F$4:$G$14,2,0)</f>
        <v>Oficinas</v>
      </c>
      <c r="I569" s="130"/>
      <c r="J569" s="174">
        <v>0</v>
      </c>
      <c r="K569" s="174">
        <v>0</v>
      </c>
      <c r="L569" s="174">
        <v>0</v>
      </c>
      <c r="M569" s="174">
        <v>0</v>
      </c>
      <c r="N569" s="174">
        <v>0</v>
      </c>
      <c r="O569" s="174">
        <v>0</v>
      </c>
      <c r="P569" s="174">
        <v>0</v>
      </c>
      <c r="Q569" s="174">
        <v>0</v>
      </c>
      <c r="R569" s="174">
        <v>0</v>
      </c>
      <c r="S569" s="215">
        <v>0</v>
      </c>
      <c r="T569" s="71">
        <f t="shared" si="356"/>
        <v>0</v>
      </c>
      <c r="U569" s="71">
        <f t="shared" si="357"/>
        <v>0</v>
      </c>
      <c r="V569" s="117">
        <v>0</v>
      </c>
      <c r="W569" s="117">
        <v>0</v>
      </c>
      <c r="X569" s="71">
        <f t="shared" si="358"/>
        <v>0</v>
      </c>
      <c r="Y569" s="71">
        <f t="shared" si="359"/>
        <v>0</v>
      </c>
      <c r="AA569" s="65"/>
      <c r="AC569" s="71">
        <f t="shared" si="360"/>
        <v>0</v>
      </c>
      <c r="AD569" s="39"/>
      <c r="AE569" s="7"/>
      <c r="AF569" s="15"/>
      <c r="AG569" s="71" t="b">
        <f t="shared" si="361"/>
        <v>1</v>
      </c>
      <c r="AI569" s="71">
        <f t="shared" si="362"/>
        <v>0</v>
      </c>
      <c r="AJ569" s="39"/>
      <c r="AK569" s="15"/>
      <c r="AL569" s="71" t="b">
        <f t="shared" si="363"/>
        <v>1</v>
      </c>
      <c r="AN569" s="65"/>
    </row>
    <row r="570" spans="2:40 16128:16147" ht="13" customHeight="1" thickBot="1">
      <c r="E570" s="120" t="s">
        <v>0</v>
      </c>
      <c r="F570" s="121" t="s">
        <v>53</v>
      </c>
      <c r="G570" s="121"/>
      <c r="H570" s="121"/>
      <c r="I570" s="121"/>
      <c r="J570" s="122">
        <f>SUM(J545:J569)</f>
        <v>0</v>
      </c>
      <c r="K570" s="122">
        <f t="shared" ref="K570:Y570" si="364">SUM(K545:K569)</f>
        <v>0</v>
      </c>
      <c r="L570" s="122">
        <f t="shared" si="364"/>
        <v>0</v>
      </c>
      <c r="M570" s="122">
        <f t="shared" si="364"/>
        <v>0</v>
      </c>
      <c r="N570" s="122">
        <f t="shared" si="364"/>
        <v>0</v>
      </c>
      <c r="O570" s="122">
        <f t="shared" si="364"/>
        <v>0</v>
      </c>
      <c r="P570" s="122">
        <f t="shared" si="364"/>
        <v>0</v>
      </c>
      <c r="Q570" s="122">
        <f t="shared" si="364"/>
        <v>0</v>
      </c>
      <c r="R570" s="122">
        <f t="shared" si="364"/>
        <v>16</v>
      </c>
      <c r="S570" s="122">
        <f t="shared" si="364"/>
        <v>803070</v>
      </c>
      <c r="T570" s="122">
        <f t="shared" si="364"/>
        <v>16</v>
      </c>
      <c r="U570" s="122">
        <f t="shared" si="364"/>
        <v>803070</v>
      </c>
      <c r="V570" s="123">
        <f t="shared" si="364"/>
        <v>16</v>
      </c>
      <c r="W570" s="123">
        <f t="shared" si="364"/>
        <v>803070</v>
      </c>
      <c r="X570" s="122">
        <f t="shared" si="364"/>
        <v>0</v>
      </c>
      <c r="Y570" s="123">
        <f t="shared" si="364"/>
        <v>0</v>
      </c>
      <c r="AA570" s="65"/>
      <c r="AC570" s="122">
        <f>SUM(AC545:AC569)</f>
        <v>0</v>
      </c>
      <c r="AD570" s="122">
        <f>SUM(AD545:AD569)</f>
        <v>0</v>
      </c>
      <c r="AE570" s="122">
        <f>SUM(AE545:AE569)</f>
        <v>0</v>
      </c>
      <c r="AF570" s="123">
        <f>SUM(AF545:AF569)</f>
        <v>0</v>
      </c>
      <c r="AG570" s="100"/>
      <c r="AI570" s="122">
        <f>SUM(AI545:AI569)</f>
        <v>0</v>
      </c>
      <c r="AJ570" s="122">
        <f>SUM(AJ545:AJ569)</f>
        <v>0</v>
      </c>
      <c r="AK570" s="123">
        <f>SUM(AK545:AK569)</f>
        <v>0</v>
      </c>
      <c r="AL570" s="100"/>
      <c r="AN570" s="65"/>
    </row>
    <row r="571" spans="2:40 16128:16147" ht="13" thickBot="1">
      <c r="AA571" s="65"/>
      <c r="AN571" s="65"/>
    </row>
    <row r="572" spans="2:40 16128:16147" ht="41.25" customHeight="1" thickBot="1">
      <c r="B572" s="112" t="s">
        <v>4</v>
      </c>
      <c r="C572" s="34" t="s">
        <v>6</v>
      </c>
      <c r="D572" s="34" t="s">
        <v>7</v>
      </c>
      <c r="E572" s="34" t="s">
        <v>49</v>
      </c>
      <c r="F572" s="34" t="s">
        <v>50</v>
      </c>
      <c r="G572" s="34" t="s">
        <v>51</v>
      </c>
      <c r="H572" s="34" t="s">
        <v>52</v>
      </c>
      <c r="I572" s="34" t="s">
        <v>13</v>
      </c>
      <c r="J572" s="12" t="s">
        <v>8</v>
      </c>
      <c r="K572" s="12" t="s">
        <v>36</v>
      </c>
      <c r="L572" s="12" t="s">
        <v>9</v>
      </c>
      <c r="M572" s="12" t="s">
        <v>37</v>
      </c>
      <c r="N572" s="87" t="s">
        <v>10</v>
      </c>
      <c r="O572" s="88" t="s">
        <v>38</v>
      </c>
      <c r="P572" s="87" t="s">
        <v>11</v>
      </c>
      <c r="Q572" s="88" t="s">
        <v>39</v>
      </c>
      <c r="R572" s="87" t="s">
        <v>12</v>
      </c>
      <c r="S572" s="88" t="s">
        <v>40</v>
      </c>
      <c r="T572" s="64" t="s">
        <v>41</v>
      </c>
      <c r="U572" s="64" t="s">
        <v>42</v>
      </c>
      <c r="V572" s="35" t="s">
        <v>32</v>
      </c>
      <c r="W572" s="67" t="s">
        <v>35</v>
      </c>
      <c r="X572" s="12" t="s">
        <v>34</v>
      </c>
      <c r="Y572" s="68" t="s">
        <v>33</v>
      </c>
      <c r="AA572" s="66"/>
      <c r="AC572" s="12" t="s">
        <v>34</v>
      </c>
      <c r="AD572" s="12" t="s">
        <v>45</v>
      </c>
      <c r="AE572" s="12" t="s">
        <v>43</v>
      </c>
      <c r="AF572" s="12" t="s">
        <v>44</v>
      </c>
      <c r="AG572" s="12" t="s">
        <v>46</v>
      </c>
      <c r="AI572" s="12" t="s">
        <v>33</v>
      </c>
      <c r="AJ572" s="12" t="s">
        <v>47</v>
      </c>
      <c r="AK572" s="12" t="s">
        <v>48</v>
      </c>
      <c r="AL572" s="12" t="s">
        <v>46</v>
      </c>
      <c r="AN572" s="66"/>
      <c r="WVH572" s="1"/>
      <c r="WVI572" s="1"/>
      <c r="WVZ572"/>
      <c r="WWA572"/>
    </row>
    <row r="573" spans="2:40 16128:16147" ht="13" customHeight="1">
      <c r="B573" s="119" t="s">
        <v>81</v>
      </c>
      <c r="C573" s="24">
        <f>IF(D573&lt;=15,$C$1,$C$2)</f>
        <v>2026092</v>
      </c>
      <c r="D573" s="24">
        <v>21</v>
      </c>
      <c r="E573" s="127">
        <v>20</v>
      </c>
      <c r="F573" s="125" t="str">
        <f>VLOOKUP(E573,'Códigos bancos'!$B$4:$C$29,2,0)</f>
        <v>Bancolombia ENERBIT</v>
      </c>
      <c r="G573" s="18">
        <v>1</v>
      </c>
      <c r="H573" s="125" t="str">
        <f>VLOOKUP(G573,'Códigos bancos'!$F$4:$G$14,2,0)</f>
        <v>Oficinas</v>
      </c>
      <c r="I573" s="129"/>
      <c r="J573" s="213">
        <v>0</v>
      </c>
      <c r="K573" s="213">
        <v>0</v>
      </c>
      <c r="L573" s="213">
        <v>0</v>
      </c>
      <c r="M573" s="213">
        <v>0</v>
      </c>
      <c r="N573" s="213">
        <v>0</v>
      </c>
      <c r="O573" s="213">
        <v>0</v>
      </c>
      <c r="P573" s="213">
        <v>0</v>
      </c>
      <c r="Q573" s="213">
        <v>0</v>
      </c>
      <c r="R573" s="174">
        <f>45+1</f>
        <v>46</v>
      </c>
      <c r="S573" s="215">
        <f>2632920+454170</f>
        <v>3087090</v>
      </c>
      <c r="T573" s="70">
        <f>J573+L573+N573+P573+R573</f>
        <v>46</v>
      </c>
      <c r="U573" s="70">
        <f>K573+M573+O573+Q573+S573</f>
        <v>3087090</v>
      </c>
      <c r="V573" s="174">
        <f>45+1</f>
        <v>46</v>
      </c>
      <c r="W573" s="215">
        <f>2632920+454170</f>
        <v>3087090</v>
      </c>
      <c r="X573" s="70">
        <f>V573-T573</f>
        <v>0</v>
      </c>
      <c r="Y573" s="70">
        <f>W573-U573</f>
        <v>0</v>
      </c>
      <c r="AA573" s="65"/>
      <c r="AC573" s="124">
        <f>X573</f>
        <v>0</v>
      </c>
      <c r="AD573" s="115"/>
      <c r="AE573" s="16"/>
      <c r="AF573" s="114"/>
      <c r="AG573" s="124" t="b">
        <f>AC573=(AD573+AE573+AF573)</f>
        <v>1</v>
      </c>
      <c r="AI573" s="70">
        <f>Y573</f>
        <v>0</v>
      </c>
      <c r="AJ573" s="115"/>
      <c r="AK573" s="114"/>
      <c r="AL573" s="70" t="b">
        <f>AI573=(AJ573+AK573)</f>
        <v>1</v>
      </c>
      <c r="AN573" s="65"/>
    </row>
    <row r="574" spans="2:40 16128:16147" ht="13" customHeight="1">
      <c r="B574" s="119"/>
      <c r="C574" s="23">
        <f t="shared" ref="C574:C597" si="365">IF(D574&lt;=15,$C$1,$C$2)</f>
        <v>2026092</v>
      </c>
      <c r="D574" s="23">
        <v>21</v>
      </c>
      <c r="E574" s="128">
        <v>0</v>
      </c>
      <c r="F574" s="126" t="e">
        <f>VLOOKUP(E574,'Códigos bancos'!$B$4:$C$29,2,0)</f>
        <v>#N/A</v>
      </c>
      <c r="G574" s="36">
        <v>1</v>
      </c>
      <c r="H574" s="126" t="str">
        <f>VLOOKUP(G574,'Códigos bancos'!$F$4:$G$14,2,0)</f>
        <v>Oficinas</v>
      </c>
      <c r="I574" s="130"/>
      <c r="J574" s="174">
        <v>0</v>
      </c>
      <c r="K574" s="174">
        <v>0</v>
      </c>
      <c r="L574" s="174">
        <v>0</v>
      </c>
      <c r="M574" s="174">
        <v>0</v>
      </c>
      <c r="N574" s="174">
        <v>0</v>
      </c>
      <c r="O574" s="174">
        <v>0</v>
      </c>
      <c r="P574" s="174">
        <v>0</v>
      </c>
      <c r="Q574" s="174">
        <v>0</v>
      </c>
      <c r="R574" s="174">
        <v>0</v>
      </c>
      <c r="S574" s="215">
        <v>0</v>
      </c>
      <c r="T574" s="71">
        <f t="shared" ref="T574:T597" si="366">J574+L574+N574+P574+R574</f>
        <v>0</v>
      </c>
      <c r="U574" s="71">
        <f t="shared" ref="U574:U597" si="367">K574+M574+O574+Q574+S574</f>
        <v>0</v>
      </c>
      <c r="V574" s="117">
        <v>0</v>
      </c>
      <c r="W574" s="117">
        <v>0</v>
      </c>
      <c r="X574" s="71">
        <f t="shared" ref="X574:X597" si="368">V574-T574</f>
        <v>0</v>
      </c>
      <c r="Y574" s="71">
        <f t="shared" ref="Y574:Y597" si="369">W574-U574</f>
        <v>0</v>
      </c>
      <c r="AA574" s="65"/>
      <c r="AC574" s="71">
        <f t="shared" ref="AC574:AC597" si="370">X574</f>
        <v>0</v>
      </c>
      <c r="AD574" s="39"/>
      <c r="AE574" s="7"/>
      <c r="AF574" s="15"/>
      <c r="AG574" s="71" t="b">
        <f t="shared" ref="AG574:AG597" si="371">AC574=(AD574+AE574+AF574)</f>
        <v>1</v>
      </c>
      <c r="AI574" s="71">
        <f t="shared" ref="AI574:AI597" si="372">Y574</f>
        <v>0</v>
      </c>
      <c r="AJ574" s="39"/>
      <c r="AK574" s="15"/>
      <c r="AL574" s="71" t="b">
        <f t="shared" ref="AL574:AL597" si="373">AI574=(AJ574+AK574)</f>
        <v>1</v>
      </c>
      <c r="AN574" s="65"/>
    </row>
    <row r="575" spans="2:40 16128:16147" ht="13" customHeight="1">
      <c r="B575" s="119"/>
      <c r="C575" s="23">
        <f t="shared" si="365"/>
        <v>2026092</v>
      </c>
      <c r="D575" s="23">
        <v>21</v>
      </c>
      <c r="E575" s="128">
        <v>0</v>
      </c>
      <c r="F575" s="126" t="e">
        <f>VLOOKUP(E575,'Códigos bancos'!$B$4:$C$29,2,0)</f>
        <v>#N/A</v>
      </c>
      <c r="G575" s="36">
        <v>1</v>
      </c>
      <c r="H575" s="126" t="str">
        <f>VLOOKUP(G575,'Códigos bancos'!$F$4:$G$14,2,0)</f>
        <v>Oficinas</v>
      </c>
      <c r="I575" s="130"/>
      <c r="J575" s="174">
        <v>0</v>
      </c>
      <c r="K575" s="174">
        <v>0</v>
      </c>
      <c r="L575" s="174">
        <v>0</v>
      </c>
      <c r="M575" s="174">
        <v>0</v>
      </c>
      <c r="N575" s="174">
        <v>0</v>
      </c>
      <c r="O575" s="174">
        <v>0</v>
      </c>
      <c r="P575" s="174">
        <v>0</v>
      </c>
      <c r="Q575" s="174">
        <v>0</v>
      </c>
      <c r="R575" s="174">
        <v>0</v>
      </c>
      <c r="S575" s="215">
        <v>0</v>
      </c>
      <c r="T575" s="71">
        <f t="shared" si="366"/>
        <v>0</v>
      </c>
      <c r="U575" s="71">
        <f t="shared" si="367"/>
        <v>0</v>
      </c>
      <c r="V575" s="117">
        <v>0</v>
      </c>
      <c r="W575" s="117">
        <v>0</v>
      </c>
      <c r="X575" s="71">
        <f t="shared" si="368"/>
        <v>0</v>
      </c>
      <c r="Y575" s="71">
        <f t="shared" si="369"/>
        <v>0</v>
      </c>
      <c r="AA575" s="65"/>
      <c r="AC575" s="71">
        <f t="shared" si="370"/>
        <v>0</v>
      </c>
      <c r="AD575" s="45"/>
      <c r="AE575" s="14"/>
      <c r="AF575" s="46"/>
      <c r="AG575" s="71" t="b">
        <f t="shared" si="371"/>
        <v>1</v>
      </c>
      <c r="AI575" s="71">
        <f t="shared" si="372"/>
        <v>0</v>
      </c>
      <c r="AJ575" s="45"/>
      <c r="AK575" s="46"/>
      <c r="AL575" s="71" t="b">
        <f t="shared" si="373"/>
        <v>1</v>
      </c>
      <c r="AN575" s="65"/>
    </row>
    <row r="576" spans="2:40 16128:16147" ht="13" customHeight="1">
      <c r="B576" s="119"/>
      <c r="C576" s="23">
        <f t="shared" si="365"/>
        <v>2026092</v>
      </c>
      <c r="D576" s="23">
        <v>21</v>
      </c>
      <c r="E576" s="128">
        <v>0</v>
      </c>
      <c r="F576" s="126" t="e">
        <f>VLOOKUP(E576,'Códigos bancos'!$B$4:$C$29,2,0)</f>
        <v>#N/A</v>
      </c>
      <c r="G576" s="36">
        <v>1</v>
      </c>
      <c r="H576" s="126" t="str">
        <f>VLOOKUP(G576,'Códigos bancos'!$F$4:$G$14,2,0)</f>
        <v>Oficinas</v>
      </c>
      <c r="I576" s="130"/>
      <c r="J576" s="174">
        <v>0</v>
      </c>
      <c r="K576" s="174">
        <v>0</v>
      </c>
      <c r="L576" s="174">
        <v>0</v>
      </c>
      <c r="M576" s="174">
        <v>0</v>
      </c>
      <c r="N576" s="174">
        <v>0</v>
      </c>
      <c r="O576" s="174">
        <v>0</v>
      </c>
      <c r="P576" s="174">
        <v>0</v>
      </c>
      <c r="Q576" s="174">
        <v>0</v>
      </c>
      <c r="R576" s="174">
        <v>0</v>
      </c>
      <c r="S576" s="215">
        <v>0</v>
      </c>
      <c r="T576" s="71">
        <f t="shared" si="366"/>
        <v>0</v>
      </c>
      <c r="U576" s="71">
        <f t="shared" si="367"/>
        <v>0</v>
      </c>
      <c r="V576" s="117">
        <v>0</v>
      </c>
      <c r="W576" s="117">
        <v>0</v>
      </c>
      <c r="X576" s="71">
        <f t="shared" si="368"/>
        <v>0</v>
      </c>
      <c r="Y576" s="71">
        <f t="shared" si="369"/>
        <v>0</v>
      </c>
      <c r="AA576" s="65"/>
      <c r="AC576" s="71">
        <f t="shared" si="370"/>
        <v>0</v>
      </c>
      <c r="AD576" s="39"/>
      <c r="AE576" s="7"/>
      <c r="AF576" s="15"/>
      <c r="AG576" s="71" t="b">
        <f t="shared" si="371"/>
        <v>1</v>
      </c>
      <c r="AI576" s="71">
        <f t="shared" si="372"/>
        <v>0</v>
      </c>
      <c r="AJ576" s="39"/>
      <c r="AK576" s="15"/>
      <c r="AL576" s="71" t="b">
        <f t="shared" si="373"/>
        <v>1</v>
      </c>
      <c r="AN576" s="65"/>
    </row>
    <row r="577" spans="2:40" ht="13" customHeight="1">
      <c r="B577" s="119"/>
      <c r="C577" s="23">
        <f t="shared" si="365"/>
        <v>2026092</v>
      </c>
      <c r="D577" s="23">
        <v>21</v>
      </c>
      <c r="E577" s="128">
        <v>0</v>
      </c>
      <c r="F577" s="126" t="e">
        <f>VLOOKUP(E577,'Códigos bancos'!$B$4:$C$29,2,0)</f>
        <v>#N/A</v>
      </c>
      <c r="G577" s="36">
        <v>1</v>
      </c>
      <c r="H577" s="126" t="str">
        <f>VLOOKUP(G577,'Códigos bancos'!$F$4:$G$14,2,0)</f>
        <v>Oficinas</v>
      </c>
      <c r="I577" s="130"/>
      <c r="J577" s="174">
        <v>0</v>
      </c>
      <c r="K577" s="174">
        <v>0</v>
      </c>
      <c r="L577" s="174">
        <v>0</v>
      </c>
      <c r="M577" s="174">
        <v>0</v>
      </c>
      <c r="N577" s="174">
        <v>0</v>
      </c>
      <c r="O577" s="174">
        <v>0</v>
      </c>
      <c r="P577" s="174">
        <v>0</v>
      </c>
      <c r="Q577" s="174">
        <v>0</v>
      </c>
      <c r="R577" s="174">
        <v>0</v>
      </c>
      <c r="S577" s="215">
        <v>0</v>
      </c>
      <c r="T577" s="71">
        <f t="shared" si="366"/>
        <v>0</v>
      </c>
      <c r="U577" s="71">
        <f t="shared" si="367"/>
        <v>0</v>
      </c>
      <c r="V577" s="117">
        <v>0</v>
      </c>
      <c r="W577" s="117">
        <v>0</v>
      </c>
      <c r="X577" s="71">
        <f t="shared" si="368"/>
        <v>0</v>
      </c>
      <c r="Y577" s="71">
        <f t="shared" si="369"/>
        <v>0</v>
      </c>
      <c r="AA577" s="65"/>
      <c r="AC577" s="71">
        <f t="shared" si="370"/>
        <v>0</v>
      </c>
      <c r="AD577" s="39"/>
      <c r="AE577" s="7"/>
      <c r="AF577" s="15"/>
      <c r="AG577" s="71" t="b">
        <f t="shared" si="371"/>
        <v>1</v>
      </c>
      <c r="AI577" s="71">
        <f t="shared" si="372"/>
        <v>0</v>
      </c>
      <c r="AJ577" s="39"/>
      <c r="AK577" s="15"/>
      <c r="AL577" s="71" t="b">
        <f t="shared" si="373"/>
        <v>1</v>
      </c>
      <c r="AN577" s="65"/>
    </row>
    <row r="578" spans="2:40" ht="13" customHeight="1">
      <c r="B578" s="119"/>
      <c r="C578" s="23">
        <f t="shared" si="365"/>
        <v>2026092</v>
      </c>
      <c r="D578" s="23">
        <v>21</v>
      </c>
      <c r="E578" s="128">
        <v>0</v>
      </c>
      <c r="F578" s="126" t="e">
        <f>VLOOKUP(E578,'Códigos bancos'!$B$4:$C$29,2,0)</f>
        <v>#N/A</v>
      </c>
      <c r="G578" s="36">
        <v>1</v>
      </c>
      <c r="H578" s="126" t="str">
        <f>VLOOKUP(G578,'Códigos bancos'!$F$4:$G$14,2,0)</f>
        <v>Oficinas</v>
      </c>
      <c r="I578" s="130"/>
      <c r="J578" s="174">
        <v>0</v>
      </c>
      <c r="K578" s="174">
        <v>0</v>
      </c>
      <c r="L578" s="174">
        <v>0</v>
      </c>
      <c r="M578" s="174">
        <v>0</v>
      </c>
      <c r="N578" s="174">
        <v>0</v>
      </c>
      <c r="O578" s="174">
        <v>0</v>
      </c>
      <c r="P578" s="174">
        <v>0</v>
      </c>
      <c r="Q578" s="174">
        <v>0</v>
      </c>
      <c r="R578" s="174">
        <v>0</v>
      </c>
      <c r="S578" s="215">
        <v>0</v>
      </c>
      <c r="T578" s="71">
        <f t="shared" si="366"/>
        <v>0</v>
      </c>
      <c r="U578" s="71">
        <f>K578+M578+O578+Q578+S578</f>
        <v>0</v>
      </c>
      <c r="V578" s="117">
        <v>0</v>
      </c>
      <c r="W578" s="117">
        <v>0</v>
      </c>
      <c r="X578" s="71">
        <f t="shared" si="368"/>
        <v>0</v>
      </c>
      <c r="Y578" s="71">
        <f t="shared" si="369"/>
        <v>0</v>
      </c>
      <c r="AA578" s="65"/>
      <c r="AC578" s="71">
        <f t="shared" si="370"/>
        <v>0</v>
      </c>
      <c r="AD578" s="39"/>
      <c r="AE578" s="7"/>
      <c r="AF578" s="15"/>
      <c r="AG578" s="71" t="b">
        <f t="shared" si="371"/>
        <v>1</v>
      </c>
      <c r="AI578" s="71">
        <f t="shared" si="372"/>
        <v>0</v>
      </c>
      <c r="AJ578" s="39"/>
      <c r="AK578" s="15"/>
      <c r="AL578" s="71" t="b">
        <f t="shared" si="373"/>
        <v>1</v>
      </c>
      <c r="AN578" s="65"/>
    </row>
    <row r="579" spans="2:40" ht="13" customHeight="1">
      <c r="B579" s="119"/>
      <c r="C579" s="23">
        <f t="shared" si="365"/>
        <v>2026092</v>
      </c>
      <c r="D579" s="23">
        <v>21</v>
      </c>
      <c r="E579" s="128">
        <v>0</v>
      </c>
      <c r="F579" s="126" t="e">
        <f>VLOOKUP(E579,'Códigos bancos'!$B$4:$C$29,2,0)</f>
        <v>#N/A</v>
      </c>
      <c r="G579" s="36">
        <v>1</v>
      </c>
      <c r="H579" s="126" t="str">
        <f>VLOOKUP(G579,'Códigos bancos'!$F$4:$G$14,2,0)</f>
        <v>Oficinas</v>
      </c>
      <c r="I579" s="130"/>
      <c r="J579" s="174">
        <v>0</v>
      </c>
      <c r="K579" s="174">
        <v>0</v>
      </c>
      <c r="L579" s="174">
        <v>0</v>
      </c>
      <c r="M579" s="174">
        <v>0</v>
      </c>
      <c r="N579" s="174">
        <v>0</v>
      </c>
      <c r="O579" s="174">
        <v>0</v>
      </c>
      <c r="P579" s="174">
        <v>0</v>
      </c>
      <c r="Q579" s="174">
        <v>0</v>
      </c>
      <c r="R579" s="174">
        <v>0</v>
      </c>
      <c r="S579" s="215">
        <v>0</v>
      </c>
      <c r="T579" s="71">
        <f t="shared" si="366"/>
        <v>0</v>
      </c>
      <c r="U579" s="71">
        <f t="shared" si="367"/>
        <v>0</v>
      </c>
      <c r="V579" s="117">
        <v>0</v>
      </c>
      <c r="W579" s="117">
        <v>0</v>
      </c>
      <c r="X579" s="71">
        <f t="shared" si="368"/>
        <v>0</v>
      </c>
      <c r="Y579" s="71">
        <f t="shared" si="369"/>
        <v>0</v>
      </c>
      <c r="AA579" s="65"/>
      <c r="AC579" s="71">
        <f t="shared" si="370"/>
        <v>0</v>
      </c>
      <c r="AD579" s="39"/>
      <c r="AE579" s="7"/>
      <c r="AF579" s="15"/>
      <c r="AG579" s="71" t="b">
        <f t="shared" si="371"/>
        <v>1</v>
      </c>
      <c r="AI579" s="71">
        <f t="shared" si="372"/>
        <v>0</v>
      </c>
      <c r="AJ579" s="39"/>
      <c r="AK579" s="15"/>
      <c r="AL579" s="71" t="b">
        <f t="shared" si="373"/>
        <v>1</v>
      </c>
      <c r="AN579" s="65"/>
    </row>
    <row r="580" spans="2:40" ht="13" customHeight="1">
      <c r="B580" s="119"/>
      <c r="C580" s="23">
        <f t="shared" si="365"/>
        <v>2026092</v>
      </c>
      <c r="D580" s="23">
        <v>21</v>
      </c>
      <c r="E580" s="128">
        <v>0</v>
      </c>
      <c r="F580" s="126" t="e">
        <f>VLOOKUP(E580,'Códigos bancos'!$B$4:$C$29,2,0)</f>
        <v>#N/A</v>
      </c>
      <c r="G580" s="36">
        <v>1</v>
      </c>
      <c r="H580" s="126" t="str">
        <f>VLOOKUP(G580,'Códigos bancos'!$F$4:$G$14,2,0)</f>
        <v>Oficinas</v>
      </c>
      <c r="I580" s="130"/>
      <c r="J580" s="174">
        <v>0</v>
      </c>
      <c r="K580" s="174">
        <v>0</v>
      </c>
      <c r="L580" s="174">
        <v>0</v>
      </c>
      <c r="M580" s="174">
        <v>0</v>
      </c>
      <c r="N580" s="174">
        <v>0</v>
      </c>
      <c r="O580" s="174">
        <v>0</v>
      </c>
      <c r="P580" s="174">
        <v>0</v>
      </c>
      <c r="Q580" s="174">
        <v>0</v>
      </c>
      <c r="R580" s="174">
        <v>0</v>
      </c>
      <c r="S580" s="215">
        <v>0</v>
      </c>
      <c r="T580" s="71">
        <f t="shared" si="366"/>
        <v>0</v>
      </c>
      <c r="U580" s="71">
        <f t="shared" si="367"/>
        <v>0</v>
      </c>
      <c r="V580" s="117">
        <v>0</v>
      </c>
      <c r="W580" s="117">
        <v>0</v>
      </c>
      <c r="X580" s="71">
        <f t="shared" si="368"/>
        <v>0</v>
      </c>
      <c r="Y580" s="71">
        <f t="shared" si="369"/>
        <v>0</v>
      </c>
      <c r="AA580" s="65"/>
      <c r="AC580" s="71">
        <f t="shared" si="370"/>
        <v>0</v>
      </c>
      <c r="AD580" s="39"/>
      <c r="AE580" s="7"/>
      <c r="AF580" s="15"/>
      <c r="AG580" s="71" t="b">
        <f t="shared" si="371"/>
        <v>1</v>
      </c>
      <c r="AI580" s="71">
        <f t="shared" si="372"/>
        <v>0</v>
      </c>
      <c r="AJ580" s="39"/>
      <c r="AK580" s="15"/>
      <c r="AL580" s="71" t="b">
        <f t="shared" si="373"/>
        <v>1</v>
      </c>
      <c r="AN580" s="65"/>
    </row>
    <row r="581" spans="2:40" ht="13" customHeight="1">
      <c r="B581" s="119"/>
      <c r="C581" s="23">
        <f t="shared" si="365"/>
        <v>2026092</v>
      </c>
      <c r="D581" s="23">
        <v>21</v>
      </c>
      <c r="E581" s="128">
        <v>0</v>
      </c>
      <c r="F581" s="126" t="e">
        <f>VLOOKUP(E581,'Códigos bancos'!$B$4:$C$29,2,0)</f>
        <v>#N/A</v>
      </c>
      <c r="G581" s="36">
        <v>1</v>
      </c>
      <c r="H581" s="126" t="str">
        <f>VLOOKUP(G581,'Códigos bancos'!$F$4:$G$14,2,0)</f>
        <v>Oficinas</v>
      </c>
      <c r="I581" s="130"/>
      <c r="J581" s="174">
        <v>0</v>
      </c>
      <c r="K581" s="174">
        <v>0</v>
      </c>
      <c r="L581" s="174">
        <v>0</v>
      </c>
      <c r="M581" s="174">
        <v>0</v>
      </c>
      <c r="N581" s="174">
        <v>0</v>
      </c>
      <c r="O581" s="174">
        <v>0</v>
      </c>
      <c r="P581" s="174">
        <v>0</v>
      </c>
      <c r="Q581" s="174">
        <v>0</v>
      </c>
      <c r="R581" s="174">
        <v>0</v>
      </c>
      <c r="S581" s="215">
        <v>0</v>
      </c>
      <c r="T581" s="71">
        <f t="shared" si="366"/>
        <v>0</v>
      </c>
      <c r="U581" s="71">
        <f t="shared" si="367"/>
        <v>0</v>
      </c>
      <c r="V581" s="117">
        <v>0</v>
      </c>
      <c r="W581" s="117">
        <v>0</v>
      </c>
      <c r="X581" s="71">
        <f t="shared" si="368"/>
        <v>0</v>
      </c>
      <c r="Y581" s="71">
        <f t="shared" si="369"/>
        <v>0</v>
      </c>
      <c r="AA581" s="65"/>
      <c r="AC581" s="71">
        <f t="shared" si="370"/>
        <v>0</v>
      </c>
      <c r="AD581" s="39"/>
      <c r="AE581" s="7"/>
      <c r="AF581" s="15"/>
      <c r="AG581" s="71" t="b">
        <f t="shared" si="371"/>
        <v>1</v>
      </c>
      <c r="AI581" s="71">
        <f t="shared" si="372"/>
        <v>0</v>
      </c>
      <c r="AJ581" s="39"/>
      <c r="AK581" s="15"/>
      <c r="AL581" s="71" t="b">
        <f t="shared" si="373"/>
        <v>1</v>
      </c>
      <c r="AN581" s="65"/>
    </row>
    <row r="582" spans="2:40" ht="12" customHeight="1">
      <c r="B582" s="119"/>
      <c r="C582" s="23">
        <f t="shared" si="365"/>
        <v>2026092</v>
      </c>
      <c r="D582" s="23">
        <v>21</v>
      </c>
      <c r="E582" s="128">
        <v>0</v>
      </c>
      <c r="F582" s="126" t="e">
        <f>VLOOKUP(E582,'Códigos bancos'!$B$4:$C$29,2,0)</f>
        <v>#N/A</v>
      </c>
      <c r="G582" s="36">
        <v>1</v>
      </c>
      <c r="H582" s="126" t="str">
        <f>VLOOKUP(G582,'Códigos bancos'!$F$4:$G$14,2,0)</f>
        <v>Oficinas</v>
      </c>
      <c r="I582" s="130"/>
      <c r="J582" s="174">
        <v>0</v>
      </c>
      <c r="K582" s="174">
        <v>0</v>
      </c>
      <c r="L582" s="174">
        <v>0</v>
      </c>
      <c r="M582" s="174">
        <v>0</v>
      </c>
      <c r="N582" s="174">
        <v>0</v>
      </c>
      <c r="O582" s="174">
        <v>0</v>
      </c>
      <c r="P582" s="174">
        <v>0</v>
      </c>
      <c r="Q582" s="174">
        <v>0</v>
      </c>
      <c r="R582" s="174">
        <v>0</v>
      </c>
      <c r="S582" s="215">
        <v>0</v>
      </c>
      <c r="T582" s="71">
        <f t="shared" si="366"/>
        <v>0</v>
      </c>
      <c r="U582" s="71">
        <f t="shared" si="367"/>
        <v>0</v>
      </c>
      <c r="V582" s="117">
        <v>0</v>
      </c>
      <c r="W582" s="117">
        <v>0</v>
      </c>
      <c r="X582" s="71">
        <f t="shared" si="368"/>
        <v>0</v>
      </c>
      <c r="Y582" s="71">
        <f t="shared" si="369"/>
        <v>0</v>
      </c>
      <c r="AA582" s="65"/>
      <c r="AC582" s="71">
        <f t="shared" si="370"/>
        <v>0</v>
      </c>
      <c r="AD582" s="39"/>
      <c r="AE582" s="7"/>
      <c r="AF582" s="15"/>
      <c r="AG582" s="71" t="b">
        <f t="shared" si="371"/>
        <v>1</v>
      </c>
      <c r="AI582" s="71">
        <f t="shared" si="372"/>
        <v>0</v>
      </c>
      <c r="AJ582" s="39"/>
      <c r="AK582" s="15"/>
      <c r="AL582" s="71" t="b">
        <f t="shared" si="373"/>
        <v>1</v>
      </c>
      <c r="AN582" s="65"/>
    </row>
    <row r="583" spans="2:40" ht="13" customHeight="1">
      <c r="B583" s="119"/>
      <c r="C583" s="23">
        <f t="shared" si="365"/>
        <v>2026092</v>
      </c>
      <c r="D583" s="23">
        <v>21</v>
      </c>
      <c r="E583" s="128">
        <v>0</v>
      </c>
      <c r="F583" s="126" t="e">
        <f>VLOOKUP(E583,'Códigos bancos'!$B$4:$C$29,2,0)</f>
        <v>#N/A</v>
      </c>
      <c r="G583" s="36">
        <v>1</v>
      </c>
      <c r="H583" s="126" t="str">
        <f>VLOOKUP(G583,'Códigos bancos'!$F$4:$G$14,2,0)</f>
        <v>Oficinas</v>
      </c>
      <c r="I583" s="130"/>
      <c r="J583" s="174">
        <v>0</v>
      </c>
      <c r="K583" s="174">
        <v>0</v>
      </c>
      <c r="L583" s="174">
        <v>0</v>
      </c>
      <c r="M583" s="174">
        <v>0</v>
      </c>
      <c r="N583" s="174">
        <v>0</v>
      </c>
      <c r="O583" s="174">
        <v>0</v>
      </c>
      <c r="P583" s="174">
        <v>0</v>
      </c>
      <c r="Q583" s="174">
        <v>0</v>
      </c>
      <c r="R583" s="174">
        <v>0</v>
      </c>
      <c r="S583" s="215">
        <v>0</v>
      </c>
      <c r="T583" s="71">
        <f t="shared" si="366"/>
        <v>0</v>
      </c>
      <c r="U583" s="71">
        <f t="shared" si="367"/>
        <v>0</v>
      </c>
      <c r="V583" s="117">
        <v>0</v>
      </c>
      <c r="W583" s="117">
        <v>0</v>
      </c>
      <c r="X583" s="71">
        <f t="shared" si="368"/>
        <v>0</v>
      </c>
      <c r="Y583" s="71">
        <f t="shared" si="369"/>
        <v>0</v>
      </c>
      <c r="AA583" s="65"/>
      <c r="AC583" s="71">
        <f t="shared" si="370"/>
        <v>0</v>
      </c>
      <c r="AD583" s="39"/>
      <c r="AE583" s="7"/>
      <c r="AF583" s="15"/>
      <c r="AG583" s="71" t="b">
        <f t="shared" si="371"/>
        <v>1</v>
      </c>
      <c r="AI583" s="71">
        <f t="shared" si="372"/>
        <v>0</v>
      </c>
      <c r="AJ583" s="39"/>
      <c r="AK583" s="15"/>
      <c r="AL583" s="71" t="b">
        <f t="shared" si="373"/>
        <v>1</v>
      </c>
      <c r="AN583" s="65"/>
    </row>
    <row r="584" spans="2:40" ht="13" customHeight="1">
      <c r="B584" s="119"/>
      <c r="C584" s="23">
        <f t="shared" si="365"/>
        <v>2026092</v>
      </c>
      <c r="D584" s="23">
        <v>21</v>
      </c>
      <c r="E584" s="128">
        <v>0</v>
      </c>
      <c r="F584" s="126" t="e">
        <f>VLOOKUP(E584,'Códigos bancos'!$B$4:$C$29,2,0)</f>
        <v>#N/A</v>
      </c>
      <c r="G584" s="36">
        <v>1</v>
      </c>
      <c r="H584" s="126" t="str">
        <f>VLOOKUP(G584,'Códigos bancos'!$F$4:$G$14,2,0)</f>
        <v>Oficinas</v>
      </c>
      <c r="I584" s="130"/>
      <c r="J584" s="174">
        <v>0</v>
      </c>
      <c r="K584" s="174">
        <v>0</v>
      </c>
      <c r="L584" s="174">
        <v>0</v>
      </c>
      <c r="M584" s="174">
        <v>0</v>
      </c>
      <c r="N584" s="174">
        <v>0</v>
      </c>
      <c r="O584" s="174">
        <v>0</v>
      </c>
      <c r="P584" s="174">
        <v>0</v>
      </c>
      <c r="Q584" s="174">
        <v>0</v>
      </c>
      <c r="R584" s="174">
        <v>0</v>
      </c>
      <c r="S584" s="215">
        <v>0</v>
      </c>
      <c r="T584" s="71">
        <f t="shared" si="366"/>
        <v>0</v>
      </c>
      <c r="U584" s="71">
        <f t="shared" si="367"/>
        <v>0</v>
      </c>
      <c r="V584" s="117">
        <v>0</v>
      </c>
      <c r="W584" s="117">
        <v>0</v>
      </c>
      <c r="X584" s="71">
        <f t="shared" si="368"/>
        <v>0</v>
      </c>
      <c r="Y584" s="71">
        <f t="shared" si="369"/>
        <v>0</v>
      </c>
      <c r="AA584" s="65"/>
      <c r="AC584" s="71">
        <f t="shared" si="370"/>
        <v>0</v>
      </c>
      <c r="AD584" s="39"/>
      <c r="AE584" s="7"/>
      <c r="AF584" s="15"/>
      <c r="AG584" s="71" t="b">
        <f t="shared" si="371"/>
        <v>1</v>
      </c>
      <c r="AI584" s="71">
        <f t="shared" si="372"/>
        <v>0</v>
      </c>
      <c r="AJ584" s="39"/>
      <c r="AK584" s="15"/>
      <c r="AL584" s="71" t="b">
        <f t="shared" si="373"/>
        <v>1</v>
      </c>
      <c r="AN584" s="65"/>
    </row>
    <row r="585" spans="2:40" ht="13" customHeight="1">
      <c r="B585" s="119"/>
      <c r="C585" s="23">
        <f t="shared" si="365"/>
        <v>2026092</v>
      </c>
      <c r="D585" s="23">
        <v>21</v>
      </c>
      <c r="E585" s="128">
        <v>0</v>
      </c>
      <c r="F585" s="126" t="e">
        <f>VLOOKUP(E585,'Códigos bancos'!$B$4:$C$29,2,0)</f>
        <v>#N/A</v>
      </c>
      <c r="G585" s="36">
        <v>1</v>
      </c>
      <c r="H585" s="126" t="str">
        <f>VLOOKUP(G585,'Códigos bancos'!$F$4:$G$14,2,0)</f>
        <v>Oficinas</v>
      </c>
      <c r="I585" s="130"/>
      <c r="J585" s="174">
        <v>0</v>
      </c>
      <c r="K585" s="174">
        <v>0</v>
      </c>
      <c r="L585" s="174">
        <v>0</v>
      </c>
      <c r="M585" s="174">
        <v>0</v>
      </c>
      <c r="N585" s="174">
        <v>0</v>
      </c>
      <c r="O585" s="174">
        <v>0</v>
      </c>
      <c r="P585" s="174">
        <v>0</v>
      </c>
      <c r="Q585" s="174">
        <v>0</v>
      </c>
      <c r="R585" s="174">
        <v>0</v>
      </c>
      <c r="S585" s="215">
        <v>0</v>
      </c>
      <c r="T585" s="71">
        <f t="shared" si="366"/>
        <v>0</v>
      </c>
      <c r="U585" s="71">
        <f t="shared" si="367"/>
        <v>0</v>
      </c>
      <c r="V585" s="117">
        <v>0</v>
      </c>
      <c r="W585" s="117">
        <v>0</v>
      </c>
      <c r="X585" s="71">
        <f t="shared" si="368"/>
        <v>0</v>
      </c>
      <c r="Y585" s="71">
        <f t="shared" si="369"/>
        <v>0</v>
      </c>
      <c r="AA585" s="65"/>
      <c r="AC585" s="71">
        <f t="shared" si="370"/>
        <v>0</v>
      </c>
      <c r="AD585" s="39"/>
      <c r="AE585" s="7"/>
      <c r="AF585" s="15"/>
      <c r="AG585" s="71" t="b">
        <f t="shared" si="371"/>
        <v>1</v>
      </c>
      <c r="AI585" s="71">
        <f t="shared" si="372"/>
        <v>0</v>
      </c>
      <c r="AJ585" s="39"/>
      <c r="AK585" s="15"/>
      <c r="AL585" s="71" t="b">
        <f t="shared" si="373"/>
        <v>1</v>
      </c>
      <c r="AN585" s="65"/>
    </row>
    <row r="586" spans="2:40" ht="13" customHeight="1">
      <c r="B586" s="119"/>
      <c r="C586" s="159">
        <f t="shared" si="365"/>
        <v>2026092</v>
      </c>
      <c r="D586" s="23">
        <v>21</v>
      </c>
      <c r="E586" s="128">
        <v>0</v>
      </c>
      <c r="F586" s="126" t="e">
        <f>VLOOKUP(E586,'Códigos bancos'!$B$4:$C$29,2,0)</f>
        <v>#N/A</v>
      </c>
      <c r="G586" s="36">
        <v>1</v>
      </c>
      <c r="H586" s="126" t="str">
        <f>VLOOKUP(G586,'Códigos bancos'!$F$4:$G$14,2,0)</f>
        <v>Oficinas</v>
      </c>
      <c r="I586" s="130"/>
      <c r="J586" s="174">
        <v>0</v>
      </c>
      <c r="K586" s="174">
        <v>0</v>
      </c>
      <c r="L586" s="174">
        <v>0</v>
      </c>
      <c r="M586" s="174">
        <v>0</v>
      </c>
      <c r="N586" s="174">
        <v>0</v>
      </c>
      <c r="O586" s="174">
        <v>0</v>
      </c>
      <c r="P586" s="174">
        <v>0</v>
      </c>
      <c r="Q586" s="174">
        <v>0</v>
      </c>
      <c r="R586" s="174">
        <v>0</v>
      </c>
      <c r="S586" s="215">
        <v>0</v>
      </c>
      <c r="T586" s="71">
        <f t="shared" si="366"/>
        <v>0</v>
      </c>
      <c r="U586" s="71">
        <f t="shared" si="367"/>
        <v>0</v>
      </c>
      <c r="V586" s="117">
        <v>0</v>
      </c>
      <c r="W586" s="117">
        <v>0</v>
      </c>
      <c r="X586" s="71">
        <f t="shared" si="368"/>
        <v>0</v>
      </c>
      <c r="Y586" s="71">
        <f t="shared" si="369"/>
        <v>0</v>
      </c>
      <c r="AA586" s="65"/>
      <c r="AC586" s="71">
        <f t="shared" si="370"/>
        <v>0</v>
      </c>
      <c r="AD586" s="39"/>
      <c r="AE586" s="7"/>
      <c r="AF586" s="15"/>
      <c r="AG586" s="71" t="b">
        <f t="shared" si="371"/>
        <v>1</v>
      </c>
      <c r="AI586" s="71">
        <f t="shared" si="372"/>
        <v>0</v>
      </c>
      <c r="AJ586" s="39"/>
      <c r="AK586" s="15"/>
      <c r="AL586" s="71" t="b">
        <f t="shared" si="373"/>
        <v>1</v>
      </c>
      <c r="AN586" s="65"/>
    </row>
    <row r="587" spans="2:40" ht="13" customHeight="1">
      <c r="B587" s="119"/>
      <c r="C587" s="23">
        <f t="shared" si="365"/>
        <v>2026092</v>
      </c>
      <c r="D587" s="23">
        <v>21</v>
      </c>
      <c r="E587" s="128">
        <v>0</v>
      </c>
      <c r="F587" s="126" t="e">
        <f>VLOOKUP(E587,'Códigos bancos'!$B$4:$C$29,2,0)</f>
        <v>#N/A</v>
      </c>
      <c r="G587" s="36">
        <v>1</v>
      </c>
      <c r="H587" s="126" t="str">
        <f>VLOOKUP(G587,'Códigos bancos'!$F$4:$G$14,2,0)</f>
        <v>Oficinas</v>
      </c>
      <c r="I587" s="130"/>
      <c r="J587" s="174">
        <v>0</v>
      </c>
      <c r="K587" s="174">
        <v>0</v>
      </c>
      <c r="L587" s="174">
        <v>0</v>
      </c>
      <c r="M587" s="174">
        <v>0</v>
      </c>
      <c r="N587" s="174">
        <v>0</v>
      </c>
      <c r="O587" s="174">
        <v>0</v>
      </c>
      <c r="P587" s="174">
        <v>0</v>
      </c>
      <c r="Q587" s="174">
        <v>0</v>
      </c>
      <c r="R587" s="174">
        <v>0</v>
      </c>
      <c r="S587" s="215">
        <v>0</v>
      </c>
      <c r="T587" s="71">
        <f t="shared" si="366"/>
        <v>0</v>
      </c>
      <c r="U587" s="71">
        <f t="shared" si="367"/>
        <v>0</v>
      </c>
      <c r="V587" s="117">
        <v>0</v>
      </c>
      <c r="W587" s="117">
        <v>0</v>
      </c>
      <c r="X587" s="71">
        <f t="shared" si="368"/>
        <v>0</v>
      </c>
      <c r="Y587" s="71">
        <f t="shared" si="369"/>
        <v>0</v>
      </c>
      <c r="AA587" s="65"/>
      <c r="AC587" s="71">
        <f t="shared" si="370"/>
        <v>0</v>
      </c>
      <c r="AD587" s="39"/>
      <c r="AE587" s="7"/>
      <c r="AF587" s="15"/>
      <c r="AG587" s="71" t="b">
        <f t="shared" si="371"/>
        <v>1</v>
      </c>
      <c r="AI587" s="71">
        <f t="shared" si="372"/>
        <v>0</v>
      </c>
      <c r="AJ587" s="39"/>
      <c r="AK587" s="15"/>
      <c r="AL587" s="71" t="b">
        <f t="shared" si="373"/>
        <v>1</v>
      </c>
      <c r="AN587" s="65"/>
    </row>
    <row r="588" spans="2:40" ht="13" customHeight="1">
      <c r="B588" s="119"/>
      <c r="C588" s="23">
        <f t="shared" si="365"/>
        <v>2026092</v>
      </c>
      <c r="D588" s="23">
        <v>21</v>
      </c>
      <c r="E588" s="128">
        <v>0</v>
      </c>
      <c r="F588" s="126" t="e">
        <f>VLOOKUP(E588,'Códigos bancos'!$B$4:$C$29,2,0)</f>
        <v>#N/A</v>
      </c>
      <c r="G588" s="36">
        <v>1</v>
      </c>
      <c r="H588" s="126" t="str">
        <f>VLOOKUP(G588,'Códigos bancos'!$F$4:$G$14,2,0)</f>
        <v>Oficinas</v>
      </c>
      <c r="I588" s="130"/>
      <c r="J588" s="174">
        <v>0</v>
      </c>
      <c r="K588" s="174">
        <v>0</v>
      </c>
      <c r="L588" s="174">
        <v>0</v>
      </c>
      <c r="M588" s="174">
        <v>0</v>
      </c>
      <c r="N588" s="174">
        <v>0</v>
      </c>
      <c r="O588" s="174">
        <v>0</v>
      </c>
      <c r="P588" s="174">
        <v>0</v>
      </c>
      <c r="Q588" s="174">
        <v>0</v>
      </c>
      <c r="R588" s="174">
        <v>0</v>
      </c>
      <c r="S588" s="215">
        <v>0</v>
      </c>
      <c r="T588" s="71">
        <f t="shared" si="366"/>
        <v>0</v>
      </c>
      <c r="U588" s="71">
        <f t="shared" si="367"/>
        <v>0</v>
      </c>
      <c r="V588" s="117">
        <v>0</v>
      </c>
      <c r="W588" s="117">
        <v>0</v>
      </c>
      <c r="X588" s="71">
        <f t="shared" si="368"/>
        <v>0</v>
      </c>
      <c r="Y588" s="71">
        <f t="shared" si="369"/>
        <v>0</v>
      </c>
      <c r="AA588" s="65"/>
      <c r="AC588" s="71">
        <f t="shared" si="370"/>
        <v>0</v>
      </c>
      <c r="AD588" s="39"/>
      <c r="AE588" s="7"/>
      <c r="AF588" s="15"/>
      <c r="AG588" s="71" t="b">
        <f t="shared" si="371"/>
        <v>1</v>
      </c>
      <c r="AI588" s="71">
        <f t="shared" si="372"/>
        <v>0</v>
      </c>
      <c r="AJ588" s="39"/>
      <c r="AK588" s="15"/>
      <c r="AL588" s="71" t="b">
        <f t="shared" si="373"/>
        <v>1</v>
      </c>
      <c r="AN588" s="65"/>
    </row>
    <row r="589" spans="2:40" ht="13" customHeight="1">
      <c r="B589" s="119"/>
      <c r="C589" s="23">
        <f t="shared" si="365"/>
        <v>2026092</v>
      </c>
      <c r="D589" s="23">
        <v>21</v>
      </c>
      <c r="E589" s="128">
        <v>0</v>
      </c>
      <c r="F589" s="126" t="e">
        <f>VLOOKUP(E589,'Códigos bancos'!$B$4:$C$29,2,0)</f>
        <v>#N/A</v>
      </c>
      <c r="G589" s="36">
        <v>1</v>
      </c>
      <c r="H589" s="126" t="str">
        <f>VLOOKUP(G589,'Códigos bancos'!$F$4:$G$14,2,0)</f>
        <v>Oficinas</v>
      </c>
      <c r="I589" s="130"/>
      <c r="J589" s="174">
        <v>0</v>
      </c>
      <c r="K589" s="174">
        <v>0</v>
      </c>
      <c r="L589" s="174">
        <v>0</v>
      </c>
      <c r="M589" s="174">
        <v>0</v>
      </c>
      <c r="N589" s="174">
        <v>0</v>
      </c>
      <c r="O589" s="174">
        <v>0</v>
      </c>
      <c r="P589" s="174">
        <v>0</v>
      </c>
      <c r="Q589" s="174">
        <v>0</v>
      </c>
      <c r="R589" s="174">
        <v>0</v>
      </c>
      <c r="S589" s="215">
        <v>0</v>
      </c>
      <c r="T589" s="71">
        <f t="shared" si="366"/>
        <v>0</v>
      </c>
      <c r="U589" s="71">
        <f t="shared" si="367"/>
        <v>0</v>
      </c>
      <c r="V589" s="117">
        <v>0</v>
      </c>
      <c r="W589" s="117">
        <v>0</v>
      </c>
      <c r="X589" s="71">
        <f t="shared" si="368"/>
        <v>0</v>
      </c>
      <c r="Y589" s="71">
        <f t="shared" si="369"/>
        <v>0</v>
      </c>
      <c r="AA589" s="65"/>
      <c r="AC589" s="71">
        <f t="shared" si="370"/>
        <v>0</v>
      </c>
      <c r="AD589" s="39"/>
      <c r="AE589" s="7"/>
      <c r="AF589" s="15"/>
      <c r="AG589" s="71" t="b">
        <f t="shared" si="371"/>
        <v>1</v>
      </c>
      <c r="AI589" s="71">
        <f t="shared" si="372"/>
        <v>0</v>
      </c>
      <c r="AJ589" s="39"/>
      <c r="AK589" s="15"/>
      <c r="AL589" s="71" t="b">
        <f t="shared" si="373"/>
        <v>1</v>
      </c>
      <c r="AN589" s="65"/>
    </row>
    <row r="590" spans="2:40" ht="13" customHeight="1">
      <c r="B590" s="119"/>
      <c r="C590" s="23">
        <f t="shared" si="365"/>
        <v>2026092</v>
      </c>
      <c r="D590" s="23">
        <v>21</v>
      </c>
      <c r="E590" s="128">
        <v>0</v>
      </c>
      <c r="F590" s="126" t="e">
        <f>VLOOKUP(E590,'Códigos bancos'!$B$4:$C$29,2,0)</f>
        <v>#N/A</v>
      </c>
      <c r="G590" s="36">
        <v>1</v>
      </c>
      <c r="H590" s="126" t="str">
        <f>VLOOKUP(G590,'Códigos bancos'!$F$4:$G$14,2,0)</f>
        <v>Oficinas</v>
      </c>
      <c r="I590" s="130"/>
      <c r="J590" s="174">
        <v>0</v>
      </c>
      <c r="K590" s="174">
        <v>0</v>
      </c>
      <c r="L590" s="174">
        <v>0</v>
      </c>
      <c r="M590" s="174">
        <v>0</v>
      </c>
      <c r="N590" s="174">
        <v>0</v>
      </c>
      <c r="O590" s="174">
        <v>0</v>
      </c>
      <c r="P590" s="174">
        <v>0</v>
      </c>
      <c r="Q590" s="174">
        <v>0</v>
      </c>
      <c r="R590" s="174">
        <v>0</v>
      </c>
      <c r="S590" s="215">
        <v>0</v>
      </c>
      <c r="T590" s="71">
        <f t="shared" si="366"/>
        <v>0</v>
      </c>
      <c r="U590" s="71">
        <f t="shared" si="367"/>
        <v>0</v>
      </c>
      <c r="V590" s="117">
        <v>0</v>
      </c>
      <c r="W590" s="117">
        <v>0</v>
      </c>
      <c r="X590" s="71">
        <f t="shared" si="368"/>
        <v>0</v>
      </c>
      <c r="Y590" s="71">
        <f t="shared" si="369"/>
        <v>0</v>
      </c>
      <c r="AA590" s="65"/>
      <c r="AC590" s="71">
        <f t="shared" si="370"/>
        <v>0</v>
      </c>
      <c r="AD590" s="39"/>
      <c r="AE590" s="7"/>
      <c r="AF590" s="15"/>
      <c r="AG590" s="71" t="b">
        <f t="shared" si="371"/>
        <v>1</v>
      </c>
      <c r="AI590" s="71">
        <f t="shared" si="372"/>
        <v>0</v>
      </c>
      <c r="AJ590" s="39"/>
      <c r="AK590" s="15"/>
      <c r="AL590" s="71" t="b">
        <f t="shared" si="373"/>
        <v>1</v>
      </c>
      <c r="AN590" s="65"/>
    </row>
    <row r="591" spans="2:40" ht="13" customHeight="1">
      <c r="B591" s="119"/>
      <c r="C591" s="23">
        <f t="shared" si="365"/>
        <v>2026092</v>
      </c>
      <c r="D591" s="23">
        <v>21</v>
      </c>
      <c r="E591" s="128">
        <v>0</v>
      </c>
      <c r="F591" s="126" t="e">
        <f>VLOOKUP(E591,'Códigos bancos'!$B$4:$C$29,2,0)</f>
        <v>#N/A</v>
      </c>
      <c r="G591" s="36">
        <v>1</v>
      </c>
      <c r="H591" s="126" t="str">
        <f>VLOOKUP(G591,'Códigos bancos'!$F$4:$G$14,2,0)</f>
        <v>Oficinas</v>
      </c>
      <c r="I591" s="130"/>
      <c r="J591" s="174">
        <v>0</v>
      </c>
      <c r="K591" s="174">
        <v>0</v>
      </c>
      <c r="L591" s="174">
        <v>0</v>
      </c>
      <c r="M591" s="174">
        <v>0</v>
      </c>
      <c r="N591" s="174">
        <v>0</v>
      </c>
      <c r="O591" s="174">
        <v>0</v>
      </c>
      <c r="P591" s="174">
        <v>0</v>
      </c>
      <c r="Q591" s="174">
        <v>0</v>
      </c>
      <c r="R591" s="174">
        <v>0</v>
      </c>
      <c r="S591" s="215">
        <v>0</v>
      </c>
      <c r="T591" s="71">
        <f t="shared" si="366"/>
        <v>0</v>
      </c>
      <c r="U591" s="71">
        <f t="shared" si="367"/>
        <v>0</v>
      </c>
      <c r="V591" s="117">
        <v>0</v>
      </c>
      <c r="W591" s="117">
        <v>0</v>
      </c>
      <c r="X591" s="71">
        <f t="shared" si="368"/>
        <v>0</v>
      </c>
      <c r="Y591" s="71">
        <f t="shared" si="369"/>
        <v>0</v>
      </c>
      <c r="AA591" s="65"/>
      <c r="AC591" s="71">
        <f t="shared" si="370"/>
        <v>0</v>
      </c>
      <c r="AD591" s="39"/>
      <c r="AE591" s="7"/>
      <c r="AF591" s="15"/>
      <c r="AG591" s="71" t="b">
        <f t="shared" si="371"/>
        <v>1</v>
      </c>
      <c r="AI591" s="71">
        <f t="shared" si="372"/>
        <v>0</v>
      </c>
      <c r="AJ591" s="39"/>
      <c r="AK591" s="15"/>
      <c r="AL591" s="71" t="b">
        <f t="shared" si="373"/>
        <v>1</v>
      </c>
      <c r="AN591" s="65"/>
    </row>
    <row r="592" spans="2:40" ht="13" customHeight="1">
      <c r="B592" s="119"/>
      <c r="C592" s="23">
        <f>IF(D592&lt;=15,$C$1,$C$2)</f>
        <v>2026092</v>
      </c>
      <c r="D592" s="23">
        <v>21</v>
      </c>
      <c r="E592" s="128">
        <v>0</v>
      </c>
      <c r="F592" s="126" t="e">
        <f>VLOOKUP(E592,'Códigos bancos'!$B$4:$C$29,2,0)</f>
        <v>#N/A</v>
      </c>
      <c r="G592" s="36">
        <v>1</v>
      </c>
      <c r="H592" s="126" t="str">
        <f>VLOOKUP(G592,'Códigos bancos'!$F$4:$G$14,2,0)</f>
        <v>Oficinas</v>
      </c>
      <c r="I592" s="130"/>
      <c r="J592" s="174">
        <v>0</v>
      </c>
      <c r="K592" s="174">
        <v>0</v>
      </c>
      <c r="L592" s="174">
        <v>0</v>
      </c>
      <c r="M592" s="174">
        <v>0</v>
      </c>
      <c r="N592" s="174">
        <v>0</v>
      </c>
      <c r="O592" s="174">
        <v>0</v>
      </c>
      <c r="P592" s="174">
        <v>0</v>
      </c>
      <c r="Q592" s="174">
        <v>0</v>
      </c>
      <c r="R592" s="174">
        <v>0</v>
      </c>
      <c r="S592" s="215">
        <v>0</v>
      </c>
      <c r="T592" s="71">
        <f t="shared" ref="T592" si="374">J592+L592+N592+P592+R592</f>
        <v>0</v>
      </c>
      <c r="U592" s="71">
        <f t="shared" ref="U592" si="375">K592+M592+O592+Q592+S592</f>
        <v>0</v>
      </c>
      <c r="V592" s="117">
        <v>0</v>
      </c>
      <c r="W592" s="117">
        <v>0</v>
      </c>
      <c r="X592" s="71">
        <f t="shared" ref="X592" si="376">V592-T592</f>
        <v>0</v>
      </c>
      <c r="Y592" s="71">
        <f t="shared" ref="Y592" si="377">W592-U592</f>
        <v>0</v>
      </c>
      <c r="AA592" s="65"/>
      <c r="AC592" s="71">
        <f t="shared" ref="AC592" si="378">X592</f>
        <v>0</v>
      </c>
      <c r="AD592" s="39"/>
      <c r="AE592" s="7"/>
      <c r="AF592" s="15"/>
      <c r="AG592" s="71" t="b">
        <f t="shared" ref="AG592" si="379">AC592=(AD592+AE592+AF592)</f>
        <v>1</v>
      </c>
      <c r="AI592" s="71">
        <f t="shared" ref="AI592" si="380">Y592</f>
        <v>0</v>
      </c>
      <c r="AJ592" s="39"/>
      <c r="AK592" s="15"/>
      <c r="AL592" s="71" t="b">
        <f t="shared" ref="AL592" si="381">AI592=(AJ592+AK592)</f>
        <v>1</v>
      </c>
      <c r="AN592" s="65"/>
    </row>
    <row r="593" spans="2:40 16128:16147" ht="13" customHeight="1">
      <c r="B593" s="119"/>
      <c r="C593" s="23">
        <f t="shared" si="365"/>
        <v>2026092</v>
      </c>
      <c r="D593" s="23">
        <v>21</v>
      </c>
      <c r="E593" s="128">
        <v>0</v>
      </c>
      <c r="F593" s="126" t="e">
        <f>VLOOKUP(E593,'Códigos bancos'!$B$4:$C$29,2,0)</f>
        <v>#N/A</v>
      </c>
      <c r="G593" s="36">
        <v>1</v>
      </c>
      <c r="H593" s="126" t="str">
        <f>VLOOKUP(G593,'Códigos bancos'!$F$4:$G$14,2,0)</f>
        <v>Oficinas</v>
      </c>
      <c r="I593" s="130"/>
      <c r="J593" s="174">
        <v>0</v>
      </c>
      <c r="K593" s="174">
        <v>0</v>
      </c>
      <c r="L593" s="174">
        <v>0</v>
      </c>
      <c r="M593" s="174">
        <v>0</v>
      </c>
      <c r="N593" s="174">
        <v>0</v>
      </c>
      <c r="O593" s="174">
        <v>0</v>
      </c>
      <c r="P593" s="174">
        <v>0</v>
      </c>
      <c r="Q593" s="174">
        <v>0</v>
      </c>
      <c r="R593" s="174">
        <v>0</v>
      </c>
      <c r="S593" s="215">
        <v>0</v>
      </c>
      <c r="T593" s="71">
        <f t="shared" si="366"/>
        <v>0</v>
      </c>
      <c r="U593" s="71">
        <f t="shared" si="367"/>
        <v>0</v>
      </c>
      <c r="V593" s="117">
        <v>0</v>
      </c>
      <c r="W593" s="117">
        <v>0</v>
      </c>
      <c r="X593" s="71">
        <f t="shared" si="368"/>
        <v>0</v>
      </c>
      <c r="Y593" s="71">
        <f t="shared" si="369"/>
        <v>0</v>
      </c>
      <c r="AA593" s="65"/>
      <c r="AC593" s="71">
        <f t="shared" si="370"/>
        <v>0</v>
      </c>
      <c r="AD593" s="39"/>
      <c r="AE593" s="7"/>
      <c r="AF593" s="15"/>
      <c r="AG593" s="71" t="b">
        <f t="shared" si="371"/>
        <v>1</v>
      </c>
      <c r="AI593" s="71">
        <f t="shared" si="372"/>
        <v>0</v>
      </c>
      <c r="AJ593" s="39"/>
      <c r="AK593" s="15"/>
      <c r="AL593" s="71" t="b">
        <f t="shared" si="373"/>
        <v>1</v>
      </c>
      <c r="AN593" s="65"/>
    </row>
    <row r="594" spans="2:40 16128:16147" ht="13" customHeight="1">
      <c r="B594" s="119"/>
      <c r="C594" s="23">
        <f t="shared" si="365"/>
        <v>2026092</v>
      </c>
      <c r="D594" s="23">
        <v>21</v>
      </c>
      <c r="E594" s="128">
        <v>0</v>
      </c>
      <c r="F594" s="126" t="e">
        <f>VLOOKUP(E594,'Códigos bancos'!$B$4:$C$29,2,0)</f>
        <v>#N/A</v>
      </c>
      <c r="G594" s="36">
        <v>1</v>
      </c>
      <c r="H594" s="126" t="str">
        <f>VLOOKUP(G594,'Códigos bancos'!$F$4:$G$14,2,0)</f>
        <v>Oficinas</v>
      </c>
      <c r="I594" s="130"/>
      <c r="J594" s="174">
        <v>0</v>
      </c>
      <c r="K594" s="174">
        <v>0</v>
      </c>
      <c r="L594" s="174">
        <v>0</v>
      </c>
      <c r="M594" s="174">
        <v>0</v>
      </c>
      <c r="N594" s="174">
        <v>0</v>
      </c>
      <c r="O594" s="174">
        <v>0</v>
      </c>
      <c r="P594" s="174">
        <v>0</v>
      </c>
      <c r="Q594" s="174">
        <v>0</v>
      </c>
      <c r="R594" s="174">
        <v>0</v>
      </c>
      <c r="S594" s="215">
        <v>0</v>
      </c>
      <c r="T594" s="71">
        <f t="shared" si="366"/>
        <v>0</v>
      </c>
      <c r="U594" s="71">
        <f t="shared" si="367"/>
        <v>0</v>
      </c>
      <c r="V594" s="117">
        <v>0</v>
      </c>
      <c r="W594" s="117">
        <v>0</v>
      </c>
      <c r="X594" s="71">
        <f t="shared" si="368"/>
        <v>0</v>
      </c>
      <c r="Y594" s="71">
        <f t="shared" si="369"/>
        <v>0</v>
      </c>
      <c r="AA594" s="65"/>
      <c r="AC594" s="71">
        <f t="shared" si="370"/>
        <v>0</v>
      </c>
      <c r="AD594" s="39"/>
      <c r="AE594" s="7"/>
      <c r="AF594" s="15"/>
      <c r="AG594" s="71" t="b">
        <f t="shared" si="371"/>
        <v>1</v>
      </c>
      <c r="AI594" s="71">
        <f t="shared" si="372"/>
        <v>0</v>
      </c>
      <c r="AJ594" s="39"/>
      <c r="AK594" s="15"/>
      <c r="AL594" s="71" t="b">
        <f t="shared" si="373"/>
        <v>1</v>
      </c>
      <c r="AN594" s="65"/>
    </row>
    <row r="595" spans="2:40 16128:16147" ht="13" customHeight="1">
      <c r="B595" s="119"/>
      <c r="C595" s="23">
        <f t="shared" si="365"/>
        <v>2026092</v>
      </c>
      <c r="D595" s="23">
        <v>21</v>
      </c>
      <c r="E595" s="128">
        <v>0</v>
      </c>
      <c r="F595" s="126" t="e">
        <f>VLOOKUP(E595,'Códigos bancos'!$B$4:$C$29,2,0)</f>
        <v>#N/A</v>
      </c>
      <c r="G595" s="36">
        <v>1</v>
      </c>
      <c r="H595" s="126" t="str">
        <f>VLOOKUP(G595,'Códigos bancos'!$F$4:$G$14,2,0)</f>
        <v>Oficinas</v>
      </c>
      <c r="I595" s="130"/>
      <c r="J595" s="174">
        <v>0</v>
      </c>
      <c r="K595" s="174">
        <v>0</v>
      </c>
      <c r="L595" s="174">
        <v>0</v>
      </c>
      <c r="M595" s="174">
        <v>0</v>
      </c>
      <c r="N595" s="174">
        <v>0</v>
      </c>
      <c r="O595" s="174">
        <v>0</v>
      </c>
      <c r="P595" s="174">
        <v>0</v>
      </c>
      <c r="Q595" s="174">
        <v>0</v>
      </c>
      <c r="R595" s="174">
        <v>0</v>
      </c>
      <c r="S595" s="215">
        <v>0</v>
      </c>
      <c r="T595" s="71">
        <f t="shared" si="366"/>
        <v>0</v>
      </c>
      <c r="U595" s="71">
        <f t="shared" si="367"/>
        <v>0</v>
      </c>
      <c r="V595" s="117">
        <v>0</v>
      </c>
      <c r="W595" s="117">
        <v>0</v>
      </c>
      <c r="X595" s="71">
        <f t="shared" si="368"/>
        <v>0</v>
      </c>
      <c r="Y595" s="71">
        <f t="shared" si="369"/>
        <v>0</v>
      </c>
      <c r="AA595" s="65"/>
      <c r="AC595" s="71">
        <f t="shared" si="370"/>
        <v>0</v>
      </c>
      <c r="AD595" s="39"/>
      <c r="AE595" s="7"/>
      <c r="AF595" s="15"/>
      <c r="AG595" s="71" t="b">
        <f t="shared" si="371"/>
        <v>1</v>
      </c>
      <c r="AI595" s="71"/>
      <c r="AJ595" s="39"/>
      <c r="AK595" s="15"/>
      <c r="AL595" s="71" t="b">
        <f t="shared" si="373"/>
        <v>1</v>
      </c>
      <c r="AN595" s="65"/>
    </row>
    <row r="596" spans="2:40 16128:16147" ht="13" customHeight="1">
      <c r="B596" s="119"/>
      <c r="C596" s="23">
        <f t="shared" si="365"/>
        <v>2026092</v>
      </c>
      <c r="D596" s="23">
        <v>21</v>
      </c>
      <c r="E596" s="128">
        <v>0</v>
      </c>
      <c r="F596" s="126" t="e">
        <f>VLOOKUP(E596,'Códigos bancos'!$B$4:$C$29,2,0)</f>
        <v>#N/A</v>
      </c>
      <c r="G596" s="36">
        <v>1</v>
      </c>
      <c r="H596" s="126" t="str">
        <f>VLOOKUP(G596,'Códigos bancos'!$F$4:$G$14,2,0)</f>
        <v>Oficinas</v>
      </c>
      <c r="I596" s="130"/>
      <c r="J596" s="174">
        <v>0</v>
      </c>
      <c r="K596" s="174">
        <v>0</v>
      </c>
      <c r="L596" s="174">
        <v>0</v>
      </c>
      <c r="M596" s="174">
        <v>0</v>
      </c>
      <c r="N596" s="174">
        <v>0</v>
      </c>
      <c r="O596" s="174">
        <v>0</v>
      </c>
      <c r="P596" s="174">
        <v>0</v>
      </c>
      <c r="Q596" s="174">
        <v>0</v>
      </c>
      <c r="R596" s="174">
        <v>0</v>
      </c>
      <c r="S596" s="215">
        <v>0</v>
      </c>
      <c r="T596" s="71">
        <f t="shared" si="366"/>
        <v>0</v>
      </c>
      <c r="U596" s="71">
        <f t="shared" si="367"/>
        <v>0</v>
      </c>
      <c r="V596" s="117">
        <v>0</v>
      </c>
      <c r="W596" s="117">
        <v>0</v>
      </c>
      <c r="X596" s="71">
        <f t="shared" si="368"/>
        <v>0</v>
      </c>
      <c r="Y596" s="71">
        <f t="shared" si="369"/>
        <v>0</v>
      </c>
      <c r="AA596" s="65"/>
      <c r="AC596" s="71">
        <f t="shared" si="370"/>
        <v>0</v>
      </c>
      <c r="AD596" s="39"/>
      <c r="AE596" s="7"/>
      <c r="AF596" s="15"/>
      <c r="AG596" s="71" t="b">
        <f t="shared" si="371"/>
        <v>1</v>
      </c>
      <c r="AI596" s="71">
        <f>Y596</f>
        <v>0</v>
      </c>
      <c r="AJ596" s="39"/>
      <c r="AK596" s="15"/>
      <c r="AL596" s="71" t="b">
        <f t="shared" si="373"/>
        <v>1</v>
      </c>
      <c r="AN596" s="65"/>
    </row>
    <row r="597" spans="2:40 16128:16147" ht="13" customHeight="1" thickBot="1">
      <c r="B597" s="119"/>
      <c r="C597" s="23">
        <f t="shared" si="365"/>
        <v>2026092</v>
      </c>
      <c r="D597" s="23">
        <v>21</v>
      </c>
      <c r="E597" s="128">
        <v>0</v>
      </c>
      <c r="F597" s="126" t="e">
        <f>VLOOKUP(E597,'Códigos bancos'!$B$4:$C$29,2,0)</f>
        <v>#N/A</v>
      </c>
      <c r="G597" s="36">
        <v>1</v>
      </c>
      <c r="H597" s="126" t="str">
        <f>VLOOKUP(G597,'Códigos bancos'!$F$4:$G$14,2,0)</f>
        <v>Oficinas</v>
      </c>
      <c r="I597" s="130"/>
      <c r="J597" s="174">
        <v>0</v>
      </c>
      <c r="K597" s="174">
        <v>0</v>
      </c>
      <c r="L597" s="174">
        <v>0</v>
      </c>
      <c r="M597" s="174">
        <v>0</v>
      </c>
      <c r="N597" s="174">
        <v>0</v>
      </c>
      <c r="O597" s="174">
        <v>0</v>
      </c>
      <c r="P597" s="174">
        <v>0</v>
      </c>
      <c r="Q597" s="174">
        <v>0</v>
      </c>
      <c r="R597" s="174">
        <v>0</v>
      </c>
      <c r="S597" s="215">
        <v>0</v>
      </c>
      <c r="T597" s="71">
        <f t="shared" si="366"/>
        <v>0</v>
      </c>
      <c r="U597" s="71">
        <f t="shared" si="367"/>
        <v>0</v>
      </c>
      <c r="V597" s="117">
        <v>0</v>
      </c>
      <c r="W597" s="117">
        <v>0</v>
      </c>
      <c r="X597" s="71">
        <f t="shared" si="368"/>
        <v>0</v>
      </c>
      <c r="Y597" s="71">
        <f t="shared" si="369"/>
        <v>0</v>
      </c>
      <c r="AA597" s="65"/>
      <c r="AC597" s="71">
        <f t="shared" si="370"/>
        <v>0</v>
      </c>
      <c r="AD597" s="39"/>
      <c r="AE597" s="7"/>
      <c r="AF597" s="15"/>
      <c r="AG597" s="71" t="b">
        <f t="shared" si="371"/>
        <v>1</v>
      </c>
      <c r="AI597" s="71">
        <f t="shared" si="372"/>
        <v>0</v>
      </c>
      <c r="AJ597" s="39"/>
      <c r="AK597" s="15"/>
      <c r="AL597" s="71" t="b">
        <f t="shared" si="373"/>
        <v>1</v>
      </c>
      <c r="AN597" s="65"/>
    </row>
    <row r="598" spans="2:40 16128:16147" ht="13" customHeight="1" thickBot="1">
      <c r="E598" s="120" t="s">
        <v>0</v>
      </c>
      <c r="F598" s="121" t="s">
        <v>53</v>
      </c>
      <c r="G598" s="121"/>
      <c r="H598" s="121"/>
      <c r="I598" s="121"/>
      <c r="J598" s="122">
        <f t="shared" ref="J598:Y598" si="382">SUM(J573:J597)</f>
        <v>0</v>
      </c>
      <c r="K598" s="122">
        <f t="shared" si="382"/>
        <v>0</v>
      </c>
      <c r="L598" s="122">
        <f t="shared" si="382"/>
        <v>0</v>
      </c>
      <c r="M598" s="122">
        <f t="shared" si="382"/>
        <v>0</v>
      </c>
      <c r="N598" s="122">
        <f t="shared" si="382"/>
        <v>0</v>
      </c>
      <c r="O598" s="122">
        <f t="shared" si="382"/>
        <v>0</v>
      </c>
      <c r="P598" s="122">
        <f t="shared" si="382"/>
        <v>0</v>
      </c>
      <c r="Q598" s="122">
        <f t="shared" si="382"/>
        <v>0</v>
      </c>
      <c r="R598" s="122">
        <f t="shared" si="382"/>
        <v>46</v>
      </c>
      <c r="S598" s="122">
        <f t="shared" si="382"/>
        <v>3087090</v>
      </c>
      <c r="T598" s="122">
        <f t="shared" si="382"/>
        <v>46</v>
      </c>
      <c r="U598" s="122">
        <f t="shared" si="382"/>
        <v>3087090</v>
      </c>
      <c r="V598" s="123">
        <f t="shared" si="382"/>
        <v>46</v>
      </c>
      <c r="W598" s="123">
        <f t="shared" si="382"/>
        <v>3087090</v>
      </c>
      <c r="X598" s="122">
        <f t="shared" si="382"/>
        <v>0</v>
      </c>
      <c r="Y598" s="123">
        <f t="shared" si="382"/>
        <v>0</v>
      </c>
      <c r="AA598" s="65"/>
      <c r="AC598" s="122">
        <f>SUM(AC573:AC597)</f>
        <v>0</v>
      </c>
      <c r="AD598" s="122">
        <f>SUM(AD573:AD597)</f>
        <v>0</v>
      </c>
      <c r="AE598" s="122">
        <f>SUM(AE573:AE597)</f>
        <v>0</v>
      </c>
      <c r="AF598" s="123">
        <f>SUM(AF573:AF597)</f>
        <v>0</v>
      </c>
      <c r="AG598" s="100"/>
      <c r="AI598" s="122">
        <f>SUM(AI573:AI597)</f>
        <v>0</v>
      </c>
      <c r="AJ598" s="122">
        <f>SUM(AJ573:AJ597)</f>
        <v>0</v>
      </c>
      <c r="AK598" s="123">
        <f>SUM(AK573:AK597)</f>
        <v>0</v>
      </c>
      <c r="AL598" s="100"/>
      <c r="AN598" s="65"/>
    </row>
    <row r="599" spans="2:40 16128:16147" ht="13" thickBot="1">
      <c r="AA599" s="65"/>
      <c r="AN599" s="65"/>
    </row>
    <row r="600" spans="2:40 16128:16147" ht="41.25" customHeight="1" thickBot="1">
      <c r="B600" s="112" t="s">
        <v>4</v>
      </c>
      <c r="C600" s="34" t="s">
        <v>6</v>
      </c>
      <c r="D600" s="34" t="s">
        <v>7</v>
      </c>
      <c r="E600" s="34" t="s">
        <v>49</v>
      </c>
      <c r="F600" s="34" t="s">
        <v>50</v>
      </c>
      <c r="G600" s="34" t="s">
        <v>51</v>
      </c>
      <c r="H600" s="34" t="s">
        <v>52</v>
      </c>
      <c r="I600" s="34" t="s">
        <v>13</v>
      </c>
      <c r="J600" s="12" t="s">
        <v>8</v>
      </c>
      <c r="K600" s="12" t="s">
        <v>36</v>
      </c>
      <c r="L600" s="12" t="s">
        <v>9</v>
      </c>
      <c r="M600" s="12" t="s">
        <v>37</v>
      </c>
      <c r="N600" s="87" t="s">
        <v>10</v>
      </c>
      <c r="O600" s="88" t="s">
        <v>38</v>
      </c>
      <c r="P600" s="87" t="s">
        <v>11</v>
      </c>
      <c r="Q600" s="88" t="s">
        <v>39</v>
      </c>
      <c r="R600" s="87" t="s">
        <v>12</v>
      </c>
      <c r="S600" s="88" t="s">
        <v>40</v>
      </c>
      <c r="T600" s="64" t="s">
        <v>41</v>
      </c>
      <c r="U600" s="64" t="s">
        <v>42</v>
      </c>
      <c r="V600" s="35" t="s">
        <v>32</v>
      </c>
      <c r="W600" s="67" t="s">
        <v>35</v>
      </c>
      <c r="X600" s="12" t="s">
        <v>34</v>
      </c>
      <c r="Y600" s="68" t="s">
        <v>33</v>
      </c>
      <c r="AA600" s="66"/>
      <c r="AC600" s="12" t="s">
        <v>34</v>
      </c>
      <c r="AD600" s="12" t="s">
        <v>45</v>
      </c>
      <c r="AE600" s="12" t="s">
        <v>43</v>
      </c>
      <c r="AF600" s="12" t="s">
        <v>44</v>
      </c>
      <c r="AG600" s="12" t="s">
        <v>46</v>
      </c>
      <c r="AI600" s="12" t="s">
        <v>33</v>
      </c>
      <c r="AJ600" s="12" t="s">
        <v>47</v>
      </c>
      <c r="AK600" s="12" t="s">
        <v>48</v>
      </c>
      <c r="AL600" s="12" t="s">
        <v>46</v>
      </c>
      <c r="AN600" s="66"/>
      <c r="WVH600" s="1"/>
      <c r="WVI600" s="1"/>
      <c r="WVZ600"/>
      <c r="WWA600"/>
    </row>
    <row r="601" spans="2:40 16128:16147" ht="13" customHeight="1">
      <c r="B601" s="119" t="s">
        <v>82</v>
      </c>
      <c r="C601" s="24">
        <f>IF(D601&lt;=15,$C$1,$C$2)</f>
        <v>2026092</v>
      </c>
      <c r="D601" s="24">
        <v>22</v>
      </c>
      <c r="E601" s="127">
        <v>20</v>
      </c>
      <c r="F601" s="125" t="str">
        <f>VLOOKUP(E601,'Códigos bancos'!$B$4:$C$29,2,0)</f>
        <v>Bancolombia ENERBIT</v>
      </c>
      <c r="G601" s="18">
        <v>1</v>
      </c>
      <c r="H601" s="125" t="str">
        <f>VLOOKUP(G601,'Códigos bancos'!$F$4:$G$14,2,0)</f>
        <v>Oficinas</v>
      </c>
      <c r="I601" s="129"/>
      <c r="J601" s="213">
        <v>0</v>
      </c>
      <c r="K601" s="213">
        <v>0</v>
      </c>
      <c r="L601" s="213">
        <v>0</v>
      </c>
      <c r="M601" s="213">
        <v>0</v>
      </c>
      <c r="N601" s="213">
        <v>0</v>
      </c>
      <c r="O601" s="213">
        <v>0</v>
      </c>
      <c r="P601" s="213">
        <v>0</v>
      </c>
      <c r="Q601" s="213">
        <v>0</v>
      </c>
      <c r="R601" s="174">
        <f>103+1</f>
        <v>104</v>
      </c>
      <c r="S601" s="215">
        <f>4593410+40420</f>
        <v>4633830</v>
      </c>
      <c r="T601" s="70">
        <f>J601+L601+N601+P601+R601</f>
        <v>104</v>
      </c>
      <c r="U601" s="70">
        <f>K601+M601+O601+Q601+S601</f>
        <v>4633830</v>
      </c>
      <c r="V601" s="174">
        <v>104</v>
      </c>
      <c r="W601" s="215">
        <v>4633830</v>
      </c>
      <c r="X601" s="70">
        <f>V601-T601</f>
        <v>0</v>
      </c>
      <c r="Y601" s="70">
        <f>W601-U601</f>
        <v>0</v>
      </c>
      <c r="AA601" s="65"/>
      <c r="AC601" s="124">
        <f>X601</f>
        <v>0</v>
      </c>
      <c r="AD601" s="115"/>
      <c r="AE601" s="16"/>
      <c r="AF601" s="114"/>
      <c r="AG601" s="124" t="b">
        <f>AC601=(AD601+AE601+AF601)</f>
        <v>1</v>
      </c>
      <c r="AI601" s="70">
        <f>Y601</f>
        <v>0</v>
      </c>
      <c r="AJ601" s="115"/>
      <c r="AK601" s="114"/>
      <c r="AL601" s="70" t="b">
        <f>AI601=(AJ601+AK601)</f>
        <v>1</v>
      </c>
      <c r="AN601" s="65"/>
    </row>
    <row r="602" spans="2:40 16128:16147" ht="13" customHeight="1">
      <c r="B602" s="119"/>
      <c r="C602" s="23">
        <f t="shared" ref="C602:C625" si="383">IF(D602&lt;=15,$C$1,$C$2)</f>
        <v>2026092</v>
      </c>
      <c r="D602" s="23">
        <v>22</v>
      </c>
      <c r="E602" s="128">
        <v>0</v>
      </c>
      <c r="F602" s="126" t="e">
        <f>VLOOKUP(E602,'Códigos bancos'!$B$4:$C$29,2,0)</f>
        <v>#N/A</v>
      </c>
      <c r="G602" s="36">
        <v>1</v>
      </c>
      <c r="H602" s="126" t="str">
        <f>VLOOKUP(G602,'Códigos bancos'!$F$4:$G$14,2,0)</f>
        <v>Oficinas</v>
      </c>
      <c r="I602" s="130"/>
      <c r="J602" s="174">
        <v>0</v>
      </c>
      <c r="K602" s="174">
        <v>0</v>
      </c>
      <c r="L602" s="174">
        <v>0</v>
      </c>
      <c r="M602" s="174">
        <v>0</v>
      </c>
      <c r="N602" s="174">
        <v>0</v>
      </c>
      <c r="O602" s="174">
        <v>0</v>
      </c>
      <c r="P602" s="174">
        <v>0</v>
      </c>
      <c r="Q602" s="174">
        <v>0</v>
      </c>
      <c r="R602" s="174">
        <v>0</v>
      </c>
      <c r="S602" s="215">
        <v>0</v>
      </c>
      <c r="T602" s="71">
        <f t="shared" ref="T602:T625" si="384">J602+L602+N602+P602+R602</f>
        <v>0</v>
      </c>
      <c r="U602" s="71">
        <f t="shared" ref="U602:U625" si="385">K602+M602+O602+Q602+S602</f>
        <v>0</v>
      </c>
      <c r="V602" s="117">
        <v>0</v>
      </c>
      <c r="W602" s="117">
        <v>0</v>
      </c>
      <c r="X602" s="71">
        <f t="shared" ref="X602:X625" si="386">V602-T602</f>
        <v>0</v>
      </c>
      <c r="Y602" s="71">
        <f t="shared" ref="Y602:Y625" si="387">W602-U602</f>
        <v>0</v>
      </c>
      <c r="AA602" s="65"/>
      <c r="AC602" s="71">
        <f t="shared" ref="AC602:AC625" si="388">X602</f>
        <v>0</v>
      </c>
      <c r="AD602" s="39"/>
      <c r="AE602" s="7"/>
      <c r="AF602" s="15"/>
      <c r="AG602" s="71" t="b">
        <f t="shared" ref="AG602:AG625" si="389">AC602=(AD602+AE602+AF602)</f>
        <v>1</v>
      </c>
      <c r="AI602" s="71">
        <f t="shared" ref="AI602:AI625" si="390">Y602</f>
        <v>0</v>
      </c>
      <c r="AJ602" s="39"/>
      <c r="AK602" s="15"/>
      <c r="AL602" s="71" t="b">
        <f t="shared" ref="AL602:AL625" si="391">AI602=(AJ602+AK602)</f>
        <v>1</v>
      </c>
      <c r="AN602" s="65"/>
    </row>
    <row r="603" spans="2:40 16128:16147" ht="13" customHeight="1">
      <c r="B603" s="119"/>
      <c r="C603" s="23">
        <f t="shared" si="383"/>
        <v>2026092</v>
      </c>
      <c r="D603" s="23">
        <v>22</v>
      </c>
      <c r="E603" s="128">
        <v>0</v>
      </c>
      <c r="F603" s="126" t="e">
        <f>VLOOKUP(E603,'Códigos bancos'!$B$4:$C$29,2,0)</f>
        <v>#N/A</v>
      </c>
      <c r="G603" s="36">
        <v>1</v>
      </c>
      <c r="H603" s="126" t="str">
        <f>VLOOKUP(G603,'Códigos bancos'!$F$4:$G$14,2,0)</f>
        <v>Oficinas</v>
      </c>
      <c r="I603" s="130"/>
      <c r="J603" s="174">
        <v>0</v>
      </c>
      <c r="K603" s="174">
        <v>0</v>
      </c>
      <c r="L603" s="174">
        <v>0</v>
      </c>
      <c r="M603" s="174">
        <v>0</v>
      </c>
      <c r="N603" s="174">
        <v>0</v>
      </c>
      <c r="O603" s="174">
        <v>0</v>
      </c>
      <c r="P603" s="174">
        <v>0</v>
      </c>
      <c r="Q603" s="174">
        <v>0</v>
      </c>
      <c r="R603" s="174">
        <v>0</v>
      </c>
      <c r="S603" s="215">
        <v>0</v>
      </c>
      <c r="T603" s="71">
        <f t="shared" si="384"/>
        <v>0</v>
      </c>
      <c r="U603" s="71">
        <f t="shared" si="385"/>
        <v>0</v>
      </c>
      <c r="V603" s="117">
        <v>0</v>
      </c>
      <c r="W603" s="117">
        <v>0</v>
      </c>
      <c r="X603" s="71">
        <f t="shared" si="386"/>
        <v>0</v>
      </c>
      <c r="Y603" s="71">
        <f t="shared" si="387"/>
        <v>0</v>
      </c>
      <c r="AA603" s="65"/>
      <c r="AC603" s="71">
        <f t="shared" si="388"/>
        <v>0</v>
      </c>
      <c r="AD603" s="45"/>
      <c r="AE603" s="14"/>
      <c r="AF603" s="46"/>
      <c r="AG603" s="71" t="b">
        <f t="shared" si="389"/>
        <v>1</v>
      </c>
      <c r="AI603" s="71">
        <f t="shared" si="390"/>
        <v>0</v>
      </c>
      <c r="AJ603" s="45"/>
      <c r="AK603" s="46"/>
      <c r="AL603" s="71" t="b">
        <f t="shared" si="391"/>
        <v>1</v>
      </c>
      <c r="AN603" s="65"/>
    </row>
    <row r="604" spans="2:40 16128:16147" ht="13" customHeight="1">
      <c r="B604" s="119"/>
      <c r="C604" s="23">
        <f t="shared" si="383"/>
        <v>2026092</v>
      </c>
      <c r="D604" s="23">
        <v>22</v>
      </c>
      <c r="E604" s="128">
        <v>0</v>
      </c>
      <c r="F604" s="126" t="e">
        <f>VLOOKUP(E604,'Códigos bancos'!$B$4:$C$29,2,0)</f>
        <v>#N/A</v>
      </c>
      <c r="G604" s="36">
        <v>1</v>
      </c>
      <c r="H604" s="126" t="str">
        <f>VLOOKUP(G604,'Códigos bancos'!$F$4:$G$14,2,0)</f>
        <v>Oficinas</v>
      </c>
      <c r="I604" s="130"/>
      <c r="J604" s="174">
        <v>0</v>
      </c>
      <c r="K604" s="174">
        <v>0</v>
      </c>
      <c r="L604" s="174">
        <v>0</v>
      </c>
      <c r="M604" s="174">
        <v>0</v>
      </c>
      <c r="N604" s="174">
        <v>0</v>
      </c>
      <c r="O604" s="174">
        <v>0</v>
      </c>
      <c r="P604" s="174">
        <v>0</v>
      </c>
      <c r="Q604" s="174">
        <v>0</v>
      </c>
      <c r="R604" s="174">
        <v>0</v>
      </c>
      <c r="S604" s="215">
        <v>0</v>
      </c>
      <c r="T604" s="71">
        <f t="shared" si="384"/>
        <v>0</v>
      </c>
      <c r="U604" s="71">
        <f t="shared" si="385"/>
        <v>0</v>
      </c>
      <c r="V604" s="117">
        <v>0</v>
      </c>
      <c r="W604" s="117">
        <v>0</v>
      </c>
      <c r="X604" s="71">
        <f t="shared" si="386"/>
        <v>0</v>
      </c>
      <c r="Y604" s="71">
        <f t="shared" si="387"/>
        <v>0</v>
      </c>
      <c r="AA604" s="65"/>
      <c r="AC604" s="71">
        <f t="shared" si="388"/>
        <v>0</v>
      </c>
      <c r="AD604" s="39"/>
      <c r="AE604" s="7"/>
      <c r="AF604" s="15"/>
      <c r="AG604" s="71" t="b">
        <f t="shared" si="389"/>
        <v>1</v>
      </c>
      <c r="AI604" s="71">
        <f t="shared" si="390"/>
        <v>0</v>
      </c>
      <c r="AJ604" s="39"/>
      <c r="AK604" s="15"/>
      <c r="AL604" s="71" t="b">
        <f t="shared" si="391"/>
        <v>1</v>
      </c>
      <c r="AN604" s="65"/>
    </row>
    <row r="605" spans="2:40 16128:16147" ht="13" customHeight="1">
      <c r="B605" s="119"/>
      <c r="C605" s="23">
        <f t="shared" si="383"/>
        <v>2026092</v>
      </c>
      <c r="D605" s="23">
        <v>22</v>
      </c>
      <c r="E605" s="128">
        <v>0</v>
      </c>
      <c r="F605" s="126" t="e">
        <f>VLOOKUP(E605,'Códigos bancos'!$B$4:$C$29,2,0)</f>
        <v>#N/A</v>
      </c>
      <c r="G605" s="36">
        <v>1</v>
      </c>
      <c r="H605" s="126" t="str">
        <f>VLOOKUP(G605,'Códigos bancos'!$F$4:$G$14,2,0)</f>
        <v>Oficinas</v>
      </c>
      <c r="I605" s="130"/>
      <c r="J605" s="174">
        <v>0</v>
      </c>
      <c r="K605" s="174">
        <v>0</v>
      </c>
      <c r="L605" s="174">
        <v>0</v>
      </c>
      <c r="M605" s="174">
        <v>0</v>
      </c>
      <c r="N605" s="174">
        <v>0</v>
      </c>
      <c r="O605" s="174">
        <v>0</v>
      </c>
      <c r="P605" s="174">
        <v>0</v>
      </c>
      <c r="Q605" s="174">
        <v>0</v>
      </c>
      <c r="R605" s="174">
        <v>0</v>
      </c>
      <c r="S605" s="215">
        <v>0</v>
      </c>
      <c r="T605" s="71">
        <f t="shared" si="384"/>
        <v>0</v>
      </c>
      <c r="U605" s="71">
        <f t="shared" si="385"/>
        <v>0</v>
      </c>
      <c r="V605" s="117">
        <v>0</v>
      </c>
      <c r="W605" s="117">
        <v>0</v>
      </c>
      <c r="X605" s="71">
        <f t="shared" si="386"/>
        <v>0</v>
      </c>
      <c r="Y605" s="71">
        <f t="shared" si="387"/>
        <v>0</v>
      </c>
      <c r="AA605" s="65"/>
      <c r="AC605" s="71">
        <f t="shared" si="388"/>
        <v>0</v>
      </c>
      <c r="AD605" s="39"/>
      <c r="AE605" s="7"/>
      <c r="AF605" s="15"/>
      <c r="AG605" s="71" t="b">
        <f t="shared" si="389"/>
        <v>1</v>
      </c>
      <c r="AI605" s="71">
        <f t="shared" si="390"/>
        <v>0</v>
      </c>
      <c r="AJ605" s="39"/>
      <c r="AK605" s="15"/>
      <c r="AL605" s="71" t="b">
        <f t="shared" si="391"/>
        <v>1</v>
      </c>
      <c r="AN605" s="65"/>
    </row>
    <row r="606" spans="2:40 16128:16147" ht="13" customHeight="1">
      <c r="B606" s="119"/>
      <c r="C606" s="23">
        <f t="shared" si="383"/>
        <v>2026092</v>
      </c>
      <c r="D606" s="23">
        <v>22</v>
      </c>
      <c r="E606" s="128">
        <v>0</v>
      </c>
      <c r="F606" s="126" t="e">
        <f>VLOOKUP(E606,'Códigos bancos'!$B$4:$C$29,2,0)</f>
        <v>#N/A</v>
      </c>
      <c r="G606" s="36">
        <v>1</v>
      </c>
      <c r="H606" s="126" t="str">
        <f>VLOOKUP(G606,'Códigos bancos'!$F$4:$G$14,2,0)</f>
        <v>Oficinas</v>
      </c>
      <c r="I606" s="130"/>
      <c r="J606" s="174">
        <v>0</v>
      </c>
      <c r="K606" s="174">
        <v>0</v>
      </c>
      <c r="L606" s="174">
        <v>0</v>
      </c>
      <c r="M606" s="174">
        <v>0</v>
      </c>
      <c r="N606" s="174">
        <v>0</v>
      </c>
      <c r="O606" s="174">
        <v>0</v>
      </c>
      <c r="P606" s="174">
        <v>0</v>
      </c>
      <c r="Q606" s="174">
        <v>0</v>
      </c>
      <c r="R606" s="174">
        <v>0</v>
      </c>
      <c r="S606" s="215">
        <v>0</v>
      </c>
      <c r="T606" s="71">
        <f t="shared" si="384"/>
        <v>0</v>
      </c>
      <c r="U606" s="71">
        <f t="shared" si="385"/>
        <v>0</v>
      </c>
      <c r="V606" s="117">
        <v>0</v>
      </c>
      <c r="W606" s="117">
        <v>0</v>
      </c>
      <c r="X606" s="71">
        <f t="shared" si="386"/>
        <v>0</v>
      </c>
      <c r="Y606" s="71">
        <f t="shared" si="387"/>
        <v>0</v>
      </c>
      <c r="AA606" s="65"/>
      <c r="AC606" s="71">
        <f t="shared" si="388"/>
        <v>0</v>
      </c>
      <c r="AD606" s="39"/>
      <c r="AE606" s="7"/>
      <c r="AF606" s="15"/>
      <c r="AG606" s="71" t="b">
        <f t="shared" si="389"/>
        <v>1</v>
      </c>
      <c r="AI606" s="71">
        <f t="shared" si="390"/>
        <v>0</v>
      </c>
      <c r="AJ606" s="39"/>
      <c r="AK606" s="15"/>
      <c r="AL606" s="71" t="b">
        <f t="shared" si="391"/>
        <v>1</v>
      </c>
      <c r="AN606" s="65"/>
    </row>
    <row r="607" spans="2:40 16128:16147" ht="13" customHeight="1">
      <c r="B607" s="119"/>
      <c r="C607" s="23">
        <f t="shared" si="383"/>
        <v>2026092</v>
      </c>
      <c r="D607" s="23">
        <v>22</v>
      </c>
      <c r="E607" s="128">
        <v>0</v>
      </c>
      <c r="F607" s="126" t="e">
        <f>VLOOKUP(E607,'Códigos bancos'!$B$4:$C$29,2,0)</f>
        <v>#N/A</v>
      </c>
      <c r="G607" s="36">
        <v>1</v>
      </c>
      <c r="H607" s="126" t="str">
        <f>VLOOKUP(G607,'Códigos bancos'!$F$4:$G$14,2,0)</f>
        <v>Oficinas</v>
      </c>
      <c r="I607" s="130"/>
      <c r="J607" s="174">
        <v>0</v>
      </c>
      <c r="K607" s="174">
        <v>0</v>
      </c>
      <c r="L607" s="174">
        <v>0</v>
      </c>
      <c r="M607" s="174">
        <v>0</v>
      </c>
      <c r="N607" s="174">
        <v>0</v>
      </c>
      <c r="O607" s="174">
        <v>0</v>
      </c>
      <c r="P607" s="174">
        <v>0</v>
      </c>
      <c r="Q607" s="174">
        <v>0</v>
      </c>
      <c r="R607" s="174">
        <v>0</v>
      </c>
      <c r="S607" s="215">
        <v>0</v>
      </c>
      <c r="T607" s="71">
        <f t="shared" si="384"/>
        <v>0</v>
      </c>
      <c r="U607" s="71">
        <f t="shared" si="385"/>
        <v>0</v>
      </c>
      <c r="V607" s="117">
        <v>0</v>
      </c>
      <c r="W607" s="117">
        <v>0</v>
      </c>
      <c r="X607" s="71">
        <f t="shared" si="386"/>
        <v>0</v>
      </c>
      <c r="Y607" s="71">
        <f t="shared" si="387"/>
        <v>0</v>
      </c>
      <c r="AA607" s="65"/>
      <c r="AC607" s="71">
        <f t="shared" si="388"/>
        <v>0</v>
      </c>
      <c r="AD607" s="39"/>
      <c r="AE607" s="7"/>
      <c r="AF607" s="15"/>
      <c r="AG607" s="71" t="b">
        <f t="shared" si="389"/>
        <v>1</v>
      </c>
      <c r="AI607" s="71">
        <f t="shared" si="390"/>
        <v>0</v>
      </c>
      <c r="AJ607" s="39"/>
      <c r="AK607" s="15"/>
      <c r="AL607" s="71" t="b">
        <f t="shared" si="391"/>
        <v>1</v>
      </c>
      <c r="AN607" s="65"/>
    </row>
    <row r="608" spans="2:40 16128:16147" ht="13" customHeight="1">
      <c r="B608" s="119"/>
      <c r="C608" s="23">
        <f t="shared" si="383"/>
        <v>2026092</v>
      </c>
      <c r="D608" s="23">
        <v>22</v>
      </c>
      <c r="E608" s="128">
        <v>0</v>
      </c>
      <c r="F608" s="126" t="e">
        <f>VLOOKUP(E608,'Códigos bancos'!$B$4:$C$29,2,0)</f>
        <v>#N/A</v>
      </c>
      <c r="G608" s="36">
        <v>1</v>
      </c>
      <c r="H608" s="126" t="str">
        <f>VLOOKUP(G608,'Códigos bancos'!$F$4:$G$14,2,0)</f>
        <v>Oficinas</v>
      </c>
      <c r="I608" s="130"/>
      <c r="J608" s="174">
        <v>0</v>
      </c>
      <c r="K608" s="174">
        <v>0</v>
      </c>
      <c r="L608" s="174">
        <v>0</v>
      </c>
      <c r="M608" s="174">
        <v>0</v>
      </c>
      <c r="N608" s="174">
        <v>0</v>
      </c>
      <c r="O608" s="174">
        <v>0</v>
      </c>
      <c r="P608" s="174">
        <v>0</v>
      </c>
      <c r="Q608" s="174">
        <v>0</v>
      </c>
      <c r="R608" s="174">
        <v>0</v>
      </c>
      <c r="S608" s="215">
        <v>0</v>
      </c>
      <c r="T608" s="71">
        <f t="shared" si="384"/>
        <v>0</v>
      </c>
      <c r="U608" s="71">
        <f t="shared" si="385"/>
        <v>0</v>
      </c>
      <c r="V608" s="117">
        <v>0</v>
      </c>
      <c r="W608" s="117">
        <v>0</v>
      </c>
      <c r="X608" s="71">
        <f t="shared" si="386"/>
        <v>0</v>
      </c>
      <c r="Y608" s="71">
        <f t="shared" si="387"/>
        <v>0</v>
      </c>
      <c r="AA608" s="65"/>
      <c r="AC608" s="71">
        <f t="shared" si="388"/>
        <v>0</v>
      </c>
      <c r="AD608" s="39"/>
      <c r="AE608" s="7"/>
      <c r="AF608" s="15"/>
      <c r="AG608" s="71" t="b">
        <f t="shared" si="389"/>
        <v>1</v>
      </c>
      <c r="AI608" s="71">
        <f t="shared" si="390"/>
        <v>0</v>
      </c>
      <c r="AJ608" s="39"/>
      <c r="AK608" s="15"/>
      <c r="AL608" s="71" t="b">
        <f t="shared" si="391"/>
        <v>1</v>
      </c>
      <c r="AN608" s="65"/>
    </row>
    <row r="609" spans="2:40" ht="13" customHeight="1">
      <c r="B609" s="119"/>
      <c r="C609" s="23">
        <f t="shared" si="383"/>
        <v>2026092</v>
      </c>
      <c r="D609" s="23">
        <v>22</v>
      </c>
      <c r="E609" s="128">
        <v>0</v>
      </c>
      <c r="F609" s="126" t="e">
        <f>VLOOKUP(E609,'Códigos bancos'!$B$4:$C$29,2,0)</f>
        <v>#N/A</v>
      </c>
      <c r="G609" s="36">
        <v>1</v>
      </c>
      <c r="H609" s="126" t="str">
        <f>VLOOKUP(G609,'Códigos bancos'!$F$4:$G$14,2,0)</f>
        <v>Oficinas</v>
      </c>
      <c r="I609" s="130"/>
      <c r="J609" s="174">
        <v>0</v>
      </c>
      <c r="K609" s="174">
        <v>0</v>
      </c>
      <c r="L609" s="174">
        <v>0</v>
      </c>
      <c r="M609" s="174">
        <v>0</v>
      </c>
      <c r="N609" s="174">
        <v>0</v>
      </c>
      <c r="O609" s="174">
        <v>0</v>
      </c>
      <c r="P609" s="174">
        <v>0</v>
      </c>
      <c r="Q609" s="174">
        <v>0</v>
      </c>
      <c r="R609" s="174">
        <v>0</v>
      </c>
      <c r="S609" s="215">
        <v>0</v>
      </c>
      <c r="T609" s="71">
        <f t="shared" si="384"/>
        <v>0</v>
      </c>
      <c r="U609" s="71">
        <f t="shared" si="385"/>
        <v>0</v>
      </c>
      <c r="V609" s="117">
        <v>0</v>
      </c>
      <c r="W609" s="117">
        <v>0</v>
      </c>
      <c r="X609" s="71">
        <f t="shared" si="386"/>
        <v>0</v>
      </c>
      <c r="Y609" s="71">
        <f t="shared" si="387"/>
        <v>0</v>
      </c>
      <c r="AA609" s="65"/>
      <c r="AC609" s="71">
        <f t="shared" si="388"/>
        <v>0</v>
      </c>
      <c r="AD609" s="39"/>
      <c r="AE609" s="7"/>
      <c r="AF609" s="15"/>
      <c r="AG609" s="71" t="b">
        <f t="shared" si="389"/>
        <v>1</v>
      </c>
      <c r="AI609" s="71">
        <f t="shared" si="390"/>
        <v>0</v>
      </c>
      <c r="AJ609" s="39"/>
      <c r="AK609" s="15"/>
      <c r="AL609" s="71" t="b">
        <f t="shared" si="391"/>
        <v>1</v>
      </c>
      <c r="AN609" s="65"/>
    </row>
    <row r="610" spans="2:40" ht="13" customHeight="1">
      <c r="B610" s="119"/>
      <c r="C610" s="23">
        <f t="shared" si="383"/>
        <v>2026092</v>
      </c>
      <c r="D610" s="23">
        <v>22</v>
      </c>
      <c r="E610" s="128">
        <v>0</v>
      </c>
      <c r="F610" s="126" t="e">
        <f>VLOOKUP(E610,'Códigos bancos'!$B$4:$C$29,2,0)</f>
        <v>#N/A</v>
      </c>
      <c r="G610" s="36">
        <v>1</v>
      </c>
      <c r="H610" s="126" t="str">
        <f>VLOOKUP(G610,'Códigos bancos'!$F$4:$G$14,2,0)</f>
        <v>Oficinas</v>
      </c>
      <c r="I610" s="130"/>
      <c r="J610" s="174">
        <v>0</v>
      </c>
      <c r="K610" s="174">
        <v>0</v>
      </c>
      <c r="L610" s="174">
        <v>0</v>
      </c>
      <c r="M610" s="174">
        <v>0</v>
      </c>
      <c r="N610" s="174">
        <v>0</v>
      </c>
      <c r="O610" s="174">
        <v>0</v>
      </c>
      <c r="P610" s="174">
        <v>0</v>
      </c>
      <c r="Q610" s="174">
        <v>0</v>
      </c>
      <c r="R610" s="174">
        <v>0</v>
      </c>
      <c r="S610" s="215">
        <v>0</v>
      </c>
      <c r="T610" s="71">
        <f t="shared" si="384"/>
        <v>0</v>
      </c>
      <c r="U610" s="71">
        <f t="shared" si="385"/>
        <v>0</v>
      </c>
      <c r="V610" s="117">
        <v>0</v>
      </c>
      <c r="W610" s="117">
        <v>0</v>
      </c>
      <c r="X610" s="71">
        <f t="shared" si="386"/>
        <v>0</v>
      </c>
      <c r="Y610" s="71">
        <f t="shared" si="387"/>
        <v>0</v>
      </c>
      <c r="AA610" s="65"/>
      <c r="AC610" s="71">
        <f t="shared" si="388"/>
        <v>0</v>
      </c>
      <c r="AD610" s="39"/>
      <c r="AE610" s="7"/>
      <c r="AF610" s="15"/>
      <c r="AG610" s="71" t="b">
        <f t="shared" si="389"/>
        <v>1</v>
      </c>
      <c r="AI610" s="71">
        <f t="shared" si="390"/>
        <v>0</v>
      </c>
      <c r="AJ610" s="39"/>
      <c r="AK610" s="15"/>
      <c r="AL610" s="71" t="b">
        <f t="shared" si="391"/>
        <v>1</v>
      </c>
      <c r="AN610" s="65"/>
    </row>
    <row r="611" spans="2:40" ht="13" customHeight="1">
      <c r="B611" s="119"/>
      <c r="C611" s="23">
        <f t="shared" si="383"/>
        <v>2026092</v>
      </c>
      <c r="D611" s="23">
        <v>22</v>
      </c>
      <c r="E611" s="128">
        <v>0</v>
      </c>
      <c r="F611" s="126" t="e">
        <f>VLOOKUP(E611,'Códigos bancos'!$B$4:$C$29,2,0)</f>
        <v>#N/A</v>
      </c>
      <c r="G611" s="36">
        <v>1</v>
      </c>
      <c r="H611" s="126" t="str">
        <f>VLOOKUP(G611,'Códigos bancos'!$F$4:$G$14,2,0)</f>
        <v>Oficinas</v>
      </c>
      <c r="I611" s="130"/>
      <c r="J611" s="174">
        <v>0</v>
      </c>
      <c r="K611" s="174">
        <v>0</v>
      </c>
      <c r="L611" s="174">
        <v>0</v>
      </c>
      <c r="M611" s="174">
        <v>0</v>
      </c>
      <c r="N611" s="174">
        <v>0</v>
      </c>
      <c r="O611" s="174">
        <v>0</v>
      </c>
      <c r="P611" s="174">
        <v>0</v>
      </c>
      <c r="Q611" s="174">
        <v>0</v>
      </c>
      <c r="R611" s="174">
        <v>0</v>
      </c>
      <c r="S611" s="215">
        <v>0</v>
      </c>
      <c r="T611" s="71">
        <f t="shared" si="384"/>
        <v>0</v>
      </c>
      <c r="U611" s="71">
        <f t="shared" si="385"/>
        <v>0</v>
      </c>
      <c r="V611" s="117">
        <v>0</v>
      </c>
      <c r="W611" s="117">
        <v>0</v>
      </c>
      <c r="X611" s="71">
        <f t="shared" si="386"/>
        <v>0</v>
      </c>
      <c r="Y611" s="71">
        <f t="shared" si="387"/>
        <v>0</v>
      </c>
      <c r="AA611" s="65"/>
      <c r="AC611" s="71">
        <f t="shared" si="388"/>
        <v>0</v>
      </c>
      <c r="AD611" s="39"/>
      <c r="AE611" s="7"/>
      <c r="AF611" s="15"/>
      <c r="AG611" s="71" t="b">
        <f t="shared" si="389"/>
        <v>1</v>
      </c>
      <c r="AI611" s="71">
        <f t="shared" si="390"/>
        <v>0</v>
      </c>
      <c r="AJ611" s="39"/>
      <c r="AK611" s="15"/>
      <c r="AL611" s="71" t="b">
        <f t="shared" si="391"/>
        <v>1</v>
      </c>
      <c r="AN611" s="65"/>
    </row>
    <row r="612" spans="2:40" ht="13" customHeight="1">
      <c r="B612" s="119"/>
      <c r="C612" s="23">
        <f t="shared" si="383"/>
        <v>2026092</v>
      </c>
      <c r="D612" s="23">
        <v>22</v>
      </c>
      <c r="E612" s="128">
        <v>0</v>
      </c>
      <c r="F612" s="126" t="e">
        <f>VLOOKUP(E612,'Códigos bancos'!$B$4:$C$29,2,0)</f>
        <v>#N/A</v>
      </c>
      <c r="G612" s="36">
        <v>1</v>
      </c>
      <c r="H612" s="126" t="str">
        <f>VLOOKUP(G612,'Códigos bancos'!$F$4:$G$14,2,0)</f>
        <v>Oficinas</v>
      </c>
      <c r="I612" s="130"/>
      <c r="J612" s="174">
        <v>0</v>
      </c>
      <c r="K612" s="174">
        <v>0</v>
      </c>
      <c r="L612" s="174">
        <v>0</v>
      </c>
      <c r="M612" s="174">
        <v>0</v>
      </c>
      <c r="N612" s="174">
        <v>0</v>
      </c>
      <c r="O612" s="174">
        <v>0</v>
      </c>
      <c r="P612" s="174">
        <v>0</v>
      </c>
      <c r="Q612" s="174">
        <v>0</v>
      </c>
      <c r="R612" s="174">
        <v>0</v>
      </c>
      <c r="S612" s="215">
        <v>0</v>
      </c>
      <c r="T612" s="71">
        <f t="shared" si="384"/>
        <v>0</v>
      </c>
      <c r="U612" s="71">
        <f t="shared" si="385"/>
        <v>0</v>
      </c>
      <c r="V612" s="117">
        <v>0</v>
      </c>
      <c r="W612" s="117">
        <v>0</v>
      </c>
      <c r="X612" s="71">
        <f t="shared" si="386"/>
        <v>0</v>
      </c>
      <c r="Y612" s="71">
        <f t="shared" si="387"/>
        <v>0</v>
      </c>
      <c r="AA612" s="65"/>
      <c r="AC612" s="71">
        <f t="shared" si="388"/>
        <v>0</v>
      </c>
      <c r="AD612" s="39"/>
      <c r="AE612" s="7"/>
      <c r="AF612" s="15"/>
      <c r="AG612" s="71" t="b">
        <f t="shared" si="389"/>
        <v>1</v>
      </c>
      <c r="AI612" s="71">
        <f t="shared" si="390"/>
        <v>0</v>
      </c>
      <c r="AJ612" s="39"/>
      <c r="AK612" s="15"/>
      <c r="AL612" s="71" t="b">
        <f t="shared" si="391"/>
        <v>1</v>
      </c>
      <c r="AN612" s="65"/>
    </row>
    <row r="613" spans="2:40" ht="13" customHeight="1">
      <c r="B613" s="119"/>
      <c r="C613" s="23">
        <f t="shared" si="383"/>
        <v>2026092</v>
      </c>
      <c r="D613" s="23">
        <v>22</v>
      </c>
      <c r="E613" s="128">
        <v>0</v>
      </c>
      <c r="F613" s="126" t="e">
        <f>VLOOKUP(E613,'Códigos bancos'!$B$4:$C$29,2,0)</f>
        <v>#N/A</v>
      </c>
      <c r="G613" s="36">
        <v>1</v>
      </c>
      <c r="H613" s="126" t="str">
        <f>VLOOKUP(G613,'Códigos bancos'!$F$4:$G$14,2,0)</f>
        <v>Oficinas</v>
      </c>
      <c r="I613" s="130"/>
      <c r="J613" s="174">
        <v>0</v>
      </c>
      <c r="K613" s="174">
        <v>0</v>
      </c>
      <c r="L613" s="174">
        <v>0</v>
      </c>
      <c r="M613" s="174">
        <v>0</v>
      </c>
      <c r="N613" s="174">
        <v>0</v>
      </c>
      <c r="O613" s="174">
        <v>0</v>
      </c>
      <c r="P613" s="174">
        <v>0</v>
      </c>
      <c r="Q613" s="174">
        <v>0</v>
      </c>
      <c r="R613" s="174">
        <v>0</v>
      </c>
      <c r="S613" s="215">
        <v>0</v>
      </c>
      <c r="T613" s="71">
        <f t="shared" si="384"/>
        <v>0</v>
      </c>
      <c r="U613" s="71">
        <f t="shared" si="385"/>
        <v>0</v>
      </c>
      <c r="V613" s="117">
        <v>0</v>
      </c>
      <c r="W613" s="117">
        <v>0</v>
      </c>
      <c r="X613" s="71">
        <f t="shared" si="386"/>
        <v>0</v>
      </c>
      <c r="Y613" s="71">
        <f t="shared" si="387"/>
        <v>0</v>
      </c>
      <c r="AA613" s="65"/>
      <c r="AC613" s="71">
        <f t="shared" si="388"/>
        <v>0</v>
      </c>
      <c r="AD613" s="39"/>
      <c r="AE613" s="7"/>
      <c r="AF613" s="15"/>
      <c r="AG613" s="71" t="b">
        <f t="shared" si="389"/>
        <v>1</v>
      </c>
      <c r="AI613" s="71">
        <f t="shared" si="390"/>
        <v>0</v>
      </c>
      <c r="AJ613" s="39"/>
      <c r="AK613" s="15"/>
      <c r="AL613" s="71" t="b">
        <f t="shared" si="391"/>
        <v>1</v>
      </c>
      <c r="AN613" s="65"/>
    </row>
    <row r="614" spans="2:40" ht="13" customHeight="1">
      <c r="B614" s="119"/>
      <c r="C614" s="159">
        <f t="shared" si="383"/>
        <v>2026092</v>
      </c>
      <c r="D614" s="23">
        <v>22</v>
      </c>
      <c r="E614" s="128">
        <v>0</v>
      </c>
      <c r="F614" s="126" t="e">
        <f>VLOOKUP(E614,'Códigos bancos'!$B$4:$C$29,2,0)</f>
        <v>#N/A</v>
      </c>
      <c r="G614" s="36">
        <v>1</v>
      </c>
      <c r="H614" s="126" t="str">
        <f>VLOOKUP(G614,'Códigos bancos'!$F$4:$G$14,2,0)</f>
        <v>Oficinas</v>
      </c>
      <c r="I614" s="130"/>
      <c r="J614" s="174">
        <v>0</v>
      </c>
      <c r="K614" s="174">
        <v>0</v>
      </c>
      <c r="L614" s="174">
        <v>0</v>
      </c>
      <c r="M614" s="174">
        <v>0</v>
      </c>
      <c r="N614" s="174">
        <v>0</v>
      </c>
      <c r="O614" s="174">
        <v>0</v>
      </c>
      <c r="P614" s="174">
        <v>0</v>
      </c>
      <c r="Q614" s="174">
        <v>0</v>
      </c>
      <c r="R614" s="174">
        <v>0</v>
      </c>
      <c r="S614" s="215">
        <v>0</v>
      </c>
      <c r="T614" s="71">
        <f t="shared" si="384"/>
        <v>0</v>
      </c>
      <c r="U614" s="71">
        <f t="shared" si="385"/>
        <v>0</v>
      </c>
      <c r="V614" s="117">
        <v>0</v>
      </c>
      <c r="W614" s="117">
        <v>0</v>
      </c>
      <c r="X614" s="71">
        <f t="shared" si="386"/>
        <v>0</v>
      </c>
      <c r="Y614" s="71">
        <f t="shared" si="387"/>
        <v>0</v>
      </c>
      <c r="AA614" s="65"/>
      <c r="AC614" s="71">
        <f t="shared" si="388"/>
        <v>0</v>
      </c>
      <c r="AD614" s="39"/>
      <c r="AE614" s="7"/>
      <c r="AF614" s="15"/>
      <c r="AG614" s="71" t="b">
        <f t="shared" si="389"/>
        <v>1</v>
      </c>
      <c r="AI614" s="71">
        <f t="shared" si="390"/>
        <v>0</v>
      </c>
      <c r="AJ614" s="39"/>
      <c r="AK614" s="15"/>
      <c r="AL614" s="71" t="b">
        <f t="shared" si="391"/>
        <v>1</v>
      </c>
      <c r="AN614" s="65"/>
    </row>
    <row r="615" spans="2:40" ht="13" customHeight="1">
      <c r="B615" s="119"/>
      <c r="C615" s="23">
        <f t="shared" si="383"/>
        <v>2026092</v>
      </c>
      <c r="D615" s="23">
        <v>22</v>
      </c>
      <c r="E615" s="128">
        <v>0</v>
      </c>
      <c r="F615" s="126" t="e">
        <f>VLOOKUP(E615,'Códigos bancos'!$B$4:$C$29,2,0)</f>
        <v>#N/A</v>
      </c>
      <c r="G615" s="36">
        <v>1</v>
      </c>
      <c r="H615" s="126" t="str">
        <f>VLOOKUP(G615,'Códigos bancos'!$F$4:$G$14,2,0)</f>
        <v>Oficinas</v>
      </c>
      <c r="I615" s="130"/>
      <c r="J615" s="174">
        <v>0</v>
      </c>
      <c r="K615" s="174">
        <v>0</v>
      </c>
      <c r="L615" s="174">
        <v>0</v>
      </c>
      <c r="M615" s="174">
        <v>0</v>
      </c>
      <c r="N615" s="174">
        <v>0</v>
      </c>
      <c r="O615" s="174">
        <v>0</v>
      </c>
      <c r="P615" s="174">
        <v>0</v>
      </c>
      <c r="Q615" s="174">
        <v>0</v>
      </c>
      <c r="R615" s="174">
        <v>0</v>
      </c>
      <c r="S615" s="215">
        <v>0</v>
      </c>
      <c r="T615" s="71">
        <f t="shared" si="384"/>
        <v>0</v>
      </c>
      <c r="U615" s="71">
        <f t="shared" si="385"/>
        <v>0</v>
      </c>
      <c r="V615" s="117">
        <v>0</v>
      </c>
      <c r="W615" s="117">
        <v>0</v>
      </c>
      <c r="X615" s="71">
        <f t="shared" si="386"/>
        <v>0</v>
      </c>
      <c r="Y615" s="71">
        <f t="shared" si="387"/>
        <v>0</v>
      </c>
      <c r="AA615" s="65"/>
      <c r="AC615" s="71">
        <f t="shared" si="388"/>
        <v>0</v>
      </c>
      <c r="AD615" s="39"/>
      <c r="AE615" s="7"/>
      <c r="AF615" s="15"/>
      <c r="AG615" s="71" t="b">
        <f t="shared" si="389"/>
        <v>1</v>
      </c>
      <c r="AI615" s="71">
        <f t="shared" si="390"/>
        <v>0</v>
      </c>
      <c r="AJ615" s="39"/>
      <c r="AK615" s="15"/>
      <c r="AL615" s="71" t="b">
        <f t="shared" si="391"/>
        <v>1</v>
      </c>
      <c r="AN615" s="65"/>
    </row>
    <row r="616" spans="2:40" ht="13" customHeight="1">
      <c r="B616" s="119"/>
      <c r="C616" s="23">
        <f t="shared" si="383"/>
        <v>2026092</v>
      </c>
      <c r="D616" s="23">
        <v>22</v>
      </c>
      <c r="E616" s="128">
        <v>0</v>
      </c>
      <c r="F616" s="126" t="e">
        <f>VLOOKUP(E616,'Códigos bancos'!$B$4:$C$29,2,0)</f>
        <v>#N/A</v>
      </c>
      <c r="G616" s="36">
        <v>1</v>
      </c>
      <c r="H616" s="126" t="str">
        <f>VLOOKUP(G616,'Códigos bancos'!$F$4:$G$14,2,0)</f>
        <v>Oficinas</v>
      </c>
      <c r="I616" s="130"/>
      <c r="J616" s="174">
        <v>0</v>
      </c>
      <c r="K616" s="174">
        <v>0</v>
      </c>
      <c r="L616" s="174">
        <v>0</v>
      </c>
      <c r="M616" s="174">
        <v>0</v>
      </c>
      <c r="N616" s="174">
        <v>0</v>
      </c>
      <c r="O616" s="174">
        <v>0</v>
      </c>
      <c r="P616" s="174">
        <v>0</v>
      </c>
      <c r="Q616" s="174">
        <v>0</v>
      </c>
      <c r="R616" s="174">
        <v>0</v>
      </c>
      <c r="S616" s="215">
        <v>0</v>
      </c>
      <c r="T616" s="71">
        <f t="shared" si="384"/>
        <v>0</v>
      </c>
      <c r="U616" s="71">
        <f t="shared" si="385"/>
        <v>0</v>
      </c>
      <c r="V616" s="117">
        <v>0</v>
      </c>
      <c r="W616" s="117">
        <v>0</v>
      </c>
      <c r="X616" s="71">
        <f t="shared" si="386"/>
        <v>0</v>
      </c>
      <c r="Y616" s="71">
        <f t="shared" si="387"/>
        <v>0</v>
      </c>
      <c r="AA616" s="65"/>
      <c r="AC616" s="71">
        <f t="shared" si="388"/>
        <v>0</v>
      </c>
      <c r="AD616" s="39"/>
      <c r="AE616" s="7"/>
      <c r="AF616" s="15"/>
      <c r="AG616" s="71" t="b">
        <f t="shared" si="389"/>
        <v>1</v>
      </c>
      <c r="AI616" s="71">
        <f t="shared" si="390"/>
        <v>0</v>
      </c>
      <c r="AJ616" s="39"/>
      <c r="AK616" s="15"/>
      <c r="AL616" s="71" t="b">
        <f t="shared" si="391"/>
        <v>1</v>
      </c>
      <c r="AN616" s="65"/>
    </row>
    <row r="617" spans="2:40" ht="13" customHeight="1">
      <c r="B617" s="119"/>
      <c r="C617" s="23">
        <f t="shared" si="383"/>
        <v>2026092</v>
      </c>
      <c r="D617" s="23">
        <v>22</v>
      </c>
      <c r="E617" s="128">
        <v>0</v>
      </c>
      <c r="F617" s="126" t="e">
        <f>VLOOKUP(E617,'Códigos bancos'!$B$4:$C$29,2,0)</f>
        <v>#N/A</v>
      </c>
      <c r="G617" s="36">
        <v>1</v>
      </c>
      <c r="H617" s="126" t="str">
        <f>VLOOKUP(G617,'Códigos bancos'!$F$4:$G$14,2,0)</f>
        <v>Oficinas</v>
      </c>
      <c r="I617" s="130"/>
      <c r="J617" s="174">
        <v>0</v>
      </c>
      <c r="K617" s="174">
        <v>0</v>
      </c>
      <c r="L617" s="174">
        <v>0</v>
      </c>
      <c r="M617" s="174">
        <v>0</v>
      </c>
      <c r="N617" s="174">
        <v>0</v>
      </c>
      <c r="O617" s="174">
        <v>0</v>
      </c>
      <c r="P617" s="174">
        <v>0</v>
      </c>
      <c r="Q617" s="174">
        <v>0</v>
      </c>
      <c r="R617" s="174">
        <v>0</v>
      </c>
      <c r="S617" s="215">
        <v>0</v>
      </c>
      <c r="T617" s="71">
        <f t="shared" si="384"/>
        <v>0</v>
      </c>
      <c r="U617" s="71">
        <f t="shared" si="385"/>
        <v>0</v>
      </c>
      <c r="V617" s="117">
        <v>0</v>
      </c>
      <c r="W617" s="117">
        <v>0</v>
      </c>
      <c r="X617" s="71">
        <f t="shared" si="386"/>
        <v>0</v>
      </c>
      <c r="Y617" s="71">
        <f t="shared" si="387"/>
        <v>0</v>
      </c>
      <c r="AA617" s="65"/>
      <c r="AC617" s="71">
        <f t="shared" si="388"/>
        <v>0</v>
      </c>
      <c r="AD617" s="39"/>
      <c r="AE617" s="7"/>
      <c r="AF617" s="15"/>
      <c r="AG617" s="71" t="b">
        <f t="shared" si="389"/>
        <v>1</v>
      </c>
      <c r="AI617" s="71">
        <f t="shared" si="390"/>
        <v>0</v>
      </c>
      <c r="AJ617" s="39"/>
      <c r="AK617" s="15"/>
      <c r="AL617" s="71" t="b">
        <f t="shared" si="391"/>
        <v>1</v>
      </c>
      <c r="AN617" s="65"/>
    </row>
    <row r="618" spans="2:40" ht="13" customHeight="1">
      <c r="B618" s="119"/>
      <c r="C618" s="23">
        <f t="shared" si="383"/>
        <v>2026092</v>
      </c>
      <c r="D618" s="23">
        <v>22</v>
      </c>
      <c r="E618" s="128">
        <v>0</v>
      </c>
      <c r="F618" s="126" t="e">
        <f>VLOOKUP(E618,'Códigos bancos'!$B$4:$C$29,2,0)</f>
        <v>#N/A</v>
      </c>
      <c r="G618" s="36">
        <v>1</v>
      </c>
      <c r="H618" s="126" t="str">
        <f>VLOOKUP(G618,'Códigos bancos'!$F$4:$G$14,2,0)</f>
        <v>Oficinas</v>
      </c>
      <c r="I618" s="130"/>
      <c r="J618" s="174">
        <v>0</v>
      </c>
      <c r="K618" s="174">
        <v>0</v>
      </c>
      <c r="L618" s="174">
        <v>0</v>
      </c>
      <c r="M618" s="174">
        <v>0</v>
      </c>
      <c r="N618" s="174">
        <v>0</v>
      </c>
      <c r="O618" s="174">
        <v>0</v>
      </c>
      <c r="P618" s="174">
        <v>0</v>
      </c>
      <c r="Q618" s="174">
        <v>0</v>
      </c>
      <c r="R618" s="174">
        <v>0</v>
      </c>
      <c r="S618" s="215">
        <v>0</v>
      </c>
      <c r="T618" s="71">
        <f t="shared" si="384"/>
        <v>0</v>
      </c>
      <c r="U618" s="71">
        <f t="shared" si="385"/>
        <v>0</v>
      </c>
      <c r="V618" s="117">
        <v>0</v>
      </c>
      <c r="W618" s="117">
        <v>0</v>
      </c>
      <c r="X618" s="71">
        <f t="shared" si="386"/>
        <v>0</v>
      </c>
      <c r="Y618" s="71">
        <f t="shared" si="387"/>
        <v>0</v>
      </c>
      <c r="AA618" s="65"/>
      <c r="AC618" s="71">
        <f t="shared" si="388"/>
        <v>0</v>
      </c>
      <c r="AD618" s="39"/>
      <c r="AE618" s="7"/>
      <c r="AF618" s="15"/>
      <c r="AG618" s="71" t="b">
        <f t="shared" si="389"/>
        <v>1</v>
      </c>
      <c r="AI618" s="71">
        <f t="shared" si="390"/>
        <v>0</v>
      </c>
      <c r="AJ618" s="39"/>
      <c r="AK618" s="15"/>
      <c r="AL618" s="71" t="b">
        <f t="shared" si="391"/>
        <v>1</v>
      </c>
      <c r="AN618" s="65"/>
    </row>
    <row r="619" spans="2:40" ht="13" customHeight="1">
      <c r="B619" s="119"/>
      <c r="C619" s="23">
        <f t="shared" si="383"/>
        <v>2026092</v>
      </c>
      <c r="D619" s="23">
        <v>22</v>
      </c>
      <c r="E619" s="128">
        <v>0</v>
      </c>
      <c r="F619" s="126" t="e">
        <f>VLOOKUP(E619,'Códigos bancos'!$B$4:$C$29,2,0)</f>
        <v>#N/A</v>
      </c>
      <c r="G619" s="36">
        <v>1</v>
      </c>
      <c r="H619" s="126" t="str">
        <f>VLOOKUP(G619,'Códigos bancos'!$F$4:$G$14,2,0)</f>
        <v>Oficinas</v>
      </c>
      <c r="I619" s="130"/>
      <c r="J619" s="174">
        <v>0</v>
      </c>
      <c r="K619" s="174">
        <v>0</v>
      </c>
      <c r="L619" s="174">
        <v>0</v>
      </c>
      <c r="M619" s="174">
        <v>0</v>
      </c>
      <c r="N619" s="174">
        <v>0</v>
      </c>
      <c r="O619" s="174">
        <v>0</v>
      </c>
      <c r="P619" s="174">
        <v>0</v>
      </c>
      <c r="Q619" s="174">
        <v>0</v>
      </c>
      <c r="R619" s="174">
        <v>0</v>
      </c>
      <c r="S619" s="215">
        <v>0</v>
      </c>
      <c r="T619" s="71">
        <f t="shared" si="384"/>
        <v>0</v>
      </c>
      <c r="U619" s="71">
        <f t="shared" si="385"/>
        <v>0</v>
      </c>
      <c r="V619" s="117">
        <v>0</v>
      </c>
      <c r="W619" s="117">
        <v>0</v>
      </c>
      <c r="X619" s="71">
        <f t="shared" si="386"/>
        <v>0</v>
      </c>
      <c r="Y619" s="71">
        <f t="shared" si="387"/>
        <v>0</v>
      </c>
      <c r="AA619" s="65"/>
      <c r="AC619" s="71">
        <f t="shared" si="388"/>
        <v>0</v>
      </c>
      <c r="AD619" s="39"/>
      <c r="AE619" s="7"/>
      <c r="AF619" s="15"/>
      <c r="AG619" s="71" t="b">
        <f t="shared" si="389"/>
        <v>1</v>
      </c>
      <c r="AI619" s="71">
        <f t="shared" si="390"/>
        <v>0</v>
      </c>
      <c r="AJ619" s="39"/>
      <c r="AK619" s="15"/>
      <c r="AL619" s="71" t="b">
        <f t="shared" si="391"/>
        <v>1</v>
      </c>
      <c r="AN619" s="65"/>
    </row>
    <row r="620" spans="2:40" ht="13" customHeight="1">
      <c r="B620" s="119"/>
      <c r="C620" s="23">
        <f t="shared" ref="C620" si="392">IF(D620&lt;=15,$C$1,$C$2)</f>
        <v>2026092</v>
      </c>
      <c r="D620" s="23">
        <v>22</v>
      </c>
      <c r="E620" s="128">
        <v>0</v>
      </c>
      <c r="F620" s="126" t="e">
        <f>VLOOKUP(E620,'Códigos bancos'!$B$4:$C$29,2,0)</f>
        <v>#N/A</v>
      </c>
      <c r="G620" s="36">
        <v>1</v>
      </c>
      <c r="H620" s="126" t="str">
        <f>VLOOKUP(G620,'Códigos bancos'!$F$4:$G$14,2,0)</f>
        <v>Oficinas</v>
      </c>
      <c r="I620" s="130"/>
      <c r="J620" s="174">
        <v>0</v>
      </c>
      <c r="K620" s="174">
        <v>0</v>
      </c>
      <c r="L620" s="174">
        <v>0</v>
      </c>
      <c r="M620" s="174">
        <v>0</v>
      </c>
      <c r="N620" s="174">
        <v>0</v>
      </c>
      <c r="O620" s="174">
        <v>0</v>
      </c>
      <c r="P620" s="174">
        <v>0</v>
      </c>
      <c r="Q620" s="174">
        <v>0</v>
      </c>
      <c r="R620" s="174">
        <v>0</v>
      </c>
      <c r="S620" s="215">
        <v>0</v>
      </c>
      <c r="T620" s="71">
        <f t="shared" ref="T620" si="393">J620+L620+N620+P620+R620</f>
        <v>0</v>
      </c>
      <c r="U620" s="71">
        <f t="shared" ref="U620" si="394">K620+M620+O620+Q620+S620</f>
        <v>0</v>
      </c>
      <c r="V620" s="117">
        <v>0</v>
      </c>
      <c r="W620" s="117">
        <v>0</v>
      </c>
      <c r="X620" s="71">
        <f t="shared" ref="X620" si="395">V620-T620</f>
        <v>0</v>
      </c>
      <c r="Y620" s="71">
        <f t="shared" ref="Y620" si="396">W620-U620</f>
        <v>0</v>
      </c>
      <c r="AA620" s="65"/>
      <c r="AC620" s="71">
        <f t="shared" ref="AC620" si="397">X620</f>
        <v>0</v>
      </c>
      <c r="AD620" s="39"/>
      <c r="AE620" s="7"/>
      <c r="AF620" s="15"/>
      <c r="AG620" s="71" t="b">
        <f t="shared" ref="AG620" si="398">AC620=(AD620+AE620+AF620)</f>
        <v>1</v>
      </c>
      <c r="AI620" s="71">
        <f t="shared" ref="AI620" si="399">Y620</f>
        <v>0</v>
      </c>
      <c r="AJ620" s="39"/>
      <c r="AK620" s="15"/>
      <c r="AL620" s="71" t="b">
        <f t="shared" ref="AL620" si="400">AI620=(AJ620+AK620)</f>
        <v>1</v>
      </c>
      <c r="AN620" s="65"/>
    </row>
    <row r="621" spans="2:40" ht="13" customHeight="1">
      <c r="B621" s="119"/>
      <c r="C621" s="23">
        <f t="shared" si="383"/>
        <v>2026092</v>
      </c>
      <c r="D621" s="23">
        <v>22</v>
      </c>
      <c r="E621" s="128">
        <v>0</v>
      </c>
      <c r="F621" s="126" t="e">
        <f>VLOOKUP(E621,'Códigos bancos'!$B$4:$C$29,2,0)</f>
        <v>#N/A</v>
      </c>
      <c r="G621" s="36">
        <v>1</v>
      </c>
      <c r="H621" s="126" t="str">
        <f>VLOOKUP(G621,'Códigos bancos'!$F$4:$G$14,2,0)</f>
        <v>Oficinas</v>
      </c>
      <c r="I621" s="130"/>
      <c r="J621" s="174">
        <v>0</v>
      </c>
      <c r="K621" s="174">
        <v>0</v>
      </c>
      <c r="L621" s="174">
        <v>0</v>
      </c>
      <c r="M621" s="174">
        <v>0</v>
      </c>
      <c r="N621" s="174">
        <v>0</v>
      </c>
      <c r="O621" s="174">
        <v>0</v>
      </c>
      <c r="P621" s="174">
        <v>0</v>
      </c>
      <c r="Q621" s="174">
        <v>0</v>
      </c>
      <c r="R621" s="174">
        <v>0</v>
      </c>
      <c r="S621" s="215">
        <v>0</v>
      </c>
      <c r="T621" s="71">
        <f t="shared" si="384"/>
        <v>0</v>
      </c>
      <c r="U621" s="71">
        <f t="shared" si="385"/>
        <v>0</v>
      </c>
      <c r="V621" s="117">
        <v>0</v>
      </c>
      <c r="W621" s="117">
        <v>0</v>
      </c>
      <c r="X621" s="71">
        <f t="shared" si="386"/>
        <v>0</v>
      </c>
      <c r="Y621" s="71">
        <f t="shared" si="387"/>
        <v>0</v>
      </c>
      <c r="AA621" s="65"/>
      <c r="AC621" s="71">
        <f t="shared" si="388"/>
        <v>0</v>
      </c>
      <c r="AD621" s="39"/>
      <c r="AE621" s="7"/>
      <c r="AF621" s="15"/>
      <c r="AG621" s="71" t="b">
        <f t="shared" si="389"/>
        <v>1</v>
      </c>
      <c r="AI621" s="71">
        <f t="shared" si="390"/>
        <v>0</v>
      </c>
      <c r="AJ621" s="39"/>
      <c r="AK621" s="15"/>
      <c r="AL621" s="71" t="b">
        <f t="shared" si="391"/>
        <v>1</v>
      </c>
      <c r="AN621" s="65"/>
    </row>
    <row r="622" spans="2:40" ht="13" customHeight="1">
      <c r="B622" s="119"/>
      <c r="C622" s="23">
        <f t="shared" si="383"/>
        <v>2026092</v>
      </c>
      <c r="D622" s="23">
        <v>22</v>
      </c>
      <c r="E622" s="128">
        <v>0</v>
      </c>
      <c r="F622" s="126" t="e">
        <f>VLOOKUP(E622,'Códigos bancos'!$B$4:$C$29,2,0)</f>
        <v>#N/A</v>
      </c>
      <c r="G622" s="36">
        <v>1</v>
      </c>
      <c r="H622" s="126" t="str">
        <f>VLOOKUP(G622,'Códigos bancos'!$F$4:$G$14,2,0)</f>
        <v>Oficinas</v>
      </c>
      <c r="I622" s="130"/>
      <c r="J622" s="174">
        <v>0</v>
      </c>
      <c r="K622" s="174">
        <v>0</v>
      </c>
      <c r="L622" s="174">
        <v>0</v>
      </c>
      <c r="M622" s="174">
        <v>0</v>
      </c>
      <c r="N622" s="174">
        <v>0</v>
      </c>
      <c r="O622" s="174">
        <v>0</v>
      </c>
      <c r="P622" s="174">
        <v>0</v>
      </c>
      <c r="Q622" s="174">
        <v>0</v>
      </c>
      <c r="R622" s="174">
        <v>0</v>
      </c>
      <c r="S622" s="215">
        <v>0</v>
      </c>
      <c r="T622" s="71">
        <f t="shared" si="384"/>
        <v>0</v>
      </c>
      <c r="U622" s="71">
        <f t="shared" si="385"/>
        <v>0</v>
      </c>
      <c r="V622" s="117">
        <v>0</v>
      </c>
      <c r="W622" s="117">
        <v>0</v>
      </c>
      <c r="X622" s="71">
        <f t="shared" si="386"/>
        <v>0</v>
      </c>
      <c r="Y622" s="71">
        <f t="shared" si="387"/>
        <v>0</v>
      </c>
      <c r="AA622" s="65"/>
      <c r="AC622" s="71">
        <f t="shared" si="388"/>
        <v>0</v>
      </c>
      <c r="AD622" s="39"/>
      <c r="AE622" s="7"/>
      <c r="AF622" s="15"/>
      <c r="AG622" s="71" t="b">
        <f t="shared" si="389"/>
        <v>1</v>
      </c>
      <c r="AI622" s="71">
        <f t="shared" si="390"/>
        <v>0</v>
      </c>
      <c r="AJ622" s="39"/>
      <c r="AK622" s="15"/>
      <c r="AL622" s="71" t="b">
        <f t="shared" si="391"/>
        <v>1</v>
      </c>
      <c r="AN622" s="65"/>
    </row>
    <row r="623" spans="2:40" ht="13" customHeight="1">
      <c r="B623" s="119"/>
      <c r="C623" s="23">
        <f t="shared" si="383"/>
        <v>2026092</v>
      </c>
      <c r="D623" s="23">
        <v>22</v>
      </c>
      <c r="E623" s="128">
        <v>0</v>
      </c>
      <c r="F623" s="126" t="e">
        <f>VLOOKUP(E623,'Códigos bancos'!$B$4:$C$29,2,0)</f>
        <v>#N/A</v>
      </c>
      <c r="G623" s="36">
        <v>1</v>
      </c>
      <c r="H623" s="126" t="str">
        <f>VLOOKUP(G623,'Códigos bancos'!$F$4:$G$14,2,0)</f>
        <v>Oficinas</v>
      </c>
      <c r="I623" s="130"/>
      <c r="J623" s="174">
        <v>0</v>
      </c>
      <c r="K623" s="174">
        <v>0</v>
      </c>
      <c r="L623" s="174">
        <v>0</v>
      </c>
      <c r="M623" s="174">
        <v>0</v>
      </c>
      <c r="N623" s="174">
        <v>0</v>
      </c>
      <c r="O623" s="174">
        <v>0</v>
      </c>
      <c r="P623" s="174">
        <v>0</v>
      </c>
      <c r="Q623" s="174">
        <v>0</v>
      </c>
      <c r="R623" s="174">
        <v>0</v>
      </c>
      <c r="S623" s="215">
        <v>0</v>
      </c>
      <c r="T623" s="71">
        <f t="shared" si="384"/>
        <v>0</v>
      </c>
      <c r="U623" s="71">
        <f t="shared" si="385"/>
        <v>0</v>
      </c>
      <c r="V623" s="117">
        <v>0</v>
      </c>
      <c r="W623" s="117">
        <v>0</v>
      </c>
      <c r="X623" s="71">
        <f t="shared" si="386"/>
        <v>0</v>
      </c>
      <c r="Y623" s="71">
        <f t="shared" si="387"/>
        <v>0</v>
      </c>
      <c r="AA623" s="65"/>
      <c r="AC623" s="71">
        <f t="shared" si="388"/>
        <v>0</v>
      </c>
      <c r="AD623" s="39"/>
      <c r="AE623" s="7"/>
      <c r="AF623" s="15"/>
      <c r="AG623" s="71" t="b">
        <f t="shared" si="389"/>
        <v>1</v>
      </c>
      <c r="AI623" s="71"/>
      <c r="AJ623" s="39"/>
      <c r="AK623" s="15"/>
      <c r="AL623" s="71" t="b">
        <f t="shared" si="391"/>
        <v>1</v>
      </c>
      <c r="AN623" s="65"/>
    </row>
    <row r="624" spans="2:40" ht="13" customHeight="1">
      <c r="B624" s="119"/>
      <c r="C624" s="23">
        <f t="shared" si="383"/>
        <v>2026092</v>
      </c>
      <c r="D624" s="23">
        <v>22</v>
      </c>
      <c r="E624" s="128">
        <v>0</v>
      </c>
      <c r="F624" s="126" t="e">
        <f>VLOOKUP(E624,'Códigos bancos'!$B$4:$C$29,2,0)</f>
        <v>#N/A</v>
      </c>
      <c r="G624" s="36">
        <v>1</v>
      </c>
      <c r="H624" s="126" t="str">
        <f>VLOOKUP(G624,'Códigos bancos'!$F$4:$G$14,2,0)</f>
        <v>Oficinas</v>
      </c>
      <c r="I624" s="130"/>
      <c r="J624" s="174">
        <v>0</v>
      </c>
      <c r="K624" s="174">
        <v>0</v>
      </c>
      <c r="L624" s="174">
        <v>0</v>
      </c>
      <c r="M624" s="174">
        <v>0</v>
      </c>
      <c r="N624" s="174">
        <v>0</v>
      </c>
      <c r="O624" s="174">
        <v>0</v>
      </c>
      <c r="P624" s="174">
        <v>0</v>
      </c>
      <c r="Q624" s="174">
        <v>0</v>
      </c>
      <c r="R624" s="174">
        <v>0</v>
      </c>
      <c r="S624" s="215">
        <v>0</v>
      </c>
      <c r="T624" s="71">
        <f t="shared" si="384"/>
        <v>0</v>
      </c>
      <c r="U624" s="71">
        <f t="shared" si="385"/>
        <v>0</v>
      </c>
      <c r="V624" s="117">
        <v>0</v>
      </c>
      <c r="W624" s="117">
        <v>0</v>
      </c>
      <c r="X624" s="71">
        <f t="shared" si="386"/>
        <v>0</v>
      </c>
      <c r="Y624" s="71">
        <f t="shared" si="387"/>
        <v>0</v>
      </c>
      <c r="AA624" s="65"/>
      <c r="AC624" s="71">
        <f t="shared" si="388"/>
        <v>0</v>
      </c>
      <c r="AD624" s="39"/>
      <c r="AE624" s="7"/>
      <c r="AF624" s="15"/>
      <c r="AG624" s="71" t="b">
        <f t="shared" si="389"/>
        <v>1</v>
      </c>
      <c r="AI624" s="71">
        <f>Y624</f>
        <v>0</v>
      </c>
      <c r="AJ624" s="39"/>
      <c r="AK624" s="15"/>
      <c r="AL624" s="71" t="b">
        <f t="shared" si="391"/>
        <v>1</v>
      </c>
      <c r="AN624" s="65"/>
    </row>
    <row r="625" spans="2:40 16128:16147" ht="13" customHeight="1" thickBot="1">
      <c r="B625" s="119"/>
      <c r="C625" s="23">
        <f t="shared" si="383"/>
        <v>2026092</v>
      </c>
      <c r="D625" s="23">
        <v>22</v>
      </c>
      <c r="E625" s="128">
        <v>0</v>
      </c>
      <c r="F625" s="126" t="e">
        <f>VLOOKUP(E625,'Códigos bancos'!$B$4:$C$29,2,0)</f>
        <v>#N/A</v>
      </c>
      <c r="G625" s="36">
        <v>1</v>
      </c>
      <c r="H625" s="126" t="str">
        <f>VLOOKUP(G625,'Códigos bancos'!$F$4:$G$14,2,0)</f>
        <v>Oficinas</v>
      </c>
      <c r="I625" s="130"/>
      <c r="J625" s="174">
        <v>0</v>
      </c>
      <c r="K625" s="174">
        <v>0</v>
      </c>
      <c r="L625" s="174">
        <v>0</v>
      </c>
      <c r="M625" s="174">
        <v>0</v>
      </c>
      <c r="N625" s="174">
        <v>0</v>
      </c>
      <c r="O625" s="174">
        <v>0</v>
      </c>
      <c r="P625" s="174">
        <v>0</v>
      </c>
      <c r="Q625" s="174">
        <v>0</v>
      </c>
      <c r="R625" s="174">
        <v>0</v>
      </c>
      <c r="S625" s="215">
        <v>0</v>
      </c>
      <c r="T625" s="71">
        <f t="shared" si="384"/>
        <v>0</v>
      </c>
      <c r="U625" s="71">
        <f t="shared" si="385"/>
        <v>0</v>
      </c>
      <c r="V625" s="117">
        <v>0</v>
      </c>
      <c r="W625" s="117">
        <v>0</v>
      </c>
      <c r="X625" s="71">
        <f t="shared" si="386"/>
        <v>0</v>
      </c>
      <c r="Y625" s="71">
        <f t="shared" si="387"/>
        <v>0</v>
      </c>
      <c r="AA625" s="65"/>
      <c r="AC625" s="71">
        <f t="shared" si="388"/>
        <v>0</v>
      </c>
      <c r="AD625" s="39"/>
      <c r="AE625" s="7"/>
      <c r="AF625" s="15"/>
      <c r="AG625" s="71" t="b">
        <f t="shared" si="389"/>
        <v>1</v>
      </c>
      <c r="AI625" s="71">
        <f t="shared" si="390"/>
        <v>0</v>
      </c>
      <c r="AJ625" s="39"/>
      <c r="AK625" s="15"/>
      <c r="AL625" s="71" t="b">
        <f t="shared" si="391"/>
        <v>1</v>
      </c>
      <c r="AN625" s="65"/>
    </row>
    <row r="626" spans="2:40 16128:16147" ht="13" customHeight="1" thickBot="1">
      <c r="E626" s="120" t="s">
        <v>0</v>
      </c>
      <c r="F626" s="121" t="s">
        <v>53</v>
      </c>
      <c r="G626" s="121"/>
      <c r="H626" s="121"/>
      <c r="I626" s="121"/>
      <c r="J626" s="122">
        <f t="shared" ref="J626:Y626" si="401">SUM(J601:J625)</f>
        <v>0</v>
      </c>
      <c r="K626" s="122">
        <f t="shared" si="401"/>
        <v>0</v>
      </c>
      <c r="L626" s="122">
        <f t="shared" si="401"/>
        <v>0</v>
      </c>
      <c r="M626" s="122">
        <f t="shared" si="401"/>
        <v>0</v>
      </c>
      <c r="N626" s="122">
        <f t="shared" si="401"/>
        <v>0</v>
      </c>
      <c r="O626" s="122">
        <f t="shared" si="401"/>
        <v>0</v>
      </c>
      <c r="P626" s="122">
        <f t="shared" si="401"/>
        <v>0</v>
      </c>
      <c r="Q626" s="122">
        <f t="shared" si="401"/>
        <v>0</v>
      </c>
      <c r="R626" s="122">
        <f t="shared" si="401"/>
        <v>104</v>
      </c>
      <c r="S626" s="122">
        <f t="shared" si="401"/>
        <v>4633830</v>
      </c>
      <c r="T626" s="122">
        <f t="shared" si="401"/>
        <v>104</v>
      </c>
      <c r="U626" s="122">
        <f t="shared" si="401"/>
        <v>4633830</v>
      </c>
      <c r="V626" s="123">
        <f t="shared" si="401"/>
        <v>104</v>
      </c>
      <c r="W626" s="123">
        <f t="shared" si="401"/>
        <v>4633830</v>
      </c>
      <c r="X626" s="122">
        <f t="shared" si="401"/>
        <v>0</v>
      </c>
      <c r="Y626" s="123">
        <f t="shared" si="401"/>
        <v>0</v>
      </c>
      <c r="AA626" s="65"/>
      <c r="AC626" s="122">
        <f>SUM(AC601:AC625)</f>
        <v>0</v>
      </c>
      <c r="AD626" s="122">
        <f>SUM(AD601:AD625)</f>
        <v>0</v>
      </c>
      <c r="AE626" s="122">
        <f>SUM(AE601:AE625)</f>
        <v>0</v>
      </c>
      <c r="AF626" s="123">
        <f>SUM(AF601:AF625)</f>
        <v>0</v>
      </c>
      <c r="AG626" s="100"/>
      <c r="AI626" s="122">
        <f>SUM(AI601:AI625)</f>
        <v>0</v>
      </c>
      <c r="AJ626" s="122">
        <f>SUM(AJ601:AJ625)</f>
        <v>0</v>
      </c>
      <c r="AK626" s="123">
        <f>SUM(AK601:AK625)</f>
        <v>0</v>
      </c>
      <c r="AL626" s="100"/>
      <c r="AN626" s="65"/>
    </row>
    <row r="627" spans="2:40 16128:16147" ht="13" thickBot="1">
      <c r="AA627" s="65"/>
      <c r="AN627" s="65"/>
    </row>
    <row r="628" spans="2:40 16128:16147" ht="41.25" customHeight="1" thickBot="1">
      <c r="B628" s="112" t="s">
        <v>4</v>
      </c>
      <c r="C628" s="34" t="s">
        <v>6</v>
      </c>
      <c r="D628" s="34" t="s">
        <v>7</v>
      </c>
      <c r="E628" s="34" t="s">
        <v>49</v>
      </c>
      <c r="F628" s="34" t="s">
        <v>50</v>
      </c>
      <c r="G628" s="34" t="s">
        <v>51</v>
      </c>
      <c r="H628" s="34" t="s">
        <v>52</v>
      </c>
      <c r="I628" s="34" t="s">
        <v>13</v>
      </c>
      <c r="J628" s="12" t="s">
        <v>8</v>
      </c>
      <c r="K628" s="12" t="s">
        <v>36</v>
      </c>
      <c r="L628" s="12" t="s">
        <v>9</v>
      </c>
      <c r="M628" s="12" t="s">
        <v>37</v>
      </c>
      <c r="N628" s="87" t="s">
        <v>10</v>
      </c>
      <c r="O628" s="88" t="s">
        <v>38</v>
      </c>
      <c r="P628" s="87" t="s">
        <v>11</v>
      </c>
      <c r="Q628" s="88" t="s">
        <v>39</v>
      </c>
      <c r="R628" s="87" t="s">
        <v>12</v>
      </c>
      <c r="S628" s="88" t="s">
        <v>40</v>
      </c>
      <c r="T628" s="64" t="s">
        <v>41</v>
      </c>
      <c r="U628" s="64" t="s">
        <v>42</v>
      </c>
      <c r="V628" s="35" t="s">
        <v>32</v>
      </c>
      <c r="W628" s="67" t="s">
        <v>35</v>
      </c>
      <c r="X628" s="12" t="s">
        <v>34</v>
      </c>
      <c r="Y628" s="68" t="s">
        <v>33</v>
      </c>
      <c r="AA628" s="66"/>
      <c r="AC628" s="12" t="s">
        <v>34</v>
      </c>
      <c r="AD628" s="12" t="s">
        <v>45</v>
      </c>
      <c r="AE628" s="12" t="s">
        <v>43</v>
      </c>
      <c r="AF628" s="12" t="s">
        <v>44</v>
      </c>
      <c r="AG628" s="12" t="s">
        <v>46</v>
      </c>
      <c r="AI628" s="12" t="s">
        <v>33</v>
      </c>
      <c r="AJ628" s="12" t="s">
        <v>47</v>
      </c>
      <c r="AK628" s="12" t="s">
        <v>48</v>
      </c>
      <c r="AL628" s="12" t="s">
        <v>46</v>
      </c>
      <c r="AN628" s="66"/>
      <c r="WVH628" s="1"/>
      <c r="WVI628" s="1"/>
      <c r="WVZ628"/>
      <c r="WWA628"/>
    </row>
    <row r="629" spans="2:40 16128:16147" ht="13" customHeight="1">
      <c r="B629" s="119" t="s">
        <v>83</v>
      </c>
      <c r="C629" s="24">
        <f>IF(D629&lt;=15,$C$1,$C$2)</f>
        <v>2026092</v>
      </c>
      <c r="D629" s="24">
        <v>23</v>
      </c>
      <c r="E629" s="127">
        <v>20</v>
      </c>
      <c r="F629" s="125" t="str">
        <f>VLOOKUP(E629,'Códigos bancos'!$B$4:$C$29,2,0)</f>
        <v>Bancolombia ENERBIT</v>
      </c>
      <c r="G629" s="18">
        <v>1</v>
      </c>
      <c r="H629" s="125" t="str">
        <f>VLOOKUP(G629,'Códigos bancos'!$F$4:$G$14,2,0)</f>
        <v>Oficinas</v>
      </c>
      <c r="I629" s="129"/>
      <c r="J629" s="213">
        <v>0</v>
      </c>
      <c r="K629" s="213">
        <v>0</v>
      </c>
      <c r="L629" s="213">
        <v>0</v>
      </c>
      <c r="M629" s="213">
        <v>0</v>
      </c>
      <c r="N629" s="213">
        <v>0</v>
      </c>
      <c r="O629" s="213">
        <v>0</v>
      </c>
      <c r="P629" s="213">
        <v>0</v>
      </c>
      <c r="Q629" s="213">
        <v>0</v>
      </c>
      <c r="R629" s="174">
        <v>63</v>
      </c>
      <c r="S629" s="215">
        <v>3800640</v>
      </c>
      <c r="T629" s="70">
        <f>J629+L629+N629+P629+R629</f>
        <v>63</v>
      </c>
      <c r="U629" s="70">
        <f>K629+M629+O629+Q629+S629</f>
        <v>3800640</v>
      </c>
      <c r="V629" s="174">
        <v>63</v>
      </c>
      <c r="W629" s="215">
        <v>3800640</v>
      </c>
      <c r="X629" s="70">
        <f>V629-T629</f>
        <v>0</v>
      </c>
      <c r="Y629" s="70">
        <f>W629-U629</f>
        <v>0</v>
      </c>
      <c r="AA629" s="65"/>
      <c r="AC629" s="124">
        <f>X629</f>
        <v>0</v>
      </c>
      <c r="AD629" s="115"/>
      <c r="AE629" s="16"/>
      <c r="AF629" s="114"/>
      <c r="AG629" s="124" t="b">
        <f>AC629=(AD629+AE629+AF629)</f>
        <v>1</v>
      </c>
      <c r="AI629" s="70">
        <f>Y629</f>
        <v>0</v>
      </c>
      <c r="AJ629" s="115"/>
      <c r="AK629" s="114"/>
      <c r="AL629" s="70" t="b">
        <f>AI629=(AJ629+AK629)</f>
        <v>1</v>
      </c>
      <c r="AN629" s="65"/>
    </row>
    <row r="630" spans="2:40 16128:16147" ht="13" customHeight="1">
      <c r="B630" s="119"/>
      <c r="C630" s="23">
        <f t="shared" ref="C630:C653" si="402">IF(D630&lt;=15,$C$1,$C$2)</f>
        <v>2026092</v>
      </c>
      <c r="D630" s="23">
        <v>23</v>
      </c>
      <c r="E630" s="128">
        <v>0</v>
      </c>
      <c r="F630" s="126" t="e">
        <f>VLOOKUP(E630,'Códigos bancos'!$B$4:$C$29,2,0)</f>
        <v>#N/A</v>
      </c>
      <c r="G630" s="36">
        <v>1</v>
      </c>
      <c r="H630" s="126" t="str">
        <f>VLOOKUP(G630,'Códigos bancos'!$F$4:$G$14,2,0)</f>
        <v>Oficinas</v>
      </c>
      <c r="I630" s="130"/>
      <c r="J630" s="174">
        <v>0</v>
      </c>
      <c r="K630" s="174">
        <v>0</v>
      </c>
      <c r="L630" s="174">
        <v>0</v>
      </c>
      <c r="M630" s="174">
        <v>0</v>
      </c>
      <c r="N630" s="174">
        <v>0</v>
      </c>
      <c r="O630" s="174">
        <v>0</v>
      </c>
      <c r="P630" s="174">
        <v>0</v>
      </c>
      <c r="Q630" s="174">
        <v>0</v>
      </c>
      <c r="R630" s="174">
        <v>0</v>
      </c>
      <c r="S630" s="215">
        <v>0</v>
      </c>
      <c r="T630" s="71">
        <f t="shared" ref="T630:T652" si="403">J630+L630+N630+P630+R630</f>
        <v>0</v>
      </c>
      <c r="U630" s="71">
        <f t="shared" ref="U630:U652" si="404">K630+M630+O630+Q630+S630</f>
        <v>0</v>
      </c>
      <c r="V630" s="117">
        <v>0</v>
      </c>
      <c r="W630" s="117">
        <v>0</v>
      </c>
      <c r="X630" s="71">
        <f t="shared" ref="X630:X653" si="405">V630-T630</f>
        <v>0</v>
      </c>
      <c r="Y630" s="71">
        <f t="shared" ref="Y630:Y653" si="406">W630-U630</f>
        <v>0</v>
      </c>
      <c r="AA630" s="65"/>
      <c r="AC630" s="71">
        <f t="shared" ref="AC630:AC653" si="407">X630</f>
        <v>0</v>
      </c>
      <c r="AD630" s="39"/>
      <c r="AE630" s="7"/>
      <c r="AF630" s="15"/>
      <c r="AG630" s="71" t="b">
        <f t="shared" ref="AG630:AG653" si="408">AC630=(AD630+AE630+AF630)</f>
        <v>1</v>
      </c>
      <c r="AI630" s="71">
        <f t="shared" ref="AI630:AI653" si="409">Y630</f>
        <v>0</v>
      </c>
      <c r="AJ630" s="39"/>
      <c r="AK630" s="15"/>
      <c r="AL630" s="71" t="b">
        <f t="shared" ref="AL630:AL653" si="410">AI630=(AJ630+AK630)</f>
        <v>1</v>
      </c>
      <c r="AN630" s="65"/>
    </row>
    <row r="631" spans="2:40 16128:16147" ht="13" customHeight="1">
      <c r="B631" s="119"/>
      <c r="C631" s="23">
        <f t="shared" si="402"/>
        <v>2026092</v>
      </c>
      <c r="D631" s="23">
        <v>23</v>
      </c>
      <c r="E631" s="128">
        <v>0</v>
      </c>
      <c r="F631" s="126" t="e">
        <f>VLOOKUP(E631,'Códigos bancos'!$B$4:$C$29,2,0)</f>
        <v>#N/A</v>
      </c>
      <c r="G631" s="36">
        <v>1</v>
      </c>
      <c r="H631" s="126" t="str">
        <f>VLOOKUP(G631,'Códigos bancos'!$F$4:$G$14,2,0)</f>
        <v>Oficinas</v>
      </c>
      <c r="I631" s="130"/>
      <c r="J631" s="174">
        <v>0</v>
      </c>
      <c r="K631" s="174">
        <v>0</v>
      </c>
      <c r="L631" s="174">
        <v>0</v>
      </c>
      <c r="M631" s="174">
        <v>0</v>
      </c>
      <c r="N631" s="174">
        <v>0</v>
      </c>
      <c r="O631" s="174">
        <v>0</v>
      </c>
      <c r="P631" s="174">
        <v>0</v>
      </c>
      <c r="Q631" s="174">
        <v>0</v>
      </c>
      <c r="R631" s="174">
        <v>0</v>
      </c>
      <c r="S631" s="215">
        <v>0</v>
      </c>
      <c r="T631" s="71">
        <f t="shared" si="403"/>
        <v>0</v>
      </c>
      <c r="U631" s="71">
        <f t="shared" si="404"/>
        <v>0</v>
      </c>
      <c r="V631" s="117">
        <v>0</v>
      </c>
      <c r="W631" s="117">
        <v>0</v>
      </c>
      <c r="X631" s="71">
        <f t="shared" si="405"/>
        <v>0</v>
      </c>
      <c r="Y631" s="71">
        <f t="shared" si="406"/>
        <v>0</v>
      </c>
      <c r="AA631" s="65"/>
      <c r="AC631" s="71">
        <f t="shared" si="407"/>
        <v>0</v>
      </c>
      <c r="AD631" s="45"/>
      <c r="AE631" s="14"/>
      <c r="AF631" s="46"/>
      <c r="AG631" s="71" t="b">
        <f t="shared" si="408"/>
        <v>1</v>
      </c>
      <c r="AI631" s="71">
        <f t="shared" si="409"/>
        <v>0</v>
      </c>
      <c r="AJ631" s="45"/>
      <c r="AK631" s="46"/>
      <c r="AL631" s="71" t="b">
        <f t="shared" si="410"/>
        <v>1</v>
      </c>
      <c r="AN631" s="65"/>
    </row>
    <row r="632" spans="2:40 16128:16147" ht="13" customHeight="1">
      <c r="B632" s="119"/>
      <c r="C632" s="23">
        <f t="shared" si="402"/>
        <v>2026092</v>
      </c>
      <c r="D632" s="23">
        <v>23</v>
      </c>
      <c r="E632" s="128">
        <v>0</v>
      </c>
      <c r="F632" s="126" t="e">
        <f>VLOOKUP(E632,'Códigos bancos'!$B$4:$C$29,2,0)</f>
        <v>#N/A</v>
      </c>
      <c r="G632" s="36">
        <v>1</v>
      </c>
      <c r="H632" s="126" t="str">
        <f>VLOOKUP(G632,'Códigos bancos'!$F$4:$G$14,2,0)</f>
        <v>Oficinas</v>
      </c>
      <c r="I632" s="130"/>
      <c r="J632" s="174">
        <v>0</v>
      </c>
      <c r="K632" s="174">
        <v>0</v>
      </c>
      <c r="L632" s="174">
        <v>0</v>
      </c>
      <c r="M632" s="174">
        <v>0</v>
      </c>
      <c r="N632" s="174">
        <v>0</v>
      </c>
      <c r="O632" s="174">
        <v>0</v>
      </c>
      <c r="P632" s="174">
        <v>0</v>
      </c>
      <c r="Q632" s="174">
        <v>0</v>
      </c>
      <c r="R632" s="174">
        <v>0</v>
      </c>
      <c r="S632" s="215">
        <v>0</v>
      </c>
      <c r="T632" s="71">
        <f t="shared" si="403"/>
        <v>0</v>
      </c>
      <c r="U632" s="71">
        <f t="shared" si="404"/>
        <v>0</v>
      </c>
      <c r="V632" s="117">
        <v>0</v>
      </c>
      <c r="W632" s="117">
        <v>0</v>
      </c>
      <c r="X632" s="71">
        <f t="shared" si="405"/>
        <v>0</v>
      </c>
      <c r="Y632" s="71">
        <f t="shared" si="406"/>
        <v>0</v>
      </c>
      <c r="AA632" s="65"/>
      <c r="AC632" s="71">
        <f t="shared" si="407"/>
        <v>0</v>
      </c>
      <c r="AD632" s="39"/>
      <c r="AE632" s="7"/>
      <c r="AF632" s="15"/>
      <c r="AG632" s="71" t="b">
        <f t="shared" si="408"/>
        <v>1</v>
      </c>
      <c r="AI632" s="71">
        <f t="shared" si="409"/>
        <v>0</v>
      </c>
      <c r="AJ632" s="39"/>
      <c r="AK632" s="15"/>
      <c r="AL632" s="71" t="b">
        <f t="shared" si="410"/>
        <v>1</v>
      </c>
      <c r="AN632" s="65"/>
    </row>
    <row r="633" spans="2:40 16128:16147" ht="13" customHeight="1">
      <c r="B633" s="119"/>
      <c r="C633" s="23">
        <f t="shared" si="402"/>
        <v>2026092</v>
      </c>
      <c r="D633" s="23">
        <v>23</v>
      </c>
      <c r="E633" s="128">
        <v>0</v>
      </c>
      <c r="F633" s="126" t="e">
        <f>VLOOKUP(E633,'Códigos bancos'!$B$4:$C$29,2,0)</f>
        <v>#N/A</v>
      </c>
      <c r="G633" s="36">
        <v>1</v>
      </c>
      <c r="H633" s="126" t="str">
        <f>VLOOKUP(G633,'Códigos bancos'!$F$4:$G$14,2,0)</f>
        <v>Oficinas</v>
      </c>
      <c r="I633" s="130"/>
      <c r="J633" s="174">
        <v>0</v>
      </c>
      <c r="K633" s="174">
        <v>0</v>
      </c>
      <c r="L633" s="174">
        <v>0</v>
      </c>
      <c r="M633" s="174">
        <v>0</v>
      </c>
      <c r="N633" s="174">
        <v>0</v>
      </c>
      <c r="O633" s="174">
        <v>0</v>
      </c>
      <c r="P633" s="174">
        <v>0</v>
      </c>
      <c r="Q633" s="174">
        <v>0</v>
      </c>
      <c r="R633" s="174">
        <v>0</v>
      </c>
      <c r="S633" s="215">
        <v>0</v>
      </c>
      <c r="T633" s="71">
        <f t="shared" si="403"/>
        <v>0</v>
      </c>
      <c r="U633" s="71">
        <f t="shared" si="404"/>
        <v>0</v>
      </c>
      <c r="V633" s="117">
        <v>0</v>
      </c>
      <c r="W633" s="117">
        <v>0</v>
      </c>
      <c r="X633" s="71">
        <f t="shared" si="405"/>
        <v>0</v>
      </c>
      <c r="Y633" s="71">
        <f t="shared" si="406"/>
        <v>0</v>
      </c>
      <c r="AA633" s="65"/>
      <c r="AC633" s="71">
        <f t="shared" si="407"/>
        <v>0</v>
      </c>
      <c r="AD633" s="39"/>
      <c r="AE633" s="7"/>
      <c r="AF633" s="15"/>
      <c r="AG633" s="71" t="b">
        <f t="shared" si="408"/>
        <v>1</v>
      </c>
      <c r="AI633" s="71">
        <f t="shared" si="409"/>
        <v>0</v>
      </c>
      <c r="AJ633" s="39"/>
      <c r="AK633" s="15"/>
      <c r="AL633" s="71" t="b">
        <f t="shared" si="410"/>
        <v>1</v>
      </c>
      <c r="AN633" s="65"/>
    </row>
    <row r="634" spans="2:40 16128:16147" ht="13" customHeight="1">
      <c r="B634" s="119"/>
      <c r="C634" s="23">
        <f t="shared" si="402"/>
        <v>2026092</v>
      </c>
      <c r="D634" s="23">
        <v>23</v>
      </c>
      <c r="E634" s="128">
        <v>0</v>
      </c>
      <c r="F634" s="126" t="e">
        <f>VLOOKUP(E634,'Códigos bancos'!$B$4:$C$29,2,0)</f>
        <v>#N/A</v>
      </c>
      <c r="G634" s="36">
        <v>1</v>
      </c>
      <c r="H634" s="126" t="str">
        <f>VLOOKUP(G634,'Códigos bancos'!$F$4:$G$14,2,0)</f>
        <v>Oficinas</v>
      </c>
      <c r="I634" s="130"/>
      <c r="J634" s="174">
        <v>0</v>
      </c>
      <c r="K634" s="174">
        <v>0</v>
      </c>
      <c r="L634" s="174">
        <v>0</v>
      </c>
      <c r="M634" s="174">
        <v>0</v>
      </c>
      <c r="N634" s="174">
        <v>0</v>
      </c>
      <c r="O634" s="174">
        <v>0</v>
      </c>
      <c r="P634" s="174">
        <v>0</v>
      </c>
      <c r="Q634" s="174">
        <v>0</v>
      </c>
      <c r="R634" s="174">
        <v>0</v>
      </c>
      <c r="S634" s="215">
        <v>0</v>
      </c>
      <c r="T634" s="71">
        <f t="shared" si="403"/>
        <v>0</v>
      </c>
      <c r="U634" s="71">
        <f t="shared" si="404"/>
        <v>0</v>
      </c>
      <c r="V634" s="117">
        <v>0</v>
      </c>
      <c r="W634" s="117">
        <v>0</v>
      </c>
      <c r="X634" s="71">
        <f t="shared" si="405"/>
        <v>0</v>
      </c>
      <c r="Y634" s="71">
        <f t="shared" si="406"/>
        <v>0</v>
      </c>
      <c r="AA634" s="65"/>
      <c r="AC634" s="71">
        <f t="shared" si="407"/>
        <v>0</v>
      </c>
      <c r="AD634" s="39"/>
      <c r="AE634" s="7"/>
      <c r="AF634" s="15"/>
      <c r="AG634" s="71" t="b">
        <f t="shared" si="408"/>
        <v>1</v>
      </c>
      <c r="AI634" s="71">
        <f t="shared" si="409"/>
        <v>0</v>
      </c>
      <c r="AJ634" s="39"/>
      <c r="AK634" s="15"/>
      <c r="AL634" s="71" t="b">
        <f t="shared" si="410"/>
        <v>1</v>
      </c>
      <c r="AN634" s="65"/>
    </row>
    <row r="635" spans="2:40 16128:16147" ht="13" customHeight="1">
      <c r="B635" s="119"/>
      <c r="C635" s="23">
        <f t="shared" si="402"/>
        <v>2026092</v>
      </c>
      <c r="D635" s="23">
        <v>23</v>
      </c>
      <c r="E635" s="128">
        <v>0</v>
      </c>
      <c r="F635" s="126" t="e">
        <f>VLOOKUP(E635,'Códigos bancos'!$B$4:$C$29,2,0)</f>
        <v>#N/A</v>
      </c>
      <c r="G635" s="36">
        <v>1</v>
      </c>
      <c r="H635" s="126" t="str">
        <f>VLOOKUP(G635,'Códigos bancos'!$F$4:$G$14,2,0)</f>
        <v>Oficinas</v>
      </c>
      <c r="I635" s="130"/>
      <c r="J635" s="174">
        <v>0</v>
      </c>
      <c r="K635" s="174">
        <v>0</v>
      </c>
      <c r="L635" s="174">
        <v>0</v>
      </c>
      <c r="M635" s="174">
        <v>0</v>
      </c>
      <c r="N635" s="174">
        <v>0</v>
      </c>
      <c r="O635" s="174">
        <v>0</v>
      </c>
      <c r="P635" s="174">
        <v>0</v>
      </c>
      <c r="Q635" s="174">
        <v>0</v>
      </c>
      <c r="R635" s="174">
        <v>0</v>
      </c>
      <c r="S635" s="215">
        <v>0</v>
      </c>
      <c r="T635" s="71">
        <f t="shared" si="403"/>
        <v>0</v>
      </c>
      <c r="U635" s="71">
        <f t="shared" si="404"/>
        <v>0</v>
      </c>
      <c r="V635" s="117">
        <v>0</v>
      </c>
      <c r="W635" s="117">
        <v>0</v>
      </c>
      <c r="X635" s="71">
        <f t="shared" si="405"/>
        <v>0</v>
      </c>
      <c r="Y635" s="71">
        <f t="shared" si="406"/>
        <v>0</v>
      </c>
      <c r="AA635" s="65"/>
      <c r="AC635" s="71">
        <f t="shared" si="407"/>
        <v>0</v>
      </c>
      <c r="AD635" s="39"/>
      <c r="AE635" s="7"/>
      <c r="AF635" s="15"/>
      <c r="AG635" s="71" t="b">
        <f t="shared" si="408"/>
        <v>1</v>
      </c>
      <c r="AI635" s="71">
        <f t="shared" si="409"/>
        <v>0</v>
      </c>
      <c r="AJ635" s="39"/>
      <c r="AK635" s="15"/>
      <c r="AL635" s="71" t="b">
        <f t="shared" si="410"/>
        <v>1</v>
      </c>
      <c r="AN635" s="65"/>
    </row>
    <row r="636" spans="2:40 16128:16147" ht="13" customHeight="1">
      <c r="B636" s="119"/>
      <c r="C636" s="23">
        <f t="shared" si="402"/>
        <v>2026092</v>
      </c>
      <c r="D636" s="23">
        <v>23</v>
      </c>
      <c r="E636" s="128">
        <v>0</v>
      </c>
      <c r="F636" s="126" t="e">
        <f>VLOOKUP(E636,'Códigos bancos'!$B$4:$C$29,2,0)</f>
        <v>#N/A</v>
      </c>
      <c r="G636" s="36">
        <v>1</v>
      </c>
      <c r="H636" s="126" t="str">
        <f>VLOOKUP(G636,'Códigos bancos'!$F$4:$G$14,2,0)</f>
        <v>Oficinas</v>
      </c>
      <c r="I636" s="130"/>
      <c r="J636" s="174">
        <v>0</v>
      </c>
      <c r="K636" s="174">
        <v>0</v>
      </c>
      <c r="L636" s="174">
        <v>0</v>
      </c>
      <c r="M636" s="174">
        <v>0</v>
      </c>
      <c r="N636" s="174">
        <v>0</v>
      </c>
      <c r="O636" s="174">
        <v>0</v>
      </c>
      <c r="P636" s="174">
        <v>0</v>
      </c>
      <c r="Q636" s="174">
        <v>0</v>
      </c>
      <c r="R636" s="174">
        <v>0</v>
      </c>
      <c r="S636" s="215">
        <v>0</v>
      </c>
      <c r="T636" s="71">
        <f t="shared" si="403"/>
        <v>0</v>
      </c>
      <c r="U636" s="71">
        <f t="shared" si="404"/>
        <v>0</v>
      </c>
      <c r="V636" s="117">
        <v>0</v>
      </c>
      <c r="W636" s="117">
        <v>0</v>
      </c>
      <c r="X636" s="71">
        <f t="shared" si="405"/>
        <v>0</v>
      </c>
      <c r="Y636" s="71">
        <f t="shared" si="406"/>
        <v>0</v>
      </c>
      <c r="AA636" s="65"/>
      <c r="AC636" s="71">
        <f t="shared" si="407"/>
        <v>0</v>
      </c>
      <c r="AD636" s="39"/>
      <c r="AE636" s="7"/>
      <c r="AF636" s="15"/>
      <c r="AG636" s="71" t="b">
        <f t="shared" si="408"/>
        <v>1</v>
      </c>
      <c r="AI636" s="71">
        <f t="shared" si="409"/>
        <v>0</v>
      </c>
      <c r="AJ636" s="39"/>
      <c r="AK636" s="15"/>
      <c r="AL636" s="71" t="b">
        <f t="shared" si="410"/>
        <v>1</v>
      </c>
      <c r="AN636" s="65"/>
    </row>
    <row r="637" spans="2:40 16128:16147" ht="13" customHeight="1">
      <c r="B637" s="119"/>
      <c r="C637" s="23">
        <f t="shared" si="402"/>
        <v>2026092</v>
      </c>
      <c r="D637" s="23">
        <v>23</v>
      </c>
      <c r="E637" s="128">
        <v>0</v>
      </c>
      <c r="F637" s="126" t="e">
        <f>VLOOKUP(E637,'Códigos bancos'!$B$4:$C$29,2,0)</f>
        <v>#N/A</v>
      </c>
      <c r="G637" s="36">
        <v>1</v>
      </c>
      <c r="H637" s="126" t="str">
        <f>VLOOKUP(G637,'Códigos bancos'!$F$4:$G$14,2,0)</f>
        <v>Oficinas</v>
      </c>
      <c r="I637" s="130"/>
      <c r="J637" s="174">
        <v>0</v>
      </c>
      <c r="K637" s="174">
        <v>0</v>
      </c>
      <c r="L637" s="174">
        <v>0</v>
      </c>
      <c r="M637" s="174">
        <v>0</v>
      </c>
      <c r="N637" s="174">
        <v>0</v>
      </c>
      <c r="O637" s="174">
        <v>0</v>
      </c>
      <c r="P637" s="174">
        <v>0</v>
      </c>
      <c r="Q637" s="174">
        <v>0</v>
      </c>
      <c r="R637" s="174">
        <v>0</v>
      </c>
      <c r="S637" s="215">
        <v>0</v>
      </c>
      <c r="T637" s="71">
        <f t="shared" si="403"/>
        <v>0</v>
      </c>
      <c r="U637" s="71">
        <f t="shared" si="404"/>
        <v>0</v>
      </c>
      <c r="V637" s="117">
        <v>0</v>
      </c>
      <c r="W637" s="117">
        <v>0</v>
      </c>
      <c r="X637" s="71">
        <f t="shared" si="405"/>
        <v>0</v>
      </c>
      <c r="Y637" s="71">
        <f t="shared" si="406"/>
        <v>0</v>
      </c>
      <c r="AA637" s="65"/>
      <c r="AC637" s="71">
        <f t="shared" si="407"/>
        <v>0</v>
      </c>
      <c r="AD637" s="39"/>
      <c r="AE637" s="7"/>
      <c r="AF637" s="15"/>
      <c r="AG637" s="71" t="b">
        <f t="shared" si="408"/>
        <v>1</v>
      </c>
      <c r="AI637" s="71">
        <f t="shared" si="409"/>
        <v>0</v>
      </c>
      <c r="AJ637" s="39"/>
      <c r="AK637" s="15"/>
      <c r="AL637" s="71" t="b">
        <f t="shared" si="410"/>
        <v>1</v>
      </c>
      <c r="AN637" s="65"/>
    </row>
    <row r="638" spans="2:40 16128:16147" ht="13" customHeight="1">
      <c r="B638" s="119"/>
      <c r="C638" s="23">
        <f t="shared" si="402"/>
        <v>2026092</v>
      </c>
      <c r="D638" s="23">
        <v>23</v>
      </c>
      <c r="E638" s="128">
        <v>0</v>
      </c>
      <c r="F638" s="126" t="e">
        <f>VLOOKUP(E638,'Códigos bancos'!$B$4:$C$29,2,0)</f>
        <v>#N/A</v>
      </c>
      <c r="G638" s="36">
        <v>1</v>
      </c>
      <c r="H638" s="126" t="str">
        <f>VLOOKUP(G638,'Códigos bancos'!$F$4:$G$14,2,0)</f>
        <v>Oficinas</v>
      </c>
      <c r="I638" s="130"/>
      <c r="J638" s="174">
        <v>0</v>
      </c>
      <c r="K638" s="174">
        <v>0</v>
      </c>
      <c r="L638" s="174">
        <v>0</v>
      </c>
      <c r="M638" s="174">
        <v>0</v>
      </c>
      <c r="N638" s="174">
        <v>0</v>
      </c>
      <c r="O638" s="174">
        <v>0</v>
      </c>
      <c r="P638" s="174">
        <v>0</v>
      </c>
      <c r="Q638" s="174">
        <v>0</v>
      </c>
      <c r="R638" s="174">
        <v>0</v>
      </c>
      <c r="S638" s="215">
        <v>0</v>
      </c>
      <c r="T638" s="71">
        <f t="shared" si="403"/>
        <v>0</v>
      </c>
      <c r="U638" s="71">
        <f t="shared" si="404"/>
        <v>0</v>
      </c>
      <c r="V638" s="117">
        <v>0</v>
      </c>
      <c r="W638" s="117">
        <v>0</v>
      </c>
      <c r="X638" s="71">
        <f t="shared" si="405"/>
        <v>0</v>
      </c>
      <c r="Y638" s="71">
        <f t="shared" si="406"/>
        <v>0</v>
      </c>
      <c r="AA638" s="65"/>
      <c r="AC638" s="71">
        <f t="shared" si="407"/>
        <v>0</v>
      </c>
      <c r="AD638" s="39"/>
      <c r="AE638" s="7"/>
      <c r="AF638" s="15"/>
      <c r="AG638" s="71" t="b">
        <f t="shared" si="408"/>
        <v>1</v>
      </c>
      <c r="AI638" s="71">
        <f t="shared" si="409"/>
        <v>0</v>
      </c>
      <c r="AJ638" s="39"/>
      <c r="AK638" s="15"/>
      <c r="AL638" s="71" t="b">
        <f t="shared" si="410"/>
        <v>1</v>
      </c>
      <c r="AN638" s="65"/>
    </row>
    <row r="639" spans="2:40 16128:16147" ht="13" customHeight="1">
      <c r="B639" s="119"/>
      <c r="C639" s="23">
        <f t="shared" si="402"/>
        <v>2026092</v>
      </c>
      <c r="D639" s="23">
        <v>23</v>
      </c>
      <c r="E639" s="128">
        <v>0</v>
      </c>
      <c r="F639" s="126" t="e">
        <f>VLOOKUP(E639,'Códigos bancos'!$B$4:$C$29,2,0)</f>
        <v>#N/A</v>
      </c>
      <c r="G639" s="36">
        <v>1</v>
      </c>
      <c r="H639" s="126" t="str">
        <f>VLOOKUP(G639,'Códigos bancos'!$F$4:$G$14,2,0)</f>
        <v>Oficinas</v>
      </c>
      <c r="I639" s="130"/>
      <c r="J639" s="174">
        <v>0</v>
      </c>
      <c r="K639" s="174">
        <v>0</v>
      </c>
      <c r="L639" s="174">
        <v>0</v>
      </c>
      <c r="M639" s="174">
        <v>0</v>
      </c>
      <c r="N639" s="174">
        <v>0</v>
      </c>
      <c r="O639" s="174">
        <v>0</v>
      </c>
      <c r="P639" s="174">
        <v>0</v>
      </c>
      <c r="Q639" s="174">
        <v>0</v>
      </c>
      <c r="R639" s="174">
        <v>0</v>
      </c>
      <c r="S639" s="215">
        <v>0</v>
      </c>
      <c r="T639" s="71">
        <f t="shared" si="403"/>
        <v>0</v>
      </c>
      <c r="U639" s="71">
        <f t="shared" si="404"/>
        <v>0</v>
      </c>
      <c r="V639" s="117">
        <v>0</v>
      </c>
      <c r="W639" s="117">
        <v>0</v>
      </c>
      <c r="X639" s="71">
        <f t="shared" si="405"/>
        <v>0</v>
      </c>
      <c r="Y639" s="71">
        <f t="shared" si="406"/>
        <v>0</v>
      </c>
      <c r="AA639" s="65"/>
      <c r="AC639" s="71">
        <f t="shared" si="407"/>
        <v>0</v>
      </c>
      <c r="AD639" s="39"/>
      <c r="AE639" s="7"/>
      <c r="AF639" s="15"/>
      <c r="AG639" s="71" t="b">
        <f t="shared" si="408"/>
        <v>1</v>
      </c>
      <c r="AI639" s="71">
        <f t="shared" si="409"/>
        <v>0</v>
      </c>
      <c r="AJ639" s="39"/>
      <c r="AK639" s="15"/>
      <c r="AL639" s="71" t="b">
        <f t="shared" si="410"/>
        <v>1</v>
      </c>
      <c r="AN639" s="65"/>
    </row>
    <row r="640" spans="2:40 16128:16147" ht="13" customHeight="1">
      <c r="B640" s="119"/>
      <c r="C640" s="23">
        <f t="shared" si="402"/>
        <v>2026092</v>
      </c>
      <c r="D640" s="23">
        <v>23</v>
      </c>
      <c r="E640" s="128">
        <v>0</v>
      </c>
      <c r="F640" s="126" t="e">
        <f>VLOOKUP(E640,'Códigos bancos'!$B$4:$C$29,2,0)</f>
        <v>#N/A</v>
      </c>
      <c r="G640" s="36">
        <v>1</v>
      </c>
      <c r="H640" s="126" t="str">
        <f>VLOOKUP(G640,'Códigos bancos'!$F$4:$G$14,2,0)</f>
        <v>Oficinas</v>
      </c>
      <c r="I640" s="130"/>
      <c r="J640" s="174">
        <v>0</v>
      </c>
      <c r="K640" s="174">
        <v>0</v>
      </c>
      <c r="L640" s="174">
        <v>0</v>
      </c>
      <c r="M640" s="174">
        <v>0</v>
      </c>
      <c r="N640" s="174">
        <v>0</v>
      </c>
      <c r="O640" s="174">
        <v>0</v>
      </c>
      <c r="P640" s="174">
        <v>0</v>
      </c>
      <c r="Q640" s="174">
        <v>0</v>
      </c>
      <c r="R640" s="174">
        <v>0</v>
      </c>
      <c r="S640" s="215">
        <v>0</v>
      </c>
      <c r="T640" s="71">
        <f t="shared" si="403"/>
        <v>0</v>
      </c>
      <c r="U640" s="71">
        <f t="shared" si="404"/>
        <v>0</v>
      </c>
      <c r="V640" s="117">
        <v>0</v>
      </c>
      <c r="W640" s="117">
        <v>0</v>
      </c>
      <c r="X640" s="71">
        <f t="shared" si="405"/>
        <v>0</v>
      </c>
      <c r="Y640" s="71">
        <f t="shared" si="406"/>
        <v>0</v>
      </c>
      <c r="AA640" s="65"/>
      <c r="AC640" s="71">
        <f t="shared" si="407"/>
        <v>0</v>
      </c>
      <c r="AD640" s="39"/>
      <c r="AE640" s="7"/>
      <c r="AF640" s="15"/>
      <c r="AG640" s="71" t="b">
        <f t="shared" si="408"/>
        <v>1</v>
      </c>
      <c r="AI640" s="71">
        <f t="shared" si="409"/>
        <v>0</v>
      </c>
      <c r="AJ640" s="39"/>
      <c r="AK640" s="15"/>
      <c r="AL640" s="71" t="b">
        <f t="shared" si="410"/>
        <v>1</v>
      </c>
      <c r="AN640" s="65"/>
    </row>
    <row r="641" spans="2:40 16128:16147" ht="13" customHeight="1">
      <c r="B641" s="119"/>
      <c r="C641" s="23">
        <f t="shared" si="402"/>
        <v>2026092</v>
      </c>
      <c r="D641" s="23">
        <v>23</v>
      </c>
      <c r="E641" s="128">
        <v>0</v>
      </c>
      <c r="F641" s="126" t="e">
        <f>VLOOKUP(E641,'Códigos bancos'!$B$4:$C$29,2,0)</f>
        <v>#N/A</v>
      </c>
      <c r="G641" s="36">
        <v>1</v>
      </c>
      <c r="H641" s="126" t="str">
        <f>VLOOKUP(G641,'Códigos bancos'!$F$4:$G$14,2,0)</f>
        <v>Oficinas</v>
      </c>
      <c r="I641" s="130"/>
      <c r="J641" s="174">
        <v>0</v>
      </c>
      <c r="K641" s="174">
        <v>0</v>
      </c>
      <c r="L641" s="174">
        <v>0</v>
      </c>
      <c r="M641" s="174">
        <v>0</v>
      </c>
      <c r="N641" s="174">
        <v>0</v>
      </c>
      <c r="O641" s="174">
        <v>0</v>
      </c>
      <c r="P641" s="174">
        <v>0</v>
      </c>
      <c r="Q641" s="174">
        <v>0</v>
      </c>
      <c r="R641" s="174">
        <v>0</v>
      </c>
      <c r="S641" s="215">
        <v>0</v>
      </c>
      <c r="T641" s="71">
        <f t="shared" si="403"/>
        <v>0</v>
      </c>
      <c r="U641" s="71">
        <f t="shared" si="404"/>
        <v>0</v>
      </c>
      <c r="V641" s="117">
        <v>0</v>
      </c>
      <c r="W641" s="117">
        <v>0</v>
      </c>
      <c r="X641" s="71">
        <f t="shared" si="405"/>
        <v>0</v>
      </c>
      <c r="Y641" s="71">
        <f t="shared" si="406"/>
        <v>0</v>
      </c>
      <c r="AA641" s="65"/>
      <c r="AC641" s="71">
        <f t="shared" si="407"/>
        <v>0</v>
      </c>
      <c r="AD641" s="39"/>
      <c r="AE641" s="7"/>
      <c r="AF641" s="15"/>
      <c r="AG641" s="71" t="b">
        <f t="shared" si="408"/>
        <v>1</v>
      </c>
      <c r="AI641" s="71">
        <f t="shared" si="409"/>
        <v>0</v>
      </c>
      <c r="AJ641" s="39"/>
      <c r="AK641" s="15"/>
      <c r="AL641" s="71" t="b">
        <f t="shared" si="410"/>
        <v>1</v>
      </c>
      <c r="AN641" s="65"/>
    </row>
    <row r="642" spans="2:40 16128:16147" ht="13" customHeight="1">
      <c r="B642" s="119"/>
      <c r="C642" s="159">
        <f t="shared" si="402"/>
        <v>2026092</v>
      </c>
      <c r="D642" s="23">
        <v>23</v>
      </c>
      <c r="E642" s="128">
        <v>0</v>
      </c>
      <c r="F642" s="126" t="e">
        <f>VLOOKUP(E642,'Códigos bancos'!$B$4:$C$29,2,0)</f>
        <v>#N/A</v>
      </c>
      <c r="G642" s="36">
        <v>1</v>
      </c>
      <c r="H642" s="126" t="str">
        <f>VLOOKUP(G642,'Códigos bancos'!$F$4:$G$14,2,0)</f>
        <v>Oficinas</v>
      </c>
      <c r="I642" s="130"/>
      <c r="J642" s="174">
        <v>0</v>
      </c>
      <c r="K642" s="174">
        <v>0</v>
      </c>
      <c r="L642" s="174">
        <v>0</v>
      </c>
      <c r="M642" s="174">
        <v>0</v>
      </c>
      <c r="N642" s="174">
        <v>0</v>
      </c>
      <c r="O642" s="174">
        <v>0</v>
      </c>
      <c r="P642" s="174">
        <v>0</v>
      </c>
      <c r="Q642" s="174">
        <v>0</v>
      </c>
      <c r="R642" s="174">
        <v>0</v>
      </c>
      <c r="S642" s="215">
        <v>0</v>
      </c>
      <c r="T642" s="71">
        <f t="shared" si="403"/>
        <v>0</v>
      </c>
      <c r="U642" s="71">
        <f t="shared" si="404"/>
        <v>0</v>
      </c>
      <c r="V642" s="117">
        <v>0</v>
      </c>
      <c r="W642" s="117">
        <v>0</v>
      </c>
      <c r="X642" s="71">
        <f t="shared" si="405"/>
        <v>0</v>
      </c>
      <c r="Y642" s="71">
        <f t="shared" si="406"/>
        <v>0</v>
      </c>
      <c r="AA642" s="65"/>
      <c r="AC642" s="71">
        <f t="shared" si="407"/>
        <v>0</v>
      </c>
      <c r="AD642" s="39"/>
      <c r="AE642" s="7"/>
      <c r="AF642" s="15"/>
      <c r="AG642" s="71" t="b">
        <f t="shared" si="408"/>
        <v>1</v>
      </c>
      <c r="AI642" s="71">
        <f t="shared" si="409"/>
        <v>0</v>
      </c>
      <c r="AJ642" s="39"/>
      <c r="AK642" s="15"/>
      <c r="AL642" s="71" t="b">
        <f t="shared" si="410"/>
        <v>1</v>
      </c>
      <c r="AN642" s="65"/>
    </row>
    <row r="643" spans="2:40 16128:16147" ht="13" customHeight="1">
      <c r="B643" s="119"/>
      <c r="C643" s="23">
        <f t="shared" si="402"/>
        <v>2026092</v>
      </c>
      <c r="D643" s="23">
        <v>23</v>
      </c>
      <c r="E643" s="128">
        <v>0</v>
      </c>
      <c r="F643" s="126" t="e">
        <f>VLOOKUP(E643,'Códigos bancos'!$B$4:$C$29,2,0)</f>
        <v>#N/A</v>
      </c>
      <c r="G643" s="36">
        <v>1</v>
      </c>
      <c r="H643" s="126" t="str">
        <f>VLOOKUP(G643,'Códigos bancos'!$F$4:$G$14,2,0)</f>
        <v>Oficinas</v>
      </c>
      <c r="I643" s="130"/>
      <c r="J643" s="174">
        <v>0</v>
      </c>
      <c r="K643" s="174">
        <v>0</v>
      </c>
      <c r="L643" s="174">
        <v>0</v>
      </c>
      <c r="M643" s="174">
        <v>0</v>
      </c>
      <c r="N643" s="174">
        <v>0</v>
      </c>
      <c r="O643" s="174">
        <v>0</v>
      </c>
      <c r="P643" s="174">
        <v>0</v>
      </c>
      <c r="Q643" s="174">
        <v>0</v>
      </c>
      <c r="R643" s="174">
        <v>0</v>
      </c>
      <c r="S643" s="215">
        <v>0</v>
      </c>
      <c r="T643" s="71">
        <f t="shared" si="403"/>
        <v>0</v>
      </c>
      <c r="U643" s="71">
        <f t="shared" si="404"/>
        <v>0</v>
      </c>
      <c r="V643" s="117">
        <v>0</v>
      </c>
      <c r="W643" s="117">
        <v>0</v>
      </c>
      <c r="X643" s="71">
        <f t="shared" si="405"/>
        <v>0</v>
      </c>
      <c r="Y643" s="71">
        <f t="shared" si="406"/>
        <v>0</v>
      </c>
      <c r="AA643" s="65"/>
      <c r="AC643" s="71">
        <f t="shared" si="407"/>
        <v>0</v>
      </c>
      <c r="AD643" s="39"/>
      <c r="AE643" s="7"/>
      <c r="AF643" s="15"/>
      <c r="AG643" s="71" t="b">
        <f t="shared" si="408"/>
        <v>1</v>
      </c>
      <c r="AI643" s="71">
        <f t="shared" si="409"/>
        <v>0</v>
      </c>
      <c r="AJ643" s="39"/>
      <c r="AK643" s="15"/>
      <c r="AL643" s="71" t="b">
        <f t="shared" si="410"/>
        <v>1</v>
      </c>
      <c r="AN643" s="65"/>
    </row>
    <row r="644" spans="2:40 16128:16147" ht="13" customHeight="1">
      <c r="B644" s="119"/>
      <c r="C644" s="23">
        <f t="shared" si="402"/>
        <v>2026092</v>
      </c>
      <c r="D644" s="23">
        <v>23</v>
      </c>
      <c r="E644" s="128">
        <v>0</v>
      </c>
      <c r="F644" s="126" t="e">
        <f>VLOOKUP(E644,'Códigos bancos'!$B$4:$C$29,2,0)</f>
        <v>#N/A</v>
      </c>
      <c r="G644" s="36">
        <v>1</v>
      </c>
      <c r="H644" s="126" t="str">
        <f>VLOOKUP(G644,'Códigos bancos'!$F$4:$G$14,2,0)</f>
        <v>Oficinas</v>
      </c>
      <c r="I644" s="130"/>
      <c r="J644" s="174">
        <v>0</v>
      </c>
      <c r="K644" s="174">
        <v>0</v>
      </c>
      <c r="L644" s="174">
        <v>0</v>
      </c>
      <c r="M644" s="174">
        <v>0</v>
      </c>
      <c r="N644" s="174">
        <v>0</v>
      </c>
      <c r="O644" s="174">
        <v>0</v>
      </c>
      <c r="P644" s="174">
        <v>0</v>
      </c>
      <c r="Q644" s="174">
        <v>0</v>
      </c>
      <c r="R644" s="174">
        <v>0</v>
      </c>
      <c r="S644" s="215">
        <v>0</v>
      </c>
      <c r="T644" s="71">
        <f t="shared" si="403"/>
        <v>0</v>
      </c>
      <c r="U644" s="71">
        <f t="shared" si="404"/>
        <v>0</v>
      </c>
      <c r="V644" s="117">
        <v>0</v>
      </c>
      <c r="W644" s="117">
        <v>0</v>
      </c>
      <c r="X644" s="71">
        <f t="shared" si="405"/>
        <v>0</v>
      </c>
      <c r="Y644" s="71">
        <f t="shared" si="406"/>
        <v>0</v>
      </c>
      <c r="AA644" s="65"/>
      <c r="AC644" s="71">
        <f t="shared" si="407"/>
        <v>0</v>
      </c>
      <c r="AD644" s="39"/>
      <c r="AE644" s="7"/>
      <c r="AF644" s="15"/>
      <c r="AG644" s="71" t="b">
        <f t="shared" si="408"/>
        <v>1</v>
      </c>
      <c r="AI644" s="71">
        <f t="shared" si="409"/>
        <v>0</v>
      </c>
      <c r="AJ644" s="39"/>
      <c r="AK644" s="15"/>
      <c r="AL644" s="71" t="b">
        <f t="shared" si="410"/>
        <v>1</v>
      </c>
      <c r="AN644" s="65"/>
    </row>
    <row r="645" spans="2:40 16128:16147" ht="13" customHeight="1">
      <c r="B645" s="119"/>
      <c r="C645" s="23">
        <f t="shared" si="402"/>
        <v>2026092</v>
      </c>
      <c r="D645" s="23">
        <v>23</v>
      </c>
      <c r="E645" s="128">
        <v>0</v>
      </c>
      <c r="F645" s="126" t="e">
        <f>VLOOKUP(E645,'Códigos bancos'!$B$4:$C$29,2,0)</f>
        <v>#N/A</v>
      </c>
      <c r="G645" s="36">
        <v>1</v>
      </c>
      <c r="H645" s="126" t="str">
        <f>VLOOKUP(G645,'Códigos bancos'!$F$4:$G$14,2,0)</f>
        <v>Oficinas</v>
      </c>
      <c r="I645" s="130"/>
      <c r="J645" s="174">
        <v>0</v>
      </c>
      <c r="K645" s="174">
        <v>0</v>
      </c>
      <c r="L645" s="174">
        <v>0</v>
      </c>
      <c r="M645" s="174">
        <v>0</v>
      </c>
      <c r="N645" s="174">
        <v>0</v>
      </c>
      <c r="O645" s="174">
        <v>0</v>
      </c>
      <c r="P645" s="174">
        <v>0</v>
      </c>
      <c r="Q645" s="174">
        <v>0</v>
      </c>
      <c r="R645" s="174">
        <v>0</v>
      </c>
      <c r="S645" s="215">
        <v>0</v>
      </c>
      <c r="T645" s="71">
        <f t="shared" si="403"/>
        <v>0</v>
      </c>
      <c r="U645" s="71">
        <f t="shared" si="404"/>
        <v>0</v>
      </c>
      <c r="V645" s="117">
        <v>0</v>
      </c>
      <c r="W645" s="117">
        <v>0</v>
      </c>
      <c r="X645" s="71">
        <f t="shared" si="405"/>
        <v>0</v>
      </c>
      <c r="Y645" s="71">
        <f t="shared" si="406"/>
        <v>0</v>
      </c>
      <c r="AA645" s="65"/>
      <c r="AC645" s="71">
        <f t="shared" si="407"/>
        <v>0</v>
      </c>
      <c r="AD645" s="39"/>
      <c r="AE645" s="7"/>
      <c r="AF645" s="15"/>
      <c r="AG645" s="71" t="b">
        <f t="shared" si="408"/>
        <v>1</v>
      </c>
      <c r="AI645" s="71">
        <f t="shared" si="409"/>
        <v>0</v>
      </c>
      <c r="AJ645" s="39"/>
      <c r="AK645" s="15"/>
      <c r="AL645" s="71" t="b">
        <f t="shared" si="410"/>
        <v>1</v>
      </c>
      <c r="AN645" s="65"/>
    </row>
    <row r="646" spans="2:40 16128:16147" ht="13" customHeight="1">
      <c r="B646" s="119"/>
      <c r="C646" s="23">
        <f t="shared" si="402"/>
        <v>2026092</v>
      </c>
      <c r="D646" s="23">
        <v>23</v>
      </c>
      <c r="E646" s="128">
        <v>0</v>
      </c>
      <c r="F646" s="126" t="e">
        <f>VLOOKUP(E646,'Códigos bancos'!$B$4:$C$29,2,0)</f>
        <v>#N/A</v>
      </c>
      <c r="G646" s="36">
        <v>1</v>
      </c>
      <c r="H646" s="126" t="str">
        <f>VLOOKUP(G646,'Códigos bancos'!$F$4:$G$14,2,0)</f>
        <v>Oficinas</v>
      </c>
      <c r="I646" s="130"/>
      <c r="J646" s="174">
        <v>0</v>
      </c>
      <c r="K646" s="174">
        <v>0</v>
      </c>
      <c r="L646" s="174">
        <v>0</v>
      </c>
      <c r="M646" s="174">
        <v>0</v>
      </c>
      <c r="N646" s="174">
        <v>0</v>
      </c>
      <c r="O646" s="174">
        <v>0</v>
      </c>
      <c r="P646" s="174">
        <v>0</v>
      </c>
      <c r="Q646" s="174">
        <v>0</v>
      </c>
      <c r="R646" s="174">
        <v>0</v>
      </c>
      <c r="S646" s="215">
        <v>0</v>
      </c>
      <c r="T646" s="71">
        <f t="shared" si="403"/>
        <v>0</v>
      </c>
      <c r="U646" s="71">
        <f t="shared" si="404"/>
        <v>0</v>
      </c>
      <c r="V646" s="117">
        <v>0</v>
      </c>
      <c r="W646" s="117">
        <v>0</v>
      </c>
      <c r="X646" s="71">
        <f t="shared" si="405"/>
        <v>0</v>
      </c>
      <c r="Y646" s="71">
        <f t="shared" si="406"/>
        <v>0</v>
      </c>
      <c r="AA646" s="65"/>
      <c r="AC646" s="71">
        <f t="shared" si="407"/>
        <v>0</v>
      </c>
      <c r="AD646" s="39"/>
      <c r="AE646" s="7"/>
      <c r="AF646" s="15"/>
      <c r="AG646" s="71" t="b">
        <f t="shared" si="408"/>
        <v>1</v>
      </c>
      <c r="AI646" s="71">
        <f t="shared" si="409"/>
        <v>0</v>
      </c>
      <c r="AJ646" s="39"/>
      <c r="AK646" s="15"/>
      <c r="AL646" s="71" t="b">
        <f t="shared" si="410"/>
        <v>1</v>
      </c>
      <c r="AN646" s="65"/>
    </row>
    <row r="647" spans="2:40 16128:16147" ht="13" customHeight="1">
      <c r="B647" s="119"/>
      <c r="C647" s="23">
        <f t="shared" si="402"/>
        <v>2026092</v>
      </c>
      <c r="D647" s="23">
        <v>23</v>
      </c>
      <c r="E647" s="128">
        <v>0</v>
      </c>
      <c r="F647" s="126" t="e">
        <f>VLOOKUP(E647,'Códigos bancos'!$B$4:$C$29,2,0)</f>
        <v>#N/A</v>
      </c>
      <c r="G647" s="36">
        <v>1</v>
      </c>
      <c r="H647" s="126" t="str">
        <f>VLOOKUP(G647,'Códigos bancos'!$F$4:$G$14,2,0)</f>
        <v>Oficinas</v>
      </c>
      <c r="I647" s="130"/>
      <c r="J647" s="174">
        <v>0</v>
      </c>
      <c r="K647" s="174">
        <v>0</v>
      </c>
      <c r="L647" s="174">
        <v>0</v>
      </c>
      <c r="M647" s="174">
        <v>0</v>
      </c>
      <c r="N647" s="174">
        <v>0</v>
      </c>
      <c r="O647" s="174">
        <v>0</v>
      </c>
      <c r="P647" s="174">
        <v>0</v>
      </c>
      <c r="Q647" s="174">
        <v>0</v>
      </c>
      <c r="R647" s="174">
        <v>0</v>
      </c>
      <c r="S647" s="215">
        <v>0</v>
      </c>
      <c r="T647" s="71">
        <f t="shared" si="403"/>
        <v>0</v>
      </c>
      <c r="U647" s="71">
        <f t="shared" si="404"/>
        <v>0</v>
      </c>
      <c r="V647" s="117">
        <v>0</v>
      </c>
      <c r="W647" s="117">
        <v>0</v>
      </c>
      <c r="X647" s="71">
        <f t="shared" si="405"/>
        <v>0</v>
      </c>
      <c r="Y647" s="71">
        <f t="shared" si="406"/>
        <v>0</v>
      </c>
      <c r="AA647" s="65"/>
      <c r="AC647" s="71">
        <f t="shared" si="407"/>
        <v>0</v>
      </c>
      <c r="AD647" s="39"/>
      <c r="AE647" s="7"/>
      <c r="AF647" s="15"/>
      <c r="AG647" s="71" t="b">
        <f t="shared" si="408"/>
        <v>1</v>
      </c>
      <c r="AI647" s="71">
        <f t="shared" si="409"/>
        <v>0</v>
      </c>
      <c r="AJ647" s="39"/>
      <c r="AK647" s="15"/>
      <c r="AL647" s="71" t="b">
        <f t="shared" si="410"/>
        <v>1</v>
      </c>
      <c r="AN647" s="65"/>
    </row>
    <row r="648" spans="2:40 16128:16147" ht="13" customHeight="1">
      <c r="B648" s="119"/>
      <c r="C648" s="23">
        <f t="shared" ref="C648" si="411">IF(D648&lt;=15,$C$1,$C$2)</f>
        <v>2026092</v>
      </c>
      <c r="D648" s="23">
        <v>23</v>
      </c>
      <c r="E648" s="128">
        <v>0</v>
      </c>
      <c r="F648" s="126" t="e">
        <f>VLOOKUP(E648,'Códigos bancos'!$B$4:$C$29,2,0)</f>
        <v>#N/A</v>
      </c>
      <c r="G648" s="36">
        <v>1</v>
      </c>
      <c r="H648" s="126" t="str">
        <f>VLOOKUP(G648,'Códigos bancos'!$F$4:$G$14,2,0)</f>
        <v>Oficinas</v>
      </c>
      <c r="I648" s="130"/>
      <c r="J648" s="174">
        <v>0</v>
      </c>
      <c r="K648" s="174">
        <v>0</v>
      </c>
      <c r="L648" s="174">
        <v>0</v>
      </c>
      <c r="M648" s="174">
        <v>0</v>
      </c>
      <c r="N648" s="174">
        <v>0</v>
      </c>
      <c r="O648" s="174">
        <v>0</v>
      </c>
      <c r="P648" s="174">
        <v>0</v>
      </c>
      <c r="Q648" s="174">
        <v>0</v>
      </c>
      <c r="R648" s="174">
        <v>0</v>
      </c>
      <c r="S648" s="215">
        <v>0</v>
      </c>
      <c r="T648" s="71">
        <f t="shared" ref="T648" si="412">J648+L648+N648+P648+R648</f>
        <v>0</v>
      </c>
      <c r="U648" s="71">
        <f t="shared" ref="U648" si="413">K648+M648+O648+Q648+S648</f>
        <v>0</v>
      </c>
      <c r="V648" s="117">
        <v>0</v>
      </c>
      <c r="W648" s="117">
        <v>0</v>
      </c>
      <c r="X648" s="71">
        <f t="shared" ref="X648" si="414">V648-T648</f>
        <v>0</v>
      </c>
      <c r="Y648" s="71">
        <f t="shared" ref="Y648" si="415">W648-U648</f>
        <v>0</v>
      </c>
      <c r="AA648" s="65"/>
      <c r="AC648" s="71">
        <f t="shared" ref="AC648" si="416">X648</f>
        <v>0</v>
      </c>
      <c r="AD648" s="39"/>
      <c r="AE648" s="7"/>
      <c r="AF648" s="15"/>
      <c r="AG648" s="71" t="b">
        <f t="shared" ref="AG648" si="417">AC648=(AD648+AE648+AF648)</f>
        <v>1</v>
      </c>
      <c r="AI648" s="71">
        <f t="shared" ref="AI648" si="418">Y648</f>
        <v>0</v>
      </c>
      <c r="AJ648" s="39"/>
      <c r="AK648" s="15"/>
      <c r="AL648" s="71" t="b">
        <f t="shared" ref="AL648" si="419">AI648=(AJ648+AK648)</f>
        <v>1</v>
      </c>
      <c r="AN648" s="65"/>
    </row>
    <row r="649" spans="2:40 16128:16147" ht="13" customHeight="1">
      <c r="B649" s="119"/>
      <c r="C649" s="23">
        <f t="shared" si="402"/>
        <v>2026092</v>
      </c>
      <c r="D649" s="23">
        <v>23</v>
      </c>
      <c r="E649" s="128">
        <v>0</v>
      </c>
      <c r="F649" s="126" t="e">
        <f>VLOOKUP(E649,'Códigos bancos'!$B$4:$C$29,2,0)</f>
        <v>#N/A</v>
      </c>
      <c r="G649" s="36">
        <v>1</v>
      </c>
      <c r="H649" s="126" t="str">
        <f>VLOOKUP(G649,'Códigos bancos'!$F$4:$G$14,2,0)</f>
        <v>Oficinas</v>
      </c>
      <c r="I649" s="130"/>
      <c r="J649" s="174">
        <v>0</v>
      </c>
      <c r="K649" s="174">
        <v>0</v>
      </c>
      <c r="L649" s="174">
        <v>0</v>
      </c>
      <c r="M649" s="174">
        <v>0</v>
      </c>
      <c r="N649" s="174">
        <v>0</v>
      </c>
      <c r="O649" s="174">
        <v>0</v>
      </c>
      <c r="P649" s="174">
        <v>0</v>
      </c>
      <c r="Q649" s="174">
        <v>0</v>
      </c>
      <c r="R649" s="174">
        <v>0</v>
      </c>
      <c r="S649" s="215">
        <v>0</v>
      </c>
      <c r="T649" s="71">
        <f t="shared" si="403"/>
        <v>0</v>
      </c>
      <c r="U649" s="71">
        <f t="shared" si="404"/>
        <v>0</v>
      </c>
      <c r="V649" s="117">
        <v>0</v>
      </c>
      <c r="W649" s="117">
        <v>0</v>
      </c>
      <c r="X649" s="71">
        <f t="shared" si="405"/>
        <v>0</v>
      </c>
      <c r="Y649" s="71">
        <f t="shared" si="406"/>
        <v>0</v>
      </c>
      <c r="AA649" s="65"/>
      <c r="AC649" s="71">
        <f t="shared" si="407"/>
        <v>0</v>
      </c>
      <c r="AD649" s="39"/>
      <c r="AE649" s="7"/>
      <c r="AF649" s="15"/>
      <c r="AG649" s="71" t="b">
        <f t="shared" si="408"/>
        <v>1</v>
      </c>
      <c r="AI649" s="71">
        <f t="shared" si="409"/>
        <v>0</v>
      </c>
      <c r="AJ649" s="39"/>
      <c r="AK649" s="15"/>
      <c r="AL649" s="71" t="b">
        <f t="shared" si="410"/>
        <v>1</v>
      </c>
      <c r="AN649" s="65"/>
    </row>
    <row r="650" spans="2:40 16128:16147" ht="13" customHeight="1">
      <c r="B650" s="119"/>
      <c r="C650" s="23">
        <f t="shared" si="402"/>
        <v>2026092</v>
      </c>
      <c r="D650" s="23">
        <v>23</v>
      </c>
      <c r="E650" s="128">
        <v>0</v>
      </c>
      <c r="F650" s="126" t="e">
        <f>VLOOKUP(E650,'Códigos bancos'!$B$4:$C$29,2,0)</f>
        <v>#N/A</v>
      </c>
      <c r="G650" s="36">
        <v>1</v>
      </c>
      <c r="H650" s="126" t="str">
        <f>VLOOKUP(G650,'Códigos bancos'!$F$4:$G$14,2,0)</f>
        <v>Oficinas</v>
      </c>
      <c r="I650" s="130"/>
      <c r="J650" s="174">
        <v>0</v>
      </c>
      <c r="K650" s="174">
        <v>0</v>
      </c>
      <c r="L650" s="174">
        <v>0</v>
      </c>
      <c r="M650" s="174">
        <v>0</v>
      </c>
      <c r="N650" s="174">
        <v>0</v>
      </c>
      <c r="O650" s="174">
        <v>0</v>
      </c>
      <c r="P650" s="174">
        <v>0</v>
      </c>
      <c r="Q650" s="174">
        <v>0</v>
      </c>
      <c r="R650" s="174">
        <v>0</v>
      </c>
      <c r="S650" s="215">
        <v>0</v>
      </c>
      <c r="T650" s="71">
        <f t="shared" si="403"/>
        <v>0</v>
      </c>
      <c r="U650" s="71">
        <f t="shared" si="404"/>
        <v>0</v>
      </c>
      <c r="V650" s="117">
        <v>0</v>
      </c>
      <c r="W650" s="117">
        <v>0</v>
      </c>
      <c r="X650" s="71">
        <f t="shared" si="405"/>
        <v>0</v>
      </c>
      <c r="Y650" s="71">
        <f t="shared" si="406"/>
        <v>0</v>
      </c>
      <c r="AA650" s="65"/>
      <c r="AC650" s="71">
        <f t="shared" si="407"/>
        <v>0</v>
      </c>
      <c r="AD650" s="39"/>
      <c r="AE650" s="7"/>
      <c r="AF650" s="15"/>
      <c r="AG650" s="71" t="b">
        <f t="shared" si="408"/>
        <v>1</v>
      </c>
      <c r="AI650" s="71">
        <f t="shared" si="409"/>
        <v>0</v>
      </c>
      <c r="AJ650" s="39"/>
      <c r="AK650" s="15"/>
      <c r="AL650" s="71" t="b">
        <f t="shared" si="410"/>
        <v>1</v>
      </c>
      <c r="AN650" s="65"/>
    </row>
    <row r="651" spans="2:40 16128:16147" ht="13" customHeight="1">
      <c r="B651" s="119"/>
      <c r="C651" s="23">
        <f t="shared" si="402"/>
        <v>2026092</v>
      </c>
      <c r="D651" s="23">
        <v>23</v>
      </c>
      <c r="E651" s="128">
        <v>0</v>
      </c>
      <c r="F651" s="126" t="e">
        <f>VLOOKUP(E651,'Códigos bancos'!$B$4:$C$29,2,0)</f>
        <v>#N/A</v>
      </c>
      <c r="G651" s="36">
        <v>1</v>
      </c>
      <c r="H651" s="126" t="str">
        <f>VLOOKUP(G651,'Códigos bancos'!$F$4:$G$14,2,0)</f>
        <v>Oficinas</v>
      </c>
      <c r="I651" s="130"/>
      <c r="J651" s="174">
        <v>0</v>
      </c>
      <c r="K651" s="174">
        <v>0</v>
      </c>
      <c r="L651" s="174">
        <v>0</v>
      </c>
      <c r="M651" s="174">
        <v>0</v>
      </c>
      <c r="N651" s="174">
        <v>0</v>
      </c>
      <c r="O651" s="174">
        <v>0</v>
      </c>
      <c r="P651" s="174">
        <v>0</v>
      </c>
      <c r="Q651" s="174">
        <v>0</v>
      </c>
      <c r="R651" s="174">
        <v>0</v>
      </c>
      <c r="S651" s="215">
        <v>0</v>
      </c>
      <c r="T651" s="71">
        <f t="shared" si="403"/>
        <v>0</v>
      </c>
      <c r="U651" s="71">
        <f t="shared" si="404"/>
        <v>0</v>
      </c>
      <c r="V651" s="117">
        <v>0</v>
      </c>
      <c r="W651" s="117">
        <v>0</v>
      </c>
      <c r="X651" s="71">
        <f t="shared" si="405"/>
        <v>0</v>
      </c>
      <c r="Y651" s="71">
        <f t="shared" si="406"/>
        <v>0</v>
      </c>
      <c r="AA651" s="65"/>
      <c r="AC651" s="71">
        <f t="shared" si="407"/>
        <v>0</v>
      </c>
      <c r="AD651" s="39"/>
      <c r="AE651" s="7"/>
      <c r="AF651" s="15"/>
      <c r="AG651" s="71" t="b">
        <f t="shared" si="408"/>
        <v>1</v>
      </c>
      <c r="AI651" s="71"/>
      <c r="AJ651" s="39"/>
      <c r="AK651" s="15"/>
      <c r="AL651" s="71" t="b">
        <f t="shared" si="410"/>
        <v>1</v>
      </c>
      <c r="AN651" s="65"/>
    </row>
    <row r="652" spans="2:40 16128:16147" ht="13" customHeight="1">
      <c r="B652" s="119"/>
      <c r="C652" s="23">
        <f t="shared" si="402"/>
        <v>2026092</v>
      </c>
      <c r="D652" s="23">
        <v>23</v>
      </c>
      <c r="E652" s="128">
        <v>0</v>
      </c>
      <c r="F652" s="126" t="e">
        <f>VLOOKUP(E652,'Códigos bancos'!$B$4:$C$29,2,0)</f>
        <v>#N/A</v>
      </c>
      <c r="G652" s="36">
        <v>1</v>
      </c>
      <c r="H652" s="126" t="str">
        <f>VLOOKUP(G652,'Códigos bancos'!$F$4:$G$14,2,0)</f>
        <v>Oficinas</v>
      </c>
      <c r="I652" s="130"/>
      <c r="J652" s="174">
        <v>0</v>
      </c>
      <c r="K652" s="174">
        <v>0</v>
      </c>
      <c r="L652" s="174">
        <v>0</v>
      </c>
      <c r="M652" s="174">
        <v>0</v>
      </c>
      <c r="N652" s="174">
        <v>0</v>
      </c>
      <c r="O652" s="174">
        <v>0</v>
      </c>
      <c r="P652" s="174">
        <v>0</v>
      </c>
      <c r="Q652" s="174">
        <v>0</v>
      </c>
      <c r="R652" s="174">
        <v>0</v>
      </c>
      <c r="S652" s="215">
        <v>0</v>
      </c>
      <c r="T652" s="71">
        <f t="shared" si="403"/>
        <v>0</v>
      </c>
      <c r="U652" s="71">
        <f t="shared" si="404"/>
        <v>0</v>
      </c>
      <c r="V652" s="117">
        <v>0</v>
      </c>
      <c r="W652" s="117">
        <v>0</v>
      </c>
      <c r="X652" s="71">
        <f t="shared" si="405"/>
        <v>0</v>
      </c>
      <c r="Y652" s="71">
        <f t="shared" si="406"/>
        <v>0</v>
      </c>
      <c r="AA652" s="65"/>
      <c r="AC652" s="71">
        <f t="shared" si="407"/>
        <v>0</v>
      </c>
      <c r="AD652" s="39"/>
      <c r="AE652" s="7"/>
      <c r="AF652" s="15"/>
      <c r="AG652" s="71" t="b">
        <f t="shared" si="408"/>
        <v>1</v>
      </c>
      <c r="AI652" s="71">
        <f>Y652</f>
        <v>0</v>
      </c>
      <c r="AJ652" s="39"/>
      <c r="AK652" s="15"/>
      <c r="AL652" s="71" t="b">
        <f t="shared" si="410"/>
        <v>1</v>
      </c>
      <c r="AN652" s="65"/>
    </row>
    <row r="653" spans="2:40 16128:16147" ht="13" customHeight="1" thickBot="1">
      <c r="B653" s="119"/>
      <c r="C653" s="23">
        <f t="shared" si="402"/>
        <v>2026092</v>
      </c>
      <c r="D653" s="23">
        <v>23</v>
      </c>
      <c r="E653" s="128">
        <v>0</v>
      </c>
      <c r="F653" s="126" t="e">
        <f>VLOOKUP(E653,'Códigos bancos'!$B$4:$C$29,2,0)</f>
        <v>#N/A</v>
      </c>
      <c r="G653" s="36">
        <v>1</v>
      </c>
      <c r="H653" s="126" t="str">
        <f>VLOOKUP(G653,'Códigos bancos'!$F$4:$G$14,2,0)</f>
        <v>Oficinas</v>
      </c>
      <c r="I653" s="130"/>
      <c r="J653" s="174">
        <v>0</v>
      </c>
      <c r="K653" s="174">
        <v>0</v>
      </c>
      <c r="L653" s="174">
        <v>0</v>
      </c>
      <c r="M653" s="174">
        <v>0</v>
      </c>
      <c r="N653" s="174">
        <v>0</v>
      </c>
      <c r="O653" s="174">
        <v>0</v>
      </c>
      <c r="P653" s="174">
        <v>0</v>
      </c>
      <c r="Q653" s="174">
        <v>0</v>
      </c>
      <c r="R653" s="174">
        <v>0</v>
      </c>
      <c r="S653" s="215">
        <v>0</v>
      </c>
      <c r="T653" s="71">
        <f>J653+L653+N653+P653+R653</f>
        <v>0</v>
      </c>
      <c r="U653" s="71">
        <f>K653+M653+O653+Q653+S653</f>
        <v>0</v>
      </c>
      <c r="V653" s="117">
        <v>0</v>
      </c>
      <c r="W653" s="117">
        <v>0</v>
      </c>
      <c r="X653" s="71">
        <f t="shared" si="405"/>
        <v>0</v>
      </c>
      <c r="Y653" s="71">
        <f t="shared" si="406"/>
        <v>0</v>
      </c>
      <c r="AA653" s="65"/>
      <c r="AC653" s="71">
        <f t="shared" si="407"/>
        <v>0</v>
      </c>
      <c r="AD653" s="39"/>
      <c r="AE653" s="7"/>
      <c r="AF653" s="15"/>
      <c r="AG653" s="71" t="b">
        <f t="shared" si="408"/>
        <v>1</v>
      </c>
      <c r="AI653" s="71">
        <f t="shared" si="409"/>
        <v>0</v>
      </c>
      <c r="AJ653" s="39"/>
      <c r="AK653" s="15"/>
      <c r="AL653" s="71" t="b">
        <f t="shared" si="410"/>
        <v>1</v>
      </c>
      <c r="AN653" s="65"/>
    </row>
    <row r="654" spans="2:40 16128:16147" ht="13" customHeight="1" thickBot="1">
      <c r="E654" s="120" t="s">
        <v>0</v>
      </c>
      <c r="F654" s="121" t="s">
        <v>53</v>
      </c>
      <c r="G654" s="121"/>
      <c r="H654" s="121"/>
      <c r="I654" s="121"/>
      <c r="J654" s="122">
        <f>SUM(J629:J653)</f>
        <v>0</v>
      </c>
      <c r="K654" s="122">
        <f>SUM(K629:K653)</f>
        <v>0</v>
      </c>
      <c r="L654" s="122">
        <f t="shared" ref="L654:Y654" si="420">SUM(L629:L653)</f>
        <v>0</v>
      </c>
      <c r="M654" s="122">
        <f t="shared" si="420"/>
        <v>0</v>
      </c>
      <c r="N654" s="122">
        <f t="shared" si="420"/>
        <v>0</v>
      </c>
      <c r="O654" s="122">
        <f t="shared" si="420"/>
        <v>0</v>
      </c>
      <c r="P654" s="122">
        <f t="shared" si="420"/>
        <v>0</v>
      </c>
      <c r="Q654" s="122">
        <f t="shared" si="420"/>
        <v>0</v>
      </c>
      <c r="R654" s="122">
        <f t="shared" si="420"/>
        <v>63</v>
      </c>
      <c r="S654" s="122">
        <f t="shared" si="420"/>
        <v>3800640</v>
      </c>
      <c r="T654" s="122">
        <f t="shared" si="420"/>
        <v>63</v>
      </c>
      <c r="U654" s="122">
        <f t="shared" si="420"/>
        <v>3800640</v>
      </c>
      <c r="V654" s="123">
        <f t="shared" si="420"/>
        <v>63</v>
      </c>
      <c r="W654" s="123">
        <f t="shared" si="420"/>
        <v>3800640</v>
      </c>
      <c r="X654" s="122">
        <f t="shared" si="420"/>
        <v>0</v>
      </c>
      <c r="Y654" s="123">
        <f t="shared" si="420"/>
        <v>0</v>
      </c>
      <c r="AA654" s="65"/>
      <c r="AC654" s="122">
        <f>SUM(AC629:AC653)</f>
        <v>0</v>
      </c>
      <c r="AD654" s="122">
        <f>SUM(AD629:AD653)</f>
        <v>0</v>
      </c>
      <c r="AE654" s="122">
        <f>SUM(AE629:AE653)</f>
        <v>0</v>
      </c>
      <c r="AF654" s="123">
        <f>SUM(AF629:AF653)</f>
        <v>0</v>
      </c>
      <c r="AG654" s="100"/>
      <c r="AI654" s="122">
        <f>SUM(AI629:AI653)</f>
        <v>0</v>
      </c>
      <c r="AJ654" s="122">
        <f>SUM(AJ629:AJ653)</f>
        <v>0</v>
      </c>
      <c r="AK654" s="123">
        <f>SUM(AK629:AK653)</f>
        <v>0</v>
      </c>
      <c r="AL654" s="100"/>
      <c r="AN654" s="65"/>
    </row>
    <row r="655" spans="2:40 16128:16147" ht="13" thickBot="1">
      <c r="AA655" s="65"/>
      <c r="AN655" s="65"/>
    </row>
    <row r="656" spans="2:40 16128:16147" ht="41.25" customHeight="1" thickBot="1">
      <c r="B656" s="112" t="s">
        <v>4</v>
      </c>
      <c r="C656" s="34" t="s">
        <v>6</v>
      </c>
      <c r="D656" s="34" t="s">
        <v>7</v>
      </c>
      <c r="E656" s="34" t="s">
        <v>49</v>
      </c>
      <c r="F656" s="34" t="s">
        <v>50</v>
      </c>
      <c r="G656" s="34" t="s">
        <v>51</v>
      </c>
      <c r="H656" s="34" t="s">
        <v>52</v>
      </c>
      <c r="I656" s="34" t="s">
        <v>13</v>
      </c>
      <c r="J656" s="12" t="s">
        <v>8</v>
      </c>
      <c r="K656" s="12" t="s">
        <v>36</v>
      </c>
      <c r="L656" s="12" t="s">
        <v>9</v>
      </c>
      <c r="M656" s="12" t="s">
        <v>37</v>
      </c>
      <c r="N656" s="87" t="s">
        <v>10</v>
      </c>
      <c r="O656" s="88" t="s">
        <v>38</v>
      </c>
      <c r="P656" s="87" t="s">
        <v>11</v>
      </c>
      <c r="Q656" s="88" t="s">
        <v>39</v>
      </c>
      <c r="R656" s="87" t="s">
        <v>12</v>
      </c>
      <c r="S656" s="88" t="s">
        <v>40</v>
      </c>
      <c r="T656" s="64" t="s">
        <v>41</v>
      </c>
      <c r="U656" s="64" t="s">
        <v>42</v>
      </c>
      <c r="V656" s="35" t="s">
        <v>32</v>
      </c>
      <c r="W656" s="67" t="s">
        <v>35</v>
      </c>
      <c r="X656" s="12" t="s">
        <v>34</v>
      </c>
      <c r="Y656" s="68" t="s">
        <v>33</v>
      </c>
      <c r="AA656" s="66"/>
      <c r="AC656" s="12" t="s">
        <v>34</v>
      </c>
      <c r="AD656" s="12" t="s">
        <v>45</v>
      </c>
      <c r="AE656" s="12" t="s">
        <v>43</v>
      </c>
      <c r="AF656" s="12" t="s">
        <v>44</v>
      </c>
      <c r="AG656" s="12" t="s">
        <v>46</v>
      </c>
      <c r="AI656" s="12" t="s">
        <v>33</v>
      </c>
      <c r="AJ656" s="12" t="s">
        <v>47</v>
      </c>
      <c r="AK656" s="12" t="s">
        <v>48</v>
      </c>
      <c r="AL656" s="12" t="s">
        <v>46</v>
      </c>
      <c r="AN656" s="66"/>
      <c r="WVH656" s="1"/>
      <c r="WVI656" s="1"/>
      <c r="WVZ656"/>
      <c r="WWA656"/>
    </row>
    <row r="657" spans="2:40" ht="13" customHeight="1">
      <c r="B657" s="119" t="s">
        <v>83</v>
      </c>
      <c r="C657" s="24">
        <f>IF(D657&lt;=15,$C$1,$C$2)</f>
        <v>2026092</v>
      </c>
      <c r="D657" s="24">
        <v>24</v>
      </c>
      <c r="E657" s="127">
        <v>20</v>
      </c>
      <c r="F657" s="125" t="str">
        <f>VLOOKUP(E657,'Códigos bancos'!$B$4:$C$29,2,0)</f>
        <v>Bancolombia ENERBIT</v>
      </c>
      <c r="G657" s="18">
        <v>1</v>
      </c>
      <c r="H657" s="125" t="str">
        <f>VLOOKUP(G657,'Códigos bancos'!$F$4:$G$14,2,0)</f>
        <v>Oficinas</v>
      </c>
      <c r="I657" s="129"/>
      <c r="J657" s="213">
        <v>0</v>
      </c>
      <c r="K657" s="213">
        <v>0</v>
      </c>
      <c r="L657" s="213">
        <v>0</v>
      </c>
      <c r="M657" s="213">
        <v>0</v>
      </c>
      <c r="N657" s="213">
        <v>0</v>
      </c>
      <c r="O657" s="213">
        <v>0</v>
      </c>
      <c r="P657" s="213">
        <v>0</v>
      </c>
      <c r="Q657" s="213">
        <v>0</v>
      </c>
      <c r="R657" s="174">
        <v>14</v>
      </c>
      <c r="S657" s="215">
        <v>627740</v>
      </c>
      <c r="T657" s="70">
        <f>J657+L657+N657+P657+R657</f>
        <v>14</v>
      </c>
      <c r="U657" s="70">
        <f>K657+M657+O657+Q657+S657</f>
        <v>627740</v>
      </c>
      <c r="V657" s="174">
        <v>14</v>
      </c>
      <c r="W657" s="215">
        <v>627740</v>
      </c>
      <c r="X657" s="70">
        <f>V657-T657</f>
        <v>0</v>
      </c>
      <c r="Y657" s="70">
        <f>W657-U657</f>
        <v>0</v>
      </c>
      <c r="AA657" s="65"/>
      <c r="AC657" s="124">
        <f>X657</f>
        <v>0</v>
      </c>
      <c r="AD657" s="115"/>
      <c r="AE657" s="16"/>
      <c r="AF657" s="114"/>
      <c r="AG657" s="124" t="b">
        <f>AC657=(AD657+AE657+AF657)</f>
        <v>1</v>
      </c>
      <c r="AI657" s="70">
        <f>Y657</f>
        <v>0</v>
      </c>
      <c r="AJ657" s="115"/>
      <c r="AK657" s="114"/>
      <c r="AL657" s="70" t="b">
        <f>AI657=(AJ657+AK657)</f>
        <v>1</v>
      </c>
      <c r="AN657" s="65"/>
    </row>
    <row r="658" spans="2:40" ht="13" customHeight="1">
      <c r="B658" s="119"/>
      <c r="C658" s="23">
        <f t="shared" ref="C658:C681" si="421">IF(D658&lt;=15,$C$1,$C$2)</f>
        <v>2026092</v>
      </c>
      <c r="D658" s="23">
        <v>24</v>
      </c>
      <c r="E658" s="128">
        <v>0</v>
      </c>
      <c r="F658" s="126" t="e">
        <f>VLOOKUP(E658,'Códigos bancos'!$B$4:$C$29,2,0)</f>
        <v>#N/A</v>
      </c>
      <c r="G658" s="36">
        <v>1</v>
      </c>
      <c r="H658" s="126" t="str">
        <f>VLOOKUP(G658,'Códigos bancos'!$F$4:$G$14,2,0)</f>
        <v>Oficinas</v>
      </c>
      <c r="I658" s="130"/>
      <c r="J658" s="174">
        <v>0</v>
      </c>
      <c r="K658" s="174">
        <v>0</v>
      </c>
      <c r="L658" s="174">
        <v>0</v>
      </c>
      <c r="M658" s="174">
        <v>0</v>
      </c>
      <c r="N658" s="174">
        <v>0</v>
      </c>
      <c r="O658" s="174">
        <v>0</v>
      </c>
      <c r="P658" s="174">
        <v>0</v>
      </c>
      <c r="Q658" s="174">
        <v>0</v>
      </c>
      <c r="R658" s="174">
        <v>0</v>
      </c>
      <c r="S658" s="215">
        <v>0</v>
      </c>
      <c r="T658" s="71">
        <f t="shared" ref="T658:T681" si="422">J658+L658+N658+P658+R658</f>
        <v>0</v>
      </c>
      <c r="U658" s="71">
        <f t="shared" ref="U658:U681" si="423">K658+M658+O658+Q658+S658</f>
        <v>0</v>
      </c>
      <c r="V658" s="117">
        <v>0</v>
      </c>
      <c r="W658" s="117">
        <v>0</v>
      </c>
      <c r="X658" s="71">
        <f t="shared" ref="X658:X681" si="424">V658-T658</f>
        <v>0</v>
      </c>
      <c r="Y658" s="71">
        <f t="shared" ref="Y658:Y681" si="425">W658-U658</f>
        <v>0</v>
      </c>
      <c r="AA658" s="65"/>
      <c r="AC658" s="71">
        <f t="shared" ref="AC658:AC681" si="426">X658</f>
        <v>0</v>
      </c>
      <c r="AD658" s="39"/>
      <c r="AE658" s="7"/>
      <c r="AF658" s="15"/>
      <c r="AG658" s="71" t="b">
        <f t="shared" ref="AG658:AG681" si="427">AC658=(AD658+AE658+AF658)</f>
        <v>1</v>
      </c>
      <c r="AI658" s="71">
        <f t="shared" ref="AI658:AI681" si="428">Y658</f>
        <v>0</v>
      </c>
      <c r="AJ658" s="39"/>
      <c r="AK658" s="15"/>
      <c r="AL658" s="71" t="b">
        <f t="shared" ref="AL658:AL681" si="429">AI658=(AJ658+AK658)</f>
        <v>1</v>
      </c>
      <c r="AN658" s="65"/>
    </row>
    <row r="659" spans="2:40" ht="13" customHeight="1">
      <c r="B659" s="119"/>
      <c r="C659" s="23">
        <f t="shared" si="421"/>
        <v>2026092</v>
      </c>
      <c r="D659" s="23">
        <v>24</v>
      </c>
      <c r="E659" s="128">
        <v>0</v>
      </c>
      <c r="F659" s="126" t="e">
        <f>VLOOKUP(E659,'Códigos bancos'!$B$4:$C$29,2,0)</f>
        <v>#N/A</v>
      </c>
      <c r="G659" s="36">
        <v>1</v>
      </c>
      <c r="H659" s="126" t="str">
        <f>VLOOKUP(G659,'Códigos bancos'!$F$4:$G$14,2,0)</f>
        <v>Oficinas</v>
      </c>
      <c r="I659" s="130"/>
      <c r="J659" s="174">
        <v>0</v>
      </c>
      <c r="K659" s="174">
        <v>0</v>
      </c>
      <c r="L659" s="174">
        <v>0</v>
      </c>
      <c r="M659" s="174">
        <v>0</v>
      </c>
      <c r="N659" s="174">
        <v>0</v>
      </c>
      <c r="O659" s="174">
        <v>0</v>
      </c>
      <c r="P659" s="174">
        <v>0</v>
      </c>
      <c r="Q659" s="174">
        <v>0</v>
      </c>
      <c r="R659" s="174">
        <v>0</v>
      </c>
      <c r="S659" s="215">
        <v>0</v>
      </c>
      <c r="T659" s="71">
        <f t="shared" si="422"/>
        <v>0</v>
      </c>
      <c r="U659" s="71">
        <f t="shared" si="423"/>
        <v>0</v>
      </c>
      <c r="V659" s="117">
        <v>0</v>
      </c>
      <c r="W659" s="117">
        <v>0</v>
      </c>
      <c r="X659" s="71">
        <f t="shared" si="424"/>
        <v>0</v>
      </c>
      <c r="Y659" s="71">
        <f t="shared" si="425"/>
        <v>0</v>
      </c>
      <c r="AA659" s="65"/>
      <c r="AC659" s="71">
        <f t="shared" si="426"/>
        <v>0</v>
      </c>
      <c r="AD659" s="45"/>
      <c r="AE659" s="14"/>
      <c r="AF659" s="46"/>
      <c r="AG659" s="71" t="b">
        <f t="shared" si="427"/>
        <v>1</v>
      </c>
      <c r="AI659" s="71">
        <f t="shared" si="428"/>
        <v>0</v>
      </c>
      <c r="AJ659" s="45"/>
      <c r="AK659" s="46"/>
      <c r="AL659" s="71" t="b">
        <f t="shared" si="429"/>
        <v>1</v>
      </c>
      <c r="AN659" s="65"/>
    </row>
    <row r="660" spans="2:40" ht="13" customHeight="1">
      <c r="B660" s="119"/>
      <c r="C660" s="23">
        <f t="shared" si="421"/>
        <v>2026092</v>
      </c>
      <c r="D660" s="23">
        <v>24</v>
      </c>
      <c r="E660" s="128">
        <v>0</v>
      </c>
      <c r="F660" s="126" t="e">
        <f>VLOOKUP(E660,'Códigos bancos'!$B$4:$C$29,2,0)</f>
        <v>#N/A</v>
      </c>
      <c r="G660" s="36">
        <v>1</v>
      </c>
      <c r="H660" s="126" t="str">
        <f>VLOOKUP(G660,'Códigos bancos'!$F$4:$G$14,2,0)</f>
        <v>Oficinas</v>
      </c>
      <c r="I660" s="130"/>
      <c r="J660" s="174">
        <v>0</v>
      </c>
      <c r="K660" s="174">
        <v>0</v>
      </c>
      <c r="L660" s="174">
        <v>0</v>
      </c>
      <c r="M660" s="174">
        <v>0</v>
      </c>
      <c r="N660" s="174">
        <v>0</v>
      </c>
      <c r="O660" s="174">
        <v>0</v>
      </c>
      <c r="P660" s="174">
        <v>0</v>
      </c>
      <c r="Q660" s="174">
        <v>0</v>
      </c>
      <c r="R660" s="174">
        <v>0</v>
      </c>
      <c r="S660" s="215">
        <v>0</v>
      </c>
      <c r="T660" s="71">
        <f t="shared" si="422"/>
        <v>0</v>
      </c>
      <c r="U660" s="71">
        <f t="shared" si="423"/>
        <v>0</v>
      </c>
      <c r="V660" s="117">
        <v>0</v>
      </c>
      <c r="W660" s="117">
        <v>0</v>
      </c>
      <c r="X660" s="71">
        <f t="shared" si="424"/>
        <v>0</v>
      </c>
      <c r="Y660" s="71">
        <f t="shared" si="425"/>
        <v>0</v>
      </c>
      <c r="AA660" s="65"/>
      <c r="AC660" s="71">
        <f t="shared" si="426"/>
        <v>0</v>
      </c>
      <c r="AD660" s="39"/>
      <c r="AE660" s="7"/>
      <c r="AF660" s="15"/>
      <c r="AG660" s="71" t="b">
        <f t="shared" si="427"/>
        <v>1</v>
      </c>
      <c r="AI660" s="71">
        <f t="shared" si="428"/>
        <v>0</v>
      </c>
      <c r="AJ660" s="39"/>
      <c r="AK660" s="15"/>
      <c r="AL660" s="71" t="b">
        <f t="shared" si="429"/>
        <v>1</v>
      </c>
      <c r="AN660" s="65"/>
    </row>
    <row r="661" spans="2:40" ht="13" customHeight="1">
      <c r="B661" s="119"/>
      <c r="C661" s="23">
        <f t="shared" si="421"/>
        <v>2026092</v>
      </c>
      <c r="D661" s="23">
        <v>24</v>
      </c>
      <c r="E661" s="128">
        <v>0</v>
      </c>
      <c r="F661" s="126" t="e">
        <f>VLOOKUP(E661,'Códigos bancos'!$B$4:$C$29,2,0)</f>
        <v>#N/A</v>
      </c>
      <c r="G661" s="36">
        <v>1</v>
      </c>
      <c r="H661" s="126" t="str">
        <f>VLOOKUP(G661,'Códigos bancos'!$F$4:$G$14,2,0)</f>
        <v>Oficinas</v>
      </c>
      <c r="I661" s="130"/>
      <c r="J661" s="174">
        <v>0</v>
      </c>
      <c r="K661" s="174">
        <v>0</v>
      </c>
      <c r="L661" s="174">
        <v>0</v>
      </c>
      <c r="M661" s="174">
        <v>0</v>
      </c>
      <c r="N661" s="174">
        <v>0</v>
      </c>
      <c r="O661" s="174">
        <v>0</v>
      </c>
      <c r="P661" s="174">
        <v>0</v>
      </c>
      <c r="Q661" s="174">
        <v>0</v>
      </c>
      <c r="R661" s="174">
        <v>0</v>
      </c>
      <c r="S661" s="215">
        <v>0</v>
      </c>
      <c r="T661" s="71">
        <f t="shared" si="422"/>
        <v>0</v>
      </c>
      <c r="U661" s="71">
        <f t="shared" si="423"/>
        <v>0</v>
      </c>
      <c r="V661" s="117">
        <v>0</v>
      </c>
      <c r="W661" s="117">
        <v>0</v>
      </c>
      <c r="X661" s="71">
        <f t="shared" si="424"/>
        <v>0</v>
      </c>
      <c r="Y661" s="71">
        <f t="shared" si="425"/>
        <v>0</v>
      </c>
      <c r="AA661" s="65"/>
      <c r="AC661" s="71">
        <f t="shared" si="426"/>
        <v>0</v>
      </c>
      <c r="AD661" s="39"/>
      <c r="AE661" s="7"/>
      <c r="AF661" s="15"/>
      <c r="AG661" s="71" t="b">
        <f t="shared" si="427"/>
        <v>1</v>
      </c>
      <c r="AI661" s="71">
        <f t="shared" si="428"/>
        <v>0</v>
      </c>
      <c r="AJ661" s="39"/>
      <c r="AK661" s="15"/>
      <c r="AL661" s="71" t="b">
        <f t="shared" si="429"/>
        <v>1</v>
      </c>
      <c r="AN661" s="65"/>
    </row>
    <row r="662" spans="2:40" ht="13" customHeight="1">
      <c r="B662" s="119"/>
      <c r="C662" s="23">
        <f t="shared" si="421"/>
        <v>2026092</v>
      </c>
      <c r="D662" s="23">
        <v>24</v>
      </c>
      <c r="E662" s="128">
        <v>0</v>
      </c>
      <c r="F662" s="126" t="e">
        <f>VLOOKUP(E662,'Códigos bancos'!$B$4:$C$29,2,0)</f>
        <v>#N/A</v>
      </c>
      <c r="G662" s="36">
        <v>1</v>
      </c>
      <c r="H662" s="126" t="str">
        <f>VLOOKUP(G662,'Códigos bancos'!$F$4:$G$14,2,0)</f>
        <v>Oficinas</v>
      </c>
      <c r="I662" s="130"/>
      <c r="J662" s="174">
        <v>0</v>
      </c>
      <c r="K662" s="174">
        <v>0</v>
      </c>
      <c r="L662" s="174">
        <v>0</v>
      </c>
      <c r="M662" s="174">
        <v>0</v>
      </c>
      <c r="N662" s="174">
        <v>0</v>
      </c>
      <c r="O662" s="174">
        <v>0</v>
      </c>
      <c r="P662" s="174">
        <v>0</v>
      </c>
      <c r="Q662" s="174">
        <v>0</v>
      </c>
      <c r="R662" s="174">
        <v>0</v>
      </c>
      <c r="S662" s="215">
        <v>0</v>
      </c>
      <c r="T662" s="71">
        <f t="shared" si="422"/>
        <v>0</v>
      </c>
      <c r="U662" s="71">
        <f t="shared" si="423"/>
        <v>0</v>
      </c>
      <c r="V662" s="117">
        <v>0</v>
      </c>
      <c r="W662" s="117">
        <v>0</v>
      </c>
      <c r="X662" s="71">
        <f t="shared" si="424"/>
        <v>0</v>
      </c>
      <c r="Y662" s="71">
        <f t="shared" si="425"/>
        <v>0</v>
      </c>
      <c r="AA662" s="65"/>
      <c r="AC662" s="71">
        <f t="shared" si="426"/>
        <v>0</v>
      </c>
      <c r="AD662" s="39"/>
      <c r="AE662" s="7"/>
      <c r="AF662" s="15"/>
      <c r="AG662" s="71" t="b">
        <f t="shared" si="427"/>
        <v>1</v>
      </c>
      <c r="AI662" s="71">
        <f t="shared" si="428"/>
        <v>0</v>
      </c>
      <c r="AJ662" s="39"/>
      <c r="AK662" s="15"/>
      <c r="AL662" s="71" t="b">
        <f t="shared" si="429"/>
        <v>1</v>
      </c>
      <c r="AN662" s="65"/>
    </row>
    <row r="663" spans="2:40" ht="13" customHeight="1">
      <c r="B663" s="119"/>
      <c r="C663" s="23">
        <f t="shared" si="421"/>
        <v>2026092</v>
      </c>
      <c r="D663" s="23">
        <v>24</v>
      </c>
      <c r="E663" s="128">
        <v>0</v>
      </c>
      <c r="F663" s="126" t="e">
        <f>VLOOKUP(E663,'Códigos bancos'!$B$4:$C$29,2,0)</f>
        <v>#N/A</v>
      </c>
      <c r="G663" s="36">
        <v>1</v>
      </c>
      <c r="H663" s="126" t="str">
        <f>VLOOKUP(G663,'Códigos bancos'!$F$4:$G$14,2,0)</f>
        <v>Oficinas</v>
      </c>
      <c r="I663" s="130"/>
      <c r="J663" s="174">
        <v>0</v>
      </c>
      <c r="K663" s="174">
        <v>0</v>
      </c>
      <c r="L663" s="174">
        <v>0</v>
      </c>
      <c r="M663" s="174">
        <v>0</v>
      </c>
      <c r="N663" s="174">
        <v>0</v>
      </c>
      <c r="O663" s="174">
        <v>0</v>
      </c>
      <c r="P663" s="174">
        <v>0</v>
      </c>
      <c r="Q663" s="174">
        <v>0</v>
      </c>
      <c r="R663" s="174">
        <v>0</v>
      </c>
      <c r="S663" s="215">
        <v>0</v>
      </c>
      <c r="T663" s="71">
        <f t="shared" si="422"/>
        <v>0</v>
      </c>
      <c r="U663" s="71">
        <f t="shared" si="423"/>
        <v>0</v>
      </c>
      <c r="V663" s="117">
        <v>0</v>
      </c>
      <c r="W663" s="117">
        <v>0</v>
      </c>
      <c r="X663" s="71">
        <f t="shared" si="424"/>
        <v>0</v>
      </c>
      <c r="Y663" s="71">
        <f t="shared" si="425"/>
        <v>0</v>
      </c>
      <c r="AA663" s="65"/>
      <c r="AC663" s="71">
        <f t="shared" si="426"/>
        <v>0</v>
      </c>
      <c r="AD663" s="39"/>
      <c r="AE663" s="7"/>
      <c r="AF663" s="15"/>
      <c r="AG663" s="71" t="b">
        <f t="shared" si="427"/>
        <v>1</v>
      </c>
      <c r="AI663" s="71">
        <f t="shared" si="428"/>
        <v>0</v>
      </c>
      <c r="AJ663" s="39"/>
      <c r="AK663" s="15"/>
      <c r="AL663" s="71" t="b">
        <f t="shared" si="429"/>
        <v>1</v>
      </c>
      <c r="AN663" s="65"/>
    </row>
    <row r="664" spans="2:40" ht="13" customHeight="1">
      <c r="B664" s="119"/>
      <c r="C664" s="23">
        <f t="shared" si="421"/>
        <v>2026092</v>
      </c>
      <c r="D664" s="23">
        <v>24</v>
      </c>
      <c r="E664" s="128">
        <v>0</v>
      </c>
      <c r="F664" s="126" t="e">
        <f>VLOOKUP(E664,'Códigos bancos'!$B$4:$C$29,2,0)</f>
        <v>#N/A</v>
      </c>
      <c r="G664" s="36">
        <v>1</v>
      </c>
      <c r="H664" s="126" t="str">
        <f>VLOOKUP(G664,'Códigos bancos'!$F$4:$G$14,2,0)</f>
        <v>Oficinas</v>
      </c>
      <c r="I664" s="130"/>
      <c r="J664" s="174">
        <v>0</v>
      </c>
      <c r="K664" s="174">
        <v>0</v>
      </c>
      <c r="L664" s="174">
        <v>0</v>
      </c>
      <c r="M664" s="174">
        <v>0</v>
      </c>
      <c r="N664" s="174">
        <v>0</v>
      </c>
      <c r="O664" s="174">
        <v>0</v>
      </c>
      <c r="P664" s="174">
        <v>0</v>
      </c>
      <c r="Q664" s="174">
        <v>0</v>
      </c>
      <c r="R664" s="174">
        <v>0</v>
      </c>
      <c r="S664" s="215">
        <v>0</v>
      </c>
      <c r="T664" s="71">
        <f t="shared" si="422"/>
        <v>0</v>
      </c>
      <c r="U664" s="71">
        <f t="shared" si="423"/>
        <v>0</v>
      </c>
      <c r="V664" s="117">
        <v>0</v>
      </c>
      <c r="W664" s="117">
        <v>0</v>
      </c>
      <c r="X664" s="71">
        <f t="shared" si="424"/>
        <v>0</v>
      </c>
      <c r="Y664" s="71">
        <f t="shared" si="425"/>
        <v>0</v>
      </c>
      <c r="AA664" s="65"/>
      <c r="AC664" s="71">
        <f t="shared" si="426"/>
        <v>0</v>
      </c>
      <c r="AD664" s="39"/>
      <c r="AE664" s="7"/>
      <c r="AF664" s="15"/>
      <c r="AG664" s="71" t="b">
        <f t="shared" si="427"/>
        <v>1</v>
      </c>
      <c r="AI664" s="71">
        <f t="shared" si="428"/>
        <v>0</v>
      </c>
      <c r="AJ664" s="39"/>
      <c r="AK664" s="15"/>
      <c r="AL664" s="71" t="b">
        <f t="shared" si="429"/>
        <v>1</v>
      </c>
      <c r="AN664" s="65"/>
    </row>
    <row r="665" spans="2:40" ht="13" customHeight="1">
      <c r="B665" s="119"/>
      <c r="C665" s="23">
        <f t="shared" si="421"/>
        <v>2026092</v>
      </c>
      <c r="D665" s="23">
        <v>24</v>
      </c>
      <c r="E665" s="128">
        <v>0</v>
      </c>
      <c r="F665" s="126" t="e">
        <f>VLOOKUP(E665,'Códigos bancos'!$B$4:$C$29,2,0)</f>
        <v>#N/A</v>
      </c>
      <c r="G665" s="36">
        <v>1</v>
      </c>
      <c r="H665" s="126" t="str">
        <f>VLOOKUP(G665,'Códigos bancos'!$F$4:$G$14,2,0)</f>
        <v>Oficinas</v>
      </c>
      <c r="I665" s="130"/>
      <c r="J665" s="174">
        <v>0</v>
      </c>
      <c r="K665" s="174">
        <v>0</v>
      </c>
      <c r="L665" s="174">
        <v>0</v>
      </c>
      <c r="M665" s="174">
        <v>0</v>
      </c>
      <c r="N665" s="174">
        <v>0</v>
      </c>
      <c r="O665" s="174">
        <v>0</v>
      </c>
      <c r="P665" s="174">
        <v>0</v>
      </c>
      <c r="Q665" s="174">
        <v>0</v>
      </c>
      <c r="R665" s="174">
        <v>0</v>
      </c>
      <c r="S665" s="215">
        <v>0</v>
      </c>
      <c r="T665" s="71">
        <f t="shared" si="422"/>
        <v>0</v>
      </c>
      <c r="U665" s="71">
        <f t="shared" si="423"/>
        <v>0</v>
      </c>
      <c r="V665" s="117">
        <v>0</v>
      </c>
      <c r="W665" s="117">
        <v>0</v>
      </c>
      <c r="X665" s="71">
        <f t="shared" si="424"/>
        <v>0</v>
      </c>
      <c r="Y665" s="71">
        <f t="shared" si="425"/>
        <v>0</v>
      </c>
      <c r="AA665" s="65"/>
      <c r="AC665" s="71">
        <f t="shared" si="426"/>
        <v>0</v>
      </c>
      <c r="AD665" s="39"/>
      <c r="AE665" s="7"/>
      <c r="AF665" s="15"/>
      <c r="AG665" s="71" t="b">
        <f t="shared" si="427"/>
        <v>1</v>
      </c>
      <c r="AI665" s="71">
        <f t="shared" si="428"/>
        <v>0</v>
      </c>
      <c r="AJ665" s="39"/>
      <c r="AK665" s="15"/>
      <c r="AL665" s="71" t="b">
        <f t="shared" si="429"/>
        <v>1</v>
      </c>
      <c r="AN665" s="65"/>
    </row>
    <row r="666" spans="2:40" ht="13" customHeight="1">
      <c r="B666" s="119"/>
      <c r="C666" s="23">
        <f t="shared" si="421"/>
        <v>2026092</v>
      </c>
      <c r="D666" s="23">
        <v>24</v>
      </c>
      <c r="E666" s="128">
        <v>0</v>
      </c>
      <c r="F666" s="126" t="e">
        <f>VLOOKUP(E666,'Códigos bancos'!$B$4:$C$29,2,0)</f>
        <v>#N/A</v>
      </c>
      <c r="G666" s="36">
        <v>1</v>
      </c>
      <c r="H666" s="126" t="str">
        <f>VLOOKUP(G666,'Códigos bancos'!$F$4:$G$14,2,0)</f>
        <v>Oficinas</v>
      </c>
      <c r="I666" s="130"/>
      <c r="J666" s="174">
        <v>0</v>
      </c>
      <c r="K666" s="174">
        <v>0</v>
      </c>
      <c r="L666" s="174">
        <v>0</v>
      </c>
      <c r="M666" s="174">
        <v>0</v>
      </c>
      <c r="N666" s="174">
        <v>0</v>
      </c>
      <c r="O666" s="174">
        <v>0</v>
      </c>
      <c r="P666" s="174">
        <v>0</v>
      </c>
      <c r="Q666" s="174">
        <v>0</v>
      </c>
      <c r="R666" s="174">
        <v>0</v>
      </c>
      <c r="S666" s="215">
        <v>0</v>
      </c>
      <c r="T666" s="71">
        <f t="shared" si="422"/>
        <v>0</v>
      </c>
      <c r="U666" s="71">
        <f t="shared" si="423"/>
        <v>0</v>
      </c>
      <c r="V666" s="117">
        <v>0</v>
      </c>
      <c r="W666" s="117">
        <v>0</v>
      </c>
      <c r="X666" s="71">
        <f t="shared" si="424"/>
        <v>0</v>
      </c>
      <c r="Y666" s="71">
        <f t="shared" si="425"/>
        <v>0</v>
      </c>
      <c r="AA666" s="65"/>
      <c r="AC666" s="71">
        <f t="shared" si="426"/>
        <v>0</v>
      </c>
      <c r="AD666" s="39"/>
      <c r="AE666" s="7"/>
      <c r="AF666" s="15"/>
      <c r="AG666" s="71" t="b">
        <f t="shared" si="427"/>
        <v>1</v>
      </c>
      <c r="AI666" s="71">
        <f t="shared" si="428"/>
        <v>0</v>
      </c>
      <c r="AJ666" s="39"/>
      <c r="AK666" s="15"/>
      <c r="AL666" s="71" t="b">
        <f t="shared" si="429"/>
        <v>1</v>
      </c>
      <c r="AN666" s="65"/>
    </row>
    <row r="667" spans="2:40" ht="13" customHeight="1">
      <c r="B667" s="119"/>
      <c r="C667" s="23">
        <f t="shared" si="421"/>
        <v>2026092</v>
      </c>
      <c r="D667" s="23">
        <v>24</v>
      </c>
      <c r="E667" s="128">
        <v>0</v>
      </c>
      <c r="F667" s="126" t="e">
        <f>VLOOKUP(E667,'Códigos bancos'!$B$4:$C$29,2,0)</f>
        <v>#N/A</v>
      </c>
      <c r="G667" s="36">
        <v>1</v>
      </c>
      <c r="H667" s="126" t="str">
        <f>VLOOKUP(G667,'Códigos bancos'!$F$4:$G$14,2,0)</f>
        <v>Oficinas</v>
      </c>
      <c r="I667" s="130"/>
      <c r="J667" s="174">
        <v>0</v>
      </c>
      <c r="K667" s="174">
        <v>0</v>
      </c>
      <c r="L667" s="174">
        <v>0</v>
      </c>
      <c r="M667" s="174">
        <v>0</v>
      </c>
      <c r="N667" s="174">
        <v>0</v>
      </c>
      <c r="O667" s="174">
        <v>0</v>
      </c>
      <c r="P667" s="174">
        <v>0</v>
      </c>
      <c r="Q667" s="174">
        <v>0</v>
      </c>
      <c r="R667" s="174">
        <v>0</v>
      </c>
      <c r="S667" s="215">
        <v>0</v>
      </c>
      <c r="T667" s="71">
        <f t="shared" si="422"/>
        <v>0</v>
      </c>
      <c r="U667" s="71">
        <f t="shared" si="423"/>
        <v>0</v>
      </c>
      <c r="V667" s="117">
        <v>0</v>
      </c>
      <c r="W667" s="117">
        <v>0</v>
      </c>
      <c r="X667" s="71">
        <f t="shared" si="424"/>
        <v>0</v>
      </c>
      <c r="Y667" s="71">
        <f t="shared" si="425"/>
        <v>0</v>
      </c>
      <c r="AA667" s="65"/>
      <c r="AC667" s="71">
        <f t="shared" si="426"/>
        <v>0</v>
      </c>
      <c r="AD667" s="39"/>
      <c r="AE667" s="7"/>
      <c r="AF667" s="15"/>
      <c r="AG667" s="71" t="b">
        <f t="shared" si="427"/>
        <v>1</v>
      </c>
      <c r="AI667" s="71">
        <f t="shared" si="428"/>
        <v>0</v>
      </c>
      <c r="AJ667" s="39"/>
      <c r="AK667" s="15"/>
      <c r="AL667" s="71" t="b">
        <f t="shared" si="429"/>
        <v>1</v>
      </c>
      <c r="AN667" s="65"/>
    </row>
    <row r="668" spans="2:40" ht="13" customHeight="1">
      <c r="B668" s="119"/>
      <c r="C668" s="23">
        <f t="shared" si="421"/>
        <v>2026092</v>
      </c>
      <c r="D668" s="23">
        <v>24</v>
      </c>
      <c r="E668" s="128">
        <v>0</v>
      </c>
      <c r="F668" s="126" t="e">
        <f>VLOOKUP(E668,'Códigos bancos'!$B$4:$C$29,2,0)</f>
        <v>#N/A</v>
      </c>
      <c r="G668" s="36">
        <v>1</v>
      </c>
      <c r="H668" s="126" t="str">
        <f>VLOOKUP(G668,'Códigos bancos'!$F$4:$G$14,2,0)</f>
        <v>Oficinas</v>
      </c>
      <c r="I668" s="130"/>
      <c r="J668" s="174">
        <v>0</v>
      </c>
      <c r="K668" s="174">
        <v>0</v>
      </c>
      <c r="L668" s="174">
        <v>0</v>
      </c>
      <c r="M668" s="174">
        <v>0</v>
      </c>
      <c r="N668" s="174">
        <v>0</v>
      </c>
      <c r="O668" s="174">
        <v>0</v>
      </c>
      <c r="P668" s="174">
        <v>0</v>
      </c>
      <c r="Q668" s="174">
        <v>0</v>
      </c>
      <c r="R668" s="174">
        <v>0</v>
      </c>
      <c r="S668" s="215">
        <v>0</v>
      </c>
      <c r="T668" s="71">
        <f t="shared" si="422"/>
        <v>0</v>
      </c>
      <c r="U668" s="71">
        <f t="shared" si="423"/>
        <v>0</v>
      </c>
      <c r="V668" s="117">
        <v>0</v>
      </c>
      <c r="W668" s="117">
        <v>0</v>
      </c>
      <c r="X668" s="71">
        <f t="shared" si="424"/>
        <v>0</v>
      </c>
      <c r="Y668" s="71">
        <f t="shared" si="425"/>
        <v>0</v>
      </c>
      <c r="AA668" s="65"/>
      <c r="AC668" s="71">
        <f t="shared" si="426"/>
        <v>0</v>
      </c>
      <c r="AD668" s="39"/>
      <c r="AE668" s="7"/>
      <c r="AF668" s="15"/>
      <c r="AG668" s="71" t="b">
        <f t="shared" si="427"/>
        <v>1</v>
      </c>
      <c r="AI668" s="71">
        <f t="shared" si="428"/>
        <v>0</v>
      </c>
      <c r="AJ668" s="39"/>
      <c r="AK668" s="15"/>
      <c r="AL668" s="71" t="b">
        <f t="shared" si="429"/>
        <v>1</v>
      </c>
      <c r="AN668" s="65"/>
    </row>
    <row r="669" spans="2:40" ht="13" customHeight="1">
      <c r="B669" s="119"/>
      <c r="C669" s="23">
        <f t="shared" si="421"/>
        <v>2026092</v>
      </c>
      <c r="D669" s="23">
        <v>24</v>
      </c>
      <c r="E669" s="128">
        <v>0</v>
      </c>
      <c r="F669" s="126" t="e">
        <f>VLOOKUP(E669,'Códigos bancos'!$B$4:$C$29,2,0)</f>
        <v>#N/A</v>
      </c>
      <c r="G669" s="36">
        <v>1</v>
      </c>
      <c r="H669" s="126" t="str">
        <f>VLOOKUP(G669,'Códigos bancos'!$F$4:$G$14,2,0)</f>
        <v>Oficinas</v>
      </c>
      <c r="I669" s="130"/>
      <c r="J669" s="174">
        <v>0</v>
      </c>
      <c r="K669" s="174">
        <v>0</v>
      </c>
      <c r="L669" s="174">
        <v>0</v>
      </c>
      <c r="M669" s="174">
        <v>0</v>
      </c>
      <c r="N669" s="174">
        <v>0</v>
      </c>
      <c r="O669" s="174">
        <v>0</v>
      </c>
      <c r="P669" s="174">
        <v>0</v>
      </c>
      <c r="Q669" s="174">
        <v>0</v>
      </c>
      <c r="R669" s="174">
        <v>0</v>
      </c>
      <c r="S669" s="215">
        <v>0</v>
      </c>
      <c r="T669" s="71">
        <f t="shared" si="422"/>
        <v>0</v>
      </c>
      <c r="U669" s="71">
        <f t="shared" si="423"/>
        <v>0</v>
      </c>
      <c r="V669" s="117">
        <v>0</v>
      </c>
      <c r="W669" s="117">
        <v>0</v>
      </c>
      <c r="X669" s="71">
        <f t="shared" si="424"/>
        <v>0</v>
      </c>
      <c r="Y669" s="71">
        <f t="shared" si="425"/>
        <v>0</v>
      </c>
      <c r="AA669" s="65"/>
      <c r="AC669" s="71">
        <f t="shared" si="426"/>
        <v>0</v>
      </c>
      <c r="AD669" s="39"/>
      <c r="AE669" s="7"/>
      <c r="AF669" s="15"/>
      <c r="AG669" s="71" t="b">
        <f t="shared" si="427"/>
        <v>1</v>
      </c>
      <c r="AI669" s="71">
        <f t="shared" si="428"/>
        <v>0</v>
      </c>
      <c r="AJ669" s="39"/>
      <c r="AK669" s="15"/>
      <c r="AL669" s="71" t="b">
        <f t="shared" si="429"/>
        <v>1</v>
      </c>
      <c r="AN669" s="65"/>
    </row>
    <row r="670" spans="2:40" ht="13" customHeight="1">
      <c r="B670" s="119"/>
      <c r="C670" s="159">
        <f t="shared" si="421"/>
        <v>2026092</v>
      </c>
      <c r="D670" s="23">
        <v>24</v>
      </c>
      <c r="E670" s="128">
        <v>0</v>
      </c>
      <c r="F670" s="126" t="e">
        <f>VLOOKUP(E670,'Códigos bancos'!$B$4:$C$29,2,0)</f>
        <v>#N/A</v>
      </c>
      <c r="G670" s="36">
        <v>1</v>
      </c>
      <c r="H670" s="126" t="str">
        <f>VLOOKUP(G670,'Códigos bancos'!$F$4:$G$14,2,0)</f>
        <v>Oficinas</v>
      </c>
      <c r="I670" s="130"/>
      <c r="J670" s="174">
        <v>0</v>
      </c>
      <c r="K670" s="174">
        <v>0</v>
      </c>
      <c r="L670" s="174">
        <v>0</v>
      </c>
      <c r="M670" s="174">
        <v>0</v>
      </c>
      <c r="N670" s="174">
        <v>0</v>
      </c>
      <c r="O670" s="174">
        <v>0</v>
      </c>
      <c r="P670" s="174">
        <v>0</v>
      </c>
      <c r="Q670" s="174">
        <v>0</v>
      </c>
      <c r="R670" s="174">
        <v>0</v>
      </c>
      <c r="S670" s="215">
        <v>0</v>
      </c>
      <c r="T670" s="71">
        <f t="shared" si="422"/>
        <v>0</v>
      </c>
      <c r="U670" s="71">
        <f t="shared" si="423"/>
        <v>0</v>
      </c>
      <c r="V670" s="117">
        <v>0</v>
      </c>
      <c r="W670" s="117">
        <v>0</v>
      </c>
      <c r="X670" s="71">
        <f t="shared" si="424"/>
        <v>0</v>
      </c>
      <c r="Y670" s="71">
        <f t="shared" si="425"/>
        <v>0</v>
      </c>
      <c r="AA670" s="65"/>
      <c r="AC670" s="71">
        <f t="shared" si="426"/>
        <v>0</v>
      </c>
      <c r="AD670" s="39"/>
      <c r="AE670" s="7"/>
      <c r="AF670" s="15"/>
      <c r="AG670" s="71" t="b">
        <f t="shared" si="427"/>
        <v>1</v>
      </c>
      <c r="AI670" s="71">
        <f t="shared" si="428"/>
        <v>0</v>
      </c>
      <c r="AJ670" s="39"/>
      <c r="AK670" s="15"/>
      <c r="AL670" s="71" t="b">
        <f t="shared" si="429"/>
        <v>1</v>
      </c>
      <c r="AN670" s="65"/>
    </row>
    <row r="671" spans="2:40" ht="13" customHeight="1">
      <c r="B671" s="119"/>
      <c r="C671" s="23">
        <f t="shared" si="421"/>
        <v>2026092</v>
      </c>
      <c r="D671" s="23">
        <v>24</v>
      </c>
      <c r="E671" s="128">
        <v>0</v>
      </c>
      <c r="F671" s="126" t="e">
        <f>VLOOKUP(E671,'Códigos bancos'!$B$4:$C$29,2,0)</f>
        <v>#N/A</v>
      </c>
      <c r="G671" s="36">
        <v>1</v>
      </c>
      <c r="H671" s="126" t="str">
        <f>VLOOKUP(G671,'Códigos bancos'!$F$4:$G$14,2,0)</f>
        <v>Oficinas</v>
      </c>
      <c r="I671" s="130"/>
      <c r="J671" s="174">
        <v>0</v>
      </c>
      <c r="K671" s="174">
        <v>0</v>
      </c>
      <c r="L671" s="174">
        <v>0</v>
      </c>
      <c r="M671" s="174">
        <v>0</v>
      </c>
      <c r="N671" s="174">
        <v>0</v>
      </c>
      <c r="O671" s="174">
        <v>0</v>
      </c>
      <c r="P671" s="174">
        <v>0</v>
      </c>
      <c r="Q671" s="174">
        <v>0</v>
      </c>
      <c r="R671" s="174">
        <v>0</v>
      </c>
      <c r="S671" s="215">
        <v>0</v>
      </c>
      <c r="T671" s="71">
        <f t="shared" si="422"/>
        <v>0</v>
      </c>
      <c r="U671" s="71">
        <f t="shared" si="423"/>
        <v>0</v>
      </c>
      <c r="V671" s="117">
        <v>0</v>
      </c>
      <c r="W671" s="117">
        <v>0</v>
      </c>
      <c r="X671" s="71">
        <f t="shared" si="424"/>
        <v>0</v>
      </c>
      <c r="Y671" s="71">
        <f t="shared" si="425"/>
        <v>0</v>
      </c>
      <c r="AA671" s="65"/>
      <c r="AC671" s="71">
        <f t="shared" si="426"/>
        <v>0</v>
      </c>
      <c r="AD671" s="39"/>
      <c r="AE671" s="7"/>
      <c r="AF671" s="15"/>
      <c r="AG671" s="71" t="b">
        <f t="shared" si="427"/>
        <v>1</v>
      </c>
      <c r="AI671" s="71">
        <f t="shared" si="428"/>
        <v>0</v>
      </c>
      <c r="AJ671" s="39"/>
      <c r="AK671" s="15"/>
      <c r="AL671" s="71" t="b">
        <f t="shared" si="429"/>
        <v>1</v>
      </c>
      <c r="AN671" s="65"/>
    </row>
    <row r="672" spans="2:40" ht="13" customHeight="1">
      <c r="B672" s="119"/>
      <c r="C672" s="23">
        <f t="shared" si="421"/>
        <v>2026092</v>
      </c>
      <c r="D672" s="23">
        <v>24</v>
      </c>
      <c r="E672" s="128">
        <v>0</v>
      </c>
      <c r="F672" s="126" t="e">
        <f>VLOOKUP(E672,'Códigos bancos'!$B$4:$C$29,2,0)</f>
        <v>#N/A</v>
      </c>
      <c r="G672" s="36">
        <v>1</v>
      </c>
      <c r="H672" s="126" t="str">
        <f>VLOOKUP(G672,'Códigos bancos'!$F$4:$G$14,2,0)</f>
        <v>Oficinas</v>
      </c>
      <c r="I672" s="130"/>
      <c r="J672" s="174">
        <v>0</v>
      </c>
      <c r="K672" s="174">
        <v>0</v>
      </c>
      <c r="L672" s="174">
        <v>0</v>
      </c>
      <c r="M672" s="174">
        <v>0</v>
      </c>
      <c r="N672" s="174">
        <v>0</v>
      </c>
      <c r="O672" s="174">
        <v>0</v>
      </c>
      <c r="P672" s="174">
        <v>0</v>
      </c>
      <c r="Q672" s="174">
        <v>0</v>
      </c>
      <c r="R672" s="174">
        <v>0</v>
      </c>
      <c r="S672" s="215">
        <v>0</v>
      </c>
      <c r="T672" s="71">
        <f t="shared" si="422"/>
        <v>0</v>
      </c>
      <c r="U672" s="71">
        <f t="shared" si="423"/>
        <v>0</v>
      </c>
      <c r="V672" s="117">
        <v>0</v>
      </c>
      <c r="W672" s="117">
        <v>0</v>
      </c>
      <c r="X672" s="71">
        <f t="shared" si="424"/>
        <v>0</v>
      </c>
      <c r="Y672" s="71">
        <f t="shared" si="425"/>
        <v>0</v>
      </c>
      <c r="AA672" s="65"/>
      <c r="AC672" s="71">
        <f t="shared" si="426"/>
        <v>0</v>
      </c>
      <c r="AD672" s="39"/>
      <c r="AE672" s="7"/>
      <c r="AF672" s="15"/>
      <c r="AG672" s="71" t="b">
        <f t="shared" si="427"/>
        <v>1</v>
      </c>
      <c r="AI672" s="71">
        <f t="shared" si="428"/>
        <v>0</v>
      </c>
      <c r="AJ672" s="39"/>
      <c r="AK672" s="15"/>
      <c r="AL672" s="71" t="b">
        <f t="shared" si="429"/>
        <v>1</v>
      </c>
      <c r="AN672" s="65"/>
    </row>
    <row r="673" spans="2:40 16128:16147" ht="13" customHeight="1">
      <c r="B673" s="119"/>
      <c r="C673" s="23">
        <f t="shared" si="421"/>
        <v>2026092</v>
      </c>
      <c r="D673" s="23">
        <v>24</v>
      </c>
      <c r="E673" s="128">
        <v>0</v>
      </c>
      <c r="F673" s="126" t="e">
        <f>VLOOKUP(E673,'Códigos bancos'!$B$4:$C$29,2,0)</f>
        <v>#N/A</v>
      </c>
      <c r="G673" s="36">
        <v>1</v>
      </c>
      <c r="H673" s="126" t="str">
        <f>VLOOKUP(G673,'Códigos bancos'!$F$4:$G$14,2,0)</f>
        <v>Oficinas</v>
      </c>
      <c r="I673" s="130"/>
      <c r="J673" s="174">
        <v>0</v>
      </c>
      <c r="K673" s="174">
        <v>0</v>
      </c>
      <c r="L673" s="174">
        <v>0</v>
      </c>
      <c r="M673" s="174">
        <v>0</v>
      </c>
      <c r="N673" s="174">
        <v>0</v>
      </c>
      <c r="O673" s="174">
        <v>0</v>
      </c>
      <c r="P673" s="174">
        <v>0</v>
      </c>
      <c r="Q673" s="174">
        <v>0</v>
      </c>
      <c r="R673" s="174">
        <v>0</v>
      </c>
      <c r="S673" s="215">
        <v>0</v>
      </c>
      <c r="T673" s="71">
        <f t="shared" si="422"/>
        <v>0</v>
      </c>
      <c r="U673" s="71">
        <f t="shared" si="423"/>
        <v>0</v>
      </c>
      <c r="V673" s="117">
        <v>0</v>
      </c>
      <c r="W673" s="117">
        <v>0</v>
      </c>
      <c r="X673" s="71">
        <f t="shared" si="424"/>
        <v>0</v>
      </c>
      <c r="Y673" s="71">
        <f t="shared" si="425"/>
        <v>0</v>
      </c>
      <c r="AA673" s="65"/>
      <c r="AC673" s="71">
        <f t="shared" si="426"/>
        <v>0</v>
      </c>
      <c r="AD673" s="39"/>
      <c r="AE673" s="7"/>
      <c r="AF673" s="15"/>
      <c r="AG673" s="71" t="b">
        <f t="shared" si="427"/>
        <v>1</v>
      </c>
      <c r="AI673" s="71">
        <f t="shared" si="428"/>
        <v>0</v>
      </c>
      <c r="AJ673" s="39"/>
      <c r="AK673" s="15"/>
      <c r="AL673" s="71" t="b">
        <f t="shared" si="429"/>
        <v>1</v>
      </c>
      <c r="AN673" s="65"/>
    </row>
    <row r="674" spans="2:40 16128:16147" ht="13" customHeight="1">
      <c r="B674" s="119"/>
      <c r="C674" s="23">
        <f t="shared" si="421"/>
        <v>2026092</v>
      </c>
      <c r="D674" s="23">
        <v>24</v>
      </c>
      <c r="E674" s="128">
        <v>0</v>
      </c>
      <c r="F674" s="126" t="e">
        <f>VLOOKUP(E674,'Códigos bancos'!$B$4:$C$29,2,0)</f>
        <v>#N/A</v>
      </c>
      <c r="G674" s="36">
        <v>1</v>
      </c>
      <c r="H674" s="126" t="str">
        <f>VLOOKUP(G674,'Códigos bancos'!$F$4:$G$14,2,0)</f>
        <v>Oficinas</v>
      </c>
      <c r="I674" s="130"/>
      <c r="J674" s="174">
        <v>0</v>
      </c>
      <c r="K674" s="174">
        <v>0</v>
      </c>
      <c r="L674" s="174">
        <v>0</v>
      </c>
      <c r="M674" s="174">
        <v>0</v>
      </c>
      <c r="N674" s="174">
        <v>0</v>
      </c>
      <c r="O674" s="174">
        <v>0</v>
      </c>
      <c r="P674" s="174">
        <v>0</v>
      </c>
      <c r="Q674" s="174">
        <v>0</v>
      </c>
      <c r="R674" s="174">
        <v>0</v>
      </c>
      <c r="S674" s="215">
        <v>0</v>
      </c>
      <c r="T674" s="71">
        <f t="shared" si="422"/>
        <v>0</v>
      </c>
      <c r="U674" s="71">
        <f t="shared" si="423"/>
        <v>0</v>
      </c>
      <c r="V674" s="117">
        <v>0</v>
      </c>
      <c r="W674" s="117">
        <v>0</v>
      </c>
      <c r="X674" s="71">
        <f t="shared" si="424"/>
        <v>0</v>
      </c>
      <c r="Y674" s="71">
        <f t="shared" si="425"/>
        <v>0</v>
      </c>
      <c r="AA674" s="65"/>
      <c r="AC674" s="71">
        <f t="shared" si="426"/>
        <v>0</v>
      </c>
      <c r="AD674" s="39"/>
      <c r="AE674" s="7"/>
      <c r="AF674" s="15"/>
      <c r="AG674" s="71" t="b">
        <f t="shared" si="427"/>
        <v>1</v>
      </c>
      <c r="AI674" s="71">
        <f t="shared" si="428"/>
        <v>0</v>
      </c>
      <c r="AJ674" s="39"/>
      <c r="AK674" s="15"/>
      <c r="AL674" s="71" t="b">
        <f t="shared" si="429"/>
        <v>1</v>
      </c>
      <c r="AN674" s="65"/>
    </row>
    <row r="675" spans="2:40 16128:16147" ht="13" customHeight="1">
      <c r="B675" s="119"/>
      <c r="C675" s="23">
        <f t="shared" si="421"/>
        <v>2026092</v>
      </c>
      <c r="D675" s="23">
        <v>24</v>
      </c>
      <c r="E675" s="128">
        <v>0</v>
      </c>
      <c r="F675" s="126" t="e">
        <f>VLOOKUP(E675,'Códigos bancos'!$B$4:$C$29,2,0)</f>
        <v>#N/A</v>
      </c>
      <c r="G675" s="36">
        <v>1</v>
      </c>
      <c r="H675" s="126" t="str">
        <f>VLOOKUP(G675,'Códigos bancos'!$F$4:$G$14,2,0)</f>
        <v>Oficinas</v>
      </c>
      <c r="I675" s="130"/>
      <c r="J675" s="174">
        <v>0</v>
      </c>
      <c r="K675" s="174">
        <v>0</v>
      </c>
      <c r="L675" s="174">
        <v>0</v>
      </c>
      <c r="M675" s="174">
        <v>0</v>
      </c>
      <c r="N675" s="174">
        <v>0</v>
      </c>
      <c r="O675" s="174">
        <v>0</v>
      </c>
      <c r="P675" s="174">
        <v>0</v>
      </c>
      <c r="Q675" s="174">
        <v>0</v>
      </c>
      <c r="R675" s="174">
        <v>0</v>
      </c>
      <c r="S675" s="215">
        <v>0</v>
      </c>
      <c r="T675" s="71">
        <f t="shared" si="422"/>
        <v>0</v>
      </c>
      <c r="U675" s="71">
        <f t="shared" si="423"/>
        <v>0</v>
      </c>
      <c r="V675" s="117">
        <v>0</v>
      </c>
      <c r="W675" s="117">
        <v>0</v>
      </c>
      <c r="X675" s="71">
        <f t="shared" si="424"/>
        <v>0</v>
      </c>
      <c r="Y675" s="71">
        <f t="shared" si="425"/>
        <v>0</v>
      </c>
      <c r="AA675" s="65"/>
      <c r="AC675" s="71">
        <f t="shared" si="426"/>
        <v>0</v>
      </c>
      <c r="AD675" s="39"/>
      <c r="AE675" s="7"/>
      <c r="AF675" s="15"/>
      <c r="AG675" s="71" t="b">
        <f t="shared" si="427"/>
        <v>1</v>
      </c>
      <c r="AI675" s="71">
        <f t="shared" si="428"/>
        <v>0</v>
      </c>
      <c r="AJ675" s="39"/>
      <c r="AK675" s="15"/>
      <c r="AL675" s="71" t="b">
        <f t="shared" si="429"/>
        <v>1</v>
      </c>
      <c r="AN675" s="65"/>
    </row>
    <row r="676" spans="2:40 16128:16147" ht="13" customHeight="1">
      <c r="B676" s="119"/>
      <c r="C676" s="23">
        <f t="shared" ref="C676" si="430">IF(D676&lt;=15,$C$1,$C$2)</f>
        <v>2026092</v>
      </c>
      <c r="D676" s="23">
        <v>24</v>
      </c>
      <c r="E676" s="128">
        <v>0</v>
      </c>
      <c r="F676" s="126" t="e">
        <f>VLOOKUP(E676,'Códigos bancos'!$B$4:$C$29,2,0)</f>
        <v>#N/A</v>
      </c>
      <c r="G676" s="36">
        <v>1</v>
      </c>
      <c r="H676" s="126" t="str">
        <f>VLOOKUP(G676,'Códigos bancos'!$F$4:$G$14,2,0)</f>
        <v>Oficinas</v>
      </c>
      <c r="I676" s="130"/>
      <c r="J676" s="174">
        <v>0</v>
      </c>
      <c r="K676" s="174">
        <v>0</v>
      </c>
      <c r="L676" s="174">
        <v>0</v>
      </c>
      <c r="M676" s="174">
        <v>0</v>
      </c>
      <c r="N676" s="174">
        <v>0</v>
      </c>
      <c r="O676" s="174">
        <v>0</v>
      </c>
      <c r="P676" s="174">
        <v>0</v>
      </c>
      <c r="Q676" s="174">
        <v>0</v>
      </c>
      <c r="R676" s="174">
        <v>0</v>
      </c>
      <c r="S676" s="215">
        <v>0</v>
      </c>
      <c r="T676" s="71">
        <f t="shared" ref="T676" si="431">J676+L676+N676+P676+R676</f>
        <v>0</v>
      </c>
      <c r="U676" s="71">
        <f t="shared" ref="U676" si="432">K676+M676+O676+Q676+S676</f>
        <v>0</v>
      </c>
      <c r="V676" s="117">
        <v>0</v>
      </c>
      <c r="W676" s="117">
        <v>0</v>
      </c>
      <c r="X676" s="71">
        <f t="shared" ref="X676" si="433">V676-T676</f>
        <v>0</v>
      </c>
      <c r="Y676" s="71">
        <f t="shared" ref="Y676" si="434">W676-U676</f>
        <v>0</v>
      </c>
      <c r="AA676" s="65"/>
      <c r="AC676" s="71">
        <f t="shared" ref="AC676" si="435">X676</f>
        <v>0</v>
      </c>
      <c r="AD676" s="39"/>
      <c r="AE676" s="7"/>
      <c r="AF676" s="15"/>
      <c r="AG676" s="71" t="b">
        <f t="shared" ref="AG676" si="436">AC676=(AD676+AE676+AF676)</f>
        <v>1</v>
      </c>
      <c r="AI676" s="71">
        <f t="shared" ref="AI676" si="437">Y676</f>
        <v>0</v>
      </c>
      <c r="AJ676" s="39"/>
      <c r="AK676" s="15"/>
      <c r="AL676" s="71" t="b">
        <f t="shared" ref="AL676" si="438">AI676=(AJ676+AK676)</f>
        <v>1</v>
      </c>
      <c r="AN676" s="65"/>
    </row>
    <row r="677" spans="2:40 16128:16147" ht="13" customHeight="1">
      <c r="B677" s="119"/>
      <c r="C677" s="23">
        <f t="shared" si="421"/>
        <v>2026092</v>
      </c>
      <c r="D677" s="23">
        <v>24</v>
      </c>
      <c r="E677" s="128">
        <v>0</v>
      </c>
      <c r="F677" s="126" t="e">
        <f>VLOOKUP(E677,'Códigos bancos'!$B$4:$C$29,2,0)</f>
        <v>#N/A</v>
      </c>
      <c r="G677" s="36">
        <v>1</v>
      </c>
      <c r="H677" s="126" t="str">
        <f>VLOOKUP(G677,'Códigos bancos'!$F$4:$G$14,2,0)</f>
        <v>Oficinas</v>
      </c>
      <c r="I677" s="130"/>
      <c r="J677" s="174">
        <v>0</v>
      </c>
      <c r="K677" s="174">
        <v>0</v>
      </c>
      <c r="L677" s="174">
        <v>0</v>
      </c>
      <c r="M677" s="174">
        <v>0</v>
      </c>
      <c r="N677" s="174">
        <v>0</v>
      </c>
      <c r="O677" s="174">
        <v>0</v>
      </c>
      <c r="P677" s="174">
        <v>0</v>
      </c>
      <c r="Q677" s="174">
        <v>0</v>
      </c>
      <c r="R677" s="174">
        <v>0</v>
      </c>
      <c r="S677" s="215">
        <v>0</v>
      </c>
      <c r="T677" s="71">
        <f t="shared" si="422"/>
        <v>0</v>
      </c>
      <c r="U677" s="71">
        <f t="shared" si="423"/>
        <v>0</v>
      </c>
      <c r="V677" s="117">
        <v>0</v>
      </c>
      <c r="W677" s="117">
        <v>0</v>
      </c>
      <c r="X677" s="71">
        <f t="shared" si="424"/>
        <v>0</v>
      </c>
      <c r="Y677" s="71">
        <f t="shared" si="425"/>
        <v>0</v>
      </c>
      <c r="AA677" s="65"/>
      <c r="AC677" s="71">
        <f t="shared" si="426"/>
        <v>0</v>
      </c>
      <c r="AD677" s="39"/>
      <c r="AE677" s="7"/>
      <c r="AF677" s="15"/>
      <c r="AG677" s="71" t="b">
        <f t="shared" si="427"/>
        <v>1</v>
      </c>
      <c r="AI677" s="71">
        <f t="shared" si="428"/>
        <v>0</v>
      </c>
      <c r="AJ677" s="39"/>
      <c r="AK677" s="15"/>
      <c r="AL677" s="71" t="b">
        <f t="shared" si="429"/>
        <v>1</v>
      </c>
      <c r="AN677" s="65"/>
    </row>
    <row r="678" spans="2:40 16128:16147" ht="13" customHeight="1">
      <c r="B678" s="119"/>
      <c r="C678" s="23">
        <f t="shared" si="421"/>
        <v>2026092</v>
      </c>
      <c r="D678" s="23">
        <v>24</v>
      </c>
      <c r="E678" s="128">
        <v>0</v>
      </c>
      <c r="F678" s="126" t="e">
        <f>VLOOKUP(E678,'Códigos bancos'!$B$4:$C$29,2,0)</f>
        <v>#N/A</v>
      </c>
      <c r="G678" s="36">
        <v>1</v>
      </c>
      <c r="H678" s="126" t="str">
        <f>VLOOKUP(G678,'Códigos bancos'!$F$4:$G$14,2,0)</f>
        <v>Oficinas</v>
      </c>
      <c r="I678" s="130"/>
      <c r="J678" s="174">
        <v>0</v>
      </c>
      <c r="K678" s="174">
        <v>0</v>
      </c>
      <c r="L678" s="174">
        <v>0</v>
      </c>
      <c r="M678" s="174">
        <v>0</v>
      </c>
      <c r="N678" s="174">
        <v>0</v>
      </c>
      <c r="O678" s="174">
        <v>0</v>
      </c>
      <c r="P678" s="174">
        <v>0</v>
      </c>
      <c r="Q678" s="174">
        <v>0</v>
      </c>
      <c r="R678" s="174">
        <v>0</v>
      </c>
      <c r="S678" s="215">
        <v>0</v>
      </c>
      <c r="T678" s="71">
        <f t="shared" si="422"/>
        <v>0</v>
      </c>
      <c r="U678" s="71">
        <f t="shared" si="423"/>
        <v>0</v>
      </c>
      <c r="V678" s="117">
        <v>0</v>
      </c>
      <c r="W678" s="117">
        <v>0</v>
      </c>
      <c r="X678" s="71">
        <f t="shared" si="424"/>
        <v>0</v>
      </c>
      <c r="Y678" s="71">
        <f t="shared" si="425"/>
        <v>0</v>
      </c>
      <c r="AA678" s="65"/>
      <c r="AC678" s="71">
        <f t="shared" si="426"/>
        <v>0</v>
      </c>
      <c r="AD678" s="39"/>
      <c r="AE678" s="7"/>
      <c r="AF678" s="15"/>
      <c r="AG678" s="71" t="b">
        <f t="shared" si="427"/>
        <v>1</v>
      </c>
      <c r="AI678" s="71">
        <f t="shared" si="428"/>
        <v>0</v>
      </c>
      <c r="AJ678" s="39"/>
      <c r="AK678" s="15"/>
      <c r="AL678" s="71" t="b">
        <f t="shared" si="429"/>
        <v>1</v>
      </c>
      <c r="AN678" s="65"/>
    </row>
    <row r="679" spans="2:40 16128:16147" ht="13" customHeight="1">
      <c r="B679" s="119"/>
      <c r="C679" s="23">
        <f t="shared" si="421"/>
        <v>2026092</v>
      </c>
      <c r="D679" s="23">
        <v>24</v>
      </c>
      <c r="E679" s="128">
        <v>0</v>
      </c>
      <c r="F679" s="126" t="e">
        <f>VLOOKUP(E679,'Códigos bancos'!$B$4:$C$29,2,0)</f>
        <v>#N/A</v>
      </c>
      <c r="G679" s="36">
        <v>1</v>
      </c>
      <c r="H679" s="126" t="str">
        <f>VLOOKUP(G679,'Códigos bancos'!$F$4:$G$14,2,0)</f>
        <v>Oficinas</v>
      </c>
      <c r="I679" s="130"/>
      <c r="J679" s="174">
        <v>0</v>
      </c>
      <c r="K679" s="174">
        <v>0</v>
      </c>
      <c r="L679" s="174">
        <v>0</v>
      </c>
      <c r="M679" s="174">
        <v>0</v>
      </c>
      <c r="N679" s="174">
        <v>0</v>
      </c>
      <c r="O679" s="174">
        <v>0</v>
      </c>
      <c r="P679" s="174">
        <v>0</v>
      </c>
      <c r="Q679" s="174">
        <v>0</v>
      </c>
      <c r="R679" s="174">
        <v>0</v>
      </c>
      <c r="S679" s="215">
        <v>0</v>
      </c>
      <c r="T679" s="71">
        <f t="shared" si="422"/>
        <v>0</v>
      </c>
      <c r="U679" s="71">
        <f t="shared" si="423"/>
        <v>0</v>
      </c>
      <c r="V679" s="117">
        <v>0</v>
      </c>
      <c r="W679" s="117">
        <v>0</v>
      </c>
      <c r="X679" s="71">
        <f t="shared" si="424"/>
        <v>0</v>
      </c>
      <c r="Y679" s="71">
        <f t="shared" si="425"/>
        <v>0</v>
      </c>
      <c r="AA679" s="65"/>
      <c r="AC679" s="71">
        <f t="shared" si="426"/>
        <v>0</v>
      </c>
      <c r="AD679" s="39"/>
      <c r="AE679" s="7"/>
      <c r="AF679" s="15"/>
      <c r="AG679" s="71" t="b">
        <f t="shared" si="427"/>
        <v>1</v>
      </c>
      <c r="AI679" s="71"/>
      <c r="AJ679" s="39"/>
      <c r="AK679" s="15"/>
      <c r="AL679" s="71" t="b">
        <f t="shared" si="429"/>
        <v>1</v>
      </c>
      <c r="AN679" s="65"/>
    </row>
    <row r="680" spans="2:40 16128:16147" ht="13" customHeight="1">
      <c r="B680" s="119"/>
      <c r="C680" s="23">
        <f t="shared" si="421"/>
        <v>2026092</v>
      </c>
      <c r="D680" s="23">
        <v>24</v>
      </c>
      <c r="E680" s="128">
        <v>0</v>
      </c>
      <c r="F680" s="126" t="e">
        <f>VLOOKUP(E680,'Códigos bancos'!$B$4:$C$29,2,0)</f>
        <v>#N/A</v>
      </c>
      <c r="G680" s="36">
        <v>1</v>
      </c>
      <c r="H680" s="126" t="str">
        <f>VLOOKUP(G680,'Códigos bancos'!$F$4:$G$14,2,0)</f>
        <v>Oficinas</v>
      </c>
      <c r="I680" s="130"/>
      <c r="J680" s="174">
        <v>0</v>
      </c>
      <c r="K680" s="174">
        <v>0</v>
      </c>
      <c r="L680" s="174">
        <v>0</v>
      </c>
      <c r="M680" s="174">
        <v>0</v>
      </c>
      <c r="N680" s="174">
        <v>0</v>
      </c>
      <c r="O680" s="174">
        <v>0</v>
      </c>
      <c r="P680" s="174">
        <v>0</v>
      </c>
      <c r="Q680" s="174">
        <v>0</v>
      </c>
      <c r="R680" s="174">
        <v>0</v>
      </c>
      <c r="S680" s="215">
        <v>0</v>
      </c>
      <c r="T680" s="71">
        <f t="shared" si="422"/>
        <v>0</v>
      </c>
      <c r="U680" s="71">
        <f t="shared" si="423"/>
        <v>0</v>
      </c>
      <c r="V680" s="117">
        <v>0</v>
      </c>
      <c r="W680" s="117">
        <v>0</v>
      </c>
      <c r="X680" s="71">
        <f t="shared" si="424"/>
        <v>0</v>
      </c>
      <c r="Y680" s="71">
        <f t="shared" si="425"/>
        <v>0</v>
      </c>
      <c r="AA680" s="65"/>
      <c r="AC680" s="71">
        <f t="shared" si="426"/>
        <v>0</v>
      </c>
      <c r="AD680" s="39"/>
      <c r="AE680" s="7"/>
      <c r="AF680" s="15"/>
      <c r="AG680" s="71" t="b">
        <f t="shared" si="427"/>
        <v>1</v>
      </c>
      <c r="AI680" s="71">
        <f>Y680</f>
        <v>0</v>
      </c>
      <c r="AJ680" s="39"/>
      <c r="AK680" s="15"/>
      <c r="AL680" s="71" t="b">
        <f t="shared" si="429"/>
        <v>1</v>
      </c>
      <c r="AN680" s="65"/>
    </row>
    <row r="681" spans="2:40 16128:16147" ht="13" customHeight="1" thickBot="1">
      <c r="B681" s="119"/>
      <c r="C681" s="23">
        <f t="shared" si="421"/>
        <v>2026092</v>
      </c>
      <c r="D681" s="23">
        <v>24</v>
      </c>
      <c r="E681" s="128">
        <v>0</v>
      </c>
      <c r="F681" s="126" t="e">
        <f>VLOOKUP(E681,'Códigos bancos'!$B$4:$C$29,2,0)</f>
        <v>#N/A</v>
      </c>
      <c r="G681" s="36">
        <v>1</v>
      </c>
      <c r="H681" s="126" t="str">
        <f>VLOOKUP(G681,'Códigos bancos'!$F$4:$G$14,2,0)</f>
        <v>Oficinas</v>
      </c>
      <c r="I681" s="130"/>
      <c r="J681" s="174">
        <v>0</v>
      </c>
      <c r="K681" s="174">
        <v>0</v>
      </c>
      <c r="L681" s="174">
        <v>0</v>
      </c>
      <c r="M681" s="174">
        <v>0</v>
      </c>
      <c r="N681" s="174">
        <v>0</v>
      </c>
      <c r="O681" s="174">
        <v>0</v>
      </c>
      <c r="P681" s="174">
        <v>0</v>
      </c>
      <c r="Q681" s="174">
        <v>0</v>
      </c>
      <c r="R681" s="174">
        <v>0</v>
      </c>
      <c r="S681" s="215">
        <v>0</v>
      </c>
      <c r="T681" s="71">
        <f t="shared" si="422"/>
        <v>0</v>
      </c>
      <c r="U681" s="71">
        <f t="shared" si="423"/>
        <v>0</v>
      </c>
      <c r="V681" s="117">
        <v>0</v>
      </c>
      <c r="W681" s="117">
        <v>0</v>
      </c>
      <c r="X681" s="71">
        <f t="shared" si="424"/>
        <v>0</v>
      </c>
      <c r="Y681" s="71">
        <f t="shared" si="425"/>
        <v>0</v>
      </c>
      <c r="AA681" s="65"/>
      <c r="AC681" s="71">
        <f t="shared" si="426"/>
        <v>0</v>
      </c>
      <c r="AD681" s="39"/>
      <c r="AE681" s="7"/>
      <c r="AF681" s="15"/>
      <c r="AG681" s="71" t="b">
        <f t="shared" si="427"/>
        <v>1</v>
      </c>
      <c r="AI681" s="71">
        <f t="shared" si="428"/>
        <v>0</v>
      </c>
      <c r="AJ681" s="39"/>
      <c r="AK681" s="15"/>
      <c r="AL681" s="71" t="b">
        <f t="shared" si="429"/>
        <v>1</v>
      </c>
      <c r="AN681" s="65"/>
    </row>
    <row r="682" spans="2:40 16128:16147" ht="13" customHeight="1" thickBot="1">
      <c r="E682" s="120" t="s">
        <v>0</v>
      </c>
      <c r="F682" s="121" t="s">
        <v>53</v>
      </c>
      <c r="G682" s="121"/>
      <c r="H682" s="121"/>
      <c r="I682" s="121"/>
      <c r="J682" s="122">
        <f t="shared" ref="J682:Y682" si="439">SUM(J657:J681)</f>
        <v>0</v>
      </c>
      <c r="K682" s="122">
        <f t="shared" si="439"/>
        <v>0</v>
      </c>
      <c r="L682" s="122">
        <f t="shared" si="439"/>
        <v>0</v>
      </c>
      <c r="M682" s="122">
        <f t="shared" si="439"/>
        <v>0</v>
      </c>
      <c r="N682" s="122">
        <f t="shared" si="439"/>
        <v>0</v>
      </c>
      <c r="O682" s="122">
        <f t="shared" si="439"/>
        <v>0</v>
      </c>
      <c r="P682" s="122">
        <f t="shared" si="439"/>
        <v>0</v>
      </c>
      <c r="Q682" s="122">
        <f t="shared" si="439"/>
        <v>0</v>
      </c>
      <c r="R682" s="122">
        <f t="shared" si="439"/>
        <v>14</v>
      </c>
      <c r="S682" s="122">
        <f t="shared" si="439"/>
        <v>627740</v>
      </c>
      <c r="T682" s="122">
        <f t="shared" si="439"/>
        <v>14</v>
      </c>
      <c r="U682" s="122">
        <f t="shared" si="439"/>
        <v>627740</v>
      </c>
      <c r="V682" s="123">
        <f t="shared" si="439"/>
        <v>14</v>
      </c>
      <c r="W682" s="123">
        <f t="shared" si="439"/>
        <v>627740</v>
      </c>
      <c r="X682" s="122">
        <f t="shared" si="439"/>
        <v>0</v>
      </c>
      <c r="Y682" s="123">
        <f t="shared" si="439"/>
        <v>0</v>
      </c>
      <c r="AA682" s="65"/>
      <c r="AC682" s="122">
        <f>SUM(AC657:AC681)</f>
        <v>0</v>
      </c>
      <c r="AD682" s="122">
        <f>SUM(AD657:AD681)</f>
        <v>0</v>
      </c>
      <c r="AE682" s="122">
        <f>SUM(AE657:AE681)</f>
        <v>0</v>
      </c>
      <c r="AF682" s="123">
        <f>SUM(AF657:AF681)</f>
        <v>0</v>
      </c>
      <c r="AG682" s="100"/>
      <c r="AI682" s="122">
        <f>SUM(AI657:AI681)</f>
        <v>0</v>
      </c>
      <c r="AJ682" s="122">
        <f>SUM(AJ657:AJ681)</f>
        <v>0</v>
      </c>
      <c r="AK682" s="123">
        <f>SUM(AK657:AK681)</f>
        <v>0</v>
      </c>
      <c r="AL682" s="100"/>
      <c r="AN682" s="65"/>
    </row>
    <row r="683" spans="2:40 16128:16147" ht="13" thickBot="1">
      <c r="AA683" s="65"/>
      <c r="AN683" s="65"/>
    </row>
    <row r="684" spans="2:40 16128:16147" ht="41.25" customHeight="1" thickBot="1">
      <c r="B684" s="112" t="s">
        <v>4</v>
      </c>
      <c r="C684" s="34" t="s">
        <v>6</v>
      </c>
      <c r="D684" s="34" t="s">
        <v>7</v>
      </c>
      <c r="E684" s="34" t="s">
        <v>49</v>
      </c>
      <c r="F684" s="34" t="s">
        <v>50</v>
      </c>
      <c r="G684" s="34" t="s">
        <v>51</v>
      </c>
      <c r="H684" s="34" t="s">
        <v>52</v>
      </c>
      <c r="I684" s="34" t="s">
        <v>13</v>
      </c>
      <c r="J684" s="12" t="s">
        <v>8</v>
      </c>
      <c r="K684" s="12" t="s">
        <v>36</v>
      </c>
      <c r="L684" s="12" t="s">
        <v>9</v>
      </c>
      <c r="M684" s="12" t="s">
        <v>37</v>
      </c>
      <c r="N684" s="87" t="s">
        <v>10</v>
      </c>
      <c r="O684" s="88" t="s">
        <v>38</v>
      </c>
      <c r="P684" s="87" t="s">
        <v>11</v>
      </c>
      <c r="Q684" s="88" t="s">
        <v>39</v>
      </c>
      <c r="R684" s="87" t="s">
        <v>12</v>
      </c>
      <c r="S684" s="88" t="s">
        <v>40</v>
      </c>
      <c r="T684" s="64" t="s">
        <v>41</v>
      </c>
      <c r="U684" s="64" t="s">
        <v>42</v>
      </c>
      <c r="V684" s="35" t="s">
        <v>32</v>
      </c>
      <c r="W684" s="67" t="s">
        <v>35</v>
      </c>
      <c r="X684" s="12" t="s">
        <v>34</v>
      </c>
      <c r="Y684" s="68" t="s">
        <v>33</v>
      </c>
      <c r="AA684" s="66"/>
      <c r="AC684" s="12" t="s">
        <v>34</v>
      </c>
      <c r="AD684" s="12" t="s">
        <v>45</v>
      </c>
      <c r="AE684" s="12" t="s">
        <v>43</v>
      </c>
      <c r="AF684" s="12" t="s">
        <v>44</v>
      </c>
      <c r="AG684" s="12" t="s">
        <v>46</v>
      </c>
      <c r="AI684" s="12" t="s">
        <v>33</v>
      </c>
      <c r="AJ684" s="12" t="s">
        <v>47</v>
      </c>
      <c r="AK684" s="12" t="s">
        <v>48</v>
      </c>
      <c r="AL684" s="12" t="s">
        <v>46</v>
      </c>
      <c r="AN684" s="66"/>
      <c r="WVH684" s="1"/>
      <c r="WVI684" s="1"/>
      <c r="WVZ684"/>
      <c r="WWA684"/>
    </row>
    <row r="685" spans="2:40 16128:16147" ht="13" customHeight="1">
      <c r="B685" s="119" t="s">
        <v>84</v>
      </c>
      <c r="C685" s="24">
        <f>IF(D685&lt;=15,$C$1,$C$2)</f>
        <v>2026092</v>
      </c>
      <c r="D685" s="24">
        <v>25</v>
      </c>
      <c r="E685" s="127">
        <v>20</v>
      </c>
      <c r="F685" s="125" t="str">
        <f>VLOOKUP(E685,'Códigos bancos'!$B$4:$C$29,2,0)</f>
        <v>Bancolombia ENERBIT</v>
      </c>
      <c r="G685" s="18">
        <v>1</v>
      </c>
      <c r="H685" s="125" t="str">
        <f>VLOOKUP(G685,'Códigos bancos'!$F$4:$G$14,2,0)</f>
        <v>Oficinas</v>
      </c>
      <c r="I685" s="129"/>
      <c r="J685" s="213">
        <v>0</v>
      </c>
      <c r="K685" s="213">
        <v>0</v>
      </c>
      <c r="L685" s="213">
        <v>0</v>
      </c>
      <c r="M685" s="213">
        <v>0</v>
      </c>
      <c r="N685" s="213">
        <v>0</v>
      </c>
      <c r="O685" s="213">
        <v>0</v>
      </c>
      <c r="P685" s="213">
        <v>0</v>
      </c>
      <c r="Q685" s="213">
        <v>0</v>
      </c>
      <c r="R685" s="174">
        <f>18+17</f>
        <v>35</v>
      </c>
      <c r="S685" s="215">
        <f>985000+4664784</f>
        <v>5649784</v>
      </c>
      <c r="T685" s="70">
        <f>J685+L685+N685+P685+R685</f>
        <v>35</v>
      </c>
      <c r="U685" s="70">
        <f>K685+M685+O685+Q685+S685</f>
        <v>5649784</v>
      </c>
      <c r="V685" s="174">
        <f>18+17</f>
        <v>35</v>
      </c>
      <c r="W685" s="215">
        <f>985000+4664784</f>
        <v>5649784</v>
      </c>
      <c r="X685" s="70">
        <f>V685-T685</f>
        <v>0</v>
      </c>
      <c r="Y685" s="70">
        <f>W685-U685</f>
        <v>0</v>
      </c>
      <c r="AA685" s="65"/>
      <c r="AC685" s="124">
        <f>X685</f>
        <v>0</v>
      </c>
      <c r="AD685" s="115"/>
      <c r="AE685" s="16"/>
      <c r="AF685" s="114"/>
      <c r="AG685" s="124" t="b">
        <f>AC685=(AD685+AE685+AF685)</f>
        <v>1</v>
      </c>
      <c r="AI685" s="70">
        <f>Y685</f>
        <v>0</v>
      </c>
      <c r="AJ685" s="115"/>
      <c r="AK685" s="114"/>
      <c r="AL685" s="70" t="b">
        <f>AI685=(AJ685+AK685)</f>
        <v>1</v>
      </c>
      <c r="AN685" s="65"/>
    </row>
    <row r="686" spans="2:40 16128:16147" ht="13" customHeight="1">
      <c r="B686" s="119"/>
      <c r="C686" s="23">
        <f t="shared" ref="C686:C709" si="440">IF(D686&lt;=15,$C$1,$C$2)</f>
        <v>2026092</v>
      </c>
      <c r="D686" s="23">
        <v>25</v>
      </c>
      <c r="E686" s="128">
        <v>0</v>
      </c>
      <c r="F686" s="126" t="e">
        <f>VLOOKUP(E686,'Códigos bancos'!$B$4:$C$29,2,0)</f>
        <v>#N/A</v>
      </c>
      <c r="G686" s="36">
        <v>1</v>
      </c>
      <c r="H686" s="126" t="str">
        <f>VLOOKUP(G686,'Códigos bancos'!$F$4:$G$14,2,0)</f>
        <v>Oficinas</v>
      </c>
      <c r="I686" s="130"/>
      <c r="J686" s="174">
        <v>0</v>
      </c>
      <c r="K686" s="174">
        <v>0</v>
      </c>
      <c r="L686" s="174">
        <v>0</v>
      </c>
      <c r="M686" s="174">
        <v>0</v>
      </c>
      <c r="N686" s="174">
        <v>0</v>
      </c>
      <c r="O686" s="174">
        <v>0</v>
      </c>
      <c r="P686" s="174">
        <v>0</v>
      </c>
      <c r="Q686" s="174">
        <v>0</v>
      </c>
      <c r="R686" s="174">
        <v>0</v>
      </c>
      <c r="S686" s="215">
        <v>0</v>
      </c>
      <c r="T686" s="71">
        <f t="shared" ref="T686:T708" si="441">J686+L686+N686+P686+R686</f>
        <v>0</v>
      </c>
      <c r="U686" s="71">
        <f t="shared" ref="U686:U708" si="442">K686+M686+O686+Q686+S686</f>
        <v>0</v>
      </c>
      <c r="V686" s="117">
        <v>0</v>
      </c>
      <c r="W686" s="117">
        <v>0</v>
      </c>
      <c r="X686" s="71">
        <f t="shared" ref="X686:X709" si="443">V686-T686</f>
        <v>0</v>
      </c>
      <c r="Y686" s="71">
        <f t="shared" ref="Y686:Y709" si="444">W686-U686</f>
        <v>0</v>
      </c>
      <c r="AA686" s="65"/>
      <c r="AC686" s="71">
        <f t="shared" ref="AC686:AC709" si="445">X686</f>
        <v>0</v>
      </c>
      <c r="AD686" s="39"/>
      <c r="AE686" s="7"/>
      <c r="AF686" s="15"/>
      <c r="AG686" s="71" t="b">
        <f t="shared" ref="AG686:AG709" si="446">AC686=(AD686+AE686+AF686)</f>
        <v>1</v>
      </c>
      <c r="AI686" s="71">
        <f t="shared" ref="AI686:AI709" si="447">Y686</f>
        <v>0</v>
      </c>
      <c r="AJ686" s="39"/>
      <c r="AK686" s="15"/>
      <c r="AL686" s="71" t="b">
        <f t="shared" ref="AL686:AL709" si="448">AI686=(AJ686+AK686)</f>
        <v>1</v>
      </c>
      <c r="AN686" s="65"/>
    </row>
    <row r="687" spans="2:40 16128:16147" ht="13" customHeight="1">
      <c r="B687" s="119"/>
      <c r="C687" s="23">
        <f t="shared" si="440"/>
        <v>2026092</v>
      </c>
      <c r="D687" s="23">
        <v>25</v>
      </c>
      <c r="E687" s="128">
        <v>0</v>
      </c>
      <c r="F687" s="126" t="e">
        <f>VLOOKUP(E687,'Códigos bancos'!$B$4:$C$29,2,0)</f>
        <v>#N/A</v>
      </c>
      <c r="G687" s="36">
        <v>1</v>
      </c>
      <c r="H687" s="126" t="str">
        <f>VLOOKUP(G687,'Códigos bancos'!$F$4:$G$14,2,0)</f>
        <v>Oficinas</v>
      </c>
      <c r="I687" s="130"/>
      <c r="J687" s="174">
        <v>0</v>
      </c>
      <c r="K687" s="174">
        <v>0</v>
      </c>
      <c r="L687" s="174">
        <v>0</v>
      </c>
      <c r="M687" s="174">
        <v>0</v>
      </c>
      <c r="N687" s="174">
        <v>0</v>
      </c>
      <c r="O687" s="174">
        <v>0</v>
      </c>
      <c r="P687" s="174">
        <v>0</v>
      </c>
      <c r="Q687" s="174">
        <v>0</v>
      </c>
      <c r="R687" s="174">
        <v>0</v>
      </c>
      <c r="S687" s="215">
        <v>0</v>
      </c>
      <c r="T687" s="71">
        <f t="shared" si="441"/>
        <v>0</v>
      </c>
      <c r="U687" s="71">
        <f t="shared" si="442"/>
        <v>0</v>
      </c>
      <c r="V687" s="117">
        <v>0</v>
      </c>
      <c r="W687" s="117">
        <v>0</v>
      </c>
      <c r="X687" s="71">
        <f t="shared" si="443"/>
        <v>0</v>
      </c>
      <c r="Y687" s="71">
        <f t="shared" si="444"/>
        <v>0</v>
      </c>
      <c r="AA687" s="65"/>
      <c r="AC687" s="71">
        <f t="shared" si="445"/>
        <v>0</v>
      </c>
      <c r="AD687" s="45"/>
      <c r="AE687" s="14"/>
      <c r="AF687" s="46"/>
      <c r="AG687" s="71" t="b">
        <f t="shared" si="446"/>
        <v>1</v>
      </c>
      <c r="AI687" s="71">
        <f t="shared" si="447"/>
        <v>0</v>
      </c>
      <c r="AJ687" s="45"/>
      <c r="AK687" s="46"/>
      <c r="AL687" s="71" t="b">
        <f t="shared" si="448"/>
        <v>1</v>
      </c>
      <c r="AN687" s="65"/>
    </row>
    <row r="688" spans="2:40 16128:16147" ht="13" customHeight="1">
      <c r="B688" s="119"/>
      <c r="C688" s="23">
        <f t="shared" si="440"/>
        <v>2026092</v>
      </c>
      <c r="D688" s="23">
        <v>25</v>
      </c>
      <c r="E688" s="128">
        <v>0</v>
      </c>
      <c r="F688" s="126" t="e">
        <f>VLOOKUP(E688,'Códigos bancos'!$B$4:$C$29,2,0)</f>
        <v>#N/A</v>
      </c>
      <c r="G688" s="36">
        <v>1</v>
      </c>
      <c r="H688" s="126" t="str">
        <f>VLOOKUP(G688,'Códigos bancos'!$F$4:$G$14,2,0)</f>
        <v>Oficinas</v>
      </c>
      <c r="I688" s="130"/>
      <c r="J688" s="174">
        <v>0</v>
      </c>
      <c r="K688" s="174">
        <v>0</v>
      </c>
      <c r="L688" s="174">
        <v>0</v>
      </c>
      <c r="M688" s="174">
        <v>0</v>
      </c>
      <c r="N688" s="174">
        <v>0</v>
      </c>
      <c r="O688" s="174">
        <v>0</v>
      </c>
      <c r="P688" s="174">
        <v>0</v>
      </c>
      <c r="Q688" s="174">
        <v>0</v>
      </c>
      <c r="R688" s="174">
        <v>0</v>
      </c>
      <c r="S688" s="215">
        <v>0</v>
      </c>
      <c r="T688" s="71">
        <f t="shared" si="441"/>
        <v>0</v>
      </c>
      <c r="U688" s="71">
        <f t="shared" si="442"/>
        <v>0</v>
      </c>
      <c r="V688" s="117">
        <v>0</v>
      </c>
      <c r="W688" s="117">
        <v>0</v>
      </c>
      <c r="X688" s="71">
        <f t="shared" si="443"/>
        <v>0</v>
      </c>
      <c r="Y688" s="71">
        <f t="shared" si="444"/>
        <v>0</v>
      </c>
      <c r="AA688" s="65"/>
      <c r="AC688" s="71">
        <f t="shared" si="445"/>
        <v>0</v>
      </c>
      <c r="AD688" s="39"/>
      <c r="AE688" s="7"/>
      <c r="AF688" s="15"/>
      <c r="AG688" s="71" t="b">
        <f t="shared" si="446"/>
        <v>1</v>
      </c>
      <c r="AI688" s="71">
        <f t="shared" si="447"/>
        <v>0</v>
      </c>
      <c r="AJ688" s="39"/>
      <c r="AK688" s="15"/>
      <c r="AL688" s="71" t="b">
        <f t="shared" si="448"/>
        <v>1</v>
      </c>
      <c r="AN688" s="65"/>
    </row>
    <row r="689" spans="2:40" ht="13" customHeight="1">
      <c r="B689" s="119"/>
      <c r="C689" s="23">
        <f t="shared" si="440"/>
        <v>2026092</v>
      </c>
      <c r="D689" s="23">
        <v>25</v>
      </c>
      <c r="E689" s="128">
        <v>0</v>
      </c>
      <c r="F689" s="126" t="e">
        <f>VLOOKUP(E689,'Códigos bancos'!$B$4:$C$29,2,0)</f>
        <v>#N/A</v>
      </c>
      <c r="G689" s="36">
        <v>1</v>
      </c>
      <c r="H689" s="126" t="str">
        <f>VLOOKUP(G689,'Códigos bancos'!$F$4:$G$14,2,0)</f>
        <v>Oficinas</v>
      </c>
      <c r="I689" s="130"/>
      <c r="J689" s="174">
        <v>0</v>
      </c>
      <c r="K689" s="174">
        <v>0</v>
      </c>
      <c r="L689" s="174">
        <v>0</v>
      </c>
      <c r="M689" s="174">
        <v>0</v>
      </c>
      <c r="N689" s="174">
        <v>0</v>
      </c>
      <c r="O689" s="174">
        <v>0</v>
      </c>
      <c r="P689" s="174">
        <v>0</v>
      </c>
      <c r="Q689" s="174">
        <v>0</v>
      </c>
      <c r="R689" s="174">
        <v>0</v>
      </c>
      <c r="S689" s="215">
        <v>0</v>
      </c>
      <c r="T689" s="71">
        <f t="shared" si="441"/>
        <v>0</v>
      </c>
      <c r="U689" s="71">
        <f t="shared" si="442"/>
        <v>0</v>
      </c>
      <c r="V689" s="117">
        <v>0</v>
      </c>
      <c r="W689" s="117">
        <v>0</v>
      </c>
      <c r="X689" s="71">
        <f t="shared" si="443"/>
        <v>0</v>
      </c>
      <c r="Y689" s="71">
        <f t="shared" si="444"/>
        <v>0</v>
      </c>
      <c r="AA689" s="65"/>
      <c r="AC689" s="71">
        <f t="shared" si="445"/>
        <v>0</v>
      </c>
      <c r="AD689" s="39"/>
      <c r="AE689" s="7"/>
      <c r="AF689" s="15"/>
      <c r="AG689" s="71" t="b">
        <f t="shared" si="446"/>
        <v>1</v>
      </c>
      <c r="AI689" s="71">
        <f t="shared" si="447"/>
        <v>0</v>
      </c>
      <c r="AJ689" s="39"/>
      <c r="AK689" s="15"/>
      <c r="AL689" s="71" t="b">
        <f t="shared" si="448"/>
        <v>1</v>
      </c>
      <c r="AN689" s="65"/>
    </row>
    <row r="690" spans="2:40" ht="13" customHeight="1">
      <c r="B690" s="119"/>
      <c r="C690" s="23">
        <f t="shared" si="440"/>
        <v>2026092</v>
      </c>
      <c r="D690" s="23">
        <v>25</v>
      </c>
      <c r="E690" s="128">
        <v>0</v>
      </c>
      <c r="F690" s="126" t="e">
        <f>VLOOKUP(E690,'Códigos bancos'!$B$4:$C$29,2,0)</f>
        <v>#N/A</v>
      </c>
      <c r="G690" s="36">
        <v>1</v>
      </c>
      <c r="H690" s="126" t="str">
        <f>VLOOKUP(G690,'Códigos bancos'!$F$4:$G$14,2,0)</f>
        <v>Oficinas</v>
      </c>
      <c r="I690" s="130"/>
      <c r="J690" s="174">
        <v>0</v>
      </c>
      <c r="K690" s="174">
        <v>0</v>
      </c>
      <c r="L690" s="174">
        <v>0</v>
      </c>
      <c r="M690" s="174">
        <v>0</v>
      </c>
      <c r="N690" s="174">
        <v>0</v>
      </c>
      <c r="O690" s="174">
        <v>0</v>
      </c>
      <c r="P690" s="174">
        <v>0</v>
      </c>
      <c r="Q690" s="174">
        <v>0</v>
      </c>
      <c r="R690" s="174">
        <v>0</v>
      </c>
      <c r="S690" s="215">
        <v>0</v>
      </c>
      <c r="T690" s="71">
        <f t="shared" si="441"/>
        <v>0</v>
      </c>
      <c r="U690" s="71">
        <f t="shared" si="442"/>
        <v>0</v>
      </c>
      <c r="V690" s="117">
        <v>0</v>
      </c>
      <c r="W690" s="117">
        <v>0</v>
      </c>
      <c r="X690" s="71">
        <f t="shared" si="443"/>
        <v>0</v>
      </c>
      <c r="Y690" s="71">
        <f t="shared" si="444"/>
        <v>0</v>
      </c>
      <c r="AA690" s="65"/>
      <c r="AC690" s="71">
        <f t="shared" si="445"/>
        <v>0</v>
      </c>
      <c r="AD690" s="39"/>
      <c r="AE690" s="7"/>
      <c r="AF690" s="15"/>
      <c r="AG690" s="71" t="b">
        <f t="shared" si="446"/>
        <v>1</v>
      </c>
      <c r="AI690" s="71">
        <f t="shared" si="447"/>
        <v>0</v>
      </c>
      <c r="AJ690" s="39"/>
      <c r="AK690" s="15"/>
      <c r="AL690" s="71" t="b">
        <f t="shared" si="448"/>
        <v>1</v>
      </c>
      <c r="AN690" s="65"/>
    </row>
    <row r="691" spans="2:40" ht="13" customHeight="1">
      <c r="B691" s="119"/>
      <c r="C691" s="23">
        <f t="shared" si="440"/>
        <v>2026092</v>
      </c>
      <c r="D691" s="23">
        <v>25</v>
      </c>
      <c r="E691" s="128">
        <v>0</v>
      </c>
      <c r="F691" s="126" t="e">
        <f>VLOOKUP(E691,'Códigos bancos'!$B$4:$C$29,2,0)</f>
        <v>#N/A</v>
      </c>
      <c r="G691" s="36">
        <v>1</v>
      </c>
      <c r="H691" s="126" t="str">
        <f>VLOOKUP(G691,'Códigos bancos'!$F$4:$G$14,2,0)</f>
        <v>Oficinas</v>
      </c>
      <c r="I691" s="130"/>
      <c r="J691" s="174">
        <v>0</v>
      </c>
      <c r="K691" s="174">
        <v>0</v>
      </c>
      <c r="L691" s="174">
        <v>0</v>
      </c>
      <c r="M691" s="174">
        <v>0</v>
      </c>
      <c r="N691" s="174">
        <v>0</v>
      </c>
      <c r="O691" s="174">
        <v>0</v>
      </c>
      <c r="P691" s="174">
        <v>0</v>
      </c>
      <c r="Q691" s="174">
        <v>0</v>
      </c>
      <c r="R691" s="174">
        <v>0</v>
      </c>
      <c r="S691" s="215">
        <v>0</v>
      </c>
      <c r="T691" s="71">
        <f t="shared" si="441"/>
        <v>0</v>
      </c>
      <c r="U691" s="71">
        <f t="shared" si="442"/>
        <v>0</v>
      </c>
      <c r="V691" s="117">
        <v>0</v>
      </c>
      <c r="W691" s="117">
        <v>0</v>
      </c>
      <c r="X691" s="71">
        <f t="shared" si="443"/>
        <v>0</v>
      </c>
      <c r="Y691" s="71">
        <f t="shared" si="444"/>
        <v>0</v>
      </c>
      <c r="AA691" s="65"/>
      <c r="AC691" s="71">
        <f t="shared" si="445"/>
        <v>0</v>
      </c>
      <c r="AD691" s="39"/>
      <c r="AE691" s="7"/>
      <c r="AF691" s="15"/>
      <c r="AG691" s="71" t="b">
        <f t="shared" si="446"/>
        <v>1</v>
      </c>
      <c r="AI691" s="71">
        <f t="shared" si="447"/>
        <v>0</v>
      </c>
      <c r="AJ691" s="39"/>
      <c r="AK691" s="15"/>
      <c r="AL691" s="71" t="b">
        <f t="shared" si="448"/>
        <v>1</v>
      </c>
      <c r="AN691" s="65"/>
    </row>
    <row r="692" spans="2:40" ht="13" customHeight="1">
      <c r="B692" s="119"/>
      <c r="C692" s="23">
        <f t="shared" si="440"/>
        <v>2026092</v>
      </c>
      <c r="D692" s="23">
        <v>25</v>
      </c>
      <c r="E692" s="128">
        <v>0</v>
      </c>
      <c r="F692" s="126" t="e">
        <f>VLOOKUP(E692,'Códigos bancos'!$B$4:$C$29,2,0)</f>
        <v>#N/A</v>
      </c>
      <c r="G692" s="36">
        <v>1</v>
      </c>
      <c r="H692" s="126" t="str">
        <f>VLOOKUP(G692,'Códigos bancos'!$F$4:$G$14,2,0)</f>
        <v>Oficinas</v>
      </c>
      <c r="I692" s="130"/>
      <c r="J692" s="174">
        <v>0</v>
      </c>
      <c r="K692" s="174">
        <v>0</v>
      </c>
      <c r="L692" s="174">
        <v>0</v>
      </c>
      <c r="M692" s="174">
        <v>0</v>
      </c>
      <c r="N692" s="174">
        <v>0</v>
      </c>
      <c r="O692" s="174">
        <v>0</v>
      </c>
      <c r="P692" s="174">
        <v>0</v>
      </c>
      <c r="Q692" s="174">
        <v>0</v>
      </c>
      <c r="R692" s="174">
        <v>0</v>
      </c>
      <c r="S692" s="215">
        <v>0</v>
      </c>
      <c r="T692" s="71">
        <f t="shared" si="441"/>
        <v>0</v>
      </c>
      <c r="U692" s="71">
        <f t="shared" si="442"/>
        <v>0</v>
      </c>
      <c r="V692" s="117">
        <v>0</v>
      </c>
      <c r="W692" s="117">
        <v>0</v>
      </c>
      <c r="X692" s="71">
        <f t="shared" si="443"/>
        <v>0</v>
      </c>
      <c r="Y692" s="71">
        <f t="shared" si="444"/>
        <v>0</v>
      </c>
      <c r="AA692" s="65"/>
      <c r="AC692" s="71">
        <f t="shared" si="445"/>
        <v>0</v>
      </c>
      <c r="AD692" s="39"/>
      <c r="AE692" s="7"/>
      <c r="AF692" s="15"/>
      <c r="AG692" s="71" t="b">
        <f t="shared" si="446"/>
        <v>1</v>
      </c>
      <c r="AI692" s="71">
        <f t="shared" si="447"/>
        <v>0</v>
      </c>
      <c r="AJ692" s="39"/>
      <c r="AK692" s="15"/>
      <c r="AL692" s="71" t="b">
        <f t="shared" si="448"/>
        <v>1</v>
      </c>
      <c r="AN692" s="65"/>
    </row>
    <row r="693" spans="2:40" ht="12.75" customHeight="1">
      <c r="B693" s="119"/>
      <c r="C693" s="23">
        <f t="shared" si="440"/>
        <v>2026092</v>
      </c>
      <c r="D693" s="23">
        <v>25</v>
      </c>
      <c r="E693" s="128">
        <v>0</v>
      </c>
      <c r="F693" s="126" t="e">
        <f>VLOOKUP(E693,'Códigos bancos'!$B$4:$C$29,2,0)</f>
        <v>#N/A</v>
      </c>
      <c r="G693" s="36">
        <v>1</v>
      </c>
      <c r="H693" s="126" t="str">
        <f>VLOOKUP(G693,'Códigos bancos'!$F$4:$G$14,2,0)</f>
        <v>Oficinas</v>
      </c>
      <c r="I693" s="130"/>
      <c r="J693" s="174">
        <v>0</v>
      </c>
      <c r="K693" s="174">
        <v>0</v>
      </c>
      <c r="L693" s="174">
        <v>0</v>
      </c>
      <c r="M693" s="174">
        <v>0</v>
      </c>
      <c r="N693" s="174">
        <v>0</v>
      </c>
      <c r="O693" s="174">
        <v>0</v>
      </c>
      <c r="P693" s="174">
        <v>0</v>
      </c>
      <c r="Q693" s="174">
        <v>0</v>
      </c>
      <c r="R693" s="174">
        <v>0</v>
      </c>
      <c r="S693" s="215">
        <v>0</v>
      </c>
      <c r="T693" s="71">
        <f t="shared" si="441"/>
        <v>0</v>
      </c>
      <c r="U693" s="71">
        <f t="shared" si="442"/>
        <v>0</v>
      </c>
      <c r="V693" s="117">
        <v>0</v>
      </c>
      <c r="W693" s="117">
        <v>0</v>
      </c>
      <c r="X693" s="71">
        <f t="shared" si="443"/>
        <v>0</v>
      </c>
      <c r="Y693" s="71">
        <f t="shared" si="444"/>
        <v>0</v>
      </c>
      <c r="AA693" s="65"/>
      <c r="AC693" s="71">
        <f t="shared" si="445"/>
        <v>0</v>
      </c>
      <c r="AD693" s="39"/>
      <c r="AE693" s="7"/>
      <c r="AF693" s="15"/>
      <c r="AG693" s="71" t="b">
        <f t="shared" si="446"/>
        <v>1</v>
      </c>
      <c r="AI693" s="71">
        <f t="shared" si="447"/>
        <v>0</v>
      </c>
      <c r="AJ693" s="39"/>
      <c r="AK693" s="15"/>
      <c r="AL693" s="71" t="b">
        <f t="shared" si="448"/>
        <v>1</v>
      </c>
      <c r="AN693" s="65"/>
    </row>
    <row r="694" spans="2:40" ht="13" customHeight="1">
      <c r="B694" s="119"/>
      <c r="C694" s="23">
        <f t="shared" si="440"/>
        <v>2026092</v>
      </c>
      <c r="D694" s="23">
        <v>25</v>
      </c>
      <c r="E694" s="128">
        <v>0</v>
      </c>
      <c r="F694" s="126" t="e">
        <f>VLOOKUP(E694,'Códigos bancos'!$B$4:$C$29,2,0)</f>
        <v>#N/A</v>
      </c>
      <c r="G694" s="36">
        <v>1</v>
      </c>
      <c r="H694" s="126" t="str">
        <f>VLOOKUP(G694,'Códigos bancos'!$F$4:$G$14,2,0)</f>
        <v>Oficinas</v>
      </c>
      <c r="I694" s="130"/>
      <c r="J694" s="174">
        <v>0</v>
      </c>
      <c r="K694" s="174">
        <v>0</v>
      </c>
      <c r="L694" s="174">
        <v>0</v>
      </c>
      <c r="M694" s="174">
        <v>0</v>
      </c>
      <c r="N694" s="174">
        <v>0</v>
      </c>
      <c r="O694" s="174">
        <v>0</v>
      </c>
      <c r="P694" s="174">
        <v>0</v>
      </c>
      <c r="Q694" s="174">
        <v>0</v>
      </c>
      <c r="R694" s="174">
        <v>0</v>
      </c>
      <c r="S694" s="215">
        <v>0</v>
      </c>
      <c r="T694" s="71">
        <f t="shared" si="441"/>
        <v>0</v>
      </c>
      <c r="U694" s="71">
        <f t="shared" si="442"/>
        <v>0</v>
      </c>
      <c r="V694" s="117">
        <v>0</v>
      </c>
      <c r="W694" s="117">
        <v>0</v>
      </c>
      <c r="X694" s="71">
        <f t="shared" si="443"/>
        <v>0</v>
      </c>
      <c r="Y694" s="71">
        <f t="shared" si="444"/>
        <v>0</v>
      </c>
      <c r="AA694" s="65"/>
      <c r="AC694" s="71">
        <f t="shared" si="445"/>
        <v>0</v>
      </c>
      <c r="AD694" s="39"/>
      <c r="AE694" s="7"/>
      <c r="AF694" s="15"/>
      <c r="AG694" s="71" t="b">
        <f t="shared" si="446"/>
        <v>1</v>
      </c>
      <c r="AI694" s="71">
        <f t="shared" si="447"/>
        <v>0</v>
      </c>
      <c r="AJ694" s="39"/>
      <c r="AK694" s="15"/>
      <c r="AL694" s="71" t="b">
        <f t="shared" si="448"/>
        <v>1</v>
      </c>
      <c r="AN694" s="65"/>
    </row>
    <row r="695" spans="2:40" ht="13" customHeight="1">
      <c r="B695" s="119"/>
      <c r="C695" s="23">
        <f t="shared" si="440"/>
        <v>2026092</v>
      </c>
      <c r="D695" s="23">
        <v>25</v>
      </c>
      <c r="E695" s="128">
        <v>0</v>
      </c>
      <c r="F695" s="126" t="e">
        <f>VLOOKUP(E695,'Códigos bancos'!$B$4:$C$29,2,0)</f>
        <v>#N/A</v>
      </c>
      <c r="G695" s="36">
        <v>1</v>
      </c>
      <c r="H695" s="126" t="str">
        <f>VLOOKUP(G695,'Códigos bancos'!$F$4:$G$14,2,0)</f>
        <v>Oficinas</v>
      </c>
      <c r="I695" s="130"/>
      <c r="J695" s="174">
        <v>0</v>
      </c>
      <c r="K695" s="174">
        <v>0</v>
      </c>
      <c r="L695" s="174">
        <v>0</v>
      </c>
      <c r="M695" s="174">
        <v>0</v>
      </c>
      <c r="N695" s="174">
        <v>0</v>
      </c>
      <c r="O695" s="174">
        <v>0</v>
      </c>
      <c r="P695" s="174">
        <v>0</v>
      </c>
      <c r="Q695" s="174">
        <v>0</v>
      </c>
      <c r="R695" s="174">
        <v>0</v>
      </c>
      <c r="S695" s="215">
        <v>0</v>
      </c>
      <c r="T695" s="71">
        <f t="shared" si="441"/>
        <v>0</v>
      </c>
      <c r="U695" s="71">
        <f t="shared" si="442"/>
        <v>0</v>
      </c>
      <c r="V695" s="117">
        <v>0</v>
      </c>
      <c r="W695" s="117">
        <v>0</v>
      </c>
      <c r="X695" s="71">
        <f t="shared" si="443"/>
        <v>0</v>
      </c>
      <c r="Y695" s="71">
        <f t="shared" si="444"/>
        <v>0</v>
      </c>
      <c r="AA695" s="65"/>
      <c r="AC695" s="71">
        <f t="shared" si="445"/>
        <v>0</v>
      </c>
      <c r="AD695" s="39"/>
      <c r="AE695" s="7"/>
      <c r="AF695" s="15"/>
      <c r="AG695" s="71" t="b">
        <f t="shared" si="446"/>
        <v>1</v>
      </c>
      <c r="AI695" s="71">
        <f t="shared" si="447"/>
        <v>0</v>
      </c>
      <c r="AJ695" s="39"/>
      <c r="AK695" s="15"/>
      <c r="AL695" s="71" t="b">
        <f t="shared" si="448"/>
        <v>1</v>
      </c>
      <c r="AN695" s="65"/>
    </row>
    <row r="696" spans="2:40" ht="13" customHeight="1">
      <c r="B696" s="119"/>
      <c r="C696" s="23">
        <f t="shared" si="440"/>
        <v>2026092</v>
      </c>
      <c r="D696" s="23">
        <v>25</v>
      </c>
      <c r="E696" s="128">
        <v>0</v>
      </c>
      <c r="F696" s="126" t="e">
        <f>VLOOKUP(E696,'Códigos bancos'!$B$4:$C$29,2,0)</f>
        <v>#N/A</v>
      </c>
      <c r="G696" s="36">
        <v>1</v>
      </c>
      <c r="H696" s="126" t="str">
        <f>VLOOKUP(G696,'Códigos bancos'!$F$4:$G$14,2,0)</f>
        <v>Oficinas</v>
      </c>
      <c r="I696" s="130"/>
      <c r="J696" s="174">
        <v>0</v>
      </c>
      <c r="K696" s="174">
        <v>0</v>
      </c>
      <c r="L696" s="174">
        <v>0</v>
      </c>
      <c r="M696" s="174">
        <v>0</v>
      </c>
      <c r="N696" s="174">
        <v>0</v>
      </c>
      <c r="O696" s="174">
        <v>0</v>
      </c>
      <c r="P696" s="174">
        <v>0</v>
      </c>
      <c r="Q696" s="174">
        <v>0</v>
      </c>
      <c r="R696" s="174">
        <v>0</v>
      </c>
      <c r="S696" s="215">
        <v>0</v>
      </c>
      <c r="T696" s="71">
        <f t="shared" si="441"/>
        <v>0</v>
      </c>
      <c r="U696" s="71">
        <f t="shared" si="442"/>
        <v>0</v>
      </c>
      <c r="V696" s="117">
        <v>0</v>
      </c>
      <c r="W696" s="117">
        <v>0</v>
      </c>
      <c r="X696" s="71">
        <f t="shared" si="443"/>
        <v>0</v>
      </c>
      <c r="Y696" s="71">
        <f t="shared" si="444"/>
        <v>0</v>
      </c>
      <c r="AA696" s="65"/>
      <c r="AC696" s="71">
        <f t="shared" si="445"/>
        <v>0</v>
      </c>
      <c r="AD696" s="39"/>
      <c r="AE696" s="7"/>
      <c r="AF696" s="15"/>
      <c r="AG696" s="71" t="b">
        <f t="shared" si="446"/>
        <v>1</v>
      </c>
      <c r="AI696" s="71">
        <f t="shared" si="447"/>
        <v>0</v>
      </c>
      <c r="AJ696" s="39"/>
      <c r="AK696" s="15"/>
      <c r="AL696" s="71" t="b">
        <f t="shared" si="448"/>
        <v>1</v>
      </c>
      <c r="AN696" s="65"/>
    </row>
    <row r="697" spans="2:40" ht="13" customHeight="1">
      <c r="B697" s="119"/>
      <c r="C697" s="23">
        <f t="shared" si="440"/>
        <v>2026092</v>
      </c>
      <c r="D697" s="23">
        <v>25</v>
      </c>
      <c r="E697" s="128">
        <v>0</v>
      </c>
      <c r="F697" s="126" t="e">
        <f>VLOOKUP(E697,'Códigos bancos'!$B$4:$C$29,2,0)</f>
        <v>#N/A</v>
      </c>
      <c r="G697" s="36">
        <v>1</v>
      </c>
      <c r="H697" s="126" t="str">
        <f>VLOOKUP(G697,'Códigos bancos'!$F$4:$G$14,2,0)</f>
        <v>Oficinas</v>
      </c>
      <c r="I697" s="130"/>
      <c r="J697" s="174">
        <v>0</v>
      </c>
      <c r="K697" s="174">
        <v>0</v>
      </c>
      <c r="L697" s="174">
        <v>0</v>
      </c>
      <c r="M697" s="174">
        <v>0</v>
      </c>
      <c r="N697" s="174">
        <v>0</v>
      </c>
      <c r="O697" s="174">
        <v>0</v>
      </c>
      <c r="P697" s="174">
        <v>0</v>
      </c>
      <c r="Q697" s="174">
        <v>0</v>
      </c>
      <c r="R697" s="174">
        <v>0</v>
      </c>
      <c r="S697" s="215">
        <v>0</v>
      </c>
      <c r="T697" s="71">
        <f t="shared" si="441"/>
        <v>0</v>
      </c>
      <c r="U697" s="71">
        <f t="shared" si="442"/>
        <v>0</v>
      </c>
      <c r="V697" s="117">
        <v>0</v>
      </c>
      <c r="W697" s="117">
        <v>0</v>
      </c>
      <c r="X697" s="71">
        <f t="shared" si="443"/>
        <v>0</v>
      </c>
      <c r="Y697" s="71">
        <f t="shared" si="444"/>
        <v>0</v>
      </c>
      <c r="AA697" s="65"/>
      <c r="AC697" s="71">
        <f t="shared" si="445"/>
        <v>0</v>
      </c>
      <c r="AD697" s="39"/>
      <c r="AE697" s="7"/>
      <c r="AF697" s="15"/>
      <c r="AG697" s="71" t="b">
        <f t="shared" si="446"/>
        <v>1</v>
      </c>
      <c r="AI697" s="71">
        <f t="shared" si="447"/>
        <v>0</v>
      </c>
      <c r="AJ697" s="39"/>
      <c r="AK697" s="15"/>
      <c r="AL697" s="71" t="b">
        <f t="shared" si="448"/>
        <v>1</v>
      </c>
      <c r="AN697" s="65"/>
    </row>
    <row r="698" spans="2:40" ht="13" customHeight="1">
      <c r="B698" s="119"/>
      <c r="C698" s="159">
        <f t="shared" si="440"/>
        <v>2026092</v>
      </c>
      <c r="D698" s="23">
        <v>25</v>
      </c>
      <c r="E698" s="128">
        <v>0</v>
      </c>
      <c r="F698" s="126" t="e">
        <f>VLOOKUP(E698,'Códigos bancos'!$B$4:$C$29,2,0)</f>
        <v>#N/A</v>
      </c>
      <c r="G698" s="36">
        <v>1</v>
      </c>
      <c r="H698" s="126" t="str">
        <f>VLOOKUP(G698,'Códigos bancos'!$F$4:$G$14,2,0)</f>
        <v>Oficinas</v>
      </c>
      <c r="I698" s="130"/>
      <c r="J698" s="174">
        <v>0</v>
      </c>
      <c r="K698" s="174">
        <v>0</v>
      </c>
      <c r="L698" s="174">
        <v>0</v>
      </c>
      <c r="M698" s="174">
        <v>0</v>
      </c>
      <c r="N698" s="174">
        <v>0</v>
      </c>
      <c r="O698" s="174">
        <v>0</v>
      </c>
      <c r="P698" s="174">
        <v>0</v>
      </c>
      <c r="Q698" s="174">
        <v>0</v>
      </c>
      <c r="R698" s="174">
        <v>0</v>
      </c>
      <c r="S698" s="215">
        <v>0</v>
      </c>
      <c r="T698" s="71">
        <f t="shared" si="441"/>
        <v>0</v>
      </c>
      <c r="U698" s="71">
        <f t="shared" si="442"/>
        <v>0</v>
      </c>
      <c r="V698" s="117">
        <v>0</v>
      </c>
      <c r="W698" s="117">
        <v>0</v>
      </c>
      <c r="X698" s="71">
        <f t="shared" si="443"/>
        <v>0</v>
      </c>
      <c r="Y698" s="71">
        <f t="shared" si="444"/>
        <v>0</v>
      </c>
      <c r="AA698" s="65"/>
      <c r="AC698" s="71">
        <f t="shared" si="445"/>
        <v>0</v>
      </c>
      <c r="AD698" s="39"/>
      <c r="AE698" s="7"/>
      <c r="AF698" s="15"/>
      <c r="AG698" s="71" t="b">
        <f t="shared" si="446"/>
        <v>1</v>
      </c>
      <c r="AI698" s="71">
        <f t="shared" si="447"/>
        <v>0</v>
      </c>
      <c r="AJ698" s="39"/>
      <c r="AK698" s="15"/>
      <c r="AL698" s="71" t="b">
        <f t="shared" si="448"/>
        <v>1</v>
      </c>
      <c r="AN698" s="65"/>
    </row>
    <row r="699" spans="2:40" ht="13" customHeight="1">
      <c r="B699" s="119"/>
      <c r="C699" s="23">
        <f t="shared" si="440"/>
        <v>2026092</v>
      </c>
      <c r="D699" s="23">
        <v>25</v>
      </c>
      <c r="E699" s="128">
        <v>0</v>
      </c>
      <c r="F699" s="126" t="e">
        <f>VLOOKUP(E699,'Códigos bancos'!$B$4:$C$29,2,0)</f>
        <v>#N/A</v>
      </c>
      <c r="G699" s="36">
        <v>1</v>
      </c>
      <c r="H699" s="126" t="str">
        <f>VLOOKUP(G699,'Códigos bancos'!$F$4:$G$14,2,0)</f>
        <v>Oficinas</v>
      </c>
      <c r="I699" s="130"/>
      <c r="J699" s="174">
        <v>0</v>
      </c>
      <c r="K699" s="174">
        <v>0</v>
      </c>
      <c r="L699" s="174">
        <v>0</v>
      </c>
      <c r="M699" s="174">
        <v>0</v>
      </c>
      <c r="N699" s="174">
        <v>0</v>
      </c>
      <c r="O699" s="174">
        <v>0</v>
      </c>
      <c r="P699" s="174">
        <v>0</v>
      </c>
      <c r="Q699" s="174">
        <v>0</v>
      </c>
      <c r="R699" s="174">
        <v>0</v>
      </c>
      <c r="S699" s="215">
        <v>0</v>
      </c>
      <c r="T699" s="71">
        <f t="shared" si="441"/>
        <v>0</v>
      </c>
      <c r="U699" s="71">
        <f t="shared" si="442"/>
        <v>0</v>
      </c>
      <c r="V699" s="117">
        <v>0</v>
      </c>
      <c r="W699" s="117">
        <v>0</v>
      </c>
      <c r="X699" s="71">
        <f t="shared" si="443"/>
        <v>0</v>
      </c>
      <c r="Y699" s="71">
        <f t="shared" si="444"/>
        <v>0</v>
      </c>
      <c r="AA699" s="65"/>
      <c r="AC699" s="71">
        <f t="shared" si="445"/>
        <v>0</v>
      </c>
      <c r="AD699" s="39"/>
      <c r="AE699" s="7"/>
      <c r="AF699" s="15"/>
      <c r="AG699" s="71" t="b">
        <f t="shared" si="446"/>
        <v>1</v>
      </c>
      <c r="AI699" s="71">
        <f t="shared" si="447"/>
        <v>0</v>
      </c>
      <c r="AJ699" s="39"/>
      <c r="AK699" s="15"/>
      <c r="AL699" s="71" t="b">
        <f t="shared" si="448"/>
        <v>1</v>
      </c>
      <c r="AN699" s="65"/>
    </row>
    <row r="700" spans="2:40" ht="13" customHeight="1">
      <c r="B700" s="119"/>
      <c r="C700" s="23">
        <f t="shared" si="440"/>
        <v>2026092</v>
      </c>
      <c r="D700" s="23">
        <v>25</v>
      </c>
      <c r="E700" s="128">
        <v>0</v>
      </c>
      <c r="F700" s="126" t="e">
        <f>VLOOKUP(E700,'Códigos bancos'!$B$4:$C$29,2,0)</f>
        <v>#N/A</v>
      </c>
      <c r="G700" s="36">
        <v>1</v>
      </c>
      <c r="H700" s="126" t="str">
        <f>VLOOKUP(G700,'Códigos bancos'!$F$4:$G$14,2,0)</f>
        <v>Oficinas</v>
      </c>
      <c r="I700" s="130"/>
      <c r="J700" s="174">
        <v>0</v>
      </c>
      <c r="K700" s="174">
        <v>0</v>
      </c>
      <c r="L700" s="174">
        <v>0</v>
      </c>
      <c r="M700" s="174">
        <v>0</v>
      </c>
      <c r="N700" s="174">
        <v>0</v>
      </c>
      <c r="O700" s="174">
        <v>0</v>
      </c>
      <c r="P700" s="174">
        <v>0</v>
      </c>
      <c r="Q700" s="174">
        <v>0</v>
      </c>
      <c r="R700" s="174">
        <v>0</v>
      </c>
      <c r="S700" s="215">
        <v>0</v>
      </c>
      <c r="T700" s="71">
        <f t="shared" si="441"/>
        <v>0</v>
      </c>
      <c r="U700" s="71">
        <f t="shared" si="442"/>
        <v>0</v>
      </c>
      <c r="V700" s="117">
        <v>0</v>
      </c>
      <c r="W700" s="117">
        <v>0</v>
      </c>
      <c r="X700" s="71">
        <f t="shared" si="443"/>
        <v>0</v>
      </c>
      <c r="Y700" s="71">
        <f t="shared" si="444"/>
        <v>0</v>
      </c>
      <c r="AA700" s="65"/>
      <c r="AC700" s="71">
        <f t="shared" si="445"/>
        <v>0</v>
      </c>
      <c r="AD700" s="39"/>
      <c r="AE700" s="7"/>
      <c r="AF700" s="15"/>
      <c r="AG700" s="71" t="b">
        <f t="shared" si="446"/>
        <v>1</v>
      </c>
      <c r="AI700" s="71">
        <f t="shared" si="447"/>
        <v>0</v>
      </c>
      <c r="AJ700" s="39"/>
      <c r="AK700" s="15"/>
      <c r="AL700" s="71" t="b">
        <f t="shared" si="448"/>
        <v>1</v>
      </c>
      <c r="AN700" s="65"/>
    </row>
    <row r="701" spans="2:40" ht="13" customHeight="1">
      <c r="B701" s="119"/>
      <c r="C701" s="23">
        <f t="shared" si="440"/>
        <v>2026092</v>
      </c>
      <c r="D701" s="23">
        <v>25</v>
      </c>
      <c r="E701" s="128">
        <v>0</v>
      </c>
      <c r="F701" s="126" t="e">
        <f>VLOOKUP(E701,'Códigos bancos'!$B$4:$C$29,2,0)</f>
        <v>#N/A</v>
      </c>
      <c r="G701" s="36">
        <v>1</v>
      </c>
      <c r="H701" s="126" t="str">
        <f>VLOOKUP(G701,'Códigos bancos'!$F$4:$G$14,2,0)</f>
        <v>Oficinas</v>
      </c>
      <c r="I701" s="130"/>
      <c r="J701" s="174">
        <v>0</v>
      </c>
      <c r="K701" s="174">
        <v>0</v>
      </c>
      <c r="L701" s="174">
        <v>0</v>
      </c>
      <c r="M701" s="174">
        <v>0</v>
      </c>
      <c r="N701" s="174">
        <v>0</v>
      </c>
      <c r="O701" s="174">
        <v>0</v>
      </c>
      <c r="P701" s="174">
        <v>0</v>
      </c>
      <c r="Q701" s="174">
        <v>0</v>
      </c>
      <c r="R701" s="174">
        <v>0</v>
      </c>
      <c r="S701" s="215">
        <v>0</v>
      </c>
      <c r="T701" s="71">
        <f t="shared" si="441"/>
        <v>0</v>
      </c>
      <c r="U701" s="71">
        <f t="shared" si="442"/>
        <v>0</v>
      </c>
      <c r="V701" s="117">
        <v>0</v>
      </c>
      <c r="W701" s="117">
        <v>0</v>
      </c>
      <c r="X701" s="71">
        <f t="shared" si="443"/>
        <v>0</v>
      </c>
      <c r="Y701" s="71">
        <f t="shared" si="444"/>
        <v>0</v>
      </c>
      <c r="AA701" s="65"/>
      <c r="AC701" s="71">
        <f t="shared" si="445"/>
        <v>0</v>
      </c>
      <c r="AD701" s="39"/>
      <c r="AE701" s="7"/>
      <c r="AF701" s="15"/>
      <c r="AG701" s="71" t="b">
        <f t="shared" si="446"/>
        <v>1</v>
      </c>
      <c r="AI701" s="71">
        <f t="shared" si="447"/>
        <v>0</v>
      </c>
      <c r="AJ701" s="39"/>
      <c r="AK701" s="15"/>
      <c r="AL701" s="71" t="b">
        <f t="shared" si="448"/>
        <v>1</v>
      </c>
      <c r="AN701" s="65"/>
    </row>
    <row r="702" spans="2:40" ht="13" customHeight="1">
      <c r="B702" s="119"/>
      <c r="C702" s="23">
        <f t="shared" si="440"/>
        <v>2026092</v>
      </c>
      <c r="D702" s="23">
        <v>25</v>
      </c>
      <c r="E702" s="128">
        <v>0</v>
      </c>
      <c r="F702" s="126" t="e">
        <f>VLOOKUP(E702,'Códigos bancos'!$B$4:$C$29,2,0)</f>
        <v>#N/A</v>
      </c>
      <c r="G702" s="36">
        <v>1</v>
      </c>
      <c r="H702" s="126" t="str">
        <f>VLOOKUP(G702,'Códigos bancos'!$F$4:$G$14,2,0)</f>
        <v>Oficinas</v>
      </c>
      <c r="I702" s="130"/>
      <c r="J702" s="174">
        <v>0</v>
      </c>
      <c r="K702" s="174">
        <v>0</v>
      </c>
      <c r="L702" s="174">
        <v>0</v>
      </c>
      <c r="M702" s="174">
        <v>0</v>
      </c>
      <c r="N702" s="174">
        <v>0</v>
      </c>
      <c r="O702" s="174">
        <v>0</v>
      </c>
      <c r="P702" s="174">
        <v>0</v>
      </c>
      <c r="Q702" s="174">
        <v>0</v>
      </c>
      <c r="R702" s="174">
        <v>0</v>
      </c>
      <c r="S702" s="215">
        <v>0</v>
      </c>
      <c r="T702" s="71">
        <f t="shared" si="441"/>
        <v>0</v>
      </c>
      <c r="U702" s="71">
        <f t="shared" si="442"/>
        <v>0</v>
      </c>
      <c r="V702" s="117">
        <v>0</v>
      </c>
      <c r="W702" s="117">
        <v>0</v>
      </c>
      <c r="X702" s="71">
        <f t="shared" si="443"/>
        <v>0</v>
      </c>
      <c r="Y702" s="71">
        <f t="shared" si="444"/>
        <v>0</v>
      </c>
      <c r="AA702" s="65"/>
      <c r="AC702" s="71">
        <f t="shared" si="445"/>
        <v>0</v>
      </c>
      <c r="AD702" s="39"/>
      <c r="AE702" s="7"/>
      <c r="AF702" s="15"/>
      <c r="AG702" s="71" t="b">
        <f t="shared" si="446"/>
        <v>1</v>
      </c>
      <c r="AI702" s="71">
        <f t="shared" si="447"/>
        <v>0</v>
      </c>
      <c r="AJ702" s="39"/>
      <c r="AK702" s="15"/>
      <c r="AL702" s="71" t="b">
        <f t="shared" si="448"/>
        <v>1</v>
      </c>
      <c r="AN702" s="65"/>
    </row>
    <row r="703" spans="2:40" ht="13" customHeight="1">
      <c r="B703" s="119"/>
      <c r="C703" s="23">
        <f t="shared" si="440"/>
        <v>2026092</v>
      </c>
      <c r="D703" s="23">
        <v>25</v>
      </c>
      <c r="E703" s="128">
        <v>0</v>
      </c>
      <c r="F703" s="126" t="e">
        <f>VLOOKUP(E703,'Códigos bancos'!$B$4:$C$29,2,0)</f>
        <v>#N/A</v>
      </c>
      <c r="G703" s="36">
        <v>1</v>
      </c>
      <c r="H703" s="126" t="str">
        <f>VLOOKUP(G703,'Códigos bancos'!$F$4:$G$14,2,0)</f>
        <v>Oficinas</v>
      </c>
      <c r="I703" s="130"/>
      <c r="J703" s="174">
        <v>0</v>
      </c>
      <c r="K703" s="174">
        <v>0</v>
      </c>
      <c r="L703" s="174">
        <v>0</v>
      </c>
      <c r="M703" s="174">
        <v>0</v>
      </c>
      <c r="N703" s="174">
        <v>0</v>
      </c>
      <c r="O703" s="174">
        <v>0</v>
      </c>
      <c r="P703" s="174">
        <v>0</v>
      </c>
      <c r="Q703" s="174">
        <v>0</v>
      </c>
      <c r="R703" s="174">
        <v>0</v>
      </c>
      <c r="S703" s="215">
        <v>0</v>
      </c>
      <c r="T703" s="71">
        <f t="shared" si="441"/>
        <v>0</v>
      </c>
      <c r="U703" s="71">
        <f t="shared" si="442"/>
        <v>0</v>
      </c>
      <c r="V703" s="117">
        <v>0</v>
      </c>
      <c r="W703" s="117">
        <v>0</v>
      </c>
      <c r="X703" s="71">
        <f t="shared" si="443"/>
        <v>0</v>
      </c>
      <c r="Y703" s="71">
        <f t="shared" si="444"/>
        <v>0</v>
      </c>
      <c r="AA703" s="65"/>
      <c r="AC703" s="71">
        <f t="shared" si="445"/>
        <v>0</v>
      </c>
      <c r="AD703" s="39"/>
      <c r="AE703" s="7"/>
      <c r="AF703" s="15"/>
      <c r="AG703" s="71" t="b">
        <f t="shared" si="446"/>
        <v>1</v>
      </c>
      <c r="AI703" s="71">
        <f t="shared" si="447"/>
        <v>0</v>
      </c>
      <c r="AJ703" s="39"/>
      <c r="AK703" s="15"/>
      <c r="AL703" s="71" t="b">
        <f t="shared" si="448"/>
        <v>1</v>
      </c>
      <c r="AN703" s="65"/>
    </row>
    <row r="704" spans="2:40" ht="13" customHeight="1">
      <c r="B704" s="119"/>
      <c r="C704" s="23">
        <f t="shared" ref="C704" si="449">IF(D704&lt;=15,$C$1,$C$2)</f>
        <v>2026092</v>
      </c>
      <c r="D704" s="23">
        <v>25</v>
      </c>
      <c r="E704" s="128">
        <v>0</v>
      </c>
      <c r="F704" s="126" t="e">
        <f>VLOOKUP(E704,'Códigos bancos'!$B$4:$C$29,2,0)</f>
        <v>#N/A</v>
      </c>
      <c r="G704" s="36">
        <v>1</v>
      </c>
      <c r="H704" s="126" t="str">
        <f>VLOOKUP(G704,'Códigos bancos'!$F$4:$G$14,2,0)</f>
        <v>Oficinas</v>
      </c>
      <c r="I704" s="130"/>
      <c r="J704" s="174">
        <v>0</v>
      </c>
      <c r="K704" s="174">
        <v>0</v>
      </c>
      <c r="L704" s="174">
        <v>0</v>
      </c>
      <c r="M704" s="174">
        <v>0</v>
      </c>
      <c r="N704" s="174">
        <v>0</v>
      </c>
      <c r="O704" s="174">
        <v>0</v>
      </c>
      <c r="P704" s="174">
        <v>0</v>
      </c>
      <c r="Q704" s="174">
        <v>0</v>
      </c>
      <c r="R704" s="174">
        <v>0</v>
      </c>
      <c r="S704" s="215">
        <v>0</v>
      </c>
      <c r="T704" s="71">
        <f t="shared" ref="T704" si="450">J704+L704+N704+P704+R704</f>
        <v>0</v>
      </c>
      <c r="U704" s="71">
        <f t="shared" ref="U704" si="451">K704+M704+O704+Q704+S704</f>
        <v>0</v>
      </c>
      <c r="V704" s="117">
        <v>0</v>
      </c>
      <c r="W704" s="117">
        <v>0</v>
      </c>
      <c r="X704" s="71">
        <f t="shared" ref="X704" si="452">V704-T704</f>
        <v>0</v>
      </c>
      <c r="Y704" s="71">
        <f t="shared" ref="Y704" si="453">W704-U704</f>
        <v>0</v>
      </c>
      <c r="AA704" s="65"/>
      <c r="AC704" s="71">
        <f t="shared" ref="AC704" si="454">X704</f>
        <v>0</v>
      </c>
      <c r="AD704" s="39"/>
      <c r="AE704" s="7"/>
      <c r="AF704" s="15"/>
      <c r="AG704" s="71" t="b">
        <f t="shared" ref="AG704" si="455">AC704=(AD704+AE704+AF704)</f>
        <v>1</v>
      </c>
      <c r="AI704" s="71">
        <f t="shared" ref="AI704" si="456">Y704</f>
        <v>0</v>
      </c>
      <c r="AJ704" s="39"/>
      <c r="AK704" s="15"/>
      <c r="AL704" s="71" t="b">
        <f t="shared" ref="AL704" si="457">AI704=(AJ704+AK704)</f>
        <v>1</v>
      </c>
      <c r="AN704" s="65"/>
    </row>
    <row r="705" spans="2:40 16128:16147" ht="13" customHeight="1">
      <c r="B705" s="119"/>
      <c r="C705" s="23">
        <f t="shared" si="440"/>
        <v>2026092</v>
      </c>
      <c r="D705" s="23">
        <v>25</v>
      </c>
      <c r="E705" s="128">
        <v>0</v>
      </c>
      <c r="F705" s="126" t="e">
        <f>VLOOKUP(E705,'Códigos bancos'!$B$4:$C$29,2,0)</f>
        <v>#N/A</v>
      </c>
      <c r="G705" s="36">
        <v>1</v>
      </c>
      <c r="H705" s="126" t="str">
        <f>VLOOKUP(G705,'Códigos bancos'!$F$4:$G$14,2,0)</f>
        <v>Oficinas</v>
      </c>
      <c r="I705" s="130"/>
      <c r="J705" s="174">
        <v>0</v>
      </c>
      <c r="K705" s="174">
        <v>0</v>
      </c>
      <c r="L705" s="174">
        <v>0</v>
      </c>
      <c r="M705" s="174">
        <v>0</v>
      </c>
      <c r="N705" s="174">
        <v>0</v>
      </c>
      <c r="O705" s="174">
        <v>0</v>
      </c>
      <c r="P705" s="174">
        <v>0</v>
      </c>
      <c r="Q705" s="174">
        <v>0</v>
      </c>
      <c r="R705" s="174">
        <v>0</v>
      </c>
      <c r="S705" s="215">
        <v>0</v>
      </c>
      <c r="T705" s="71">
        <f t="shared" si="441"/>
        <v>0</v>
      </c>
      <c r="U705" s="71">
        <f t="shared" si="442"/>
        <v>0</v>
      </c>
      <c r="V705" s="117">
        <v>0</v>
      </c>
      <c r="W705" s="117">
        <v>0</v>
      </c>
      <c r="X705" s="71">
        <f t="shared" si="443"/>
        <v>0</v>
      </c>
      <c r="Y705" s="71">
        <f t="shared" si="444"/>
        <v>0</v>
      </c>
      <c r="AA705" s="65"/>
      <c r="AC705" s="71">
        <f t="shared" si="445"/>
        <v>0</v>
      </c>
      <c r="AD705" s="39"/>
      <c r="AE705" s="7"/>
      <c r="AF705" s="15"/>
      <c r="AG705" s="71" t="b">
        <f t="shared" si="446"/>
        <v>1</v>
      </c>
      <c r="AI705" s="71">
        <f t="shared" si="447"/>
        <v>0</v>
      </c>
      <c r="AJ705" s="39"/>
      <c r="AK705" s="15"/>
      <c r="AL705" s="71" t="b">
        <f t="shared" si="448"/>
        <v>1</v>
      </c>
      <c r="AN705" s="65"/>
    </row>
    <row r="706" spans="2:40 16128:16147" ht="13" customHeight="1">
      <c r="B706" s="119"/>
      <c r="C706" s="23">
        <f t="shared" si="440"/>
        <v>2026092</v>
      </c>
      <c r="D706" s="23">
        <v>25</v>
      </c>
      <c r="E706" s="128">
        <v>0</v>
      </c>
      <c r="F706" s="126" t="e">
        <f>VLOOKUP(E706,'Códigos bancos'!$B$4:$C$29,2,0)</f>
        <v>#N/A</v>
      </c>
      <c r="G706" s="36">
        <v>1</v>
      </c>
      <c r="H706" s="126" t="str">
        <f>VLOOKUP(G706,'Códigos bancos'!$F$4:$G$14,2,0)</f>
        <v>Oficinas</v>
      </c>
      <c r="I706" s="130"/>
      <c r="J706" s="174">
        <v>0</v>
      </c>
      <c r="K706" s="174">
        <v>0</v>
      </c>
      <c r="L706" s="174">
        <v>0</v>
      </c>
      <c r="M706" s="174">
        <v>0</v>
      </c>
      <c r="N706" s="174">
        <v>0</v>
      </c>
      <c r="O706" s="174">
        <v>0</v>
      </c>
      <c r="P706" s="174">
        <v>0</v>
      </c>
      <c r="Q706" s="174">
        <v>0</v>
      </c>
      <c r="R706" s="174">
        <v>0</v>
      </c>
      <c r="S706" s="215">
        <v>0</v>
      </c>
      <c r="T706" s="71">
        <f t="shared" si="441"/>
        <v>0</v>
      </c>
      <c r="U706" s="71">
        <f t="shared" si="442"/>
        <v>0</v>
      </c>
      <c r="V706" s="117">
        <v>0</v>
      </c>
      <c r="W706" s="117">
        <v>0</v>
      </c>
      <c r="X706" s="71">
        <f t="shared" si="443"/>
        <v>0</v>
      </c>
      <c r="Y706" s="71">
        <f t="shared" si="444"/>
        <v>0</v>
      </c>
      <c r="AA706" s="65"/>
      <c r="AC706" s="71">
        <f t="shared" si="445"/>
        <v>0</v>
      </c>
      <c r="AD706" s="39"/>
      <c r="AE706" s="7"/>
      <c r="AF706" s="15"/>
      <c r="AG706" s="71" t="b">
        <f t="shared" si="446"/>
        <v>1</v>
      </c>
      <c r="AI706" s="71">
        <f t="shared" si="447"/>
        <v>0</v>
      </c>
      <c r="AJ706" s="39"/>
      <c r="AK706" s="15"/>
      <c r="AL706" s="71" t="b">
        <f t="shared" si="448"/>
        <v>1</v>
      </c>
      <c r="AN706" s="65"/>
    </row>
    <row r="707" spans="2:40 16128:16147" ht="13" customHeight="1">
      <c r="B707" s="119"/>
      <c r="C707" s="23">
        <f t="shared" si="440"/>
        <v>2026092</v>
      </c>
      <c r="D707" s="23">
        <v>25</v>
      </c>
      <c r="E707" s="128">
        <v>0</v>
      </c>
      <c r="F707" s="126" t="e">
        <f>VLOOKUP(E707,'Códigos bancos'!$B$4:$C$29,2,0)</f>
        <v>#N/A</v>
      </c>
      <c r="G707" s="36">
        <v>1</v>
      </c>
      <c r="H707" s="126" t="str">
        <f>VLOOKUP(G707,'Códigos bancos'!$F$4:$G$14,2,0)</f>
        <v>Oficinas</v>
      </c>
      <c r="I707" s="130"/>
      <c r="J707" s="174">
        <v>0</v>
      </c>
      <c r="K707" s="174">
        <v>0</v>
      </c>
      <c r="L707" s="174">
        <v>0</v>
      </c>
      <c r="M707" s="174">
        <v>0</v>
      </c>
      <c r="N707" s="174">
        <v>0</v>
      </c>
      <c r="O707" s="174">
        <v>0</v>
      </c>
      <c r="P707" s="174">
        <v>0</v>
      </c>
      <c r="Q707" s="174">
        <v>0</v>
      </c>
      <c r="R707" s="174">
        <v>0</v>
      </c>
      <c r="S707" s="215">
        <v>0</v>
      </c>
      <c r="T707" s="71">
        <f t="shared" si="441"/>
        <v>0</v>
      </c>
      <c r="U707" s="71">
        <f t="shared" si="442"/>
        <v>0</v>
      </c>
      <c r="V707" s="117">
        <v>0</v>
      </c>
      <c r="W707" s="117">
        <v>0</v>
      </c>
      <c r="X707" s="71">
        <f t="shared" si="443"/>
        <v>0</v>
      </c>
      <c r="Y707" s="71">
        <f t="shared" si="444"/>
        <v>0</v>
      </c>
      <c r="AA707" s="65"/>
      <c r="AC707" s="71">
        <f t="shared" si="445"/>
        <v>0</v>
      </c>
      <c r="AD707" s="39"/>
      <c r="AE707" s="7"/>
      <c r="AF707" s="15"/>
      <c r="AG707" s="71" t="b">
        <f t="shared" si="446"/>
        <v>1</v>
      </c>
      <c r="AI707" s="71"/>
      <c r="AJ707" s="39"/>
      <c r="AK707" s="15"/>
      <c r="AL707" s="71" t="b">
        <f t="shared" si="448"/>
        <v>1</v>
      </c>
      <c r="AN707" s="65"/>
    </row>
    <row r="708" spans="2:40 16128:16147" ht="13" customHeight="1">
      <c r="B708" s="119"/>
      <c r="C708" s="23">
        <f t="shared" si="440"/>
        <v>2026092</v>
      </c>
      <c r="D708" s="23">
        <v>25</v>
      </c>
      <c r="E708" s="128">
        <v>0</v>
      </c>
      <c r="F708" s="126" t="e">
        <f>VLOOKUP(E708,'Códigos bancos'!$B$4:$C$29,2,0)</f>
        <v>#N/A</v>
      </c>
      <c r="G708" s="36">
        <v>1</v>
      </c>
      <c r="H708" s="126" t="str">
        <f>VLOOKUP(G708,'Códigos bancos'!$F$4:$G$14,2,0)</f>
        <v>Oficinas</v>
      </c>
      <c r="I708" s="130"/>
      <c r="J708" s="174">
        <v>0</v>
      </c>
      <c r="K708" s="174">
        <v>0</v>
      </c>
      <c r="L708" s="174">
        <v>0</v>
      </c>
      <c r="M708" s="174">
        <v>0</v>
      </c>
      <c r="N708" s="174">
        <v>0</v>
      </c>
      <c r="O708" s="174">
        <v>0</v>
      </c>
      <c r="P708" s="174">
        <v>0</v>
      </c>
      <c r="Q708" s="174">
        <v>0</v>
      </c>
      <c r="R708" s="174">
        <v>0</v>
      </c>
      <c r="S708" s="215">
        <v>0</v>
      </c>
      <c r="T708" s="71">
        <f t="shared" si="441"/>
        <v>0</v>
      </c>
      <c r="U708" s="71">
        <f t="shared" si="442"/>
        <v>0</v>
      </c>
      <c r="V708" s="117">
        <v>0</v>
      </c>
      <c r="W708" s="117">
        <v>0</v>
      </c>
      <c r="X708" s="71">
        <f t="shared" si="443"/>
        <v>0</v>
      </c>
      <c r="Y708" s="71">
        <f t="shared" si="444"/>
        <v>0</v>
      </c>
      <c r="AA708" s="65"/>
      <c r="AC708" s="71">
        <f t="shared" si="445"/>
        <v>0</v>
      </c>
      <c r="AD708" s="39"/>
      <c r="AE708" s="7"/>
      <c r="AF708" s="15"/>
      <c r="AG708" s="71" t="b">
        <f t="shared" si="446"/>
        <v>1</v>
      </c>
      <c r="AI708" s="71">
        <f>Y708</f>
        <v>0</v>
      </c>
      <c r="AJ708" s="39"/>
      <c r="AK708" s="15"/>
      <c r="AL708" s="71" t="b">
        <f t="shared" si="448"/>
        <v>1</v>
      </c>
      <c r="AN708" s="65"/>
    </row>
    <row r="709" spans="2:40 16128:16147" ht="13" customHeight="1" thickBot="1">
      <c r="B709" s="119"/>
      <c r="C709" s="23">
        <f t="shared" si="440"/>
        <v>2026092</v>
      </c>
      <c r="D709" s="23">
        <v>25</v>
      </c>
      <c r="E709" s="128">
        <v>0</v>
      </c>
      <c r="F709" s="126" t="e">
        <f>VLOOKUP(E709,'Códigos bancos'!$B$4:$C$29,2,0)</f>
        <v>#N/A</v>
      </c>
      <c r="G709" s="36">
        <v>1</v>
      </c>
      <c r="H709" s="126" t="str">
        <f>VLOOKUP(G709,'Códigos bancos'!$F$4:$G$14,2,0)</f>
        <v>Oficinas</v>
      </c>
      <c r="I709" s="130"/>
      <c r="J709" s="174">
        <v>0</v>
      </c>
      <c r="K709" s="174">
        <v>0</v>
      </c>
      <c r="L709" s="174">
        <v>0</v>
      </c>
      <c r="M709" s="174">
        <v>0</v>
      </c>
      <c r="N709" s="174">
        <v>0</v>
      </c>
      <c r="O709" s="174">
        <v>0</v>
      </c>
      <c r="P709" s="174">
        <v>0</v>
      </c>
      <c r="Q709" s="174">
        <v>0</v>
      </c>
      <c r="R709" s="174">
        <v>0</v>
      </c>
      <c r="S709" s="215">
        <v>0</v>
      </c>
      <c r="T709" s="71">
        <f>J709+L709+N709+P709+R709</f>
        <v>0</v>
      </c>
      <c r="U709" s="71">
        <f>K709+M709+O709+Q709+S709</f>
        <v>0</v>
      </c>
      <c r="V709" s="117">
        <v>0</v>
      </c>
      <c r="W709" s="117">
        <v>0</v>
      </c>
      <c r="X709" s="71">
        <f t="shared" si="443"/>
        <v>0</v>
      </c>
      <c r="Y709" s="71">
        <f t="shared" si="444"/>
        <v>0</v>
      </c>
      <c r="AA709" s="65"/>
      <c r="AC709" s="71">
        <f t="shared" si="445"/>
        <v>0</v>
      </c>
      <c r="AD709" s="39"/>
      <c r="AE709" s="7"/>
      <c r="AF709" s="15"/>
      <c r="AG709" s="71" t="b">
        <f t="shared" si="446"/>
        <v>1</v>
      </c>
      <c r="AI709" s="71">
        <f t="shared" si="447"/>
        <v>0</v>
      </c>
      <c r="AJ709" s="39"/>
      <c r="AK709" s="15"/>
      <c r="AL709" s="71" t="b">
        <f t="shared" si="448"/>
        <v>1</v>
      </c>
      <c r="AN709" s="65"/>
    </row>
    <row r="710" spans="2:40 16128:16147" ht="13" customHeight="1" thickBot="1">
      <c r="E710" s="120" t="s">
        <v>0</v>
      </c>
      <c r="F710" s="121" t="s">
        <v>53</v>
      </c>
      <c r="G710" s="121"/>
      <c r="H710" s="121"/>
      <c r="I710" s="121"/>
      <c r="J710" s="122">
        <f>SUM(J685:J709)</f>
        <v>0</v>
      </c>
      <c r="K710" s="122">
        <f>SUM(K685:K709)</f>
        <v>0</v>
      </c>
      <c r="L710" s="122">
        <f t="shared" ref="L710:Y710" si="458">SUM(L685:L709)</f>
        <v>0</v>
      </c>
      <c r="M710" s="122">
        <f t="shared" si="458"/>
        <v>0</v>
      </c>
      <c r="N710" s="122">
        <f t="shared" si="458"/>
        <v>0</v>
      </c>
      <c r="O710" s="122">
        <f t="shared" si="458"/>
        <v>0</v>
      </c>
      <c r="P710" s="122">
        <f t="shared" si="458"/>
        <v>0</v>
      </c>
      <c r="Q710" s="122">
        <f t="shared" si="458"/>
        <v>0</v>
      </c>
      <c r="R710" s="122">
        <f t="shared" si="458"/>
        <v>35</v>
      </c>
      <c r="S710" s="122">
        <f t="shared" si="458"/>
        <v>5649784</v>
      </c>
      <c r="T710" s="122">
        <f t="shared" si="458"/>
        <v>35</v>
      </c>
      <c r="U710" s="122">
        <f t="shared" si="458"/>
        <v>5649784</v>
      </c>
      <c r="V710" s="123">
        <f t="shared" si="458"/>
        <v>35</v>
      </c>
      <c r="W710" s="123">
        <f t="shared" si="458"/>
        <v>5649784</v>
      </c>
      <c r="X710" s="122">
        <f t="shared" si="458"/>
        <v>0</v>
      </c>
      <c r="Y710" s="123">
        <f t="shared" si="458"/>
        <v>0</v>
      </c>
      <c r="AA710" s="65"/>
      <c r="AC710" s="122">
        <f>SUM(AC685:AC709)</f>
        <v>0</v>
      </c>
      <c r="AD710" s="122">
        <f>SUM(AD685:AD709)</f>
        <v>0</v>
      </c>
      <c r="AE710" s="122">
        <f>SUM(AE685:AE709)</f>
        <v>0</v>
      </c>
      <c r="AF710" s="123">
        <f>SUM(AF685:AF709)</f>
        <v>0</v>
      </c>
      <c r="AG710" s="100"/>
      <c r="AI710" s="122">
        <f>SUM(AI685:AI709)</f>
        <v>0</v>
      </c>
      <c r="AJ710" s="122">
        <f>SUM(AJ685:AJ709)</f>
        <v>0</v>
      </c>
      <c r="AK710" s="123">
        <f>SUM(AK685:AK709)</f>
        <v>0</v>
      </c>
      <c r="AL710" s="100"/>
      <c r="AN710" s="65"/>
    </row>
    <row r="711" spans="2:40 16128:16147" ht="13" thickBot="1">
      <c r="AA711" s="65"/>
      <c r="AN711" s="65"/>
    </row>
    <row r="712" spans="2:40 16128:16147" ht="41.25" customHeight="1" thickBot="1">
      <c r="B712" s="112" t="s">
        <v>4</v>
      </c>
      <c r="C712" s="34" t="s">
        <v>6</v>
      </c>
      <c r="D712" s="34" t="s">
        <v>7</v>
      </c>
      <c r="E712" s="34" t="s">
        <v>49</v>
      </c>
      <c r="F712" s="34" t="e">
        <f>VLOOKUP(E712,'Códigos bancos'!$B$4:$C$29,2,0)</f>
        <v>#N/A</v>
      </c>
      <c r="G712" s="34" t="s">
        <v>51</v>
      </c>
      <c r="H712" s="34" t="s">
        <v>52</v>
      </c>
      <c r="I712" s="34" t="s">
        <v>13</v>
      </c>
      <c r="J712" s="12" t="s">
        <v>8</v>
      </c>
      <c r="K712" s="12" t="s">
        <v>36</v>
      </c>
      <c r="L712" s="12" t="s">
        <v>9</v>
      </c>
      <c r="M712" s="12" t="s">
        <v>37</v>
      </c>
      <c r="N712" s="87" t="s">
        <v>10</v>
      </c>
      <c r="O712" s="88" t="s">
        <v>38</v>
      </c>
      <c r="P712" s="87" t="s">
        <v>11</v>
      </c>
      <c r="Q712" s="88" t="s">
        <v>39</v>
      </c>
      <c r="R712" s="87" t="s">
        <v>12</v>
      </c>
      <c r="S712" s="88" t="s">
        <v>40</v>
      </c>
      <c r="T712" s="64" t="s">
        <v>41</v>
      </c>
      <c r="U712" s="64" t="s">
        <v>42</v>
      </c>
      <c r="V712" s="35" t="s">
        <v>32</v>
      </c>
      <c r="W712" s="67" t="s">
        <v>35</v>
      </c>
      <c r="X712" s="12" t="s">
        <v>34</v>
      </c>
      <c r="Y712" s="68" t="s">
        <v>33</v>
      </c>
      <c r="AA712" s="66"/>
      <c r="AC712" s="12" t="s">
        <v>34</v>
      </c>
      <c r="AD712" s="12" t="s">
        <v>45</v>
      </c>
      <c r="AE712" s="12" t="s">
        <v>43</v>
      </c>
      <c r="AF712" s="12" t="s">
        <v>44</v>
      </c>
      <c r="AG712" s="12" t="s">
        <v>46</v>
      </c>
      <c r="AI712" s="12" t="s">
        <v>33</v>
      </c>
      <c r="AJ712" s="12" t="s">
        <v>47</v>
      </c>
      <c r="AK712" s="12" t="s">
        <v>48</v>
      </c>
      <c r="AL712" s="12" t="s">
        <v>46</v>
      </c>
      <c r="AN712" s="66"/>
      <c r="WVH712" s="1"/>
      <c r="WVI712" s="1"/>
      <c r="WVZ712"/>
      <c r="WWA712"/>
    </row>
    <row r="713" spans="2:40 16128:16147" ht="13" customHeight="1">
      <c r="B713" s="119" t="s">
        <v>84</v>
      </c>
      <c r="C713" s="24">
        <f>IF(D713&lt;=15,$C$1,$C$2)</f>
        <v>2026092</v>
      </c>
      <c r="D713" s="24">
        <v>26</v>
      </c>
      <c r="E713" s="127">
        <v>20</v>
      </c>
      <c r="F713" s="125" t="str">
        <f>VLOOKUP(E713,'Códigos bancos'!$B$4:$C$29,2,0)</f>
        <v>Bancolombia ENERBIT</v>
      </c>
      <c r="G713" s="18">
        <v>1</v>
      </c>
      <c r="H713" s="125" t="str">
        <f>VLOOKUP(G713,'Códigos bancos'!$F$4:$G$14,2,0)</f>
        <v>Oficinas</v>
      </c>
      <c r="I713" s="129"/>
      <c r="J713" s="213">
        <v>0</v>
      </c>
      <c r="K713" s="213">
        <v>0</v>
      </c>
      <c r="L713" s="213">
        <v>0</v>
      </c>
      <c r="M713" s="213">
        <v>0</v>
      </c>
      <c r="N713" s="213">
        <v>0</v>
      </c>
      <c r="O713" s="213">
        <v>0</v>
      </c>
      <c r="P713" s="213">
        <v>0</v>
      </c>
      <c r="Q713" s="213">
        <v>0</v>
      </c>
      <c r="R713" s="174">
        <v>8</v>
      </c>
      <c r="S713" s="215">
        <v>529520</v>
      </c>
      <c r="T713" s="70">
        <f>J713+L713+N713+P713+R713</f>
        <v>8</v>
      </c>
      <c r="U713" s="70">
        <f>K713+M713+O713+Q713+S713</f>
        <v>529520</v>
      </c>
      <c r="V713" s="174">
        <v>8</v>
      </c>
      <c r="W713" s="215">
        <v>529520</v>
      </c>
      <c r="X713" s="70">
        <f>V713-T713</f>
        <v>0</v>
      </c>
      <c r="Y713" s="70">
        <f>W713-U713</f>
        <v>0</v>
      </c>
      <c r="AA713" s="65"/>
      <c r="AC713" s="124">
        <f>X713</f>
        <v>0</v>
      </c>
      <c r="AD713" s="115"/>
      <c r="AE713" s="16"/>
      <c r="AF713" s="114"/>
      <c r="AG713" s="124" t="b">
        <f>AC713=(AD713+AE713+AF713)</f>
        <v>1</v>
      </c>
      <c r="AI713" s="70">
        <f>Y713</f>
        <v>0</v>
      </c>
      <c r="AJ713" s="115"/>
      <c r="AK713" s="114"/>
      <c r="AL713" s="70" t="b">
        <f>AI713=(AJ713+AK713)</f>
        <v>1</v>
      </c>
      <c r="AN713" s="65"/>
    </row>
    <row r="714" spans="2:40 16128:16147" ht="13" customHeight="1">
      <c r="B714" s="119"/>
      <c r="C714" s="23">
        <f t="shared" ref="C714:C737" si="459">IF(D714&lt;=15,$C$1,$C$2)</f>
        <v>2026092</v>
      </c>
      <c r="D714" s="23">
        <v>26</v>
      </c>
      <c r="E714" s="128">
        <v>0</v>
      </c>
      <c r="F714" s="126" t="e">
        <f>VLOOKUP(E714,'Códigos bancos'!$B$4:$C$29,2,0)</f>
        <v>#N/A</v>
      </c>
      <c r="G714" s="36">
        <v>1</v>
      </c>
      <c r="H714" s="126" t="str">
        <f>VLOOKUP(G714,'Códigos bancos'!$F$4:$G$14,2,0)</f>
        <v>Oficinas</v>
      </c>
      <c r="I714" s="130"/>
      <c r="J714" s="174">
        <v>0</v>
      </c>
      <c r="K714" s="174">
        <v>0</v>
      </c>
      <c r="L714" s="174">
        <v>0</v>
      </c>
      <c r="M714" s="174">
        <v>0</v>
      </c>
      <c r="N714" s="174">
        <v>0</v>
      </c>
      <c r="O714" s="174">
        <v>0</v>
      </c>
      <c r="P714" s="174">
        <v>0</v>
      </c>
      <c r="Q714" s="174">
        <v>0</v>
      </c>
      <c r="R714" s="174">
        <v>0</v>
      </c>
      <c r="S714" s="215">
        <v>0</v>
      </c>
      <c r="T714" s="71">
        <f t="shared" ref="T714:T737" si="460">J714+L714+N714+P714+R714</f>
        <v>0</v>
      </c>
      <c r="U714" s="71">
        <f t="shared" ref="U714:U737" si="461">K714+M714+O714+Q714+S714</f>
        <v>0</v>
      </c>
      <c r="V714" s="117">
        <v>0</v>
      </c>
      <c r="W714" s="117">
        <v>0</v>
      </c>
      <c r="X714" s="71">
        <f t="shared" ref="X714:X737" si="462">V714-T714</f>
        <v>0</v>
      </c>
      <c r="Y714" s="71">
        <f t="shared" ref="Y714:Y737" si="463">W714-U714</f>
        <v>0</v>
      </c>
      <c r="AA714" s="65"/>
      <c r="AC714" s="71">
        <f t="shared" ref="AC714:AC737" si="464">X714</f>
        <v>0</v>
      </c>
      <c r="AD714" s="39"/>
      <c r="AE714" s="7"/>
      <c r="AF714" s="15"/>
      <c r="AG714" s="71" t="b">
        <f t="shared" ref="AG714:AG737" si="465">AC714=(AD714+AE714+AF714)</f>
        <v>1</v>
      </c>
      <c r="AI714" s="71">
        <f t="shared" ref="AI714:AI737" si="466">Y714</f>
        <v>0</v>
      </c>
      <c r="AJ714" s="39"/>
      <c r="AK714" s="15"/>
      <c r="AL714" s="71" t="b">
        <f t="shared" ref="AL714:AL737" si="467">AI714=(AJ714+AK714)</f>
        <v>1</v>
      </c>
      <c r="AN714" s="65"/>
    </row>
    <row r="715" spans="2:40 16128:16147" ht="13" customHeight="1">
      <c r="B715" s="119"/>
      <c r="C715" s="23">
        <f t="shared" si="459"/>
        <v>2026092</v>
      </c>
      <c r="D715" s="23">
        <v>26</v>
      </c>
      <c r="E715" s="128">
        <v>0</v>
      </c>
      <c r="F715" s="126" t="e">
        <f>VLOOKUP(E715,'Códigos bancos'!$B$4:$C$29,2,0)</f>
        <v>#N/A</v>
      </c>
      <c r="G715" s="36">
        <v>1</v>
      </c>
      <c r="H715" s="126" t="str">
        <f>VLOOKUP(G715,'Códigos bancos'!$F$4:$G$14,2,0)</f>
        <v>Oficinas</v>
      </c>
      <c r="I715" s="130"/>
      <c r="J715" s="174">
        <v>0</v>
      </c>
      <c r="K715" s="174">
        <v>0</v>
      </c>
      <c r="L715" s="174">
        <v>0</v>
      </c>
      <c r="M715" s="174">
        <v>0</v>
      </c>
      <c r="N715" s="174">
        <v>0</v>
      </c>
      <c r="O715" s="174">
        <v>0</v>
      </c>
      <c r="P715" s="174">
        <v>0</v>
      </c>
      <c r="Q715" s="174">
        <v>0</v>
      </c>
      <c r="R715" s="174">
        <v>0</v>
      </c>
      <c r="S715" s="215">
        <v>0</v>
      </c>
      <c r="T715" s="71">
        <f t="shared" si="460"/>
        <v>0</v>
      </c>
      <c r="U715" s="71">
        <f t="shared" si="461"/>
        <v>0</v>
      </c>
      <c r="V715" s="117">
        <v>0</v>
      </c>
      <c r="W715" s="117">
        <v>0</v>
      </c>
      <c r="X715" s="71">
        <f t="shared" si="462"/>
        <v>0</v>
      </c>
      <c r="Y715" s="71">
        <f t="shared" si="463"/>
        <v>0</v>
      </c>
      <c r="AA715" s="65"/>
      <c r="AC715" s="71">
        <f t="shared" si="464"/>
        <v>0</v>
      </c>
      <c r="AD715" s="45"/>
      <c r="AE715" s="14"/>
      <c r="AF715" s="46"/>
      <c r="AG715" s="71" t="b">
        <f t="shared" si="465"/>
        <v>1</v>
      </c>
      <c r="AI715" s="71">
        <f t="shared" si="466"/>
        <v>0</v>
      </c>
      <c r="AJ715" s="45"/>
      <c r="AK715" s="46"/>
      <c r="AL715" s="71" t="b">
        <f t="shared" si="467"/>
        <v>1</v>
      </c>
      <c r="AN715" s="65"/>
    </row>
    <row r="716" spans="2:40 16128:16147" ht="13" customHeight="1">
      <c r="B716" s="119"/>
      <c r="C716" s="23">
        <f t="shared" si="459"/>
        <v>2026092</v>
      </c>
      <c r="D716" s="23">
        <v>26</v>
      </c>
      <c r="E716" s="128">
        <v>0</v>
      </c>
      <c r="F716" s="126" t="e">
        <f>VLOOKUP(E716,'Códigos bancos'!$B$4:$C$29,2,0)</f>
        <v>#N/A</v>
      </c>
      <c r="G716" s="36">
        <v>1</v>
      </c>
      <c r="H716" s="126" t="str">
        <f>VLOOKUP(G716,'Códigos bancos'!$F$4:$G$14,2,0)</f>
        <v>Oficinas</v>
      </c>
      <c r="I716" s="130"/>
      <c r="J716" s="174">
        <v>0</v>
      </c>
      <c r="K716" s="174">
        <v>0</v>
      </c>
      <c r="L716" s="174">
        <v>0</v>
      </c>
      <c r="M716" s="174">
        <v>0</v>
      </c>
      <c r="N716" s="174">
        <v>0</v>
      </c>
      <c r="O716" s="174">
        <v>0</v>
      </c>
      <c r="P716" s="174">
        <v>0</v>
      </c>
      <c r="Q716" s="174">
        <v>0</v>
      </c>
      <c r="R716" s="174">
        <v>0</v>
      </c>
      <c r="S716" s="215">
        <v>0</v>
      </c>
      <c r="T716" s="71">
        <f t="shared" si="460"/>
        <v>0</v>
      </c>
      <c r="U716" s="71">
        <f t="shared" si="461"/>
        <v>0</v>
      </c>
      <c r="V716" s="117">
        <v>0</v>
      </c>
      <c r="W716" s="117">
        <v>0</v>
      </c>
      <c r="X716" s="71">
        <f t="shared" si="462"/>
        <v>0</v>
      </c>
      <c r="Y716" s="71">
        <f t="shared" si="463"/>
        <v>0</v>
      </c>
      <c r="AA716" s="65"/>
      <c r="AC716" s="71">
        <f t="shared" si="464"/>
        <v>0</v>
      </c>
      <c r="AD716" s="39"/>
      <c r="AE716" s="7"/>
      <c r="AF716" s="15"/>
      <c r="AG716" s="71" t="b">
        <f t="shared" si="465"/>
        <v>1</v>
      </c>
      <c r="AI716" s="71">
        <f t="shared" si="466"/>
        <v>0</v>
      </c>
      <c r="AJ716" s="39"/>
      <c r="AK716" s="15"/>
      <c r="AL716" s="71" t="b">
        <f t="shared" si="467"/>
        <v>1</v>
      </c>
      <c r="AN716" s="65"/>
    </row>
    <row r="717" spans="2:40 16128:16147" ht="13" customHeight="1">
      <c r="B717" s="119"/>
      <c r="C717" s="23">
        <f t="shared" si="459"/>
        <v>2026092</v>
      </c>
      <c r="D717" s="23">
        <v>26</v>
      </c>
      <c r="E717" s="128">
        <v>0</v>
      </c>
      <c r="F717" s="126" t="e">
        <f>VLOOKUP(E717,'Códigos bancos'!$B$4:$C$29,2,0)</f>
        <v>#N/A</v>
      </c>
      <c r="G717" s="36">
        <v>1</v>
      </c>
      <c r="H717" s="126" t="str">
        <f>VLOOKUP(G717,'Códigos bancos'!$F$4:$G$14,2,0)</f>
        <v>Oficinas</v>
      </c>
      <c r="I717" s="130"/>
      <c r="J717" s="174">
        <v>0</v>
      </c>
      <c r="K717" s="174">
        <v>0</v>
      </c>
      <c r="L717" s="174">
        <v>0</v>
      </c>
      <c r="M717" s="174">
        <v>0</v>
      </c>
      <c r="N717" s="174">
        <v>0</v>
      </c>
      <c r="O717" s="174">
        <v>0</v>
      </c>
      <c r="P717" s="174">
        <v>0</v>
      </c>
      <c r="Q717" s="174">
        <v>0</v>
      </c>
      <c r="R717" s="174">
        <v>0</v>
      </c>
      <c r="S717" s="215">
        <v>0</v>
      </c>
      <c r="T717" s="71">
        <f t="shared" si="460"/>
        <v>0</v>
      </c>
      <c r="U717" s="71">
        <f t="shared" si="461"/>
        <v>0</v>
      </c>
      <c r="V717" s="117">
        <v>0</v>
      </c>
      <c r="W717" s="117">
        <v>0</v>
      </c>
      <c r="X717" s="71">
        <f t="shared" si="462"/>
        <v>0</v>
      </c>
      <c r="Y717" s="71">
        <f t="shared" si="463"/>
        <v>0</v>
      </c>
      <c r="AA717" s="65"/>
      <c r="AC717" s="71">
        <f t="shared" si="464"/>
        <v>0</v>
      </c>
      <c r="AD717" s="39"/>
      <c r="AE717" s="7"/>
      <c r="AF717" s="15"/>
      <c r="AG717" s="71" t="b">
        <f t="shared" si="465"/>
        <v>1</v>
      </c>
      <c r="AI717" s="71">
        <f t="shared" si="466"/>
        <v>0</v>
      </c>
      <c r="AJ717" s="39"/>
      <c r="AK717" s="15"/>
      <c r="AL717" s="71" t="b">
        <f t="shared" si="467"/>
        <v>1</v>
      </c>
      <c r="AN717" s="65"/>
    </row>
    <row r="718" spans="2:40 16128:16147" ht="13" customHeight="1">
      <c r="B718" s="119"/>
      <c r="C718" s="23">
        <f t="shared" si="459"/>
        <v>2026092</v>
      </c>
      <c r="D718" s="23">
        <v>26</v>
      </c>
      <c r="E718" s="128">
        <v>0</v>
      </c>
      <c r="F718" s="126" t="e">
        <f>VLOOKUP(E718,'Códigos bancos'!$B$4:$C$29,2,0)</f>
        <v>#N/A</v>
      </c>
      <c r="G718" s="36">
        <v>1</v>
      </c>
      <c r="H718" s="126" t="str">
        <f>VLOOKUP(G718,'Códigos bancos'!$F$4:$G$14,2,0)</f>
        <v>Oficinas</v>
      </c>
      <c r="I718" s="130"/>
      <c r="J718" s="174">
        <v>0</v>
      </c>
      <c r="K718" s="174">
        <v>0</v>
      </c>
      <c r="L718" s="174">
        <v>0</v>
      </c>
      <c r="M718" s="174">
        <v>0</v>
      </c>
      <c r="N718" s="174">
        <v>0</v>
      </c>
      <c r="O718" s="174">
        <v>0</v>
      </c>
      <c r="P718" s="174">
        <v>0</v>
      </c>
      <c r="Q718" s="174">
        <v>0</v>
      </c>
      <c r="R718" s="174">
        <v>0</v>
      </c>
      <c r="S718" s="215">
        <v>0</v>
      </c>
      <c r="T718" s="71">
        <f t="shared" si="460"/>
        <v>0</v>
      </c>
      <c r="U718" s="71">
        <f t="shared" si="461"/>
        <v>0</v>
      </c>
      <c r="V718" s="117">
        <v>0</v>
      </c>
      <c r="W718" s="117">
        <v>0</v>
      </c>
      <c r="X718" s="71">
        <f t="shared" si="462"/>
        <v>0</v>
      </c>
      <c r="Y718" s="71">
        <f t="shared" si="463"/>
        <v>0</v>
      </c>
      <c r="AA718" s="65"/>
      <c r="AC718" s="71">
        <f t="shared" si="464"/>
        <v>0</v>
      </c>
      <c r="AD718" s="39"/>
      <c r="AE718" s="7"/>
      <c r="AF718" s="15"/>
      <c r="AG718" s="71" t="b">
        <f t="shared" si="465"/>
        <v>1</v>
      </c>
      <c r="AI718" s="71">
        <f t="shared" si="466"/>
        <v>0</v>
      </c>
      <c r="AJ718" s="39"/>
      <c r="AK718" s="15"/>
      <c r="AL718" s="71" t="b">
        <f t="shared" si="467"/>
        <v>1</v>
      </c>
      <c r="AN718" s="65"/>
    </row>
    <row r="719" spans="2:40 16128:16147" ht="13" customHeight="1">
      <c r="B719" s="119"/>
      <c r="C719" s="23">
        <f t="shared" si="459"/>
        <v>2026092</v>
      </c>
      <c r="D719" s="23">
        <v>26</v>
      </c>
      <c r="E719" s="128">
        <v>0</v>
      </c>
      <c r="F719" s="126" t="e">
        <f>VLOOKUP(E719,'Códigos bancos'!$B$4:$C$29,2,0)</f>
        <v>#N/A</v>
      </c>
      <c r="G719" s="36">
        <v>1</v>
      </c>
      <c r="H719" s="126" t="str">
        <f>VLOOKUP(G719,'Códigos bancos'!$F$4:$G$14,2,0)</f>
        <v>Oficinas</v>
      </c>
      <c r="I719" s="130"/>
      <c r="J719" s="174">
        <v>0</v>
      </c>
      <c r="K719" s="174">
        <v>0</v>
      </c>
      <c r="L719" s="174">
        <v>0</v>
      </c>
      <c r="M719" s="174">
        <v>0</v>
      </c>
      <c r="N719" s="174">
        <v>0</v>
      </c>
      <c r="O719" s="174">
        <v>0</v>
      </c>
      <c r="P719" s="174">
        <v>0</v>
      </c>
      <c r="Q719" s="174">
        <v>0</v>
      </c>
      <c r="R719" s="174">
        <v>0</v>
      </c>
      <c r="S719" s="215">
        <v>0</v>
      </c>
      <c r="T719" s="71">
        <f t="shared" si="460"/>
        <v>0</v>
      </c>
      <c r="U719" s="71">
        <f t="shared" si="461"/>
        <v>0</v>
      </c>
      <c r="V719" s="117">
        <v>0</v>
      </c>
      <c r="W719" s="117">
        <v>0</v>
      </c>
      <c r="X719" s="71">
        <f t="shared" si="462"/>
        <v>0</v>
      </c>
      <c r="Y719" s="71">
        <f t="shared" si="463"/>
        <v>0</v>
      </c>
      <c r="AA719" s="65"/>
      <c r="AC719" s="71">
        <f t="shared" si="464"/>
        <v>0</v>
      </c>
      <c r="AD719" s="39"/>
      <c r="AE719" s="7"/>
      <c r="AF719" s="15"/>
      <c r="AG719" s="71" t="b">
        <f t="shared" si="465"/>
        <v>1</v>
      </c>
      <c r="AI719" s="71">
        <f t="shared" si="466"/>
        <v>0</v>
      </c>
      <c r="AJ719" s="39"/>
      <c r="AK719" s="15"/>
      <c r="AL719" s="71" t="b">
        <f t="shared" si="467"/>
        <v>1</v>
      </c>
      <c r="AN719" s="65"/>
    </row>
    <row r="720" spans="2:40 16128:16147" ht="13" customHeight="1">
      <c r="B720" s="119"/>
      <c r="C720" s="23">
        <f t="shared" si="459"/>
        <v>2026092</v>
      </c>
      <c r="D720" s="23">
        <v>26</v>
      </c>
      <c r="E720" s="128">
        <v>0</v>
      </c>
      <c r="F720" s="126" t="e">
        <f>VLOOKUP(E720,'Códigos bancos'!$B$4:$C$29,2,0)</f>
        <v>#N/A</v>
      </c>
      <c r="G720" s="36">
        <v>1</v>
      </c>
      <c r="H720" s="126" t="str">
        <f>VLOOKUP(G720,'Códigos bancos'!$F$4:$G$14,2,0)</f>
        <v>Oficinas</v>
      </c>
      <c r="I720" s="130"/>
      <c r="J720" s="174">
        <v>0</v>
      </c>
      <c r="K720" s="174">
        <v>0</v>
      </c>
      <c r="L720" s="174">
        <v>0</v>
      </c>
      <c r="M720" s="174">
        <v>0</v>
      </c>
      <c r="N720" s="174">
        <v>0</v>
      </c>
      <c r="O720" s="174">
        <v>0</v>
      </c>
      <c r="P720" s="174">
        <v>0</v>
      </c>
      <c r="Q720" s="174">
        <v>0</v>
      </c>
      <c r="R720" s="174">
        <v>0</v>
      </c>
      <c r="S720" s="215">
        <v>0</v>
      </c>
      <c r="T720" s="71">
        <f t="shared" si="460"/>
        <v>0</v>
      </c>
      <c r="U720" s="71">
        <f t="shared" si="461"/>
        <v>0</v>
      </c>
      <c r="V720" s="117">
        <v>0</v>
      </c>
      <c r="W720" s="117">
        <v>0</v>
      </c>
      <c r="X720" s="71">
        <f t="shared" si="462"/>
        <v>0</v>
      </c>
      <c r="Y720" s="71">
        <f t="shared" si="463"/>
        <v>0</v>
      </c>
      <c r="AA720" s="65"/>
      <c r="AC720" s="71">
        <f t="shared" si="464"/>
        <v>0</v>
      </c>
      <c r="AD720" s="39"/>
      <c r="AE720" s="7"/>
      <c r="AF720" s="15"/>
      <c r="AG720" s="71" t="b">
        <f t="shared" si="465"/>
        <v>1</v>
      </c>
      <c r="AI720" s="71">
        <f t="shared" si="466"/>
        <v>0</v>
      </c>
      <c r="AJ720" s="39"/>
      <c r="AK720" s="15"/>
      <c r="AL720" s="71" t="b">
        <f t="shared" si="467"/>
        <v>1</v>
      </c>
      <c r="AN720" s="65"/>
    </row>
    <row r="721" spans="2:40" ht="13" customHeight="1">
      <c r="B721" s="119"/>
      <c r="C721" s="23">
        <f t="shared" si="459"/>
        <v>2026092</v>
      </c>
      <c r="D721" s="23">
        <v>26</v>
      </c>
      <c r="E721" s="128">
        <v>0</v>
      </c>
      <c r="F721" s="126" t="e">
        <f>VLOOKUP(E721,'Códigos bancos'!$B$4:$C$29,2,0)</f>
        <v>#N/A</v>
      </c>
      <c r="G721" s="36">
        <v>1</v>
      </c>
      <c r="H721" s="126" t="str">
        <f>VLOOKUP(G721,'Códigos bancos'!$F$4:$G$14,2,0)</f>
        <v>Oficinas</v>
      </c>
      <c r="I721" s="130"/>
      <c r="J721" s="174">
        <v>0</v>
      </c>
      <c r="K721" s="174">
        <v>0</v>
      </c>
      <c r="L721" s="174">
        <v>0</v>
      </c>
      <c r="M721" s="174">
        <v>0</v>
      </c>
      <c r="N721" s="174">
        <v>0</v>
      </c>
      <c r="O721" s="174">
        <v>0</v>
      </c>
      <c r="P721" s="174">
        <v>0</v>
      </c>
      <c r="Q721" s="174">
        <v>0</v>
      </c>
      <c r="R721" s="174">
        <v>0</v>
      </c>
      <c r="S721" s="215">
        <v>0</v>
      </c>
      <c r="T721" s="71">
        <f t="shared" si="460"/>
        <v>0</v>
      </c>
      <c r="U721" s="71">
        <f t="shared" si="461"/>
        <v>0</v>
      </c>
      <c r="V721" s="117">
        <v>0</v>
      </c>
      <c r="W721" s="117">
        <v>0</v>
      </c>
      <c r="X721" s="71">
        <f t="shared" si="462"/>
        <v>0</v>
      </c>
      <c r="Y721" s="71">
        <f t="shared" si="463"/>
        <v>0</v>
      </c>
      <c r="AA721" s="65"/>
      <c r="AC721" s="71">
        <f t="shared" si="464"/>
        <v>0</v>
      </c>
      <c r="AD721" s="39"/>
      <c r="AE721" s="7"/>
      <c r="AF721" s="15"/>
      <c r="AG721" s="71" t="b">
        <f t="shared" si="465"/>
        <v>1</v>
      </c>
      <c r="AI721" s="71">
        <f t="shared" si="466"/>
        <v>0</v>
      </c>
      <c r="AJ721" s="39"/>
      <c r="AK721" s="15"/>
      <c r="AL721" s="71" t="b">
        <f t="shared" si="467"/>
        <v>1</v>
      </c>
      <c r="AN721" s="65"/>
    </row>
    <row r="722" spans="2:40" ht="13" customHeight="1">
      <c r="B722" s="119"/>
      <c r="C722" s="23">
        <f t="shared" si="459"/>
        <v>2026092</v>
      </c>
      <c r="D722" s="23">
        <v>26</v>
      </c>
      <c r="E722" s="128">
        <v>0</v>
      </c>
      <c r="F722" s="126" t="e">
        <f>VLOOKUP(E722,'Códigos bancos'!$B$4:$C$29,2,0)</f>
        <v>#N/A</v>
      </c>
      <c r="G722" s="36">
        <v>1</v>
      </c>
      <c r="H722" s="126" t="str">
        <f>VLOOKUP(G722,'Códigos bancos'!$F$4:$G$14,2,0)</f>
        <v>Oficinas</v>
      </c>
      <c r="I722" s="130"/>
      <c r="J722" s="174">
        <v>0</v>
      </c>
      <c r="K722" s="174">
        <v>0</v>
      </c>
      <c r="L722" s="174">
        <v>0</v>
      </c>
      <c r="M722" s="174">
        <v>0</v>
      </c>
      <c r="N722" s="174">
        <v>0</v>
      </c>
      <c r="O722" s="174">
        <v>0</v>
      </c>
      <c r="P722" s="174">
        <v>0</v>
      </c>
      <c r="Q722" s="174">
        <v>0</v>
      </c>
      <c r="R722" s="174">
        <v>0</v>
      </c>
      <c r="S722" s="215">
        <v>0</v>
      </c>
      <c r="T722" s="71">
        <f t="shared" si="460"/>
        <v>0</v>
      </c>
      <c r="U722" s="71">
        <f t="shared" si="461"/>
        <v>0</v>
      </c>
      <c r="V722" s="117">
        <v>0</v>
      </c>
      <c r="W722" s="117">
        <v>0</v>
      </c>
      <c r="X722" s="71">
        <f t="shared" si="462"/>
        <v>0</v>
      </c>
      <c r="Y722" s="71">
        <f t="shared" si="463"/>
        <v>0</v>
      </c>
      <c r="AA722" s="65"/>
      <c r="AC722" s="71">
        <f t="shared" si="464"/>
        <v>0</v>
      </c>
      <c r="AD722" s="39"/>
      <c r="AE722" s="7"/>
      <c r="AF722" s="15"/>
      <c r="AG722" s="71" t="b">
        <f t="shared" si="465"/>
        <v>1</v>
      </c>
      <c r="AI722" s="71">
        <f t="shared" si="466"/>
        <v>0</v>
      </c>
      <c r="AJ722" s="39"/>
      <c r="AK722" s="15"/>
      <c r="AL722" s="71" t="b">
        <f t="shared" si="467"/>
        <v>1</v>
      </c>
      <c r="AN722" s="65"/>
    </row>
    <row r="723" spans="2:40" ht="13" customHeight="1">
      <c r="B723" s="119"/>
      <c r="C723" s="23">
        <f t="shared" si="459"/>
        <v>2026092</v>
      </c>
      <c r="D723" s="23">
        <v>26</v>
      </c>
      <c r="E723" s="128">
        <v>0</v>
      </c>
      <c r="F723" s="126" t="e">
        <f>VLOOKUP(E723,'Códigos bancos'!$B$4:$C$29,2,0)</f>
        <v>#N/A</v>
      </c>
      <c r="G723" s="36">
        <v>1</v>
      </c>
      <c r="H723" s="126" t="str">
        <f>VLOOKUP(G723,'Códigos bancos'!$F$4:$G$14,2,0)</f>
        <v>Oficinas</v>
      </c>
      <c r="I723" s="130"/>
      <c r="J723" s="174">
        <v>0</v>
      </c>
      <c r="K723" s="174">
        <v>0</v>
      </c>
      <c r="L723" s="174">
        <v>0</v>
      </c>
      <c r="M723" s="174">
        <v>0</v>
      </c>
      <c r="N723" s="174">
        <v>0</v>
      </c>
      <c r="O723" s="174">
        <v>0</v>
      </c>
      <c r="P723" s="174">
        <v>0</v>
      </c>
      <c r="Q723" s="174">
        <v>0</v>
      </c>
      <c r="R723" s="174">
        <v>0</v>
      </c>
      <c r="S723" s="215">
        <v>0</v>
      </c>
      <c r="T723" s="71">
        <f t="shared" si="460"/>
        <v>0</v>
      </c>
      <c r="U723" s="71">
        <f t="shared" si="461"/>
        <v>0</v>
      </c>
      <c r="V723" s="117">
        <v>0</v>
      </c>
      <c r="W723" s="117">
        <v>0</v>
      </c>
      <c r="X723" s="71">
        <f t="shared" si="462"/>
        <v>0</v>
      </c>
      <c r="Y723" s="71">
        <f t="shared" si="463"/>
        <v>0</v>
      </c>
      <c r="AA723" s="65"/>
      <c r="AC723" s="71">
        <f t="shared" si="464"/>
        <v>0</v>
      </c>
      <c r="AD723" s="39"/>
      <c r="AE723" s="7"/>
      <c r="AF723" s="15"/>
      <c r="AG723" s="71" t="b">
        <f t="shared" si="465"/>
        <v>1</v>
      </c>
      <c r="AI723" s="71">
        <f t="shared" si="466"/>
        <v>0</v>
      </c>
      <c r="AJ723" s="39"/>
      <c r="AK723" s="15"/>
      <c r="AL723" s="71" t="b">
        <f t="shared" si="467"/>
        <v>1</v>
      </c>
      <c r="AN723" s="65"/>
    </row>
    <row r="724" spans="2:40" ht="13" customHeight="1">
      <c r="B724" s="119"/>
      <c r="C724" s="23">
        <f t="shared" si="459"/>
        <v>2026092</v>
      </c>
      <c r="D724" s="23">
        <v>26</v>
      </c>
      <c r="E724" s="128">
        <v>0</v>
      </c>
      <c r="F724" s="126" t="e">
        <f>VLOOKUP(E724,'Códigos bancos'!$B$4:$C$29,2,0)</f>
        <v>#N/A</v>
      </c>
      <c r="G724" s="36">
        <v>1</v>
      </c>
      <c r="H724" s="126" t="str">
        <f>VLOOKUP(G724,'Códigos bancos'!$F$4:$G$14,2,0)</f>
        <v>Oficinas</v>
      </c>
      <c r="I724" s="130"/>
      <c r="J724" s="174">
        <v>0</v>
      </c>
      <c r="K724" s="174">
        <v>0</v>
      </c>
      <c r="L724" s="174">
        <v>0</v>
      </c>
      <c r="M724" s="174">
        <v>0</v>
      </c>
      <c r="N724" s="174">
        <v>0</v>
      </c>
      <c r="O724" s="174">
        <v>0</v>
      </c>
      <c r="P724" s="174">
        <v>0</v>
      </c>
      <c r="Q724" s="174">
        <v>0</v>
      </c>
      <c r="R724" s="174">
        <v>0</v>
      </c>
      <c r="S724" s="215">
        <v>0</v>
      </c>
      <c r="T724" s="71">
        <f t="shared" si="460"/>
        <v>0</v>
      </c>
      <c r="U724" s="71">
        <f t="shared" si="461"/>
        <v>0</v>
      </c>
      <c r="V724" s="117">
        <v>0</v>
      </c>
      <c r="W724" s="117">
        <v>0</v>
      </c>
      <c r="X724" s="71">
        <f t="shared" si="462"/>
        <v>0</v>
      </c>
      <c r="Y724" s="71">
        <f t="shared" si="463"/>
        <v>0</v>
      </c>
      <c r="AA724" s="65"/>
      <c r="AC724" s="71">
        <f t="shared" si="464"/>
        <v>0</v>
      </c>
      <c r="AD724" s="39"/>
      <c r="AE724" s="7"/>
      <c r="AF724" s="15"/>
      <c r="AG724" s="71" t="b">
        <f t="shared" si="465"/>
        <v>1</v>
      </c>
      <c r="AI724" s="71">
        <f t="shared" si="466"/>
        <v>0</v>
      </c>
      <c r="AJ724" s="39"/>
      <c r="AK724" s="15"/>
      <c r="AL724" s="71" t="b">
        <f t="shared" si="467"/>
        <v>1</v>
      </c>
      <c r="AN724" s="65"/>
    </row>
    <row r="725" spans="2:40" ht="13" customHeight="1">
      <c r="B725" s="119"/>
      <c r="C725" s="23">
        <f t="shared" si="459"/>
        <v>2026092</v>
      </c>
      <c r="D725" s="23">
        <v>26</v>
      </c>
      <c r="E725" s="128">
        <v>0</v>
      </c>
      <c r="F725" s="126" t="e">
        <f>VLOOKUP(E725,'Códigos bancos'!$B$4:$C$29,2,0)</f>
        <v>#N/A</v>
      </c>
      <c r="G725" s="36">
        <v>1</v>
      </c>
      <c r="H725" s="126" t="str">
        <f>VLOOKUP(G725,'Códigos bancos'!$F$4:$G$14,2,0)</f>
        <v>Oficinas</v>
      </c>
      <c r="I725" s="130"/>
      <c r="J725" s="174">
        <v>0</v>
      </c>
      <c r="K725" s="174">
        <v>0</v>
      </c>
      <c r="L725" s="174">
        <v>0</v>
      </c>
      <c r="M725" s="174">
        <v>0</v>
      </c>
      <c r="N725" s="174">
        <v>0</v>
      </c>
      <c r="O725" s="174">
        <v>0</v>
      </c>
      <c r="P725" s="174">
        <v>0</v>
      </c>
      <c r="Q725" s="174">
        <v>0</v>
      </c>
      <c r="R725" s="174">
        <v>0</v>
      </c>
      <c r="S725" s="215">
        <v>0</v>
      </c>
      <c r="T725" s="71">
        <f t="shared" si="460"/>
        <v>0</v>
      </c>
      <c r="U725" s="71">
        <f t="shared" si="461"/>
        <v>0</v>
      </c>
      <c r="V725" s="117">
        <v>0</v>
      </c>
      <c r="W725" s="117">
        <v>0</v>
      </c>
      <c r="X725" s="71">
        <f t="shared" si="462"/>
        <v>0</v>
      </c>
      <c r="Y725" s="71">
        <f t="shared" si="463"/>
        <v>0</v>
      </c>
      <c r="AA725" s="65"/>
      <c r="AC725" s="71">
        <f t="shared" si="464"/>
        <v>0</v>
      </c>
      <c r="AD725" s="39"/>
      <c r="AE725" s="7"/>
      <c r="AF725" s="15"/>
      <c r="AG725" s="71" t="b">
        <f t="shared" si="465"/>
        <v>1</v>
      </c>
      <c r="AI725" s="71">
        <f t="shared" si="466"/>
        <v>0</v>
      </c>
      <c r="AJ725" s="39"/>
      <c r="AK725" s="15"/>
      <c r="AL725" s="71" t="b">
        <f t="shared" si="467"/>
        <v>1</v>
      </c>
      <c r="AN725" s="65"/>
    </row>
    <row r="726" spans="2:40" ht="13" customHeight="1">
      <c r="B726" s="119"/>
      <c r="C726" s="159">
        <f t="shared" si="459"/>
        <v>2026092</v>
      </c>
      <c r="D726" s="23">
        <v>26</v>
      </c>
      <c r="E726" s="128">
        <v>0</v>
      </c>
      <c r="F726" s="126" t="e">
        <f>VLOOKUP(E726,'Códigos bancos'!$B$4:$C$29,2,0)</f>
        <v>#N/A</v>
      </c>
      <c r="G726" s="36">
        <v>1</v>
      </c>
      <c r="H726" s="126" t="str">
        <f>VLOOKUP(G726,'Códigos bancos'!$F$4:$G$14,2,0)</f>
        <v>Oficinas</v>
      </c>
      <c r="I726" s="130"/>
      <c r="J726" s="174">
        <v>0</v>
      </c>
      <c r="K726" s="174">
        <v>0</v>
      </c>
      <c r="L726" s="174">
        <v>0</v>
      </c>
      <c r="M726" s="174">
        <v>0</v>
      </c>
      <c r="N726" s="174">
        <v>0</v>
      </c>
      <c r="O726" s="174">
        <v>0</v>
      </c>
      <c r="P726" s="174">
        <v>0</v>
      </c>
      <c r="Q726" s="174">
        <v>0</v>
      </c>
      <c r="R726" s="174">
        <v>0</v>
      </c>
      <c r="S726" s="215">
        <v>0</v>
      </c>
      <c r="T726" s="71">
        <f t="shared" si="460"/>
        <v>0</v>
      </c>
      <c r="U726" s="71">
        <f t="shared" si="461"/>
        <v>0</v>
      </c>
      <c r="V726" s="117">
        <v>0</v>
      </c>
      <c r="W726" s="117">
        <v>0</v>
      </c>
      <c r="X726" s="71">
        <f t="shared" si="462"/>
        <v>0</v>
      </c>
      <c r="Y726" s="71">
        <f t="shared" si="463"/>
        <v>0</v>
      </c>
      <c r="AA726" s="65"/>
      <c r="AC726" s="71">
        <f t="shared" si="464"/>
        <v>0</v>
      </c>
      <c r="AD726" s="39"/>
      <c r="AE726" s="7"/>
      <c r="AF726" s="15"/>
      <c r="AG726" s="71" t="b">
        <f t="shared" si="465"/>
        <v>1</v>
      </c>
      <c r="AI726" s="71">
        <f t="shared" si="466"/>
        <v>0</v>
      </c>
      <c r="AJ726" s="39"/>
      <c r="AK726" s="15"/>
      <c r="AL726" s="71" t="b">
        <f t="shared" si="467"/>
        <v>1</v>
      </c>
      <c r="AN726" s="65"/>
    </row>
    <row r="727" spans="2:40" ht="13" customHeight="1">
      <c r="B727" s="119"/>
      <c r="C727" s="23">
        <f t="shared" si="459"/>
        <v>2026092</v>
      </c>
      <c r="D727" s="23">
        <v>26</v>
      </c>
      <c r="E727" s="128">
        <v>0</v>
      </c>
      <c r="F727" s="126" t="e">
        <f>VLOOKUP(E727,'Códigos bancos'!$B$4:$C$29,2,0)</f>
        <v>#N/A</v>
      </c>
      <c r="G727" s="36">
        <v>1</v>
      </c>
      <c r="H727" s="126" t="str">
        <f>VLOOKUP(G727,'Códigos bancos'!$F$4:$G$14,2,0)</f>
        <v>Oficinas</v>
      </c>
      <c r="I727" s="130"/>
      <c r="J727" s="174">
        <v>0</v>
      </c>
      <c r="K727" s="174">
        <v>0</v>
      </c>
      <c r="L727" s="174">
        <v>0</v>
      </c>
      <c r="M727" s="174">
        <v>0</v>
      </c>
      <c r="N727" s="174">
        <v>0</v>
      </c>
      <c r="O727" s="174">
        <v>0</v>
      </c>
      <c r="P727" s="174">
        <v>0</v>
      </c>
      <c r="Q727" s="174">
        <v>0</v>
      </c>
      <c r="R727" s="174">
        <v>0</v>
      </c>
      <c r="S727" s="215">
        <v>0</v>
      </c>
      <c r="T727" s="71">
        <f t="shared" si="460"/>
        <v>0</v>
      </c>
      <c r="U727" s="71">
        <f t="shared" si="461"/>
        <v>0</v>
      </c>
      <c r="V727" s="117">
        <v>0</v>
      </c>
      <c r="W727" s="117">
        <v>0</v>
      </c>
      <c r="X727" s="71">
        <f t="shared" si="462"/>
        <v>0</v>
      </c>
      <c r="Y727" s="71">
        <f t="shared" si="463"/>
        <v>0</v>
      </c>
      <c r="AA727" s="65"/>
      <c r="AC727" s="71">
        <f t="shared" si="464"/>
        <v>0</v>
      </c>
      <c r="AD727" s="39"/>
      <c r="AE727" s="7"/>
      <c r="AF727" s="15"/>
      <c r="AG727" s="71" t="b">
        <f t="shared" si="465"/>
        <v>1</v>
      </c>
      <c r="AI727" s="71">
        <f t="shared" si="466"/>
        <v>0</v>
      </c>
      <c r="AJ727" s="39"/>
      <c r="AK727" s="15"/>
      <c r="AL727" s="71" t="b">
        <f t="shared" si="467"/>
        <v>1</v>
      </c>
      <c r="AN727" s="65"/>
    </row>
    <row r="728" spans="2:40" ht="13" customHeight="1">
      <c r="B728" s="119"/>
      <c r="C728" s="23">
        <f t="shared" si="459"/>
        <v>2026092</v>
      </c>
      <c r="D728" s="23">
        <v>26</v>
      </c>
      <c r="E728" s="128">
        <v>0</v>
      </c>
      <c r="F728" s="126" t="e">
        <f>VLOOKUP(E728,'Códigos bancos'!$B$4:$C$29,2,0)</f>
        <v>#N/A</v>
      </c>
      <c r="G728" s="36">
        <v>1</v>
      </c>
      <c r="H728" s="126" t="str">
        <f>VLOOKUP(G728,'Códigos bancos'!$F$4:$G$14,2,0)</f>
        <v>Oficinas</v>
      </c>
      <c r="I728" s="130"/>
      <c r="J728" s="174">
        <v>0</v>
      </c>
      <c r="K728" s="174">
        <v>0</v>
      </c>
      <c r="L728" s="174">
        <v>0</v>
      </c>
      <c r="M728" s="174">
        <v>0</v>
      </c>
      <c r="N728" s="174">
        <v>0</v>
      </c>
      <c r="O728" s="174">
        <v>0</v>
      </c>
      <c r="P728" s="174">
        <v>0</v>
      </c>
      <c r="Q728" s="174">
        <v>0</v>
      </c>
      <c r="R728" s="174">
        <v>0</v>
      </c>
      <c r="S728" s="215">
        <v>0</v>
      </c>
      <c r="T728" s="71">
        <f t="shared" si="460"/>
        <v>0</v>
      </c>
      <c r="U728" s="71">
        <f t="shared" si="461"/>
        <v>0</v>
      </c>
      <c r="V728" s="117">
        <v>0</v>
      </c>
      <c r="W728" s="117">
        <v>0</v>
      </c>
      <c r="X728" s="71">
        <f t="shared" si="462"/>
        <v>0</v>
      </c>
      <c r="Y728" s="71">
        <f t="shared" si="463"/>
        <v>0</v>
      </c>
      <c r="AA728" s="65"/>
      <c r="AC728" s="71">
        <f t="shared" si="464"/>
        <v>0</v>
      </c>
      <c r="AD728" s="39"/>
      <c r="AE728" s="7"/>
      <c r="AF728" s="15"/>
      <c r="AG728" s="71" t="b">
        <f t="shared" si="465"/>
        <v>1</v>
      </c>
      <c r="AI728" s="71">
        <f t="shared" si="466"/>
        <v>0</v>
      </c>
      <c r="AJ728" s="39"/>
      <c r="AK728" s="15"/>
      <c r="AL728" s="71" t="b">
        <f t="shared" si="467"/>
        <v>1</v>
      </c>
      <c r="AN728" s="65"/>
    </row>
    <row r="729" spans="2:40" ht="13" customHeight="1">
      <c r="B729" s="119"/>
      <c r="C729" s="23">
        <f t="shared" si="459"/>
        <v>2026092</v>
      </c>
      <c r="D729" s="23">
        <v>26</v>
      </c>
      <c r="E729" s="128">
        <v>0</v>
      </c>
      <c r="F729" s="126" t="e">
        <f>VLOOKUP(E729,'Códigos bancos'!$B$4:$C$29,2,0)</f>
        <v>#N/A</v>
      </c>
      <c r="G729" s="36">
        <v>1</v>
      </c>
      <c r="H729" s="126" t="str">
        <f>VLOOKUP(G729,'Códigos bancos'!$F$4:$G$14,2,0)</f>
        <v>Oficinas</v>
      </c>
      <c r="I729" s="130"/>
      <c r="J729" s="174">
        <v>0</v>
      </c>
      <c r="K729" s="174">
        <v>0</v>
      </c>
      <c r="L729" s="174">
        <v>0</v>
      </c>
      <c r="M729" s="174">
        <v>0</v>
      </c>
      <c r="N729" s="174">
        <v>0</v>
      </c>
      <c r="O729" s="174">
        <v>0</v>
      </c>
      <c r="P729" s="174">
        <v>0</v>
      </c>
      <c r="Q729" s="174">
        <v>0</v>
      </c>
      <c r="R729" s="174">
        <v>0</v>
      </c>
      <c r="S729" s="215">
        <v>0</v>
      </c>
      <c r="T729" s="71">
        <f t="shared" si="460"/>
        <v>0</v>
      </c>
      <c r="U729" s="71">
        <f t="shared" si="461"/>
        <v>0</v>
      </c>
      <c r="V729" s="117">
        <v>0</v>
      </c>
      <c r="W729" s="117">
        <v>0</v>
      </c>
      <c r="X729" s="71">
        <f t="shared" si="462"/>
        <v>0</v>
      </c>
      <c r="Y729" s="71">
        <f t="shared" si="463"/>
        <v>0</v>
      </c>
      <c r="AA729" s="65"/>
      <c r="AC729" s="71">
        <f t="shared" si="464"/>
        <v>0</v>
      </c>
      <c r="AD729" s="39"/>
      <c r="AE729" s="7"/>
      <c r="AF729" s="15"/>
      <c r="AG729" s="71" t="b">
        <f t="shared" si="465"/>
        <v>1</v>
      </c>
      <c r="AI729" s="71">
        <f t="shared" si="466"/>
        <v>0</v>
      </c>
      <c r="AJ729" s="39"/>
      <c r="AK729" s="15"/>
      <c r="AL729" s="71" t="b">
        <f t="shared" si="467"/>
        <v>1</v>
      </c>
      <c r="AN729" s="65"/>
    </row>
    <row r="730" spans="2:40" ht="13" customHeight="1">
      <c r="B730" s="119"/>
      <c r="C730" s="23">
        <f t="shared" si="459"/>
        <v>2026092</v>
      </c>
      <c r="D730" s="23">
        <v>26</v>
      </c>
      <c r="E730" s="128">
        <v>0</v>
      </c>
      <c r="F730" s="126" t="e">
        <f>VLOOKUP(E730,'Códigos bancos'!$B$4:$C$29,2,0)</f>
        <v>#N/A</v>
      </c>
      <c r="G730" s="36">
        <v>1</v>
      </c>
      <c r="H730" s="126" t="str">
        <f>VLOOKUP(G730,'Códigos bancos'!$F$4:$G$14,2,0)</f>
        <v>Oficinas</v>
      </c>
      <c r="I730" s="130"/>
      <c r="J730" s="174">
        <v>0</v>
      </c>
      <c r="K730" s="174">
        <v>0</v>
      </c>
      <c r="L730" s="174">
        <v>0</v>
      </c>
      <c r="M730" s="174">
        <v>0</v>
      </c>
      <c r="N730" s="174">
        <v>0</v>
      </c>
      <c r="O730" s="174">
        <v>0</v>
      </c>
      <c r="P730" s="174">
        <v>0</v>
      </c>
      <c r="Q730" s="174">
        <v>0</v>
      </c>
      <c r="R730" s="174">
        <v>0</v>
      </c>
      <c r="S730" s="215">
        <v>0</v>
      </c>
      <c r="T730" s="71">
        <f t="shared" si="460"/>
        <v>0</v>
      </c>
      <c r="U730" s="71">
        <f t="shared" si="461"/>
        <v>0</v>
      </c>
      <c r="V730" s="117">
        <v>0</v>
      </c>
      <c r="W730" s="117">
        <v>0</v>
      </c>
      <c r="X730" s="71">
        <f t="shared" si="462"/>
        <v>0</v>
      </c>
      <c r="Y730" s="71">
        <f t="shared" si="463"/>
        <v>0</v>
      </c>
      <c r="AA730" s="65"/>
      <c r="AC730" s="71">
        <f t="shared" si="464"/>
        <v>0</v>
      </c>
      <c r="AD730" s="39"/>
      <c r="AE730" s="7"/>
      <c r="AF730" s="15"/>
      <c r="AG730" s="71" t="b">
        <f t="shared" si="465"/>
        <v>1</v>
      </c>
      <c r="AI730" s="71">
        <f t="shared" si="466"/>
        <v>0</v>
      </c>
      <c r="AJ730" s="39"/>
      <c r="AK730" s="15"/>
      <c r="AL730" s="71" t="b">
        <f t="shared" si="467"/>
        <v>1</v>
      </c>
      <c r="AN730" s="65"/>
    </row>
    <row r="731" spans="2:40" ht="13" customHeight="1">
      <c r="B731" s="119"/>
      <c r="C731" s="23">
        <f t="shared" si="459"/>
        <v>2026092</v>
      </c>
      <c r="D731" s="23">
        <v>26</v>
      </c>
      <c r="E731" s="128">
        <v>0</v>
      </c>
      <c r="F731" s="126" t="e">
        <f>VLOOKUP(E731,'Códigos bancos'!$B$4:$C$29,2,0)</f>
        <v>#N/A</v>
      </c>
      <c r="G731" s="36">
        <v>1</v>
      </c>
      <c r="H731" s="126" t="str">
        <f>VLOOKUP(G731,'Códigos bancos'!$F$4:$G$14,2,0)</f>
        <v>Oficinas</v>
      </c>
      <c r="I731" s="130"/>
      <c r="J731" s="174">
        <v>0</v>
      </c>
      <c r="K731" s="174">
        <v>0</v>
      </c>
      <c r="L731" s="174">
        <v>0</v>
      </c>
      <c r="M731" s="174">
        <v>0</v>
      </c>
      <c r="N731" s="174">
        <v>0</v>
      </c>
      <c r="O731" s="174">
        <v>0</v>
      </c>
      <c r="P731" s="174">
        <v>0</v>
      </c>
      <c r="Q731" s="174">
        <v>0</v>
      </c>
      <c r="R731" s="174">
        <v>0</v>
      </c>
      <c r="S731" s="215">
        <v>0</v>
      </c>
      <c r="T731" s="71">
        <f t="shared" si="460"/>
        <v>0</v>
      </c>
      <c r="U731" s="71">
        <f t="shared" si="461"/>
        <v>0</v>
      </c>
      <c r="V731" s="117">
        <v>0</v>
      </c>
      <c r="W731" s="117">
        <v>0</v>
      </c>
      <c r="X731" s="71">
        <f t="shared" si="462"/>
        <v>0</v>
      </c>
      <c r="Y731" s="71">
        <f t="shared" si="463"/>
        <v>0</v>
      </c>
      <c r="AA731" s="65"/>
      <c r="AC731" s="71">
        <f t="shared" si="464"/>
        <v>0</v>
      </c>
      <c r="AD731" s="39"/>
      <c r="AE731" s="7"/>
      <c r="AF731" s="15"/>
      <c r="AG731" s="71" t="b">
        <f t="shared" si="465"/>
        <v>1</v>
      </c>
      <c r="AI731" s="71">
        <f t="shared" si="466"/>
        <v>0</v>
      </c>
      <c r="AJ731" s="39"/>
      <c r="AK731" s="15"/>
      <c r="AL731" s="71" t="b">
        <f t="shared" si="467"/>
        <v>1</v>
      </c>
      <c r="AN731" s="65"/>
    </row>
    <row r="732" spans="2:40" ht="13" customHeight="1">
      <c r="B732" s="119"/>
      <c r="C732" s="23">
        <f t="shared" ref="C732" si="468">IF(D732&lt;=15,$C$1,$C$2)</f>
        <v>2026092</v>
      </c>
      <c r="D732" s="23">
        <v>26</v>
      </c>
      <c r="E732" s="128">
        <v>0</v>
      </c>
      <c r="F732" s="126" t="e">
        <f>VLOOKUP(E732,'Códigos bancos'!$B$4:$C$29,2,0)</f>
        <v>#N/A</v>
      </c>
      <c r="G732" s="36">
        <v>1</v>
      </c>
      <c r="H732" s="126" t="str">
        <f>VLOOKUP(G732,'Códigos bancos'!$F$4:$G$14,2,0)</f>
        <v>Oficinas</v>
      </c>
      <c r="I732" s="130"/>
      <c r="J732" s="174">
        <v>0</v>
      </c>
      <c r="K732" s="174">
        <v>0</v>
      </c>
      <c r="L732" s="174">
        <v>0</v>
      </c>
      <c r="M732" s="174">
        <v>0</v>
      </c>
      <c r="N732" s="174">
        <v>0</v>
      </c>
      <c r="O732" s="174">
        <v>0</v>
      </c>
      <c r="P732" s="174">
        <v>0</v>
      </c>
      <c r="Q732" s="174">
        <v>0</v>
      </c>
      <c r="R732" s="174">
        <v>0</v>
      </c>
      <c r="S732" s="215">
        <v>0</v>
      </c>
      <c r="T732" s="71">
        <f t="shared" ref="T732" si="469">J732+L732+N732+P732+R732</f>
        <v>0</v>
      </c>
      <c r="U732" s="71">
        <f t="shared" ref="U732" si="470">K732+M732+O732+Q732+S732</f>
        <v>0</v>
      </c>
      <c r="V732" s="117">
        <v>0</v>
      </c>
      <c r="W732" s="117">
        <v>0</v>
      </c>
      <c r="X732" s="71">
        <f t="shared" ref="X732" si="471">V732-T732</f>
        <v>0</v>
      </c>
      <c r="Y732" s="71">
        <f t="shared" ref="Y732" si="472">W732-U732</f>
        <v>0</v>
      </c>
      <c r="AA732" s="65"/>
      <c r="AC732" s="71">
        <f t="shared" ref="AC732" si="473">X732</f>
        <v>0</v>
      </c>
      <c r="AD732" s="39"/>
      <c r="AE732" s="7"/>
      <c r="AF732" s="15"/>
      <c r="AG732" s="71" t="b">
        <f t="shared" ref="AG732" si="474">AC732=(AD732+AE732+AF732)</f>
        <v>1</v>
      </c>
      <c r="AI732" s="71">
        <f t="shared" ref="AI732" si="475">Y732</f>
        <v>0</v>
      </c>
      <c r="AJ732" s="39"/>
      <c r="AK732" s="15"/>
      <c r="AL732" s="71" t="b">
        <f t="shared" ref="AL732" si="476">AI732=(AJ732+AK732)</f>
        <v>1</v>
      </c>
      <c r="AN732" s="65"/>
    </row>
    <row r="733" spans="2:40" ht="13" customHeight="1">
      <c r="B733" s="119"/>
      <c r="C733" s="23">
        <f t="shared" si="459"/>
        <v>2026092</v>
      </c>
      <c r="D733" s="23">
        <v>26</v>
      </c>
      <c r="E733" s="128">
        <v>0</v>
      </c>
      <c r="F733" s="126" t="e">
        <f>VLOOKUP(E733,'Códigos bancos'!$B$4:$C$29,2,0)</f>
        <v>#N/A</v>
      </c>
      <c r="G733" s="36">
        <v>1</v>
      </c>
      <c r="H733" s="126" t="str">
        <f>VLOOKUP(G733,'Códigos bancos'!$F$4:$G$14,2,0)</f>
        <v>Oficinas</v>
      </c>
      <c r="I733" s="130"/>
      <c r="J733" s="174">
        <v>0</v>
      </c>
      <c r="K733" s="174">
        <v>0</v>
      </c>
      <c r="L733" s="174">
        <v>0</v>
      </c>
      <c r="M733" s="174">
        <v>0</v>
      </c>
      <c r="N733" s="174">
        <v>0</v>
      </c>
      <c r="O733" s="174">
        <v>0</v>
      </c>
      <c r="P733" s="174">
        <v>0</v>
      </c>
      <c r="Q733" s="174">
        <v>0</v>
      </c>
      <c r="R733" s="174">
        <v>0</v>
      </c>
      <c r="S733" s="215">
        <v>0</v>
      </c>
      <c r="T733" s="71">
        <f t="shared" si="460"/>
        <v>0</v>
      </c>
      <c r="U733" s="71">
        <f t="shared" si="461"/>
        <v>0</v>
      </c>
      <c r="V733" s="117">
        <v>0</v>
      </c>
      <c r="W733" s="117">
        <v>0</v>
      </c>
      <c r="X733" s="71">
        <f t="shared" si="462"/>
        <v>0</v>
      </c>
      <c r="Y733" s="71">
        <f t="shared" si="463"/>
        <v>0</v>
      </c>
      <c r="AA733" s="65"/>
      <c r="AC733" s="71">
        <f t="shared" si="464"/>
        <v>0</v>
      </c>
      <c r="AD733" s="39"/>
      <c r="AE733" s="7"/>
      <c r="AF733" s="15"/>
      <c r="AG733" s="71" t="b">
        <f t="shared" si="465"/>
        <v>1</v>
      </c>
      <c r="AI733" s="71">
        <f t="shared" si="466"/>
        <v>0</v>
      </c>
      <c r="AJ733" s="39"/>
      <c r="AK733" s="15"/>
      <c r="AL733" s="71" t="b">
        <f t="shared" si="467"/>
        <v>1</v>
      </c>
      <c r="AN733" s="65"/>
    </row>
    <row r="734" spans="2:40" ht="13" customHeight="1">
      <c r="B734" s="119"/>
      <c r="C734" s="23">
        <f t="shared" si="459"/>
        <v>2026092</v>
      </c>
      <c r="D734" s="23">
        <v>26</v>
      </c>
      <c r="E734" s="128">
        <v>0</v>
      </c>
      <c r="F734" s="126" t="e">
        <f>VLOOKUP(E734,'Códigos bancos'!$B$4:$C$29,2,0)</f>
        <v>#N/A</v>
      </c>
      <c r="G734" s="36">
        <v>1</v>
      </c>
      <c r="H734" s="126" t="str">
        <f>VLOOKUP(G734,'Códigos bancos'!$F$4:$G$14,2,0)</f>
        <v>Oficinas</v>
      </c>
      <c r="I734" s="130"/>
      <c r="J734" s="174">
        <v>0</v>
      </c>
      <c r="K734" s="174">
        <v>0</v>
      </c>
      <c r="L734" s="174">
        <v>0</v>
      </c>
      <c r="M734" s="174">
        <v>0</v>
      </c>
      <c r="N734" s="174">
        <v>0</v>
      </c>
      <c r="O734" s="174">
        <v>0</v>
      </c>
      <c r="P734" s="174">
        <v>0</v>
      </c>
      <c r="Q734" s="174">
        <v>0</v>
      </c>
      <c r="R734" s="174">
        <v>0</v>
      </c>
      <c r="S734" s="215">
        <v>0</v>
      </c>
      <c r="T734" s="71">
        <f t="shared" si="460"/>
        <v>0</v>
      </c>
      <c r="U734" s="71">
        <f t="shared" si="461"/>
        <v>0</v>
      </c>
      <c r="V734" s="117">
        <v>0</v>
      </c>
      <c r="W734" s="117">
        <v>0</v>
      </c>
      <c r="X734" s="71">
        <f t="shared" si="462"/>
        <v>0</v>
      </c>
      <c r="Y734" s="71">
        <f t="shared" si="463"/>
        <v>0</v>
      </c>
      <c r="AA734" s="65"/>
      <c r="AC734" s="71">
        <f t="shared" si="464"/>
        <v>0</v>
      </c>
      <c r="AD734" s="39"/>
      <c r="AE734" s="7"/>
      <c r="AF734" s="15"/>
      <c r="AG734" s="71" t="b">
        <f t="shared" si="465"/>
        <v>1</v>
      </c>
      <c r="AI734" s="71">
        <f t="shared" si="466"/>
        <v>0</v>
      </c>
      <c r="AJ734" s="39"/>
      <c r="AK734" s="15"/>
      <c r="AL734" s="71" t="b">
        <f t="shared" si="467"/>
        <v>1</v>
      </c>
      <c r="AN734" s="65"/>
    </row>
    <row r="735" spans="2:40" ht="13" customHeight="1">
      <c r="B735" s="119"/>
      <c r="C735" s="23">
        <f t="shared" si="459"/>
        <v>2026092</v>
      </c>
      <c r="D735" s="23">
        <v>26</v>
      </c>
      <c r="E735" s="128">
        <v>0</v>
      </c>
      <c r="F735" s="126" t="e">
        <f>VLOOKUP(E735,'Códigos bancos'!$B$4:$C$29,2,0)</f>
        <v>#N/A</v>
      </c>
      <c r="G735" s="36">
        <v>1</v>
      </c>
      <c r="H735" s="126" t="str">
        <f>VLOOKUP(G735,'Códigos bancos'!$F$4:$G$14,2,0)</f>
        <v>Oficinas</v>
      </c>
      <c r="I735" s="130"/>
      <c r="J735" s="174">
        <v>0</v>
      </c>
      <c r="K735" s="174">
        <v>0</v>
      </c>
      <c r="L735" s="174">
        <v>0</v>
      </c>
      <c r="M735" s="174">
        <v>0</v>
      </c>
      <c r="N735" s="174">
        <v>0</v>
      </c>
      <c r="O735" s="174">
        <v>0</v>
      </c>
      <c r="P735" s="174">
        <v>0</v>
      </c>
      <c r="Q735" s="174">
        <v>0</v>
      </c>
      <c r="R735" s="174">
        <v>0</v>
      </c>
      <c r="S735" s="215">
        <v>0</v>
      </c>
      <c r="T735" s="71">
        <f t="shared" si="460"/>
        <v>0</v>
      </c>
      <c r="U735" s="71">
        <f t="shared" si="461"/>
        <v>0</v>
      </c>
      <c r="V735" s="117">
        <v>0</v>
      </c>
      <c r="W735" s="117">
        <v>0</v>
      </c>
      <c r="X735" s="71">
        <f t="shared" si="462"/>
        <v>0</v>
      </c>
      <c r="Y735" s="71">
        <f t="shared" si="463"/>
        <v>0</v>
      </c>
      <c r="AA735" s="65"/>
      <c r="AC735" s="71">
        <f t="shared" si="464"/>
        <v>0</v>
      </c>
      <c r="AD735" s="39"/>
      <c r="AE735" s="7"/>
      <c r="AF735" s="15"/>
      <c r="AG735" s="71" t="b">
        <f t="shared" si="465"/>
        <v>1</v>
      </c>
      <c r="AI735" s="71"/>
      <c r="AJ735" s="39"/>
      <c r="AK735" s="15"/>
      <c r="AL735" s="71" t="b">
        <f t="shared" si="467"/>
        <v>1</v>
      </c>
      <c r="AN735" s="65"/>
    </row>
    <row r="736" spans="2:40" ht="13" customHeight="1">
      <c r="B736" s="119"/>
      <c r="C736" s="23">
        <f t="shared" si="459"/>
        <v>2026092</v>
      </c>
      <c r="D736" s="23">
        <v>26</v>
      </c>
      <c r="E736" s="128">
        <v>0</v>
      </c>
      <c r="F736" s="126" t="e">
        <f>VLOOKUP(E736,'Códigos bancos'!$B$4:$C$29,2,0)</f>
        <v>#N/A</v>
      </c>
      <c r="G736" s="36">
        <v>1</v>
      </c>
      <c r="H736" s="126" t="str">
        <f>VLOOKUP(G736,'Códigos bancos'!$F$4:$G$14,2,0)</f>
        <v>Oficinas</v>
      </c>
      <c r="I736" s="130"/>
      <c r="J736" s="174">
        <v>0</v>
      </c>
      <c r="K736" s="174">
        <v>0</v>
      </c>
      <c r="L736" s="174">
        <v>0</v>
      </c>
      <c r="M736" s="174">
        <v>0</v>
      </c>
      <c r="N736" s="174">
        <v>0</v>
      </c>
      <c r="O736" s="174">
        <v>0</v>
      </c>
      <c r="P736" s="174">
        <v>0</v>
      </c>
      <c r="Q736" s="174">
        <v>0</v>
      </c>
      <c r="R736" s="174">
        <v>0</v>
      </c>
      <c r="S736" s="215">
        <v>0</v>
      </c>
      <c r="T736" s="71">
        <f t="shared" si="460"/>
        <v>0</v>
      </c>
      <c r="U736" s="71">
        <f t="shared" si="461"/>
        <v>0</v>
      </c>
      <c r="V736" s="117">
        <v>0</v>
      </c>
      <c r="W736" s="117">
        <v>0</v>
      </c>
      <c r="X736" s="71">
        <f t="shared" si="462"/>
        <v>0</v>
      </c>
      <c r="Y736" s="71">
        <f t="shared" si="463"/>
        <v>0</v>
      </c>
      <c r="AA736" s="65"/>
      <c r="AC736" s="71">
        <f t="shared" si="464"/>
        <v>0</v>
      </c>
      <c r="AD736" s="39"/>
      <c r="AE736" s="7"/>
      <c r="AF736" s="15"/>
      <c r="AG736" s="71" t="b">
        <f t="shared" si="465"/>
        <v>1</v>
      </c>
      <c r="AI736" s="71">
        <f>Y736</f>
        <v>0</v>
      </c>
      <c r="AJ736" s="39"/>
      <c r="AK736" s="15"/>
      <c r="AL736" s="71" t="b">
        <f t="shared" si="467"/>
        <v>1</v>
      </c>
      <c r="AN736" s="65"/>
    </row>
    <row r="737" spans="2:40 16128:16147" ht="13" customHeight="1" thickBot="1">
      <c r="B737" s="119"/>
      <c r="C737" s="23">
        <f t="shared" si="459"/>
        <v>2026092</v>
      </c>
      <c r="D737" s="23">
        <v>26</v>
      </c>
      <c r="E737" s="128">
        <v>0</v>
      </c>
      <c r="F737" s="126" t="e">
        <f>VLOOKUP(E737,'Códigos bancos'!$B$4:$C$29,2,0)</f>
        <v>#N/A</v>
      </c>
      <c r="G737" s="36">
        <v>1</v>
      </c>
      <c r="H737" s="126" t="str">
        <f>VLOOKUP(G737,'Códigos bancos'!$F$4:$G$14,2,0)</f>
        <v>Oficinas</v>
      </c>
      <c r="I737" s="130"/>
      <c r="J737" s="174">
        <v>0</v>
      </c>
      <c r="K737" s="174">
        <v>0</v>
      </c>
      <c r="L737" s="174">
        <v>0</v>
      </c>
      <c r="M737" s="174">
        <v>0</v>
      </c>
      <c r="N737" s="174">
        <v>0</v>
      </c>
      <c r="O737" s="174">
        <v>0</v>
      </c>
      <c r="P737" s="174">
        <v>0</v>
      </c>
      <c r="Q737" s="174">
        <v>0</v>
      </c>
      <c r="R737" s="174">
        <v>0</v>
      </c>
      <c r="S737" s="215">
        <v>0</v>
      </c>
      <c r="T737" s="71">
        <f t="shared" si="460"/>
        <v>0</v>
      </c>
      <c r="U737" s="71">
        <f t="shared" si="461"/>
        <v>0</v>
      </c>
      <c r="V737" s="117">
        <v>0</v>
      </c>
      <c r="W737" s="117">
        <v>0</v>
      </c>
      <c r="X737" s="71">
        <f t="shared" si="462"/>
        <v>0</v>
      </c>
      <c r="Y737" s="71">
        <f t="shared" si="463"/>
        <v>0</v>
      </c>
      <c r="AA737" s="65"/>
      <c r="AC737" s="71">
        <f t="shared" si="464"/>
        <v>0</v>
      </c>
      <c r="AD737" s="39"/>
      <c r="AE737" s="7"/>
      <c r="AF737" s="15"/>
      <c r="AG737" s="71" t="b">
        <f t="shared" si="465"/>
        <v>1</v>
      </c>
      <c r="AI737" s="71">
        <f t="shared" si="466"/>
        <v>0</v>
      </c>
      <c r="AJ737" s="39"/>
      <c r="AK737" s="15"/>
      <c r="AL737" s="71" t="b">
        <f t="shared" si="467"/>
        <v>1</v>
      </c>
      <c r="AN737" s="65"/>
    </row>
    <row r="738" spans="2:40 16128:16147" ht="13" customHeight="1" thickBot="1">
      <c r="E738" s="120" t="s">
        <v>0</v>
      </c>
      <c r="F738" s="121" t="s">
        <v>53</v>
      </c>
      <c r="G738" s="121"/>
      <c r="H738" s="121"/>
      <c r="I738" s="121"/>
      <c r="J738" s="122">
        <f t="shared" ref="J738:Y738" si="477">SUM(J713:J737)</f>
        <v>0</v>
      </c>
      <c r="K738" s="122">
        <f t="shared" si="477"/>
        <v>0</v>
      </c>
      <c r="L738" s="122">
        <f t="shared" si="477"/>
        <v>0</v>
      </c>
      <c r="M738" s="122">
        <f t="shared" si="477"/>
        <v>0</v>
      </c>
      <c r="N738" s="122">
        <f t="shared" si="477"/>
        <v>0</v>
      </c>
      <c r="O738" s="122">
        <f t="shared" si="477"/>
        <v>0</v>
      </c>
      <c r="P738" s="122">
        <f t="shared" si="477"/>
        <v>0</v>
      </c>
      <c r="Q738" s="122">
        <f t="shared" si="477"/>
        <v>0</v>
      </c>
      <c r="R738" s="122">
        <f t="shared" si="477"/>
        <v>8</v>
      </c>
      <c r="S738" s="122">
        <f t="shared" si="477"/>
        <v>529520</v>
      </c>
      <c r="T738" s="122">
        <f t="shared" si="477"/>
        <v>8</v>
      </c>
      <c r="U738" s="122">
        <f t="shared" si="477"/>
        <v>529520</v>
      </c>
      <c r="V738" s="123">
        <f t="shared" si="477"/>
        <v>8</v>
      </c>
      <c r="W738" s="123">
        <f t="shared" si="477"/>
        <v>529520</v>
      </c>
      <c r="X738" s="122">
        <f t="shared" si="477"/>
        <v>0</v>
      </c>
      <c r="Y738" s="123">
        <f t="shared" si="477"/>
        <v>0</v>
      </c>
      <c r="AA738" s="65"/>
      <c r="AC738" s="122">
        <f>SUM(AC713:AC737)</f>
        <v>0</v>
      </c>
      <c r="AD738" s="122">
        <f>SUM(AD713:AD737)</f>
        <v>0</v>
      </c>
      <c r="AE738" s="122">
        <f>SUM(AE713:AE737)</f>
        <v>0</v>
      </c>
      <c r="AF738" s="123">
        <f>SUM(AF713:AF737)</f>
        <v>0</v>
      </c>
      <c r="AG738" s="100"/>
      <c r="AI738" s="122">
        <f>SUM(AI713:AI737)</f>
        <v>0</v>
      </c>
      <c r="AJ738" s="122">
        <f>SUM(AJ713:AJ737)</f>
        <v>0</v>
      </c>
      <c r="AK738" s="123">
        <f>SUM(AK713:AK737)</f>
        <v>0</v>
      </c>
      <c r="AL738" s="100"/>
      <c r="AN738" s="65"/>
    </row>
    <row r="739" spans="2:40 16128:16147" ht="13" thickBot="1">
      <c r="AA739" s="65"/>
      <c r="AN739" s="65"/>
    </row>
    <row r="740" spans="2:40 16128:16147" ht="41.25" customHeight="1" thickBot="1">
      <c r="B740" s="112" t="s">
        <v>4</v>
      </c>
      <c r="C740" s="34" t="s">
        <v>6</v>
      </c>
      <c r="D740" s="34" t="s">
        <v>7</v>
      </c>
      <c r="E740" s="34" t="s">
        <v>49</v>
      </c>
      <c r="F740" s="34" t="s">
        <v>50</v>
      </c>
      <c r="G740" s="34" t="s">
        <v>51</v>
      </c>
      <c r="H740" s="34" t="s">
        <v>52</v>
      </c>
      <c r="I740" s="34" t="s">
        <v>13</v>
      </c>
      <c r="J740" s="12" t="s">
        <v>8</v>
      </c>
      <c r="K740" s="12" t="s">
        <v>36</v>
      </c>
      <c r="L740" s="12" t="s">
        <v>9</v>
      </c>
      <c r="M740" s="12" t="s">
        <v>37</v>
      </c>
      <c r="N740" s="87" t="s">
        <v>10</v>
      </c>
      <c r="O740" s="88" t="s">
        <v>38</v>
      </c>
      <c r="P740" s="87" t="s">
        <v>11</v>
      </c>
      <c r="Q740" s="88" t="s">
        <v>39</v>
      </c>
      <c r="R740" s="87" t="s">
        <v>12</v>
      </c>
      <c r="S740" s="88" t="s">
        <v>40</v>
      </c>
      <c r="T740" s="64" t="s">
        <v>41</v>
      </c>
      <c r="U740" s="64" t="s">
        <v>42</v>
      </c>
      <c r="V740" s="35" t="s">
        <v>32</v>
      </c>
      <c r="W740" s="67" t="s">
        <v>35</v>
      </c>
      <c r="X740" s="12" t="s">
        <v>34</v>
      </c>
      <c r="Y740" s="68" t="s">
        <v>33</v>
      </c>
      <c r="AA740" s="66"/>
      <c r="AC740" s="12" t="s">
        <v>34</v>
      </c>
      <c r="AD740" s="12" t="s">
        <v>45</v>
      </c>
      <c r="AE740" s="12" t="s">
        <v>43</v>
      </c>
      <c r="AF740" s="12" t="s">
        <v>44</v>
      </c>
      <c r="AG740" s="12" t="s">
        <v>46</v>
      </c>
      <c r="AI740" s="12" t="s">
        <v>33</v>
      </c>
      <c r="AJ740" s="12" t="s">
        <v>47</v>
      </c>
      <c r="AK740" s="12" t="s">
        <v>48</v>
      </c>
      <c r="AL740" s="12" t="s">
        <v>46</v>
      </c>
      <c r="AN740" s="66"/>
      <c r="WVH740" s="1"/>
      <c r="WVI740" s="1"/>
      <c r="WVZ740"/>
      <c r="WWA740"/>
    </row>
    <row r="741" spans="2:40 16128:16147" ht="13" customHeight="1">
      <c r="B741" s="119" t="s">
        <v>84</v>
      </c>
      <c r="C741" s="24">
        <f>IF(D741&lt;=15,$C$1,$C$2)</f>
        <v>2026092</v>
      </c>
      <c r="D741" s="24">
        <v>27</v>
      </c>
      <c r="E741" s="127">
        <v>20</v>
      </c>
      <c r="F741" s="125" t="str">
        <f>VLOOKUP(E741,'Códigos bancos'!$B$4:$C$29,2,0)</f>
        <v>Bancolombia ENERBIT</v>
      </c>
      <c r="G741" s="18">
        <v>1</v>
      </c>
      <c r="H741" s="125" t="str">
        <f>VLOOKUP(G741,'Códigos bancos'!$F$4:$G$14,2,0)</f>
        <v>Oficinas</v>
      </c>
      <c r="I741" s="129"/>
      <c r="J741" s="213">
        <v>0</v>
      </c>
      <c r="K741" s="213">
        <v>0</v>
      </c>
      <c r="L741" s="213">
        <v>0</v>
      </c>
      <c r="M741" s="213">
        <v>0</v>
      </c>
      <c r="N741" s="213">
        <v>0</v>
      </c>
      <c r="O741" s="213">
        <v>0</v>
      </c>
      <c r="P741" s="213">
        <v>0</v>
      </c>
      <c r="Q741" s="213">
        <v>0</v>
      </c>
      <c r="R741" s="174">
        <v>6</v>
      </c>
      <c r="S741" s="215">
        <v>294490</v>
      </c>
      <c r="T741" s="70">
        <f>J741+L741+N741+P741+R741</f>
        <v>6</v>
      </c>
      <c r="U741" s="70">
        <f>K741+M741+O741+Q741+S741</f>
        <v>294490</v>
      </c>
      <c r="V741" s="174">
        <v>6</v>
      </c>
      <c r="W741" s="215">
        <v>294490</v>
      </c>
      <c r="X741" s="70">
        <f>V741-T741</f>
        <v>0</v>
      </c>
      <c r="Y741" s="70">
        <f>W741-U741</f>
        <v>0</v>
      </c>
      <c r="AA741" s="65"/>
      <c r="AC741" s="124">
        <f>X741</f>
        <v>0</v>
      </c>
      <c r="AD741" s="115"/>
      <c r="AE741" s="16"/>
      <c r="AF741" s="114"/>
      <c r="AG741" s="124" t="b">
        <f>AC741=(AD741+AE741+AF741)</f>
        <v>1</v>
      </c>
      <c r="AI741" s="70">
        <f>Y741</f>
        <v>0</v>
      </c>
      <c r="AJ741" s="115"/>
      <c r="AK741" s="114"/>
      <c r="AL741" s="70" t="b">
        <f>AI741=(AJ741+AK741)</f>
        <v>1</v>
      </c>
      <c r="AN741" s="65"/>
    </row>
    <row r="742" spans="2:40 16128:16147" ht="13" customHeight="1">
      <c r="B742" s="119"/>
      <c r="C742" s="23">
        <f t="shared" ref="C742:C765" si="478">IF(D742&lt;=15,$C$1,$C$2)</f>
        <v>2026092</v>
      </c>
      <c r="D742" s="23">
        <v>27</v>
      </c>
      <c r="E742" s="128">
        <v>0</v>
      </c>
      <c r="F742" s="126" t="e">
        <f>VLOOKUP(E742,'Códigos bancos'!$B$4:$C$29,2,0)</f>
        <v>#N/A</v>
      </c>
      <c r="G742" s="36">
        <v>1</v>
      </c>
      <c r="H742" s="126" t="str">
        <f>VLOOKUP(G742,'Códigos bancos'!$F$4:$G$14,2,0)</f>
        <v>Oficinas</v>
      </c>
      <c r="I742" s="130"/>
      <c r="J742" s="174">
        <v>0</v>
      </c>
      <c r="K742" s="174">
        <v>0</v>
      </c>
      <c r="L742" s="174">
        <v>0</v>
      </c>
      <c r="M742" s="174">
        <v>0</v>
      </c>
      <c r="N742" s="174">
        <v>0</v>
      </c>
      <c r="O742" s="174">
        <v>0</v>
      </c>
      <c r="P742" s="174">
        <v>0</v>
      </c>
      <c r="Q742" s="174">
        <v>0</v>
      </c>
      <c r="R742" s="174">
        <v>0</v>
      </c>
      <c r="S742" s="215">
        <v>0</v>
      </c>
      <c r="T742" s="71">
        <f t="shared" ref="T742:T765" si="479">J742+L742+N742+P742+R742</f>
        <v>0</v>
      </c>
      <c r="U742" s="71">
        <f t="shared" ref="U742:U765" si="480">K742+M742+O742+Q742+S742</f>
        <v>0</v>
      </c>
      <c r="V742" s="117">
        <v>0</v>
      </c>
      <c r="W742" s="117">
        <v>0</v>
      </c>
      <c r="X742" s="71">
        <f t="shared" ref="X742:X765" si="481">V742-T742</f>
        <v>0</v>
      </c>
      <c r="Y742" s="71">
        <f t="shared" ref="Y742:Y765" si="482">W742-U742</f>
        <v>0</v>
      </c>
      <c r="AA742" s="65"/>
      <c r="AC742" s="71">
        <f t="shared" ref="AC742:AC765" si="483">X742</f>
        <v>0</v>
      </c>
      <c r="AD742" s="39"/>
      <c r="AE742" s="7"/>
      <c r="AF742" s="15"/>
      <c r="AG742" s="71" t="b">
        <f t="shared" ref="AG742:AG765" si="484">AC742=(AD742+AE742+AF742)</f>
        <v>1</v>
      </c>
      <c r="AI742" s="71">
        <f t="shared" ref="AI742:AI765" si="485">Y742</f>
        <v>0</v>
      </c>
      <c r="AJ742" s="39"/>
      <c r="AK742" s="15"/>
      <c r="AL742" s="71" t="b">
        <f t="shared" ref="AL742:AL765" si="486">AI742=(AJ742+AK742)</f>
        <v>1</v>
      </c>
      <c r="AN742" s="65"/>
    </row>
    <row r="743" spans="2:40 16128:16147" ht="13" customHeight="1">
      <c r="B743" s="119"/>
      <c r="C743" s="23">
        <f t="shared" si="478"/>
        <v>2026092</v>
      </c>
      <c r="D743" s="23">
        <v>27</v>
      </c>
      <c r="E743" s="128">
        <v>0</v>
      </c>
      <c r="F743" s="126" t="e">
        <f>VLOOKUP(E743,'Códigos bancos'!$B$4:$C$29,2,0)</f>
        <v>#N/A</v>
      </c>
      <c r="G743" s="36">
        <v>1</v>
      </c>
      <c r="H743" s="126" t="str">
        <f>VLOOKUP(G743,'Códigos bancos'!$F$4:$G$14,2,0)</f>
        <v>Oficinas</v>
      </c>
      <c r="I743" s="130"/>
      <c r="J743" s="174">
        <v>0</v>
      </c>
      <c r="K743" s="174">
        <v>0</v>
      </c>
      <c r="L743" s="174">
        <v>0</v>
      </c>
      <c r="M743" s="174">
        <v>0</v>
      </c>
      <c r="N743" s="174">
        <v>0</v>
      </c>
      <c r="O743" s="174">
        <v>0</v>
      </c>
      <c r="P743" s="174">
        <v>0</v>
      </c>
      <c r="Q743" s="174">
        <v>0</v>
      </c>
      <c r="R743" s="174">
        <v>0</v>
      </c>
      <c r="S743" s="215">
        <v>0</v>
      </c>
      <c r="T743" s="71">
        <f t="shared" si="479"/>
        <v>0</v>
      </c>
      <c r="U743" s="71">
        <f t="shared" si="480"/>
        <v>0</v>
      </c>
      <c r="V743" s="117">
        <v>0</v>
      </c>
      <c r="W743" s="117">
        <v>0</v>
      </c>
      <c r="X743" s="71">
        <f t="shared" si="481"/>
        <v>0</v>
      </c>
      <c r="Y743" s="71">
        <f t="shared" si="482"/>
        <v>0</v>
      </c>
      <c r="AA743" s="65"/>
      <c r="AC743" s="71">
        <f t="shared" si="483"/>
        <v>0</v>
      </c>
      <c r="AD743" s="45"/>
      <c r="AE743" s="14"/>
      <c r="AF743" s="46"/>
      <c r="AG743" s="71" t="b">
        <f t="shared" si="484"/>
        <v>1</v>
      </c>
      <c r="AI743" s="71">
        <f t="shared" si="485"/>
        <v>0</v>
      </c>
      <c r="AJ743" s="45"/>
      <c r="AK743" s="46"/>
      <c r="AL743" s="71" t="b">
        <f t="shared" si="486"/>
        <v>1</v>
      </c>
      <c r="AN743" s="65"/>
    </row>
    <row r="744" spans="2:40 16128:16147" ht="13" customHeight="1">
      <c r="B744" s="119"/>
      <c r="C744" s="23">
        <f t="shared" si="478"/>
        <v>2026092</v>
      </c>
      <c r="D744" s="23">
        <v>27</v>
      </c>
      <c r="E744" s="128">
        <v>0</v>
      </c>
      <c r="F744" s="126" t="e">
        <f>VLOOKUP(E744,'Códigos bancos'!$B$4:$C$29,2,0)</f>
        <v>#N/A</v>
      </c>
      <c r="G744" s="36">
        <v>1</v>
      </c>
      <c r="H744" s="126" t="str">
        <f>VLOOKUP(G744,'Códigos bancos'!$F$4:$G$14,2,0)</f>
        <v>Oficinas</v>
      </c>
      <c r="I744" s="130"/>
      <c r="J744" s="174">
        <v>0</v>
      </c>
      <c r="K744" s="174">
        <v>0</v>
      </c>
      <c r="L744" s="174">
        <v>0</v>
      </c>
      <c r="M744" s="174">
        <v>0</v>
      </c>
      <c r="N744" s="174">
        <v>0</v>
      </c>
      <c r="O744" s="174">
        <v>0</v>
      </c>
      <c r="P744" s="174">
        <v>0</v>
      </c>
      <c r="Q744" s="174">
        <v>0</v>
      </c>
      <c r="R744" s="174">
        <v>0</v>
      </c>
      <c r="S744" s="215">
        <v>0</v>
      </c>
      <c r="T744" s="71">
        <f t="shared" si="479"/>
        <v>0</v>
      </c>
      <c r="U744" s="71">
        <f t="shared" si="480"/>
        <v>0</v>
      </c>
      <c r="V744" s="117">
        <v>0</v>
      </c>
      <c r="W744" s="117">
        <v>0</v>
      </c>
      <c r="X744" s="71">
        <f t="shared" si="481"/>
        <v>0</v>
      </c>
      <c r="Y744" s="71">
        <f t="shared" si="482"/>
        <v>0</v>
      </c>
      <c r="AA744" s="65"/>
      <c r="AC744" s="71">
        <f t="shared" si="483"/>
        <v>0</v>
      </c>
      <c r="AD744" s="39"/>
      <c r="AE744" s="7"/>
      <c r="AF744" s="15"/>
      <c r="AG744" s="71" t="b">
        <f t="shared" si="484"/>
        <v>1</v>
      </c>
      <c r="AI744" s="71">
        <f t="shared" si="485"/>
        <v>0</v>
      </c>
      <c r="AJ744" s="39"/>
      <c r="AK744" s="15"/>
      <c r="AL744" s="71" t="b">
        <f t="shared" si="486"/>
        <v>1</v>
      </c>
      <c r="AN744" s="65"/>
    </row>
    <row r="745" spans="2:40 16128:16147" ht="13" customHeight="1">
      <c r="B745" s="119"/>
      <c r="C745" s="23">
        <f t="shared" si="478"/>
        <v>2026092</v>
      </c>
      <c r="D745" s="23">
        <v>27</v>
      </c>
      <c r="E745" s="128">
        <v>0</v>
      </c>
      <c r="F745" s="126" t="e">
        <f>VLOOKUP(E745,'Códigos bancos'!$B$4:$C$29,2,0)</f>
        <v>#N/A</v>
      </c>
      <c r="G745" s="36">
        <v>1</v>
      </c>
      <c r="H745" s="126" t="str">
        <f>VLOOKUP(G745,'Códigos bancos'!$F$4:$G$14,2,0)</f>
        <v>Oficinas</v>
      </c>
      <c r="I745" s="130"/>
      <c r="J745" s="174">
        <v>0</v>
      </c>
      <c r="K745" s="174">
        <v>0</v>
      </c>
      <c r="L745" s="174">
        <v>0</v>
      </c>
      <c r="M745" s="174">
        <v>0</v>
      </c>
      <c r="N745" s="174">
        <v>0</v>
      </c>
      <c r="O745" s="174">
        <v>0</v>
      </c>
      <c r="P745" s="174">
        <v>0</v>
      </c>
      <c r="Q745" s="174">
        <v>0</v>
      </c>
      <c r="R745" s="174">
        <v>0</v>
      </c>
      <c r="S745" s="215">
        <v>0</v>
      </c>
      <c r="T745" s="71">
        <f t="shared" si="479"/>
        <v>0</v>
      </c>
      <c r="U745" s="71">
        <f t="shared" si="480"/>
        <v>0</v>
      </c>
      <c r="V745" s="117">
        <v>0</v>
      </c>
      <c r="W745" s="117">
        <v>0</v>
      </c>
      <c r="X745" s="71">
        <f t="shared" si="481"/>
        <v>0</v>
      </c>
      <c r="Y745" s="71">
        <f t="shared" si="482"/>
        <v>0</v>
      </c>
      <c r="AA745" s="65"/>
      <c r="AC745" s="71">
        <f t="shared" si="483"/>
        <v>0</v>
      </c>
      <c r="AD745" s="39"/>
      <c r="AE745" s="7"/>
      <c r="AF745" s="15"/>
      <c r="AG745" s="71" t="b">
        <f t="shared" si="484"/>
        <v>1</v>
      </c>
      <c r="AI745" s="71">
        <f t="shared" si="485"/>
        <v>0</v>
      </c>
      <c r="AJ745" s="39"/>
      <c r="AK745" s="15"/>
      <c r="AL745" s="71" t="b">
        <f t="shared" si="486"/>
        <v>1</v>
      </c>
      <c r="AN745" s="65"/>
    </row>
    <row r="746" spans="2:40 16128:16147" ht="13" customHeight="1">
      <c r="B746" s="119"/>
      <c r="C746" s="23">
        <f t="shared" si="478"/>
        <v>2026092</v>
      </c>
      <c r="D746" s="23">
        <v>27</v>
      </c>
      <c r="E746" s="128">
        <v>0</v>
      </c>
      <c r="F746" s="126" t="e">
        <f>VLOOKUP(E746,'Códigos bancos'!$B$4:$C$29,2,0)</f>
        <v>#N/A</v>
      </c>
      <c r="G746" s="36">
        <v>1</v>
      </c>
      <c r="H746" s="126" t="str">
        <f>VLOOKUP(G746,'Códigos bancos'!$F$4:$G$14,2,0)</f>
        <v>Oficinas</v>
      </c>
      <c r="I746" s="130"/>
      <c r="J746" s="174">
        <v>0</v>
      </c>
      <c r="K746" s="174">
        <v>0</v>
      </c>
      <c r="L746" s="174">
        <v>0</v>
      </c>
      <c r="M746" s="174">
        <v>0</v>
      </c>
      <c r="N746" s="174">
        <v>0</v>
      </c>
      <c r="O746" s="174">
        <v>0</v>
      </c>
      <c r="P746" s="174">
        <v>0</v>
      </c>
      <c r="Q746" s="174">
        <v>0</v>
      </c>
      <c r="R746" s="174">
        <v>0</v>
      </c>
      <c r="S746" s="215">
        <v>0</v>
      </c>
      <c r="T746" s="71">
        <f t="shared" si="479"/>
        <v>0</v>
      </c>
      <c r="U746" s="71">
        <f t="shared" si="480"/>
        <v>0</v>
      </c>
      <c r="V746" s="117">
        <v>0</v>
      </c>
      <c r="W746" s="117">
        <v>0</v>
      </c>
      <c r="X746" s="71">
        <f t="shared" si="481"/>
        <v>0</v>
      </c>
      <c r="Y746" s="71">
        <f t="shared" si="482"/>
        <v>0</v>
      </c>
      <c r="AA746" s="65"/>
      <c r="AC746" s="71">
        <f t="shared" si="483"/>
        <v>0</v>
      </c>
      <c r="AD746" s="39"/>
      <c r="AE746" s="7"/>
      <c r="AF746" s="15"/>
      <c r="AG746" s="71" t="b">
        <f t="shared" si="484"/>
        <v>1</v>
      </c>
      <c r="AI746" s="71">
        <f t="shared" si="485"/>
        <v>0</v>
      </c>
      <c r="AJ746" s="39"/>
      <c r="AK746" s="15"/>
      <c r="AL746" s="71" t="b">
        <f t="shared" si="486"/>
        <v>1</v>
      </c>
      <c r="AN746" s="65"/>
    </row>
    <row r="747" spans="2:40 16128:16147" ht="13" customHeight="1">
      <c r="B747" s="119"/>
      <c r="C747" s="23">
        <f t="shared" si="478"/>
        <v>2026092</v>
      </c>
      <c r="D747" s="23">
        <v>27</v>
      </c>
      <c r="E747" s="128">
        <v>0</v>
      </c>
      <c r="F747" s="126" t="e">
        <f>VLOOKUP(E747,'Códigos bancos'!$B$4:$C$29,2,0)</f>
        <v>#N/A</v>
      </c>
      <c r="G747" s="36">
        <v>1</v>
      </c>
      <c r="H747" s="126" t="str">
        <f>VLOOKUP(G747,'Códigos bancos'!$F$4:$G$14,2,0)</f>
        <v>Oficinas</v>
      </c>
      <c r="I747" s="130"/>
      <c r="J747" s="174">
        <v>0</v>
      </c>
      <c r="K747" s="174">
        <v>0</v>
      </c>
      <c r="L747" s="174">
        <v>0</v>
      </c>
      <c r="M747" s="174">
        <v>0</v>
      </c>
      <c r="N747" s="174">
        <v>0</v>
      </c>
      <c r="O747" s="174">
        <v>0</v>
      </c>
      <c r="P747" s="174">
        <v>0</v>
      </c>
      <c r="Q747" s="174">
        <v>0</v>
      </c>
      <c r="R747" s="174">
        <v>0</v>
      </c>
      <c r="S747" s="215">
        <v>0</v>
      </c>
      <c r="T747" s="71">
        <f t="shared" si="479"/>
        <v>0</v>
      </c>
      <c r="U747" s="71">
        <f t="shared" si="480"/>
        <v>0</v>
      </c>
      <c r="V747" s="117">
        <v>0</v>
      </c>
      <c r="W747" s="117">
        <v>0</v>
      </c>
      <c r="X747" s="71">
        <f t="shared" si="481"/>
        <v>0</v>
      </c>
      <c r="Y747" s="71">
        <f t="shared" si="482"/>
        <v>0</v>
      </c>
      <c r="AA747" s="65"/>
      <c r="AC747" s="71">
        <f t="shared" si="483"/>
        <v>0</v>
      </c>
      <c r="AD747" s="39"/>
      <c r="AE747" s="7"/>
      <c r="AF747" s="15"/>
      <c r="AG747" s="71" t="b">
        <f t="shared" si="484"/>
        <v>1</v>
      </c>
      <c r="AI747" s="71">
        <f t="shared" si="485"/>
        <v>0</v>
      </c>
      <c r="AJ747" s="39"/>
      <c r="AK747" s="15"/>
      <c r="AL747" s="71" t="b">
        <f t="shared" si="486"/>
        <v>1</v>
      </c>
      <c r="AN747" s="65"/>
    </row>
    <row r="748" spans="2:40 16128:16147" ht="13" customHeight="1">
      <c r="B748" s="119"/>
      <c r="C748" s="23">
        <f t="shared" si="478"/>
        <v>2026092</v>
      </c>
      <c r="D748" s="23">
        <v>27</v>
      </c>
      <c r="E748" s="128">
        <v>0</v>
      </c>
      <c r="F748" s="126" t="e">
        <f>VLOOKUP(E748,'Códigos bancos'!$B$4:$C$29,2,0)</f>
        <v>#N/A</v>
      </c>
      <c r="G748" s="36">
        <v>1</v>
      </c>
      <c r="H748" s="126" t="str">
        <f>VLOOKUP(G748,'Códigos bancos'!$F$4:$G$14,2,0)</f>
        <v>Oficinas</v>
      </c>
      <c r="I748" s="130"/>
      <c r="J748" s="174">
        <v>0</v>
      </c>
      <c r="K748" s="174">
        <v>0</v>
      </c>
      <c r="L748" s="174">
        <v>0</v>
      </c>
      <c r="M748" s="174">
        <v>0</v>
      </c>
      <c r="N748" s="174">
        <v>0</v>
      </c>
      <c r="O748" s="174">
        <v>0</v>
      </c>
      <c r="P748" s="174">
        <v>0</v>
      </c>
      <c r="Q748" s="174">
        <v>0</v>
      </c>
      <c r="R748" s="174">
        <v>0</v>
      </c>
      <c r="S748" s="215">
        <v>0</v>
      </c>
      <c r="T748" s="71">
        <f t="shared" si="479"/>
        <v>0</v>
      </c>
      <c r="U748" s="71">
        <f t="shared" si="480"/>
        <v>0</v>
      </c>
      <c r="V748" s="117">
        <v>0</v>
      </c>
      <c r="W748" s="117">
        <v>0</v>
      </c>
      <c r="X748" s="71">
        <f t="shared" si="481"/>
        <v>0</v>
      </c>
      <c r="Y748" s="71">
        <f t="shared" si="482"/>
        <v>0</v>
      </c>
      <c r="AA748" s="65"/>
      <c r="AC748" s="71">
        <f t="shared" si="483"/>
        <v>0</v>
      </c>
      <c r="AD748" s="39"/>
      <c r="AE748" s="7"/>
      <c r="AF748" s="15"/>
      <c r="AG748" s="71" t="b">
        <f t="shared" si="484"/>
        <v>1</v>
      </c>
      <c r="AI748" s="71">
        <f t="shared" si="485"/>
        <v>0</v>
      </c>
      <c r="AJ748" s="39"/>
      <c r="AK748" s="15"/>
      <c r="AL748" s="71" t="b">
        <f t="shared" si="486"/>
        <v>1</v>
      </c>
      <c r="AN748" s="65"/>
    </row>
    <row r="749" spans="2:40 16128:16147" ht="13" customHeight="1">
      <c r="B749" s="119"/>
      <c r="C749" s="23">
        <f t="shared" si="478"/>
        <v>2026092</v>
      </c>
      <c r="D749" s="23">
        <v>27</v>
      </c>
      <c r="E749" s="128">
        <v>0</v>
      </c>
      <c r="F749" s="126" t="e">
        <f>VLOOKUP(E749,'Códigos bancos'!$B$4:$C$29,2,0)</f>
        <v>#N/A</v>
      </c>
      <c r="G749" s="36">
        <v>1</v>
      </c>
      <c r="H749" s="126" t="str">
        <f>VLOOKUP(G749,'Códigos bancos'!$F$4:$G$14,2,0)</f>
        <v>Oficinas</v>
      </c>
      <c r="I749" s="130"/>
      <c r="J749" s="174">
        <v>0</v>
      </c>
      <c r="K749" s="174">
        <v>0</v>
      </c>
      <c r="L749" s="174">
        <v>0</v>
      </c>
      <c r="M749" s="174">
        <v>0</v>
      </c>
      <c r="N749" s="174">
        <v>0</v>
      </c>
      <c r="O749" s="174">
        <v>0</v>
      </c>
      <c r="P749" s="174">
        <v>0</v>
      </c>
      <c r="Q749" s="174">
        <v>0</v>
      </c>
      <c r="R749" s="174">
        <v>0</v>
      </c>
      <c r="S749" s="215">
        <v>0</v>
      </c>
      <c r="T749" s="71">
        <f t="shared" si="479"/>
        <v>0</v>
      </c>
      <c r="U749" s="71">
        <f t="shared" si="480"/>
        <v>0</v>
      </c>
      <c r="V749" s="117">
        <v>0</v>
      </c>
      <c r="W749" s="117">
        <v>0</v>
      </c>
      <c r="X749" s="71">
        <f t="shared" si="481"/>
        <v>0</v>
      </c>
      <c r="Y749" s="71">
        <f t="shared" si="482"/>
        <v>0</v>
      </c>
      <c r="AA749" s="65"/>
      <c r="AC749" s="71">
        <f t="shared" si="483"/>
        <v>0</v>
      </c>
      <c r="AD749" s="39"/>
      <c r="AE749" s="7"/>
      <c r="AF749" s="15"/>
      <c r="AG749" s="71" t="b">
        <f t="shared" si="484"/>
        <v>1</v>
      </c>
      <c r="AI749" s="71">
        <f t="shared" si="485"/>
        <v>0</v>
      </c>
      <c r="AJ749" s="39"/>
      <c r="AK749" s="15"/>
      <c r="AL749" s="71" t="b">
        <f t="shared" si="486"/>
        <v>1</v>
      </c>
      <c r="AN749" s="65"/>
    </row>
    <row r="750" spans="2:40 16128:16147" ht="13" customHeight="1">
      <c r="B750" s="119"/>
      <c r="C750" s="23">
        <f t="shared" si="478"/>
        <v>2026092</v>
      </c>
      <c r="D750" s="23">
        <v>27</v>
      </c>
      <c r="E750" s="128">
        <v>0</v>
      </c>
      <c r="F750" s="126" t="e">
        <f>VLOOKUP(E750,'Códigos bancos'!$B$4:$C$29,2,0)</f>
        <v>#N/A</v>
      </c>
      <c r="G750" s="36">
        <v>1</v>
      </c>
      <c r="H750" s="126" t="str">
        <f>VLOOKUP(G750,'Códigos bancos'!$F$4:$G$14,2,0)</f>
        <v>Oficinas</v>
      </c>
      <c r="I750" s="130"/>
      <c r="J750" s="174">
        <v>0</v>
      </c>
      <c r="K750" s="174">
        <v>0</v>
      </c>
      <c r="L750" s="174">
        <v>0</v>
      </c>
      <c r="M750" s="174">
        <v>0</v>
      </c>
      <c r="N750" s="174">
        <v>0</v>
      </c>
      <c r="O750" s="174">
        <v>0</v>
      </c>
      <c r="P750" s="174">
        <v>0</v>
      </c>
      <c r="Q750" s="174">
        <v>0</v>
      </c>
      <c r="R750" s="174">
        <v>0</v>
      </c>
      <c r="S750" s="215">
        <v>0</v>
      </c>
      <c r="T750" s="71">
        <f t="shared" si="479"/>
        <v>0</v>
      </c>
      <c r="U750" s="71">
        <f t="shared" si="480"/>
        <v>0</v>
      </c>
      <c r="V750" s="117">
        <v>0</v>
      </c>
      <c r="W750" s="117">
        <v>0</v>
      </c>
      <c r="X750" s="71">
        <f t="shared" si="481"/>
        <v>0</v>
      </c>
      <c r="Y750" s="71">
        <f t="shared" si="482"/>
        <v>0</v>
      </c>
      <c r="AA750" s="65"/>
      <c r="AC750" s="71">
        <f t="shared" si="483"/>
        <v>0</v>
      </c>
      <c r="AD750" s="39"/>
      <c r="AE750" s="7"/>
      <c r="AF750" s="15"/>
      <c r="AG750" s="71" t="b">
        <f t="shared" si="484"/>
        <v>1</v>
      </c>
      <c r="AI750" s="71">
        <f t="shared" si="485"/>
        <v>0</v>
      </c>
      <c r="AJ750" s="39"/>
      <c r="AK750" s="15"/>
      <c r="AL750" s="71" t="b">
        <f t="shared" si="486"/>
        <v>1</v>
      </c>
      <c r="AN750" s="65"/>
    </row>
    <row r="751" spans="2:40 16128:16147" ht="13" customHeight="1">
      <c r="B751" s="119"/>
      <c r="C751" s="23">
        <f t="shared" si="478"/>
        <v>2026092</v>
      </c>
      <c r="D751" s="23">
        <v>27</v>
      </c>
      <c r="E751" s="128">
        <v>0</v>
      </c>
      <c r="F751" s="126" t="e">
        <f>VLOOKUP(E751,'Códigos bancos'!$B$4:$C$29,2,0)</f>
        <v>#N/A</v>
      </c>
      <c r="G751" s="36">
        <v>1</v>
      </c>
      <c r="H751" s="126" t="str">
        <f>VLOOKUP(G751,'Códigos bancos'!$F$4:$G$14,2,0)</f>
        <v>Oficinas</v>
      </c>
      <c r="I751" s="130"/>
      <c r="J751" s="174">
        <v>0</v>
      </c>
      <c r="K751" s="174">
        <v>0</v>
      </c>
      <c r="L751" s="174">
        <v>0</v>
      </c>
      <c r="M751" s="174">
        <v>0</v>
      </c>
      <c r="N751" s="174">
        <v>0</v>
      </c>
      <c r="O751" s="174">
        <v>0</v>
      </c>
      <c r="P751" s="174">
        <v>0</v>
      </c>
      <c r="Q751" s="174">
        <v>0</v>
      </c>
      <c r="R751" s="174">
        <v>0</v>
      </c>
      <c r="S751" s="215">
        <v>0</v>
      </c>
      <c r="T751" s="71">
        <f t="shared" si="479"/>
        <v>0</v>
      </c>
      <c r="U751" s="71">
        <f t="shared" si="480"/>
        <v>0</v>
      </c>
      <c r="V751" s="117">
        <v>0</v>
      </c>
      <c r="W751" s="117">
        <v>0</v>
      </c>
      <c r="X751" s="71">
        <f t="shared" si="481"/>
        <v>0</v>
      </c>
      <c r="Y751" s="71">
        <f t="shared" si="482"/>
        <v>0</v>
      </c>
      <c r="AA751" s="65"/>
      <c r="AC751" s="71">
        <f t="shared" si="483"/>
        <v>0</v>
      </c>
      <c r="AD751" s="39"/>
      <c r="AE751" s="7"/>
      <c r="AF751" s="15"/>
      <c r="AG751" s="71" t="b">
        <f t="shared" si="484"/>
        <v>1</v>
      </c>
      <c r="AI751" s="71">
        <f t="shared" si="485"/>
        <v>0</v>
      </c>
      <c r="AJ751" s="39"/>
      <c r="AK751" s="15"/>
      <c r="AL751" s="71" t="b">
        <f t="shared" si="486"/>
        <v>1</v>
      </c>
      <c r="AN751" s="65"/>
    </row>
    <row r="752" spans="2:40 16128:16147" ht="13" customHeight="1">
      <c r="B752" s="119"/>
      <c r="C752" s="23">
        <f t="shared" si="478"/>
        <v>2026092</v>
      </c>
      <c r="D752" s="23">
        <v>27</v>
      </c>
      <c r="E752" s="128">
        <v>0</v>
      </c>
      <c r="F752" s="126" t="e">
        <f>VLOOKUP(E752,'Códigos bancos'!$B$4:$C$29,2,0)</f>
        <v>#N/A</v>
      </c>
      <c r="G752" s="36">
        <v>1</v>
      </c>
      <c r="H752" s="126" t="str">
        <f>VLOOKUP(G752,'Códigos bancos'!$F$4:$G$14,2,0)</f>
        <v>Oficinas</v>
      </c>
      <c r="I752" s="130"/>
      <c r="J752" s="174">
        <v>0</v>
      </c>
      <c r="K752" s="174">
        <v>0</v>
      </c>
      <c r="L752" s="174">
        <v>0</v>
      </c>
      <c r="M752" s="174">
        <v>0</v>
      </c>
      <c r="N752" s="174">
        <v>0</v>
      </c>
      <c r="O752" s="174">
        <v>0</v>
      </c>
      <c r="P752" s="174">
        <v>0</v>
      </c>
      <c r="Q752" s="174">
        <v>0</v>
      </c>
      <c r="R752" s="174">
        <v>0</v>
      </c>
      <c r="S752" s="215">
        <v>0</v>
      </c>
      <c r="T752" s="71">
        <f t="shared" si="479"/>
        <v>0</v>
      </c>
      <c r="U752" s="71">
        <f t="shared" si="480"/>
        <v>0</v>
      </c>
      <c r="V752" s="117">
        <v>0</v>
      </c>
      <c r="W752" s="117">
        <v>0</v>
      </c>
      <c r="X752" s="71">
        <f t="shared" si="481"/>
        <v>0</v>
      </c>
      <c r="Y752" s="71">
        <f t="shared" si="482"/>
        <v>0</v>
      </c>
      <c r="AA752" s="65"/>
      <c r="AC752" s="71">
        <f t="shared" si="483"/>
        <v>0</v>
      </c>
      <c r="AD752" s="39"/>
      <c r="AE752" s="7"/>
      <c r="AF752" s="15"/>
      <c r="AG752" s="71" t="b">
        <f t="shared" si="484"/>
        <v>1</v>
      </c>
      <c r="AI752" s="71">
        <f t="shared" si="485"/>
        <v>0</v>
      </c>
      <c r="AJ752" s="39"/>
      <c r="AK752" s="15"/>
      <c r="AL752" s="71" t="b">
        <f t="shared" si="486"/>
        <v>1</v>
      </c>
      <c r="AN752" s="65"/>
    </row>
    <row r="753" spans="2:40 16128:16147" ht="13" customHeight="1">
      <c r="B753" s="119"/>
      <c r="C753" s="23">
        <f t="shared" si="478"/>
        <v>2026092</v>
      </c>
      <c r="D753" s="23">
        <v>27</v>
      </c>
      <c r="E753" s="128">
        <v>0</v>
      </c>
      <c r="F753" s="126" t="e">
        <f>VLOOKUP(E753,'Códigos bancos'!$B$4:$C$29,2,0)</f>
        <v>#N/A</v>
      </c>
      <c r="G753" s="36">
        <v>1</v>
      </c>
      <c r="H753" s="126" t="str">
        <f>VLOOKUP(G753,'Códigos bancos'!$F$4:$G$14,2,0)</f>
        <v>Oficinas</v>
      </c>
      <c r="I753" s="130"/>
      <c r="J753" s="174">
        <v>0</v>
      </c>
      <c r="K753" s="174">
        <v>0</v>
      </c>
      <c r="L753" s="174">
        <v>0</v>
      </c>
      <c r="M753" s="174">
        <v>0</v>
      </c>
      <c r="N753" s="174">
        <v>0</v>
      </c>
      <c r="O753" s="174">
        <v>0</v>
      </c>
      <c r="P753" s="174">
        <v>0</v>
      </c>
      <c r="Q753" s="174">
        <v>0</v>
      </c>
      <c r="R753" s="174">
        <v>0</v>
      </c>
      <c r="S753" s="215">
        <v>0</v>
      </c>
      <c r="T753" s="71">
        <f t="shared" si="479"/>
        <v>0</v>
      </c>
      <c r="U753" s="71">
        <f t="shared" si="480"/>
        <v>0</v>
      </c>
      <c r="V753" s="117">
        <v>0</v>
      </c>
      <c r="W753" s="117">
        <v>0</v>
      </c>
      <c r="X753" s="71">
        <f t="shared" si="481"/>
        <v>0</v>
      </c>
      <c r="Y753" s="71">
        <f t="shared" si="482"/>
        <v>0</v>
      </c>
      <c r="AA753" s="65"/>
      <c r="AC753" s="71">
        <f t="shared" si="483"/>
        <v>0</v>
      </c>
      <c r="AD753" s="39"/>
      <c r="AE753" s="7"/>
      <c r="AF753" s="15"/>
      <c r="AG753" s="71" t="b">
        <f t="shared" si="484"/>
        <v>1</v>
      </c>
      <c r="AI753" s="71">
        <f t="shared" si="485"/>
        <v>0</v>
      </c>
      <c r="AJ753" s="39"/>
      <c r="AK753" s="15"/>
      <c r="AL753" s="71" t="b">
        <f t="shared" si="486"/>
        <v>1</v>
      </c>
      <c r="AN753" s="65"/>
    </row>
    <row r="754" spans="2:40 16128:16147" ht="13" customHeight="1">
      <c r="B754" s="119"/>
      <c r="C754" s="159">
        <f t="shared" si="478"/>
        <v>2026092</v>
      </c>
      <c r="D754" s="23">
        <v>27</v>
      </c>
      <c r="E754" s="128">
        <v>0</v>
      </c>
      <c r="F754" s="126" t="e">
        <f>VLOOKUP(E754,'Códigos bancos'!$B$4:$C$29,2,0)</f>
        <v>#N/A</v>
      </c>
      <c r="G754" s="36">
        <v>1</v>
      </c>
      <c r="H754" s="126" t="str">
        <f>VLOOKUP(G754,'Códigos bancos'!$F$4:$G$14,2,0)</f>
        <v>Oficinas</v>
      </c>
      <c r="I754" s="130"/>
      <c r="J754" s="174">
        <v>0</v>
      </c>
      <c r="K754" s="174">
        <v>0</v>
      </c>
      <c r="L754" s="174">
        <v>0</v>
      </c>
      <c r="M754" s="174">
        <v>0</v>
      </c>
      <c r="N754" s="174">
        <v>0</v>
      </c>
      <c r="O754" s="174">
        <v>0</v>
      </c>
      <c r="P754" s="174">
        <v>0</v>
      </c>
      <c r="Q754" s="174">
        <v>0</v>
      </c>
      <c r="R754" s="174">
        <v>0</v>
      </c>
      <c r="S754" s="215">
        <v>0</v>
      </c>
      <c r="T754" s="71">
        <f t="shared" si="479"/>
        <v>0</v>
      </c>
      <c r="U754" s="71">
        <f t="shared" si="480"/>
        <v>0</v>
      </c>
      <c r="V754" s="117">
        <v>0</v>
      </c>
      <c r="W754" s="117">
        <v>0</v>
      </c>
      <c r="X754" s="71">
        <f t="shared" si="481"/>
        <v>0</v>
      </c>
      <c r="Y754" s="71">
        <f t="shared" si="482"/>
        <v>0</v>
      </c>
      <c r="AA754" s="65"/>
      <c r="AC754" s="71">
        <f t="shared" si="483"/>
        <v>0</v>
      </c>
      <c r="AD754" s="39"/>
      <c r="AE754" s="7"/>
      <c r="AF754" s="15"/>
      <c r="AG754" s="71" t="b">
        <f t="shared" si="484"/>
        <v>1</v>
      </c>
      <c r="AI754" s="71">
        <f t="shared" si="485"/>
        <v>0</v>
      </c>
      <c r="AJ754" s="39"/>
      <c r="AK754" s="15"/>
      <c r="AL754" s="71" t="b">
        <f t="shared" si="486"/>
        <v>1</v>
      </c>
      <c r="AN754" s="65"/>
    </row>
    <row r="755" spans="2:40 16128:16147" ht="13" customHeight="1">
      <c r="B755" s="119"/>
      <c r="C755" s="23">
        <f t="shared" si="478"/>
        <v>2026092</v>
      </c>
      <c r="D755" s="23">
        <v>27</v>
      </c>
      <c r="E755" s="128">
        <v>0</v>
      </c>
      <c r="F755" s="126" t="e">
        <f>VLOOKUP(E755,'Códigos bancos'!$B$4:$C$29,2,0)</f>
        <v>#N/A</v>
      </c>
      <c r="G755" s="36">
        <v>1</v>
      </c>
      <c r="H755" s="126" t="str">
        <f>VLOOKUP(G755,'Códigos bancos'!$F$4:$G$14,2,0)</f>
        <v>Oficinas</v>
      </c>
      <c r="I755" s="130"/>
      <c r="J755" s="174">
        <v>0</v>
      </c>
      <c r="K755" s="174">
        <v>0</v>
      </c>
      <c r="L755" s="174">
        <v>0</v>
      </c>
      <c r="M755" s="174">
        <v>0</v>
      </c>
      <c r="N755" s="174">
        <v>0</v>
      </c>
      <c r="O755" s="174">
        <v>0</v>
      </c>
      <c r="P755" s="174">
        <v>0</v>
      </c>
      <c r="Q755" s="174">
        <v>0</v>
      </c>
      <c r="R755" s="174">
        <v>0</v>
      </c>
      <c r="S755" s="215">
        <v>0</v>
      </c>
      <c r="T755" s="71">
        <f t="shared" si="479"/>
        <v>0</v>
      </c>
      <c r="U755" s="71">
        <f t="shared" si="480"/>
        <v>0</v>
      </c>
      <c r="V755" s="117">
        <v>0</v>
      </c>
      <c r="W755" s="117">
        <v>0</v>
      </c>
      <c r="X755" s="71">
        <f t="shared" si="481"/>
        <v>0</v>
      </c>
      <c r="Y755" s="71">
        <f t="shared" si="482"/>
        <v>0</v>
      </c>
      <c r="AA755" s="65"/>
      <c r="AC755" s="71">
        <f t="shared" si="483"/>
        <v>0</v>
      </c>
      <c r="AD755" s="39"/>
      <c r="AE755" s="7"/>
      <c r="AF755" s="15"/>
      <c r="AG755" s="71" t="b">
        <f t="shared" si="484"/>
        <v>1</v>
      </c>
      <c r="AI755" s="71">
        <f t="shared" si="485"/>
        <v>0</v>
      </c>
      <c r="AJ755" s="39"/>
      <c r="AK755" s="15"/>
      <c r="AL755" s="71" t="b">
        <f t="shared" si="486"/>
        <v>1</v>
      </c>
      <c r="AN755" s="65"/>
    </row>
    <row r="756" spans="2:40 16128:16147" ht="13" customHeight="1">
      <c r="B756" s="119"/>
      <c r="C756" s="23">
        <f t="shared" si="478"/>
        <v>2026092</v>
      </c>
      <c r="D756" s="23">
        <v>27</v>
      </c>
      <c r="E756" s="128">
        <v>0</v>
      </c>
      <c r="F756" s="126" t="e">
        <f>VLOOKUP(E756,'Códigos bancos'!$B$4:$C$29,2,0)</f>
        <v>#N/A</v>
      </c>
      <c r="G756" s="36">
        <v>1</v>
      </c>
      <c r="H756" s="126" t="str">
        <f>VLOOKUP(G756,'Códigos bancos'!$F$4:$G$14,2,0)</f>
        <v>Oficinas</v>
      </c>
      <c r="I756" s="130"/>
      <c r="J756" s="174">
        <v>0</v>
      </c>
      <c r="K756" s="174">
        <v>0</v>
      </c>
      <c r="L756" s="174">
        <v>0</v>
      </c>
      <c r="M756" s="174">
        <v>0</v>
      </c>
      <c r="N756" s="174">
        <v>0</v>
      </c>
      <c r="O756" s="174">
        <v>0</v>
      </c>
      <c r="P756" s="174">
        <v>0</v>
      </c>
      <c r="Q756" s="174">
        <v>0</v>
      </c>
      <c r="R756" s="174">
        <v>0</v>
      </c>
      <c r="S756" s="215">
        <v>0</v>
      </c>
      <c r="T756" s="71">
        <f t="shared" si="479"/>
        <v>0</v>
      </c>
      <c r="U756" s="71">
        <f t="shared" si="480"/>
        <v>0</v>
      </c>
      <c r="V756" s="117">
        <v>0</v>
      </c>
      <c r="W756" s="117">
        <v>0</v>
      </c>
      <c r="X756" s="71">
        <f t="shared" si="481"/>
        <v>0</v>
      </c>
      <c r="Y756" s="71">
        <f t="shared" si="482"/>
        <v>0</v>
      </c>
      <c r="AA756" s="65"/>
      <c r="AC756" s="71">
        <f t="shared" si="483"/>
        <v>0</v>
      </c>
      <c r="AD756" s="39"/>
      <c r="AE756" s="7"/>
      <c r="AF756" s="15"/>
      <c r="AG756" s="71" t="b">
        <f t="shared" si="484"/>
        <v>1</v>
      </c>
      <c r="AI756" s="71">
        <f t="shared" si="485"/>
        <v>0</v>
      </c>
      <c r="AJ756" s="39"/>
      <c r="AK756" s="15"/>
      <c r="AL756" s="71" t="b">
        <f t="shared" si="486"/>
        <v>1</v>
      </c>
      <c r="AN756" s="65"/>
    </row>
    <row r="757" spans="2:40 16128:16147" ht="13" customHeight="1">
      <c r="B757" s="119"/>
      <c r="C757" s="23">
        <f t="shared" si="478"/>
        <v>2026092</v>
      </c>
      <c r="D757" s="23">
        <v>27</v>
      </c>
      <c r="E757" s="128">
        <v>0</v>
      </c>
      <c r="F757" s="126" t="e">
        <f>VLOOKUP(E757,'Códigos bancos'!$B$4:$C$29,2,0)</f>
        <v>#N/A</v>
      </c>
      <c r="G757" s="36">
        <v>1</v>
      </c>
      <c r="H757" s="126" t="str">
        <f>VLOOKUP(G757,'Códigos bancos'!$F$4:$G$14,2,0)</f>
        <v>Oficinas</v>
      </c>
      <c r="I757" s="130"/>
      <c r="J757" s="174">
        <v>0</v>
      </c>
      <c r="K757" s="174">
        <v>0</v>
      </c>
      <c r="L757" s="174">
        <v>0</v>
      </c>
      <c r="M757" s="174">
        <v>0</v>
      </c>
      <c r="N757" s="174">
        <v>0</v>
      </c>
      <c r="O757" s="174">
        <v>0</v>
      </c>
      <c r="P757" s="174">
        <v>0</v>
      </c>
      <c r="Q757" s="174">
        <v>0</v>
      </c>
      <c r="R757" s="174">
        <v>0</v>
      </c>
      <c r="S757" s="215">
        <v>0</v>
      </c>
      <c r="T757" s="71">
        <f t="shared" si="479"/>
        <v>0</v>
      </c>
      <c r="U757" s="71">
        <f t="shared" si="480"/>
        <v>0</v>
      </c>
      <c r="V757" s="117">
        <v>0</v>
      </c>
      <c r="W757" s="117">
        <v>0</v>
      </c>
      <c r="X757" s="71">
        <f t="shared" si="481"/>
        <v>0</v>
      </c>
      <c r="Y757" s="71">
        <f t="shared" si="482"/>
        <v>0</v>
      </c>
      <c r="AA757" s="65"/>
      <c r="AC757" s="71">
        <f t="shared" si="483"/>
        <v>0</v>
      </c>
      <c r="AD757" s="39"/>
      <c r="AE757" s="7"/>
      <c r="AF757" s="15"/>
      <c r="AG757" s="71" t="b">
        <f t="shared" si="484"/>
        <v>1</v>
      </c>
      <c r="AI757" s="71">
        <f t="shared" si="485"/>
        <v>0</v>
      </c>
      <c r="AJ757" s="39"/>
      <c r="AK757" s="15"/>
      <c r="AL757" s="71" t="b">
        <f t="shared" si="486"/>
        <v>1</v>
      </c>
      <c r="AN757" s="65"/>
    </row>
    <row r="758" spans="2:40 16128:16147" ht="13" customHeight="1">
      <c r="B758" s="119"/>
      <c r="C758" s="23">
        <f t="shared" si="478"/>
        <v>2026092</v>
      </c>
      <c r="D758" s="23">
        <v>27</v>
      </c>
      <c r="E758" s="128">
        <v>0</v>
      </c>
      <c r="F758" s="126" t="e">
        <f>VLOOKUP(E758,'Códigos bancos'!$B$4:$C$29,2,0)</f>
        <v>#N/A</v>
      </c>
      <c r="G758" s="36">
        <v>1</v>
      </c>
      <c r="H758" s="126" t="str">
        <f>VLOOKUP(G758,'Códigos bancos'!$F$4:$G$14,2,0)</f>
        <v>Oficinas</v>
      </c>
      <c r="I758" s="130"/>
      <c r="J758" s="174">
        <v>0</v>
      </c>
      <c r="K758" s="174">
        <v>0</v>
      </c>
      <c r="L758" s="174">
        <v>0</v>
      </c>
      <c r="M758" s="174">
        <v>0</v>
      </c>
      <c r="N758" s="174">
        <v>0</v>
      </c>
      <c r="O758" s="174">
        <v>0</v>
      </c>
      <c r="P758" s="174">
        <v>0</v>
      </c>
      <c r="Q758" s="174">
        <v>0</v>
      </c>
      <c r="R758" s="174">
        <v>0</v>
      </c>
      <c r="S758" s="215">
        <v>0</v>
      </c>
      <c r="T758" s="71">
        <f t="shared" si="479"/>
        <v>0</v>
      </c>
      <c r="U758" s="71">
        <f t="shared" si="480"/>
        <v>0</v>
      </c>
      <c r="V758" s="117">
        <v>0</v>
      </c>
      <c r="W758" s="117">
        <v>0</v>
      </c>
      <c r="X758" s="71">
        <f t="shared" si="481"/>
        <v>0</v>
      </c>
      <c r="Y758" s="71">
        <f t="shared" si="482"/>
        <v>0</v>
      </c>
      <c r="AA758" s="65"/>
      <c r="AC758" s="71">
        <f t="shared" si="483"/>
        <v>0</v>
      </c>
      <c r="AD758" s="39"/>
      <c r="AE758" s="7"/>
      <c r="AF758" s="15"/>
      <c r="AG758" s="71" t="b">
        <f t="shared" si="484"/>
        <v>1</v>
      </c>
      <c r="AI758" s="71">
        <f t="shared" si="485"/>
        <v>0</v>
      </c>
      <c r="AJ758" s="39"/>
      <c r="AK758" s="15"/>
      <c r="AL758" s="71" t="b">
        <f t="shared" si="486"/>
        <v>1</v>
      </c>
      <c r="AN758" s="65"/>
    </row>
    <row r="759" spans="2:40 16128:16147" ht="13" customHeight="1">
      <c r="B759" s="119"/>
      <c r="C759" s="23">
        <f t="shared" si="478"/>
        <v>2026092</v>
      </c>
      <c r="D759" s="23">
        <v>27</v>
      </c>
      <c r="E759" s="128">
        <v>0</v>
      </c>
      <c r="F759" s="126" t="e">
        <f>VLOOKUP(E759,'Códigos bancos'!$B$4:$C$29,2,0)</f>
        <v>#N/A</v>
      </c>
      <c r="G759" s="36">
        <v>1</v>
      </c>
      <c r="H759" s="126" t="str">
        <f>VLOOKUP(G759,'Códigos bancos'!$F$4:$G$14,2,0)</f>
        <v>Oficinas</v>
      </c>
      <c r="I759" s="130"/>
      <c r="J759" s="174">
        <v>0</v>
      </c>
      <c r="K759" s="174">
        <v>0</v>
      </c>
      <c r="L759" s="174">
        <v>0</v>
      </c>
      <c r="M759" s="174">
        <v>0</v>
      </c>
      <c r="N759" s="174">
        <v>0</v>
      </c>
      <c r="O759" s="174">
        <v>0</v>
      </c>
      <c r="P759" s="174">
        <v>0</v>
      </c>
      <c r="Q759" s="174">
        <v>0</v>
      </c>
      <c r="R759" s="174">
        <v>0</v>
      </c>
      <c r="S759" s="215">
        <v>0</v>
      </c>
      <c r="T759" s="71">
        <f t="shared" si="479"/>
        <v>0</v>
      </c>
      <c r="U759" s="71">
        <f t="shared" si="480"/>
        <v>0</v>
      </c>
      <c r="V759" s="117">
        <v>0</v>
      </c>
      <c r="W759" s="117">
        <v>0</v>
      </c>
      <c r="X759" s="71">
        <f t="shared" si="481"/>
        <v>0</v>
      </c>
      <c r="Y759" s="71">
        <f t="shared" si="482"/>
        <v>0</v>
      </c>
      <c r="AA759" s="65"/>
      <c r="AC759" s="71">
        <f t="shared" si="483"/>
        <v>0</v>
      </c>
      <c r="AD759" s="39"/>
      <c r="AE759" s="7"/>
      <c r="AF759" s="15"/>
      <c r="AG759" s="71" t="b">
        <f t="shared" si="484"/>
        <v>1</v>
      </c>
      <c r="AI759" s="71">
        <f t="shared" si="485"/>
        <v>0</v>
      </c>
      <c r="AJ759" s="39"/>
      <c r="AK759" s="15"/>
      <c r="AL759" s="71" t="b">
        <f t="shared" si="486"/>
        <v>1</v>
      </c>
      <c r="AN759" s="65"/>
    </row>
    <row r="760" spans="2:40 16128:16147" ht="13" customHeight="1">
      <c r="B760" s="119"/>
      <c r="C760" s="23">
        <f t="shared" ref="C760" si="487">IF(D760&lt;=15,$C$1,$C$2)</f>
        <v>2026092</v>
      </c>
      <c r="D760" s="23">
        <v>27</v>
      </c>
      <c r="E760" s="128">
        <v>0</v>
      </c>
      <c r="F760" s="126" t="e">
        <f>VLOOKUP(E760,'Códigos bancos'!$B$4:$C$29,2,0)</f>
        <v>#N/A</v>
      </c>
      <c r="G760" s="36">
        <v>1</v>
      </c>
      <c r="H760" s="126" t="str">
        <f>VLOOKUP(G760,'Códigos bancos'!$F$4:$G$14,2,0)</f>
        <v>Oficinas</v>
      </c>
      <c r="I760" s="130"/>
      <c r="J760" s="174">
        <v>0</v>
      </c>
      <c r="K760" s="174">
        <v>0</v>
      </c>
      <c r="L760" s="174">
        <v>0</v>
      </c>
      <c r="M760" s="174">
        <v>0</v>
      </c>
      <c r="N760" s="174">
        <v>0</v>
      </c>
      <c r="O760" s="174">
        <v>0</v>
      </c>
      <c r="P760" s="174">
        <v>0</v>
      </c>
      <c r="Q760" s="174">
        <v>0</v>
      </c>
      <c r="R760" s="174">
        <v>0</v>
      </c>
      <c r="S760" s="215">
        <v>0</v>
      </c>
      <c r="T760" s="71">
        <f t="shared" ref="T760" si="488">J760+L760+N760+P760+R760</f>
        <v>0</v>
      </c>
      <c r="U760" s="71">
        <f t="shared" ref="U760" si="489">K760+M760+O760+Q760+S760</f>
        <v>0</v>
      </c>
      <c r="V760" s="117">
        <v>0</v>
      </c>
      <c r="W760" s="117">
        <v>0</v>
      </c>
      <c r="X760" s="71">
        <f t="shared" ref="X760" si="490">V760-T760</f>
        <v>0</v>
      </c>
      <c r="Y760" s="71">
        <f t="shared" ref="Y760" si="491">W760-U760</f>
        <v>0</v>
      </c>
      <c r="AA760" s="65"/>
      <c r="AC760" s="71">
        <f t="shared" ref="AC760" si="492">X760</f>
        <v>0</v>
      </c>
      <c r="AD760" s="39"/>
      <c r="AE760" s="7"/>
      <c r="AF760" s="15"/>
      <c r="AG760" s="71" t="b">
        <f t="shared" ref="AG760" si="493">AC760=(AD760+AE760+AF760)</f>
        <v>1</v>
      </c>
      <c r="AI760" s="71">
        <f t="shared" ref="AI760" si="494">Y760</f>
        <v>0</v>
      </c>
      <c r="AJ760" s="39"/>
      <c r="AK760" s="15"/>
      <c r="AL760" s="71" t="b">
        <f t="shared" ref="AL760" si="495">AI760=(AJ760+AK760)</f>
        <v>1</v>
      </c>
      <c r="AN760" s="65"/>
    </row>
    <row r="761" spans="2:40 16128:16147" ht="13" customHeight="1">
      <c r="B761" s="119"/>
      <c r="C761" s="23">
        <f t="shared" si="478"/>
        <v>2026092</v>
      </c>
      <c r="D761" s="23">
        <v>27</v>
      </c>
      <c r="E761" s="128">
        <v>0</v>
      </c>
      <c r="F761" s="126" t="e">
        <f>VLOOKUP(E761,'Códigos bancos'!$B$4:$C$29,2,0)</f>
        <v>#N/A</v>
      </c>
      <c r="G761" s="36">
        <v>1</v>
      </c>
      <c r="H761" s="126" t="str">
        <f>VLOOKUP(G761,'Códigos bancos'!$F$4:$G$14,2,0)</f>
        <v>Oficinas</v>
      </c>
      <c r="I761" s="130"/>
      <c r="J761" s="174">
        <v>0</v>
      </c>
      <c r="K761" s="174">
        <v>0</v>
      </c>
      <c r="L761" s="174">
        <v>0</v>
      </c>
      <c r="M761" s="174">
        <v>0</v>
      </c>
      <c r="N761" s="174">
        <v>0</v>
      </c>
      <c r="O761" s="174">
        <v>0</v>
      </c>
      <c r="P761" s="174">
        <v>0</v>
      </c>
      <c r="Q761" s="174">
        <v>0</v>
      </c>
      <c r="R761" s="174">
        <v>0</v>
      </c>
      <c r="S761" s="215">
        <v>0</v>
      </c>
      <c r="T761" s="71">
        <f t="shared" si="479"/>
        <v>0</v>
      </c>
      <c r="U761" s="71">
        <f t="shared" si="480"/>
        <v>0</v>
      </c>
      <c r="V761" s="117">
        <v>0</v>
      </c>
      <c r="W761" s="117">
        <v>0</v>
      </c>
      <c r="X761" s="71">
        <f t="shared" si="481"/>
        <v>0</v>
      </c>
      <c r="Y761" s="71">
        <f t="shared" si="482"/>
        <v>0</v>
      </c>
      <c r="AA761" s="65"/>
      <c r="AC761" s="71">
        <f t="shared" si="483"/>
        <v>0</v>
      </c>
      <c r="AD761" s="39"/>
      <c r="AE761" s="7"/>
      <c r="AF761" s="15"/>
      <c r="AG761" s="71" t="b">
        <f t="shared" si="484"/>
        <v>1</v>
      </c>
      <c r="AI761" s="71">
        <f t="shared" si="485"/>
        <v>0</v>
      </c>
      <c r="AJ761" s="39"/>
      <c r="AK761" s="15"/>
      <c r="AL761" s="71" t="b">
        <f t="shared" si="486"/>
        <v>1</v>
      </c>
      <c r="AN761" s="65"/>
    </row>
    <row r="762" spans="2:40 16128:16147" ht="13" customHeight="1">
      <c r="B762" s="119"/>
      <c r="C762" s="23">
        <f t="shared" si="478"/>
        <v>2026092</v>
      </c>
      <c r="D762" s="23">
        <v>27</v>
      </c>
      <c r="E762" s="128">
        <v>0</v>
      </c>
      <c r="F762" s="126" t="e">
        <f>VLOOKUP(E762,'Códigos bancos'!$B$4:$C$29,2,0)</f>
        <v>#N/A</v>
      </c>
      <c r="G762" s="36">
        <v>1</v>
      </c>
      <c r="H762" s="126" t="str">
        <f>VLOOKUP(G762,'Códigos bancos'!$F$4:$G$14,2,0)</f>
        <v>Oficinas</v>
      </c>
      <c r="I762" s="130"/>
      <c r="J762" s="174">
        <v>0</v>
      </c>
      <c r="K762" s="174">
        <v>0</v>
      </c>
      <c r="L762" s="174">
        <v>0</v>
      </c>
      <c r="M762" s="174">
        <v>0</v>
      </c>
      <c r="N762" s="174">
        <v>0</v>
      </c>
      <c r="O762" s="174">
        <v>0</v>
      </c>
      <c r="P762" s="174">
        <v>0</v>
      </c>
      <c r="Q762" s="174">
        <v>0</v>
      </c>
      <c r="R762" s="174">
        <v>0</v>
      </c>
      <c r="S762" s="215">
        <v>0</v>
      </c>
      <c r="T762" s="71">
        <f t="shared" si="479"/>
        <v>0</v>
      </c>
      <c r="U762" s="71">
        <f t="shared" si="480"/>
        <v>0</v>
      </c>
      <c r="V762" s="117">
        <v>0</v>
      </c>
      <c r="W762" s="117">
        <v>0</v>
      </c>
      <c r="X762" s="71">
        <f t="shared" si="481"/>
        <v>0</v>
      </c>
      <c r="Y762" s="71">
        <f t="shared" si="482"/>
        <v>0</v>
      </c>
      <c r="AA762" s="65"/>
      <c r="AC762" s="71">
        <f t="shared" si="483"/>
        <v>0</v>
      </c>
      <c r="AD762" s="39"/>
      <c r="AE762" s="7"/>
      <c r="AF762" s="15"/>
      <c r="AG762" s="71" t="b">
        <f t="shared" si="484"/>
        <v>1</v>
      </c>
      <c r="AI762" s="71">
        <f t="shared" si="485"/>
        <v>0</v>
      </c>
      <c r="AJ762" s="39"/>
      <c r="AK762" s="15"/>
      <c r="AL762" s="71" t="b">
        <f t="shared" si="486"/>
        <v>1</v>
      </c>
      <c r="AN762" s="65"/>
    </row>
    <row r="763" spans="2:40 16128:16147" ht="13" customHeight="1">
      <c r="B763" s="119"/>
      <c r="C763" s="23">
        <f t="shared" si="478"/>
        <v>2026092</v>
      </c>
      <c r="D763" s="23">
        <v>27</v>
      </c>
      <c r="E763" s="128">
        <v>0</v>
      </c>
      <c r="F763" s="126" t="e">
        <f>VLOOKUP(E763,'Códigos bancos'!$B$4:$C$29,2,0)</f>
        <v>#N/A</v>
      </c>
      <c r="G763" s="36">
        <v>1</v>
      </c>
      <c r="H763" s="126" t="str">
        <f>VLOOKUP(G763,'Códigos bancos'!$F$4:$G$14,2,0)</f>
        <v>Oficinas</v>
      </c>
      <c r="I763" s="130"/>
      <c r="J763" s="174">
        <v>0</v>
      </c>
      <c r="K763" s="174">
        <v>0</v>
      </c>
      <c r="L763" s="174">
        <v>0</v>
      </c>
      <c r="M763" s="174">
        <v>0</v>
      </c>
      <c r="N763" s="174">
        <v>0</v>
      </c>
      <c r="O763" s="174">
        <v>0</v>
      </c>
      <c r="P763" s="174">
        <v>0</v>
      </c>
      <c r="Q763" s="174">
        <v>0</v>
      </c>
      <c r="R763" s="174">
        <v>0</v>
      </c>
      <c r="S763" s="215">
        <v>0</v>
      </c>
      <c r="T763" s="71">
        <f t="shared" si="479"/>
        <v>0</v>
      </c>
      <c r="U763" s="71">
        <f t="shared" si="480"/>
        <v>0</v>
      </c>
      <c r="V763" s="117">
        <v>0</v>
      </c>
      <c r="W763" s="117">
        <v>0</v>
      </c>
      <c r="X763" s="71">
        <f t="shared" si="481"/>
        <v>0</v>
      </c>
      <c r="Y763" s="71">
        <f t="shared" si="482"/>
        <v>0</v>
      </c>
      <c r="AA763" s="65"/>
      <c r="AC763" s="71">
        <f t="shared" si="483"/>
        <v>0</v>
      </c>
      <c r="AD763" s="39"/>
      <c r="AE763" s="7"/>
      <c r="AF763" s="15"/>
      <c r="AG763" s="71" t="b">
        <f t="shared" si="484"/>
        <v>1</v>
      </c>
      <c r="AI763" s="71"/>
      <c r="AJ763" s="39"/>
      <c r="AK763" s="15"/>
      <c r="AL763" s="71" t="b">
        <f t="shared" si="486"/>
        <v>1</v>
      </c>
      <c r="AN763" s="65"/>
    </row>
    <row r="764" spans="2:40 16128:16147" ht="13" customHeight="1">
      <c r="B764" s="119"/>
      <c r="C764" s="23">
        <f t="shared" si="478"/>
        <v>2026092</v>
      </c>
      <c r="D764" s="23">
        <v>27</v>
      </c>
      <c r="E764" s="128">
        <v>0</v>
      </c>
      <c r="F764" s="126" t="e">
        <f>VLOOKUP(E764,'Códigos bancos'!$B$4:$C$29,2,0)</f>
        <v>#N/A</v>
      </c>
      <c r="G764" s="36">
        <v>1</v>
      </c>
      <c r="H764" s="126" t="str">
        <f>VLOOKUP(G764,'Códigos bancos'!$F$4:$G$14,2,0)</f>
        <v>Oficinas</v>
      </c>
      <c r="I764" s="130"/>
      <c r="J764" s="174">
        <v>0</v>
      </c>
      <c r="K764" s="174">
        <v>0</v>
      </c>
      <c r="L764" s="174">
        <v>0</v>
      </c>
      <c r="M764" s="174">
        <v>0</v>
      </c>
      <c r="N764" s="174">
        <v>0</v>
      </c>
      <c r="O764" s="174">
        <v>0</v>
      </c>
      <c r="P764" s="174">
        <v>0</v>
      </c>
      <c r="Q764" s="174">
        <v>0</v>
      </c>
      <c r="R764" s="174">
        <v>0</v>
      </c>
      <c r="S764" s="215">
        <v>0</v>
      </c>
      <c r="T764" s="71">
        <f t="shared" si="479"/>
        <v>0</v>
      </c>
      <c r="U764" s="71">
        <f t="shared" si="480"/>
        <v>0</v>
      </c>
      <c r="V764" s="117">
        <v>0</v>
      </c>
      <c r="W764" s="117">
        <v>0</v>
      </c>
      <c r="X764" s="71">
        <f t="shared" si="481"/>
        <v>0</v>
      </c>
      <c r="Y764" s="71">
        <f t="shared" si="482"/>
        <v>0</v>
      </c>
      <c r="AA764" s="65"/>
      <c r="AC764" s="71">
        <f t="shared" si="483"/>
        <v>0</v>
      </c>
      <c r="AD764" s="39"/>
      <c r="AE764" s="7"/>
      <c r="AF764" s="15"/>
      <c r="AG764" s="71" t="b">
        <f t="shared" si="484"/>
        <v>1</v>
      </c>
      <c r="AI764" s="71">
        <f>Y764</f>
        <v>0</v>
      </c>
      <c r="AJ764" s="39"/>
      <c r="AK764" s="15"/>
      <c r="AL764" s="71" t="b">
        <f t="shared" si="486"/>
        <v>1</v>
      </c>
      <c r="AN764" s="65"/>
    </row>
    <row r="765" spans="2:40 16128:16147" ht="13" customHeight="1" thickBot="1">
      <c r="B765" s="119"/>
      <c r="C765" s="23">
        <f t="shared" si="478"/>
        <v>2026092</v>
      </c>
      <c r="D765" s="23">
        <v>27</v>
      </c>
      <c r="E765" s="128">
        <v>0</v>
      </c>
      <c r="F765" s="126" t="e">
        <f>VLOOKUP(E765,'Códigos bancos'!$B$4:$C$29,2,0)</f>
        <v>#N/A</v>
      </c>
      <c r="G765" s="36">
        <v>1</v>
      </c>
      <c r="H765" s="126" t="str">
        <f>VLOOKUP(G765,'Códigos bancos'!$F$4:$G$14,2,0)</f>
        <v>Oficinas</v>
      </c>
      <c r="I765" s="130"/>
      <c r="J765" s="174">
        <v>0</v>
      </c>
      <c r="K765" s="174">
        <v>0</v>
      </c>
      <c r="L765" s="174">
        <v>0</v>
      </c>
      <c r="M765" s="174">
        <v>0</v>
      </c>
      <c r="N765" s="174">
        <v>0</v>
      </c>
      <c r="O765" s="174">
        <v>0</v>
      </c>
      <c r="P765" s="174">
        <v>0</v>
      </c>
      <c r="Q765" s="174">
        <v>0</v>
      </c>
      <c r="R765" s="174">
        <v>0</v>
      </c>
      <c r="S765" s="215">
        <v>0</v>
      </c>
      <c r="T765" s="71">
        <f t="shared" si="479"/>
        <v>0</v>
      </c>
      <c r="U765" s="71">
        <f t="shared" si="480"/>
        <v>0</v>
      </c>
      <c r="V765" s="117">
        <v>0</v>
      </c>
      <c r="W765" s="117">
        <v>0</v>
      </c>
      <c r="X765" s="71">
        <f t="shared" si="481"/>
        <v>0</v>
      </c>
      <c r="Y765" s="71">
        <f t="shared" si="482"/>
        <v>0</v>
      </c>
      <c r="AA765" s="65"/>
      <c r="AC765" s="71">
        <f t="shared" si="483"/>
        <v>0</v>
      </c>
      <c r="AD765" s="39"/>
      <c r="AE765" s="7"/>
      <c r="AF765" s="15"/>
      <c r="AG765" s="71" t="b">
        <f t="shared" si="484"/>
        <v>1</v>
      </c>
      <c r="AI765" s="71">
        <f t="shared" si="485"/>
        <v>0</v>
      </c>
      <c r="AJ765" s="39"/>
      <c r="AK765" s="15"/>
      <c r="AL765" s="71" t="b">
        <f t="shared" si="486"/>
        <v>1</v>
      </c>
      <c r="AN765" s="65"/>
    </row>
    <row r="766" spans="2:40 16128:16147" ht="13" customHeight="1" thickBot="1">
      <c r="E766" s="120" t="s">
        <v>0</v>
      </c>
      <c r="F766" s="121" t="s">
        <v>53</v>
      </c>
      <c r="G766" s="121"/>
      <c r="H766" s="121"/>
      <c r="I766" s="121"/>
      <c r="J766" s="122">
        <f t="shared" ref="J766:Y766" si="496">SUM(J741:J765)</f>
        <v>0</v>
      </c>
      <c r="K766" s="122">
        <f t="shared" si="496"/>
        <v>0</v>
      </c>
      <c r="L766" s="122">
        <f t="shared" si="496"/>
        <v>0</v>
      </c>
      <c r="M766" s="122">
        <f t="shared" si="496"/>
        <v>0</v>
      </c>
      <c r="N766" s="122">
        <f t="shared" si="496"/>
        <v>0</v>
      </c>
      <c r="O766" s="122">
        <f t="shared" si="496"/>
        <v>0</v>
      </c>
      <c r="P766" s="122">
        <f t="shared" si="496"/>
        <v>0</v>
      </c>
      <c r="Q766" s="122">
        <f t="shared" si="496"/>
        <v>0</v>
      </c>
      <c r="R766" s="122">
        <f t="shared" si="496"/>
        <v>6</v>
      </c>
      <c r="S766" s="122">
        <f t="shared" si="496"/>
        <v>294490</v>
      </c>
      <c r="T766" s="122">
        <f t="shared" si="496"/>
        <v>6</v>
      </c>
      <c r="U766" s="122">
        <f t="shared" si="496"/>
        <v>294490</v>
      </c>
      <c r="V766" s="123">
        <f t="shared" si="496"/>
        <v>6</v>
      </c>
      <c r="W766" s="123">
        <f t="shared" si="496"/>
        <v>294490</v>
      </c>
      <c r="X766" s="122">
        <f t="shared" si="496"/>
        <v>0</v>
      </c>
      <c r="Y766" s="123">
        <f t="shared" si="496"/>
        <v>0</v>
      </c>
      <c r="AA766" s="65"/>
      <c r="AC766" s="122">
        <f>SUM(AC741:AC765)</f>
        <v>0</v>
      </c>
      <c r="AD766" s="122">
        <f>SUM(AD741:AD765)</f>
        <v>0</v>
      </c>
      <c r="AE766" s="122">
        <f>SUM(AE741:AE765)</f>
        <v>0</v>
      </c>
      <c r="AF766" s="123">
        <f>SUM(AF741:AF765)</f>
        <v>0</v>
      </c>
      <c r="AG766" s="100"/>
      <c r="AI766" s="122">
        <f>SUM(AI741:AI765)</f>
        <v>0</v>
      </c>
      <c r="AJ766" s="122">
        <f>SUM(AJ741:AJ765)</f>
        <v>0</v>
      </c>
      <c r="AK766" s="123">
        <f>SUM(AK741:AK765)</f>
        <v>0</v>
      </c>
      <c r="AL766" s="100"/>
      <c r="AN766" s="65"/>
    </row>
    <row r="767" spans="2:40 16128:16147" ht="13" thickBot="1">
      <c r="AA767" s="65"/>
      <c r="AN767" s="65"/>
    </row>
    <row r="768" spans="2:40 16128:16147" ht="41.25" customHeight="1" thickBot="1">
      <c r="B768" s="112" t="s">
        <v>4</v>
      </c>
      <c r="C768" s="34" t="s">
        <v>6</v>
      </c>
      <c r="D768" s="34" t="s">
        <v>7</v>
      </c>
      <c r="E768" s="34" t="s">
        <v>49</v>
      </c>
      <c r="F768" s="34" t="s">
        <v>50</v>
      </c>
      <c r="G768" s="34" t="s">
        <v>51</v>
      </c>
      <c r="H768" s="34" t="s">
        <v>52</v>
      </c>
      <c r="I768" s="34" t="s">
        <v>13</v>
      </c>
      <c r="J768" s="12" t="s">
        <v>8</v>
      </c>
      <c r="K768" s="12" t="s">
        <v>36</v>
      </c>
      <c r="L768" s="12" t="s">
        <v>9</v>
      </c>
      <c r="M768" s="12" t="s">
        <v>37</v>
      </c>
      <c r="N768" s="87" t="s">
        <v>10</v>
      </c>
      <c r="O768" s="88" t="s">
        <v>38</v>
      </c>
      <c r="P768" s="87" t="s">
        <v>11</v>
      </c>
      <c r="Q768" s="88" t="s">
        <v>39</v>
      </c>
      <c r="R768" s="87" t="s">
        <v>12</v>
      </c>
      <c r="S768" s="88" t="s">
        <v>40</v>
      </c>
      <c r="T768" s="64" t="s">
        <v>41</v>
      </c>
      <c r="U768" s="64" t="s">
        <v>42</v>
      </c>
      <c r="V768" s="35" t="s">
        <v>32</v>
      </c>
      <c r="W768" s="67" t="s">
        <v>35</v>
      </c>
      <c r="X768" s="12" t="s">
        <v>34</v>
      </c>
      <c r="Y768" s="68" t="s">
        <v>33</v>
      </c>
      <c r="AA768" s="66"/>
      <c r="AC768" s="12" t="s">
        <v>34</v>
      </c>
      <c r="AD768" s="12" t="s">
        <v>45</v>
      </c>
      <c r="AE768" s="12" t="s">
        <v>43</v>
      </c>
      <c r="AF768" s="12" t="s">
        <v>44</v>
      </c>
      <c r="AG768" s="12" t="s">
        <v>46</v>
      </c>
      <c r="AI768" s="12" t="s">
        <v>33</v>
      </c>
      <c r="AJ768" s="12" t="s">
        <v>47</v>
      </c>
      <c r="AK768" s="12" t="s">
        <v>48</v>
      </c>
      <c r="AL768" s="12" t="s">
        <v>46</v>
      </c>
      <c r="AN768" s="66"/>
      <c r="WVH768" s="1"/>
      <c r="WVI768" s="1"/>
      <c r="WVZ768"/>
      <c r="WWA768"/>
    </row>
    <row r="769" spans="2:40" ht="13" customHeight="1">
      <c r="B769" s="119" t="s">
        <v>85</v>
      </c>
      <c r="C769" s="24">
        <f>IF(D769&lt;=15,$C$1,$C$2)</f>
        <v>2026092</v>
      </c>
      <c r="D769" s="24">
        <v>28</v>
      </c>
      <c r="E769" s="127">
        <v>20</v>
      </c>
      <c r="F769" s="125" t="str">
        <f>VLOOKUP(E769,'Códigos bancos'!$B$4:$C$29,2,0)</f>
        <v>Bancolombia ENERBIT</v>
      </c>
      <c r="G769" s="18">
        <v>1</v>
      </c>
      <c r="H769" s="125" t="str">
        <f>VLOOKUP(G769,'Códigos bancos'!$F$4:$G$14,2,0)</f>
        <v>Oficinas</v>
      </c>
      <c r="I769" s="129"/>
      <c r="J769" s="213">
        <v>0</v>
      </c>
      <c r="K769" s="213">
        <v>0</v>
      </c>
      <c r="L769" s="213">
        <v>0</v>
      </c>
      <c r="M769" s="213">
        <v>0</v>
      </c>
      <c r="N769" s="213">
        <v>0</v>
      </c>
      <c r="O769" s="213">
        <v>0</v>
      </c>
      <c r="P769" s="213">
        <v>0</v>
      </c>
      <c r="Q769" s="213">
        <v>0</v>
      </c>
      <c r="R769" s="174">
        <v>11</v>
      </c>
      <c r="S769" s="215">
        <v>595260</v>
      </c>
      <c r="T769" s="70">
        <f>J769+L769+N769+P769+R769</f>
        <v>11</v>
      </c>
      <c r="U769" s="70">
        <f>K769+M769+O769+Q769+S769</f>
        <v>595260</v>
      </c>
      <c r="V769" s="116">
        <v>11</v>
      </c>
      <c r="W769" s="116">
        <v>595260</v>
      </c>
      <c r="X769" s="70">
        <f>V769-T769</f>
        <v>0</v>
      </c>
      <c r="Y769" s="70">
        <f>W769-U769</f>
        <v>0</v>
      </c>
      <c r="AA769" s="65"/>
      <c r="AC769" s="124">
        <f>X769</f>
        <v>0</v>
      </c>
      <c r="AD769" s="115"/>
      <c r="AE769" s="16"/>
      <c r="AF769" s="114"/>
      <c r="AG769" s="124" t="b">
        <f>AC769=(AD769+AE769+AF769)</f>
        <v>1</v>
      </c>
      <c r="AI769" s="70">
        <f>Y769</f>
        <v>0</v>
      </c>
      <c r="AJ769" s="115"/>
      <c r="AK769" s="114"/>
      <c r="AL769" s="70" t="b">
        <f>AI769=(AJ769+AK769)</f>
        <v>1</v>
      </c>
      <c r="AN769" s="65"/>
    </row>
    <row r="770" spans="2:40" ht="13" customHeight="1">
      <c r="B770" s="119"/>
      <c r="C770" s="23">
        <f t="shared" ref="C770:C793" si="497">IF(D770&lt;=15,$C$1,$C$2)</f>
        <v>2026092</v>
      </c>
      <c r="D770" s="23">
        <v>28</v>
      </c>
      <c r="E770" s="128">
        <v>0</v>
      </c>
      <c r="F770" s="126" t="e">
        <f>VLOOKUP(E770,'Códigos bancos'!$B$4:$C$29,2,0)</f>
        <v>#N/A</v>
      </c>
      <c r="G770" s="36">
        <v>1</v>
      </c>
      <c r="H770" s="126" t="str">
        <f>VLOOKUP(G770,'Códigos bancos'!$F$4:$G$14,2,0)</f>
        <v>Oficinas</v>
      </c>
      <c r="I770" s="130"/>
      <c r="J770" s="174">
        <v>0</v>
      </c>
      <c r="K770" s="174">
        <v>0</v>
      </c>
      <c r="L770" s="174">
        <v>0</v>
      </c>
      <c r="M770" s="174">
        <v>0</v>
      </c>
      <c r="N770" s="174">
        <v>0</v>
      </c>
      <c r="O770" s="174">
        <v>0</v>
      </c>
      <c r="P770" s="174">
        <v>0</v>
      </c>
      <c r="Q770" s="174">
        <v>0</v>
      </c>
      <c r="R770" s="174">
        <v>0</v>
      </c>
      <c r="S770" s="215">
        <v>0</v>
      </c>
      <c r="T770" s="71">
        <f t="shared" ref="T770:T793" si="498">J770+L770+N770+P770+R770</f>
        <v>0</v>
      </c>
      <c r="U770" s="71">
        <f t="shared" ref="U770:U793" si="499">K770+M770+O770+Q770+S770</f>
        <v>0</v>
      </c>
      <c r="V770" s="117">
        <v>0</v>
      </c>
      <c r="W770" s="117">
        <v>0</v>
      </c>
      <c r="X770" s="71">
        <f t="shared" ref="X770:X793" si="500">V770-T770</f>
        <v>0</v>
      </c>
      <c r="Y770" s="71">
        <f t="shared" ref="Y770:Y793" si="501">W770-U770</f>
        <v>0</v>
      </c>
      <c r="AA770" s="65"/>
      <c r="AC770" s="71">
        <f t="shared" ref="AC770:AC793" si="502">X770</f>
        <v>0</v>
      </c>
      <c r="AD770" s="39"/>
      <c r="AE770" s="7"/>
      <c r="AF770" s="15"/>
      <c r="AG770" s="71" t="b">
        <f t="shared" ref="AG770:AG793" si="503">AC770=(AD770+AE770+AF770)</f>
        <v>1</v>
      </c>
      <c r="AI770" s="71">
        <f t="shared" ref="AI770:AI793" si="504">Y770</f>
        <v>0</v>
      </c>
      <c r="AJ770" s="39"/>
      <c r="AK770" s="15"/>
      <c r="AL770" s="71" t="b">
        <f t="shared" ref="AL770:AL793" si="505">AI770=(AJ770+AK770)</f>
        <v>1</v>
      </c>
      <c r="AN770" s="65"/>
    </row>
    <row r="771" spans="2:40" ht="13" customHeight="1">
      <c r="B771" s="119"/>
      <c r="C771" s="23">
        <f t="shared" si="497"/>
        <v>2026092</v>
      </c>
      <c r="D771" s="23">
        <v>28</v>
      </c>
      <c r="E771" s="128">
        <v>0</v>
      </c>
      <c r="F771" s="126" t="e">
        <f>VLOOKUP(E771,'Códigos bancos'!$B$4:$C$29,2,0)</f>
        <v>#N/A</v>
      </c>
      <c r="G771" s="36">
        <v>1</v>
      </c>
      <c r="H771" s="126" t="str">
        <f>VLOOKUP(G771,'Códigos bancos'!$F$4:$G$14,2,0)</f>
        <v>Oficinas</v>
      </c>
      <c r="I771" s="130"/>
      <c r="J771" s="174">
        <v>0</v>
      </c>
      <c r="K771" s="174">
        <v>0</v>
      </c>
      <c r="L771" s="174">
        <v>0</v>
      </c>
      <c r="M771" s="174">
        <v>0</v>
      </c>
      <c r="N771" s="174">
        <v>0</v>
      </c>
      <c r="O771" s="174">
        <v>0</v>
      </c>
      <c r="P771" s="174">
        <v>0</v>
      </c>
      <c r="Q771" s="174">
        <v>0</v>
      </c>
      <c r="R771" s="174">
        <v>0</v>
      </c>
      <c r="S771" s="215">
        <v>0</v>
      </c>
      <c r="T771" s="71">
        <f t="shared" si="498"/>
        <v>0</v>
      </c>
      <c r="U771" s="71">
        <f t="shared" si="499"/>
        <v>0</v>
      </c>
      <c r="V771" s="117">
        <v>0</v>
      </c>
      <c r="W771" s="117">
        <v>0</v>
      </c>
      <c r="X771" s="71">
        <f t="shared" si="500"/>
        <v>0</v>
      </c>
      <c r="Y771" s="71">
        <f t="shared" si="501"/>
        <v>0</v>
      </c>
      <c r="AA771" s="65"/>
      <c r="AC771" s="71">
        <f t="shared" si="502"/>
        <v>0</v>
      </c>
      <c r="AD771" s="45"/>
      <c r="AE771" s="14"/>
      <c r="AF771" s="46"/>
      <c r="AG771" s="71" t="b">
        <f t="shared" si="503"/>
        <v>1</v>
      </c>
      <c r="AI771" s="71">
        <f t="shared" si="504"/>
        <v>0</v>
      </c>
      <c r="AJ771" s="45"/>
      <c r="AK771" s="46"/>
      <c r="AL771" s="71" t="b">
        <f t="shared" si="505"/>
        <v>1</v>
      </c>
      <c r="AN771" s="65"/>
    </row>
    <row r="772" spans="2:40" ht="13" customHeight="1">
      <c r="B772" s="119"/>
      <c r="C772" s="23">
        <f t="shared" si="497"/>
        <v>2026092</v>
      </c>
      <c r="D772" s="23">
        <v>28</v>
      </c>
      <c r="E772" s="128">
        <v>0</v>
      </c>
      <c r="F772" s="126" t="e">
        <f>VLOOKUP(E772,'Códigos bancos'!$B$4:$C$29,2,0)</f>
        <v>#N/A</v>
      </c>
      <c r="G772" s="36">
        <v>1</v>
      </c>
      <c r="H772" s="126" t="str">
        <f>VLOOKUP(G772,'Códigos bancos'!$F$4:$G$14,2,0)</f>
        <v>Oficinas</v>
      </c>
      <c r="I772" s="130"/>
      <c r="J772" s="174">
        <v>0</v>
      </c>
      <c r="K772" s="174">
        <v>0</v>
      </c>
      <c r="L772" s="174">
        <v>0</v>
      </c>
      <c r="M772" s="174">
        <v>0</v>
      </c>
      <c r="N772" s="174">
        <v>0</v>
      </c>
      <c r="O772" s="174">
        <v>0</v>
      </c>
      <c r="P772" s="174">
        <v>0</v>
      </c>
      <c r="Q772" s="174">
        <v>0</v>
      </c>
      <c r="R772" s="174">
        <v>0</v>
      </c>
      <c r="S772" s="215">
        <v>0</v>
      </c>
      <c r="T772" s="71">
        <f t="shared" si="498"/>
        <v>0</v>
      </c>
      <c r="U772" s="71">
        <f t="shared" si="499"/>
        <v>0</v>
      </c>
      <c r="V772" s="117">
        <v>0</v>
      </c>
      <c r="W772" s="117">
        <v>0</v>
      </c>
      <c r="X772" s="71">
        <f t="shared" si="500"/>
        <v>0</v>
      </c>
      <c r="Y772" s="71">
        <f t="shared" si="501"/>
        <v>0</v>
      </c>
      <c r="AA772" s="65"/>
      <c r="AC772" s="71">
        <f t="shared" si="502"/>
        <v>0</v>
      </c>
      <c r="AD772" s="39"/>
      <c r="AE772" s="7"/>
      <c r="AF772" s="15"/>
      <c r="AG772" s="71" t="b">
        <f t="shared" si="503"/>
        <v>1</v>
      </c>
      <c r="AI772" s="71">
        <f t="shared" si="504"/>
        <v>0</v>
      </c>
      <c r="AJ772" s="39"/>
      <c r="AK772" s="15"/>
      <c r="AL772" s="71" t="b">
        <f t="shared" si="505"/>
        <v>1</v>
      </c>
      <c r="AN772" s="65"/>
    </row>
    <row r="773" spans="2:40" ht="13" customHeight="1">
      <c r="B773" s="119"/>
      <c r="C773" s="23">
        <f t="shared" si="497"/>
        <v>2026092</v>
      </c>
      <c r="D773" s="23">
        <v>28</v>
      </c>
      <c r="E773" s="128">
        <v>0</v>
      </c>
      <c r="F773" s="126" t="e">
        <f>VLOOKUP(E773,'Códigos bancos'!$B$4:$C$29,2,0)</f>
        <v>#N/A</v>
      </c>
      <c r="G773" s="36">
        <v>1</v>
      </c>
      <c r="H773" s="126" t="str">
        <f>VLOOKUP(G773,'Códigos bancos'!$F$4:$G$14,2,0)</f>
        <v>Oficinas</v>
      </c>
      <c r="I773" s="130"/>
      <c r="J773" s="174">
        <v>0</v>
      </c>
      <c r="K773" s="174">
        <v>0</v>
      </c>
      <c r="L773" s="174">
        <v>0</v>
      </c>
      <c r="M773" s="174">
        <v>0</v>
      </c>
      <c r="N773" s="174">
        <v>0</v>
      </c>
      <c r="O773" s="174">
        <v>0</v>
      </c>
      <c r="P773" s="174">
        <v>0</v>
      </c>
      <c r="Q773" s="174">
        <v>0</v>
      </c>
      <c r="R773" s="174">
        <v>0</v>
      </c>
      <c r="S773" s="215">
        <v>0</v>
      </c>
      <c r="T773" s="71">
        <f t="shared" si="498"/>
        <v>0</v>
      </c>
      <c r="U773" s="71">
        <f t="shared" si="499"/>
        <v>0</v>
      </c>
      <c r="V773" s="117">
        <v>0</v>
      </c>
      <c r="W773" s="117">
        <v>0</v>
      </c>
      <c r="X773" s="71">
        <f t="shared" si="500"/>
        <v>0</v>
      </c>
      <c r="Y773" s="71">
        <f t="shared" si="501"/>
        <v>0</v>
      </c>
      <c r="AA773" s="65"/>
      <c r="AC773" s="71">
        <f t="shared" si="502"/>
        <v>0</v>
      </c>
      <c r="AD773" s="39"/>
      <c r="AE773" s="7"/>
      <c r="AF773" s="15"/>
      <c r="AG773" s="71" t="b">
        <f t="shared" si="503"/>
        <v>1</v>
      </c>
      <c r="AI773" s="71">
        <f t="shared" si="504"/>
        <v>0</v>
      </c>
      <c r="AJ773" s="39"/>
      <c r="AK773" s="15"/>
      <c r="AL773" s="71" t="b">
        <f t="shared" si="505"/>
        <v>1</v>
      </c>
      <c r="AN773" s="65"/>
    </row>
    <row r="774" spans="2:40" ht="13" customHeight="1">
      <c r="B774" s="119"/>
      <c r="C774" s="23">
        <f t="shared" si="497"/>
        <v>2026092</v>
      </c>
      <c r="D774" s="23">
        <v>28</v>
      </c>
      <c r="E774" s="128">
        <v>0</v>
      </c>
      <c r="F774" s="126" t="e">
        <f>VLOOKUP(E774,'Códigos bancos'!$B$4:$C$29,2,0)</f>
        <v>#N/A</v>
      </c>
      <c r="G774" s="36">
        <v>1</v>
      </c>
      <c r="H774" s="126" t="str">
        <f>VLOOKUP(G774,'Códigos bancos'!$F$4:$G$14,2,0)</f>
        <v>Oficinas</v>
      </c>
      <c r="I774" s="130"/>
      <c r="J774" s="174">
        <v>0</v>
      </c>
      <c r="K774" s="174">
        <v>0</v>
      </c>
      <c r="L774" s="174">
        <v>0</v>
      </c>
      <c r="M774" s="174">
        <v>0</v>
      </c>
      <c r="N774" s="174">
        <v>0</v>
      </c>
      <c r="O774" s="174">
        <v>0</v>
      </c>
      <c r="P774" s="174">
        <v>0</v>
      </c>
      <c r="Q774" s="174">
        <v>0</v>
      </c>
      <c r="R774" s="174">
        <v>0</v>
      </c>
      <c r="S774" s="215">
        <v>0</v>
      </c>
      <c r="T774" s="71">
        <f t="shared" si="498"/>
        <v>0</v>
      </c>
      <c r="U774" s="71">
        <f t="shared" si="499"/>
        <v>0</v>
      </c>
      <c r="V774" s="117">
        <v>0</v>
      </c>
      <c r="W774" s="117">
        <v>0</v>
      </c>
      <c r="X774" s="71">
        <f t="shared" si="500"/>
        <v>0</v>
      </c>
      <c r="Y774" s="71">
        <f t="shared" si="501"/>
        <v>0</v>
      </c>
      <c r="AA774" s="65"/>
      <c r="AC774" s="71">
        <f t="shared" si="502"/>
        <v>0</v>
      </c>
      <c r="AD774" s="39"/>
      <c r="AE774" s="7"/>
      <c r="AF774" s="15"/>
      <c r="AG774" s="71" t="b">
        <f t="shared" si="503"/>
        <v>1</v>
      </c>
      <c r="AI774" s="71">
        <f t="shared" si="504"/>
        <v>0</v>
      </c>
      <c r="AJ774" s="39"/>
      <c r="AK774" s="15"/>
      <c r="AL774" s="71" t="b">
        <f t="shared" si="505"/>
        <v>1</v>
      </c>
      <c r="AN774" s="65"/>
    </row>
    <row r="775" spans="2:40" ht="13" customHeight="1">
      <c r="B775" s="119"/>
      <c r="C775" s="23">
        <f t="shared" si="497"/>
        <v>2026092</v>
      </c>
      <c r="D775" s="23">
        <v>28</v>
      </c>
      <c r="E775" s="128">
        <v>0</v>
      </c>
      <c r="F775" s="126" t="e">
        <f>VLOOKUP(E775,'Códigos bancos'!$B$4:$C$29,2,0)</f>
        <v>#N/A</v>
      </c>
      <c r="G775" s="36">
        <v>1</v>
      </c>
      <c r="H775" s="126" t="str">
        <f>VLOOKUP(G775,'Códigos bancos'!$F$4:$G$14,2,0)</f>
        <v>Oficinas</v>
      </c>
      <c r="I775" s="130"/>
      <c r="J775" s="174">
        <v>0</v>
      </c>
      <c r="K775" s="174">
        <v>0</v>
      </c>
      <c r="L775" s="174">
        <v>0</v>
      </c>
      <c r="M775" s="174">
        <v>0</v>
      </c>
      <c r="N775" s="174">
        <v>0</v>
      </c>
      <c r="O775" s="174">
        <v>0</v>
      </c>
      <c r="P775" s="174">
        <v>0</v>
      </c>
      <c r="Q775" s="174">
        <v>0</v>
      </c>
      <c r="R775" s="174">
        <v>0</v>
      </c>
      <c r="S775" s="215">
        <v>0</v>
      </c>
      <c r="T775" s="71">
        <f t="shared" si="498"/>
        <v>0</v>
      </c>
      <c r="U775" s="71">
        <f t="shared" si="499"/>
        <v>0</v>
      </c>
      <c r="V775" s="117">
        <v>0</v>
      </c>
      <c r="W775" s="117">
        <v>0</v>
      </c>
      <c r="X775" s="71">
        <f t="shared" si="500"/>
        <v>0</v>
      </c>
      <c r="Y775" s="71">
        <f t="shared" si="501"/>
        <v>0</v>
      </c>
      <c r="AA775" s="65"/>
      <c r="AC775" s="71">
        <f t="shared" si="502"/>
        <v>0</v>
      </c>
      <c r="AD775" s="39"/>
      <c r="AE775" s="7"/>
      <c r="AF775" s="15"/>
      <c r="AG775" s="71" t="b">
        <f t="shared" si="503"/>
        <v>1</v>
      </c>
      <c r="AI775" s="71">
        <f t="shared" si="504"/>
        <v>0</v>
      </c>
      <c r="AJ775" s="39"/>
      <c r="AK775" s="15"/>
      <c r="AL775" s="71" t="b">
        <f t="shared" si="505"/>
        <v>1</v>
      </c>
      <c r="AN775" s="65"/>
    </row>
    <row r="776" spans="2:40" ht="13" customHeight="1">
      <c r="B776" s="119"/>
      <c r="C776" s="23">
        <f t="shared" si="497"/>
        <v>2026092</v>
      </c>
      <c r="D776" s="23">
        <v>28</v>
      </c>
      <c r="E776" s="128">
        <v>0</v>
      </c>
      <c r="F776" s="126" t="e">
        <f>VLOOKUP(E776,'Códigos bancos'!$B$4:$C$29,2,0)</f>
        <v>#N/A</v>
      </c>
      <c r="G776" s="36">
        <v>1</v>
      </c>
      <c r="H776" s="126" t="str">
        <f>VLOOKUP(G776,'Códigos bancos'!$F$4:$G$14,2,0)</f>
        <v>Oficinas</v>
      </c>
      <c r="I776" s="130"/>
      <c r="J776" s="174">
        <v>0</v>
      </c>
      <c r="K776" s="174">
        <v>0</v>
      </c>
      <c r="L776" s="174">
        <v>0</v>
      </c>
      <c r="M776" s="174">
        <v>0</v>
      </c>
      <c r="N776" s="174">
        <v>0</v>
      </c>
      <c r="O776" s="174">
        <v>0</v>
      </c>
      <c r="P776" s="174">
        <v>0</v>
      </c>
      <c r="Q776" s="174">
        <v>0</v>
      </c>
      <c r="R776" s="174">
        <v>0</v>
      </c>
      <c r="S776" s="215">
        <v>0</v>
      </c>
      <c r="T776" s="71">
        <f t="shared" si="498"/>
        <v>0</v>
      </c>
      <c r="U776" s="71">
        <f t="shared" si="499"/>
        <v>0</v>
      </c>
      <c r="V776" s="117">
        <v>0</v>
      </c>
      <c r="W776" s="117">
        <v>0</v>
      </c>
      <c r="X776" s="71">
        <f t="shared" si="500"/>
        <v>0</v>
      </c>
      <c r="Y776" s="71">
        <f t="shared" si="501"/>
        <v>0</v>
      </c>
      <c r="AA776" s="65"/>
      <c r="AC776" s="71">
        <f t="shared" si="502"/>
        <v>0</v>
      </c>
      <c r="AD776" s="39"/>
      <c r="AE776" s="7"/>
      <c r="AF776" s="15"/>
      <c r="AG776" s="71" t="b">
        <f t="shared" si="503"/>
        <v>1</v>
      </c>
      <c r="AI776" s="71">
        <f t="shared" si="504"/>
        <v>0</v>
      </c>
      <c r="AJ776" s="39"/>
      <c r="AK776" s="15"/>
      <c r="AL776" s="71" t="b">
        <f t="shared" si="505"/>
        <v>1</v>
      </c>
      <c r="AN776" s="65"/>
    </row>
    <row r="777" spans="2:40" ht="13" customHeight="1">
      <c r="B777" s="119"/>
      <c r="C777" s="23">
        <f t="shared" si="497"/>
        <v>2026092</v>
      </c>
      <c r="D777" s="23">
        <v>28</v>
      </c>
      <c r="E777" s="128">
        <v>0</v>
      </c>
      <c r="F777" s="126" t="e">
        <f>VLOOKUP(E777,'Códigos bancos'!$B$4:$C$29,2,0)</f>
        <v>#N/A</v>
      </c>
      <c r="G777" s="36">
        <v>1</v>
      </c>
      <c r="H777" s="126" t="str">
        <f>VLOOKUP(G777,'Códigos bancos'!$F$4:$G$14,2,0)</f>
        <v>Oficinas</v>
      </c>
      <c r="I777" s="130"/>
      <c r="J777" s="174">
        <v>0</v>
      </c>
      <c r="K777" s="174">
        <v>0</v>
      </c>
      <c r="L777" s="174">
        <v>0</v>
      </c>
      <c r="M777" s="174">
        <v>0</v>
      </c>
      <c r="N777" s="174">
        <v>0</v>
      </c>
      <c r="O777" s="174">
        <v>0</v>
      </c>
      <c r="P777" s="174">
        <v>0</v>
      </c>
      <c r="Q777" s="174">
        <v>0</v>
      </c>
      <c r="R777" s="174">
        <v>0</v>
      </c>
      <c r="S777" s="215">
        <v>0</v>
      </c>
      <c r="T777" s="71">
        <f t="shared" si="498"/>
        <v>0</v>
      </c>
      <c r="U777" s="71">
        <f t="shared" si="499"/>
        <v>0</v>
      </c>
      <c r="V777" s="117">
        <v>0</v>
      </c>
      <c r="W777" s="117">
        <v>0</v>
      </c>
      <c r="X777" s="71">
        <f t="shared" si="500"/>
        <v>0</v>
      </c>
      <c r="Y777" s="71">
        <f t="shared" si="501"/>
        <v>0</v>
      </c>
      <c r="AA777" s="65"/>
      <c r="AC777" s="71">
        <f t="shared" si="502"/>
        <v>0</v>
      </c>
      <c r="AD777" s="39"/>
      <c r="AE777" s="7"/>
      <c r="AF777" s="15"/>
      <c r="AG777" s="71" t="b">
        <f t="shared" si="503"/>
        <v>1</v>
      </c>
      <c r="AI777" s="71">
        <f t="shared" si="504"/>
        <v>0</v>
      </c>
      <c r="AJ777" s="39"/>
      <c r="AK777" s="15"/>
      <c r="AL777" s="71" t="b">
        <f t="shared" si="505"/>
        <v>1</v>
      </c>
      <c r="AN777" s="65"/>
    </row>
    <row r="778" spans="2:40" ht="13" customHeight="1">
      <c r="B778" s="119"/>
      <c r="C778" s="23">
        <f t="shared" si="497"/>
        <v>2026092</v>
      </c>
      <c r="D778" s="23">
        <v>28</v>
      </c>
      <c r="E778" s="128">
        <v>0</v>
      </c>
      <c r="F778" s="126" t="e">
        <f>VLOOKUP(E778,'Códigos bancos'!$B$4:$C$29,2,0)</f>
        <v>#N/A</v>
      </c>
      <c r="G778" s="36">
        <v>1</v>
      </c>
      <c r="H778" s="126" t="str">
        <f>VLOOKUP(G778,'Códigos bancos'!$F$4:$G$14,2,0)</f>
        <v>Oficinas</v>
      </c>
      <c r="I778" s="130"/>
      <c r="J778" s="174">
        <v>0</v>
      </c>
      <c r="K778" s="174">
        <v>0</v>
      </c>
      <c r="L778" s="174">
        <v>0</v>
      </c>
      <c r="M778" s="174">
        <v>0</v>
      </c>
      <c r="N778" s="174">
        <v>0</v>
      </c>
      <c r="O778" s="174">
        <v>0</v>
      </c>
      <c r="P778" s="174">
        <v>0</v>
      </c>
      <c r="Q778" s="174">
        <v>0</v>
      </c>
      <c r="R778" s="174">
        <v>0</v>
      </c>
      <c r="S778" s="215">
        <v>0</v>
      </c>
      <c r="T778" s="71">
        <f t="shared" si="498"/>
        <v>0</v>
      </c>
      <c r="U778" s="71">
        <f t="shared" si="499"/>
        <v>0</v>
      </c>
      <c r="V778" s="117">
        <v>0</v>
      </c>
      <c r="W778" s="117">
        <v>0</v>
      </c>
      <c r="X778" s="71">
        <f t="shared" si="500"/>
        <v>0</v>
      </c>
      <c r="Y778" s="71">
        <f t="shared" si="501"/>
        <v>0</v>
      </c>
      <c r="AA778" s="65"/>
      <c r="AC778" s="71">
        <f t="shared" si="502"/>
        <v>0</v>
      </c>
      <c r="AD778" s="39"/>
      <c r="AE778" s="7"/>
      <c r="AF778" s="15"/>
      <c r="AG778" s="71" t="b">
        <f t="shared" si="503"/>
        <v>1</v>
      </c>
      <c r="AI778" s="71">
        <f t="shared" si="504"/>
        <v>0</v>
      </c>
      <c r="AJ778" s="39"/>
      <c r="AK778" s="15"/>
      <c r="AL778" s="71" t="b">
        <f t="shared" si="505"/>
        <v>1</v>
      </c>
      <c r="AN778" s="65"/>
    </row>
    <row r="779" spans="2:40" ht="13" customHeight="1">
      <c r="B779" s="119"/>
      <c r="C779" s="23">
        <f t="shared" si="497"/>
        <v>2026092</v>
      </c>
      <c r="D779" s="23">
        <v>28</v>
      </c>
      <c r="E779" s="128">
        <v>0</v>
      </c>
      <c r="F779" s="126" t="e">
        <f>VLOOKUP(E779,'Códigos bancos'!$B$4:$C$29,2,0)</f>
        <v>#N/A</v>
      </c>
      <c r="G779" s="36">
        <v>1</v>
      </c>
      <c r="H779" s="126" t="str">
        <f>VLOOKUP(G779,'Códigos bancos'!$F$4:$G$14,2,0)</f>
        <v>Oficinas</v>
      </c>
      <c r="I779" s="130"/>
      <c r="J779" s="174">
        <v>0</v>
      </c>
      <c r="K779" s="174">
        <v>0</v>
      </c>
      <c r="L779" s="174">
        <v>0</v>
      </c>
      <c r="M779" s="174">
        <v>0</v>
      </c>
      <c r="N779" s="174">
        <v>0</v>
      </c>
      <c r="O779" s="174">
        <v>0</v>
      </c>
      <c r="P779" s="174">
        <v>0</v>
      </c>
      <c r="Q779" s="174">
        <v>0</v>
      </c>
      <c r="R779" s="174">
        <v>0</v>
      </c>
      <c r="S779" s="215">
        <v>0</v>
      </c>
      <c r="T779" s="71">
        <f t="shared" si="498"/>
        <v>0</v>
      </c>
      <c r="U779" s="71">
        <f t="shared" si="499"/>
        <v>0</v>
      </c>
      <c r="V779" s="117">
        <v>0</v>
      </c>
      <c r="W779" s="117">
        <v>0</v>
      </c>
      <c r="X779" s="71">
        <f t="shared" si="500"/>
        <v>0</v>
      </c>
      <c r="Y779" s="71">
        <f t="shared" si="501"/>
        <v>0</v>
      </c>
      <c r="AA779" s="65"/>
      <c r="AC779" s="71">
        <f t="shared" si="502"/>
        <v>0</v>
      </c>
      <c r="AD779" s="39"/>
      <c r="AE779" s="7"/>
      <c r="AF779" s="15"/>
      <c r="AG779" s="71" t="b">
        <f t="shared" si="503"/>
        <v>1</v>
      </c>
      <c r="AI779" s="71">
        <f t="shared" si="504"/>
        <v>0</v>
      </c>
      <c r="AJ779" s="39"/>
      <c r="AK779" s="15"/>
      <c r="AL779" s="71" t="b">
        <f t="shared" si="505"/>
        <v>1</v>
      </c>
      <c r="AN779" s="65"/>
    </row>
    <row r="780" spans="2:40" ht="13" customHeight="1">
      <c r="B780" s="119"/>
      <c r="C780" s="23">
        <f t="shared" si="497"/>
        <v>2026092</v>
      </c>
      <c r="D780" s="23">
        <v>28</v>
      </c>
      <c r="E780" s="128">
        <v>0</v>
      </c>
      <c r="F780" s="126" t="e">
        <f>VLOOKUP(E780,'Códigos bancos'!$B$4:$C$29,2,0)</f>
        <v>#N/A</v>
      </c>
      <c r="G780" s="36">
        <v>1</v>
      </c>
      <c r="H780" s="126" t="str">
        <f>VLOOKUP(G780,'Códigos bancos'!$F$4:$G$14,2,0)</f>
        <v>Oficinas</v>
      </c>
      <c r="I780" s="130"/>
      <c r="J780" s="174">
        <v>0</v>
      </c>
      <c r="K780" s="174">
        <v>0</v>
      </c>
      <c r="L780" s="174">
        <v>0</v>
      </c>
      <c r="M780" s="174">
        <v>0</v>
      </c>
      <c r="N780" s="174">
        <v>0</v>
      </c>
      <c r="O780" s="174">
        <v>0</v>
      </c>
      <c r="P780" s="174">
        <v>0</v>
      </c>
      <c r="Q780" s="174">
        <v>0</v>
      </c>
      <c r="R780" s="174">
        <v>0</v>
      </c>
      <c r="S780" s="215">
        <v>0</v>
      </c>
      <c r="T780" s="71">
        <f t="shared" si="498"/>
        <v>0</v>
      </c>
      <c r="U780" s="71">
        <f t="shared" si="499"/>
        <v>0</v>
      </c>
      <c r="V780" s="117">
        <v>0</v>
      </c>
      <c r="W780" s="117">
        <v>0</v>
      </c>
      <c r="X780" s="71">
        <f t="shared" si="500"/>
        <v>0</v>
      </c>
      <c r="Y780" s="71">
        <f t="shared" si="501"/>
        <v>0</v>
      </c>
      <c r="AA780" s="65"/>
      <c r="AC780" s="71">
        <f t="shared" si="502"/>
        <v>0</v>
      </c>
      <c r="AD780" s="39"/>
      <c r="AE780" s="7"/>
      <c r="AF780" s="15"/>
      <c r="AG780" s="71" t="b">
        <f t="shared" si="503"/>
        <v>1</v>
      </c>
      <c r="AI780" s="71">
        <f t="shared" si="504"/>
        <v>0</v>
      </c>
      <c r="AJ780" s="39"/>
      <c r="AK780" s="15"/>
      <c r="AL780" s="71" t="b">
        <f t="shared" si="505"/>
        <v>1</v>
      </c>
      <c r="AN780" s="65"/>
    </row>
    <row r="781" spans="2:40" ht="13" customHeight="1">
      <c r="B781" s="119"/>
      <c r="C781" s="23">
        <f t="shared" si="497"/>
        <v>2026092</v>
      </c>
      <c r="D781" s="23">
        <v>28</v>
      </c>
      <c r="E781" s="128">
        <v>0</v>
      </c>
      <c r="F781" s="126" t="e">
        <f>VLOOKUP(E781,'Códigos bancos'!$B$4:$C$29,2,0)</f>
        <v>#N/A</v>
      </c>
      <c r="G781" s="36">
        <v>1</v>
      </c>
      <c r="H781" s="126" t="str">
        <f>VLOOKUP(G781,'Códigos bancos'!$F$4:$G$14,2,0)</f>
        <v>Oficinas</v>
      </c>
      <c r="I781" s="130"/>
      <c r="J781" s="174">
        <v>0</v>
      </c>
      <c r="K781" s="174">
        <v>0</v>
      </c>
      <c r="L781" s="174">
        <v>0</v>
      </c>
      <c r="M781" s="174">
        <v>0</v>
      </c>
      <c r="N781" s="174">
        <v>0</v>
      </c>
      <c r="O781" s="174">
        <v>0</v>
      </c>
      <c r="P781" s="174">
        <v>0</v>
      </c>
      <c r="Q781" s="174">
        <v>0</v>
      </c>
      <c r="R781" s="174">
        <v>0</v>
      </c>
      <c r="S781" s="215">
        <v>0</v>
      </c>
      <c r="T781" s="71">
        <f t="shared" si="498"/>
        <v>0</v>
      </c>
      <c r="U781" s="71">
        <f t="shared" si="499"/>
        <v>0</v>
      </c>
      <c r="V781" s="117">
        <v>0</v>
      </c>
      <c r="W781" s="117">
        <v>0</v>
      </c>
      <c r="X781" s="71">
        <f t="shared" si="500"/>
        <v>0</v>
      </c>
      <c r="Y781" s="71">
        <f t="shared" si="501"/>
        <v>0</v>
      </c>
      <c r="AA781" s="65"/>
      <c r="AC781" s="71">
        <f t="shared" si="502"/>
        <v>0</v>
      </c>
      <c r="AD781" s="39"/>
      <c r="AE781" s="7"/>
      <c r="AF781" s="15"/>
      <c r="AG781" s="71" t="b">
        <f t="shared" si="503"/>
        <v>1</v>
      </c>
      <c r="AI781" s="71">
        <f t="shared" si="504"/>
        <v>0</v>
      </c>
      <c r="AJ781" s="39"/>
      <c r="AK781" s="15"/>
      <c r="AL781" s="71" t="b">
        <f t="shared" si="505"/>
        <v>1</v>
      </c>
      <c r="AN781" s="65"/>
    </row>
    <row r="782" spans="2:40" ht="13" customHeight="1">
      <c r="B782" s="119"/>
      <c r="C782" s="159">
        <f t="shared" si="497"/>
        <v>2026092</v>
      </c>
      <c r="D782" s="23">
        <v>28</v>
      </c>
      <c r="E782" s="128">
        <v>0</v>
      </c>
      <c r="F782" s="126" t="e">
        <f>VLOOKUP(E782,'Códigos bancos'!$B$4:$C$29,2,0)</f>
        <v>#N/A</v>
      </c>
      <c r="G782" s="36">
        <v>1</v>
      </c>
      <c r="H782" s="126" t="str">
        <f>VLOOKUP(G782,'Códigos bancos'!$F$4:$G$14,2,0)</f>
        <v>Oficinas</v>
      </c>
      <c r="I782" s="130"/>
      <c r="J782" s="174">
        <v>0</v>
      </c>
      <c r="K782" s="174">
        <v>0</v>
      </c>
      <c r="L782" s="174">
        <v>0</v>
      </c>
      <c r="M782" s="174">
        <v>0</v>
      </c>
      <c r="N782" s="174">
        <v>0</v>
      </c>
      <c r="O782" s="174">
        <v>0</v>
      </c>
      <c r="P782" s="174">
        <v>0</v>
      </c>
      <c r="Q782" s="174">
        <v>0</v>
      </c>
      <c r="R782" s="174">
        <v>0</v>
      </c>
      <c r="S782" s="215">
        <v>0</v>
      </c>
      <c r="T782" s="71">
        <f t="shared" si="498"/>
        <v>0</v>
      </c>
      <c r="U782" s="71">
        <f t="shared" si="499"/>
        <v>0</v>
      </c>
      <c r="V782" s="117">
        <v>0</v>
      </c>
      <c r="W782" s="117">
        <v>0</v>
      </c>
      <c r="X782" s="71">
        <f t="shared" si="500"/>
        <v>0</v>
      </c>
      <c r="Y782" s="71">
        <f t="shared" si="501"/>
        <v>0</v>
      </c>
      <c r="AA782" s="65"/>
      <c r="AC782" s="71">
        <f t="shared" si="502"/>
        <v>0</v>
      </c>
      <c r="AD782" s="39"/>
      <c r="AE782" s="7"/>
      <c r="AF782" s="15"/>
      <c r="AG782" s="71" t="b">
        <f t="shared" si="503"/>
        <v>1</v>
      </c>
      <c r="AI782" s="71">
        <f t="shared" si="504"/>
        <v>0</v>
      </c>
      <c r="AJ782" s="39"/>
      <c r="AK782" s="15"/>
      <c r="AL782" s="71" t="b">
        <f t="shared" si="505"/>
        <v>1</v>
      </c>
      <c r="AN782" s="65"/>
    </row>
    <row r="783" spans="2:40" ht="13" customHeight="1">
      <c r="B783" s="119"/>
      <c r="C783" s="23">
        <f t="shared" si="497"/>
        <v>2026092</v>
      </c>
      <c r="D783" s="23">
        <v>28</v>
      </c>
      <c r="E783" s="128">
        <v>0</v>
      </c>
      <c r="F783" s="126" t="e">
        <f>VLOOKUP(E783,'Códigos bancos'!$B$4:$C$29,2,0)</f>
        <v>#N/A</v>
      </c>
      <c r="G783" s="36">
        <v>1</v>
      </c>
      <c r="H783" s="126" t="str">
        <f>VLOOKUP(G783,'Códigos bancos'!$F$4:$G$14,2,0)</f>
        <v>Oficinas</v>
      </c>
      <c r="I783" s="130"/>
      <c r="J783" s="174">
        <v>0</v>
      </c>
      <c r="K783" s="174">
        <v>0</v>
      </c>
      <c r="L783" s="174">
        <v>0</v>
      </c>
      <c r="M783" s="174">
        <v>0</v>
      </c>
      <c r="N783" s="174">
        <v>0</v>
      </c>
      <c r="O783" s="174">
        <v>0</v>
      </c>
      <c r="P783" s="174">
        <v>0</v>
      </c>
      <c r="Q783" s="174">
        <v>0</v>
      </c>
      <c r="R783" s="174">
        <v>0</v>
      </c>
      <c r="S783" s="215">
        <v>0</v>
      </c>
      <c r="T783" s="71">
        <f t="shared" si="498"/>
        <v>0</v>
      </c>
      <c r="U783" s="71">
        <f t="shared" si="499"/>
        <v>0</v>
      </c>
      <c r="V783" s="117">
        <v>0</v>
      </c>
      <c r="W783" s="117">
        <v>0</v>
      </c>
      <c r="X783" s="71">
        <f t="shared" si="500"/>
        <v>0</v>
      </c>
      <c r="Y783" s="71">
        <f t="shared" si="501"/>
        <v>0</v>
      </c>
      <c r="AA783" s="65"/>
      <c r="AC783" s="71">
        <f t="shared" si="502"/>
        <v>0</v>
      </c>
      <c r="AD783" s="39"/>
      <c r="AE783" s="7"/>
      <c r="AF783" s="15"/>
      <c r="AG783" s="71" t="b">
        <f t="shared" si="503"/>
        <v>1</v>
      </c>
      <c r="AI783" s="71">
        <f t="shared" si="504"/>
        <v>0</v>
      </c>
      <c r="AJ783" s="39"/>
      <c r="AK783" s="15"/>
      <c r="AL783" s="71" t="b">
        <f t="shared" si="505"/>
        <v>1</v>
      </c>
      <c r="AN783" s="65"/>
    </row>
    <row r="784" spans="2:40" ht="13" customHeight="1">
      <c r="B784" s="119"/>
      <c r="C784" s="23">
        <f t="shared" si="497"/>
        <v>2026092</v>
      </c>
      <c r="D784" s="23">
        <v>28</v>
      </c>
      <c r="E784" s="128">
        <v>0</v>
      </c>
      <c r="F784" s="126" t="e">
        <f>VLOOKUP(E784,'Códigos bancos'!$B$4:$C$29,2,0)</f>
        <v>#N/A</v>
      </c>
      <c r="G784" s="36">
        <v>1</v>
      </c>
      <c r="H784" s="126" t="str">
        <f>VLOOKUP(G784,'Códigos bancos'!$F$4:$G$14,2,0)</f>
        <v>Oficinas</v>
      </c>
      <c r="I784" s="130"/>
      <c r="J784" s="174">
        <v>0</v>
      </c>
      <c r="K784" s="174">
        <v>0</v>
      </c>
      <c r="L784" s="174">
        <v>0</v>
      </c>
      <c r="M784" s="174">
        <v>0</v>
      </c>
      <c r="N784" s="174">
        <v>0</v>
      </c>
      <c r="O784" s="174">
        <v>0</v>
      </c>
      <c r="P784" s="174">
        <v>0</v>
      </c>
      <c r="Q784" s="174">
        <v>0</v>
      </c>
      <c r="R784" s="174">
        <v>0</v>
      </c>
      <c r="S784" s="215">
        <v>0</v>
      </c>
      <c r="T784" s="71">
        <f t="shared" si="498"/>
        <v>0</v>
      </c>
      <c r="U784" s="71">
        <f t="shared" si="499"/>
        <v>0</v>
      </c>
      <c r="V784" s="117">
        <v>0</v>
      </c>
      <c r="W784" s="117">
        <v>0</v>
      </c>
      <c r="X784" s="71">
        <f t="shared" si="500"/>
        <v>0</v>
      </c>
      <c r="Y784" s="71">
        <f t="shared" si="501"/>
        <v>0</v>
      </c>
      <c r="AA784" s="65"/>
      <c r="AC784" s="71">
        <f t="shared" si="502"/>
        <v>0</v>
      </c>
      <c r="AD784" s="39"/>
      <c r="AE784" s="7"/>
      <c r="AF784" s="15"/>
      <c r="AG784" s="71" t="b">
        <f t="shared" si="503"/>
        <v>1</v>
      </c>
      <c r="AI784" s="71">
        <f t="shared" si="504"/>
        <v>0</v>
      </c>
      <c r="AJ784" s="39"/>
      <c r="AK784" s="15"/>
      <c r="AL784" s="71" t="b">
        <f t="shared" si="505"/>
        <v>1</v>
      </c>
      <c r="AN784" s="65"/>
    </row>
    <row r="785" spans="2:40 16128:16147" ht="13" customHeight="1">
      <c r="B785" s="119"/>
      <c r="C785" s="23">
        <f t="shared" si="497"/>
        <v>2026092</v>
      </c>
      <c r="D785" s="23">
        <v>28</v>
      </c>
      <c r="E785" s="128">
        <v>0</v>
      </c>
      <c r="F785" s="126" t="e">
        <f>VLOOKUP(E785,'Códigos bancos'!$B$4:$C$29,2,0)</f>
        <v>#N/A</v>
      </c>
      <c r="G785" s="36">
        <v>1</v>
      </c>
      <c r="H785" s="126" t="str">
        <f>VLOOKUP(G785,'Códigos bancos'!$F$4:$G$14,2,0)</f>
        <v>Oficinas</v>
      </c>
      <c r="I785" s="130"/>
      <c r="J785" s="174">
        <v>0</v>
      </c>
      <c r="K785" s="174">
        <v>0</v>
      </c>
      <c r="L785" s="174">
        <v>0</v>
      </c>
      <c r="M785" s="174">
        <v>0</v>
      </c>
      <c r="N785" s="174">
        <v>0</v>
      </c>
      <c r="O785" s="174">
        <v>0</v>
      </c>
      <c r="P785" s="174">
        <v>0</v>
      </c>
      <c r="Q785" s="174">
        <v>0</v>
      </c>
      <c r="R785" s="174">
        <v>0</v>
      </c>
      <c r="S785" s="215">
        <v>0</v>
      </c>
      <c r="T785" s="71">
        <f t="shared" si="498"/>
        <v>0</v>
      </c>
      <c r="U785" s="71">
        <f t="shared" si="499"/>
        <v>0</v>
      </c>
      <c r="V785" s="117">
        <v>0</v>
      </c>
      <c r="W785" s="117">
        <v>0</v>
      </c>
      <c r="X785" s="71">
        <f t="shared" si="500"/>
        <v>0</v>
      </c>
      <c r="Y785" s="71">
        <f t="shared" si="501"/>
        <v>0</v>
      </c>
      <c r="AA785" s="65"/>
      <c r="AC785" s="71">
        <f t="shared" si="502"/>
        <v>0</v>
      </c>
      <c r="AD785" s="39"/>
      <c r="AE785" s="7"/>
      <c r="AF785" s="15"/>
      <c r="AG785" s="71" t="b">
        <f t="shared" si="503"/>
        <v>1</v>
      </c>
      <c r="AI785" s="71">
        <f t="shared" si="504"/>
        <v>0</v>
      </c>
      <c r="AJ785" s="39"/>
      <c r="AK785" s="15"/>
      <c r="AL785" s="71" t="b">
        <f t="shared" si="505"/>
        <v>1</v>
      </c>
      <c r="AN785" s="65"/>
    </row>
    <row r="786" spans="2:40 16128:16147" ht="13" customHeight="1">
      <c r="B786" s="119"/>
      <c r="C786" s="23">
        <f t="shared" si="497"/>
        <v>2026092</v>
      </c>
      <c r="D786" s="23">
        <v>28</v>
      </c>
      <c r="E786" s="128">
        <v>0</v>
      </c>
      <c r="F786" s="126" t="e">
        <f>VLOOKUP(E786,'Códigos bancos'!$B$4:$C$29,2,0)</f>
        <v>#N/A</v>
      </c>
      <c r="G786" s="36">
        <v>1</v>
      </c>
      <c r="H786" s="126" t="str">
        <f>VLOOKUP(G786,'Códigos bancos'!$F$4:$G$14,2,0)</f>
        <v>Oficinas</v>
      </c>
      <c r="I786" s="130"/>
      <c r="J786" s="174">
        <v>0</v>
      </c>
      <c r="K786" s="174">
        <v>0</v>
      </c>
      <c r="L786" s="174">
        <v>0</v>
      </c>
      <c r="M786" s="174">
        <v>0</v>
      </c>
      <c r="N786" s="174">
        <v>0</v>
      </c>
      <c r="O786" s="174">
        <v>0</v>
      </c>
      <c r="P786" s="174">
        <v>0</v>
      </c>
      <c r="Q786" s="174">
        <v>0</v>
      </c>
      <c r="R786" s="174">
        <v>0</v>
      </c>
      <c r="S786" s="215">
        <v>0</v>
      </c>
      <c r="T786" s="71">
        <f t="shared" si="498"/>
        <v>0</v>
      </c>
      <c r="U786" s="71">
        <f t="shared" si="499"/>
        <v>0</v>
      </c>
      <c r="V786" s="117">
        <v>0</v>
      </c>
      <c r="W786" s="117">
        <v>0</v>
      </c>
      <c r="X786" s="71">
        <f t="shared" si="500"/>
        <v>0</v>
      </c>
      <c r="Y786" s="71">
        <f t="shared" si="501"/>
        <v>0</v>
      </c>
      <c r="AA786" s="65"/>
      <c r="AC786" s="71">
        <f t="shared" si="502"/>
        <v>0</v>
      </c>
      <c r="AD786" s="39"/>
      <c r="AE786" s="7"/>
      <c r="AF786" s="15"/>
      <c r="AG786" s="71" t="b">
        <f t="shared" si="503"/>
        <v>1</v>
      </c>
      <c r="AI786" s="71">
        <f t="shared" si="504"/>
        <v>0</v>
      </c>
      <c r="AJ786" s="39"/>
      <c r="AK786" s="15"/>
      <c r="AL786" s="71" t="b">
        <f t="shared" si="505"/>
        <v>1</v>
      </c>
      <c r="AN786" s="65"/>
    </row>
    <row r="787" spans="2:40 16128:16147" ht="13" customHeight="1">
      <c r="B787" s="119"/>
      <c r="C787" s="23">
        <f t="shared" si="497"/>
        <v>2026092</v>
      </c>
      <c r="D787" s="23">
        <v>28</v>
      </c>
      <c r="E787" s="128">
        <v>0</v>
      </c>
      <c r="F787" s="126" t="e">
        <f>VLOOKUP(E787,'Códigos bancos'!$B$4:$C$29,2,0)</f>
        <v>#N/A</v>
      </c>
      <c r="G787" s="36">
        <v>1</v>
      </c>
      <c r="H787" s="126" t="str">
        <f>VLOOKUP(G787,'Códigos bancos'!$F$4:$G$14,2,0)</f>
        <v>Oficinas</v>
      </c>
      <c r="I787" s="130"/>
      <c r="J787" s="174">
        <v>0</v>
      </c>
      <c r="K787" s="174">
        <v>0</v>
      </c>
      <c r="L787" s="174">
        <v>0</v>
      </c>
      <c r="M787" s="174">
        <v>0</v>
      </c>
      <c r="N787" s="174">
        <v>0</v>
      </c>
      <c r="O787" s="174">
        <v>0</v>
      </c>
      <c r="P787" s="174">
        <v>0</v>
      </c>
      <c r="Q787" s="174">
        <v>0</v>
      </c>
      <c r="R787" s="174">
        <v>0</v>
      </c>
      <c r="S787" s="215">
        <v>0</v>
      </c>
      <c r="T787" s="71">
        <f t="shared" si="498"/>
        <v>0</v>
      </c>
      <c r="U787" s="71">
        <f t="shared" si="499"/>
        <v>0</v>
      </c>
      <c r="V787" s="117">
        <v>0</v>
      </c>
      <c r="W787" s="117">
        <v>0</v>
      </c>
      <c r="X787" s="71">
        <f t="shared" si="500"/>
        <v>0</v>
      </c>
      <c r="Y787" s="71">
        <f t="shared" si="501"/>
        <v>0</v>
      </c>
      <c r="AA787" s="65"/>
      <c r="AC787" s="71">
        <f t="shared" si="502"/>
        <v>0</v>
      </c>
      <c r="AD787" s="39"/>
      <c r="AE787" s="7"/>
      <c r="AF787" s="15"/>
      <c r="AG787" s="71" t="b">
        <f t="shared" si="503"/>
        <v>1</v>
      </c>
      <c r="AI787" s="71">
        <f t="shared" si="504"/>
        <v>0</v>
      </c>
      <c r="AJ787" s="39"/>
      <c r="AK787" s="15"/>
      <c r="AL787" s="71" t="b">
        <f t="shared" si="505"/>
        <v>1</v>
      </c>
      <c r="AN787" s="65"/>
    </row>
    <row r="788" spans="2:40 16128:16147" ht="13" customHeight="1">
      <c r="B788" s="119"/>
      <c r="C788" s="23">
        <f t="shared" ref="C788" si="506">IF(D788&lt;=15,$C$1,$C$2)</f>
        <v>2026092</v>
      </c>
      <c r="D788" s="23">
        <v>28</v>
      </c>
      <c r="E788" s="128">
        <v>0</v>
      </c>
      <c r="F788" s="126" t="e">
        <f>VLOOKUP(E788,'Códigos bancos'!$B$4:$C$29,2,0)</f>
        <v>#N/A</v>
      </c>
      <c r="G788" s="36">
        <v>1</v>
      </c>
      <c r="H788" s="126" t="str">
        <f>VLOOKUP(G788,'Códigos bancos'!$F$4:$G$14,2,0)</f>
        <v>Oficinas</v>
      </c>
      <c r="I788" s="130"/>
      <c r="J788" s="174">
        <v>0</v>
      </c>
      <c r="K788" s="174">
        <v>0</v>
      </c>
      <c r="L788" s="174">
        <v>0</v>
      </c>
      <c r="M788" s="174">
        <v>0</v>
      </c>
      <c r="N788" s="174">
        <v>0</v>
      </c>
      <c r="O788" s="174">
        <v>0</v>
      </c>
      <c r="P788" s="174">
        <v>0</v>
      </c>
      <c r="Q788" s="174">
        <v>0</v>
      </c>
      <c r="R788" s="174">
        <v>0</v>
      </c>
      <c r="S788" s="215">
        <v>0</v>
      </c>
      <c r="T788" s="71">
        <f t="shared" ref="T788" si="507">J788+L788+N788+P788+R788</f>
        <v>0</v>
      </c>
      <c r="U788" s="71">
        <f t="shared" ref="U788" si="508">K788+M788+O788+Q788+S788</f>
        <v>0</v>
      </c>
      <c r="V788" s="117">
        <v>0</v>
      </c>
      <c r="W788" s="117">
        <v>0</v>
      </c>
      <c r="X788" s="71">
        <f t="shared" ref="X788" si="509">V788-T788</f>
        <v>0</v>
      </c>
      <c r="Y788" s="71">
        <f t="shared" ref="Y788" si="510">W788-U788</f>
        <v>0</v>
      </c>
      <c r="AA788" s="65"/>
      <c r="AC788" s="71">
        <f t="shared" ref="AC788" si="511">X788</f>
        <v>0</v>
      </c>
      <c r="AD788" s="39"/>
      <c r="AE788" s="7"/>
      <c r="AF788" s="15"/>
      <c r="AG788" s="71" t="b">
        <f t="shared" ref="AG788" si="512">AC788=(AD788+AE788+AF788)</f>
        <v>1</v>
      </c>
      <c r="AI788" s="71">
        <f t="shared" ref="AI788" si="513">Y788</f>
        <v>0</v>
      </c>
      <c r="AJ788" s="39"/>
      <c r="AK788" s="15"/>
      <c r="AL788" s="71" t="b">
        <f t="shared" ref="AL788" si="514">AI788=(AJ788+AK788)</f>
        <v>1</v>
      </c>
      <c r="AN788" s="65"/>
    </row>
    <row r="789" spans="2:40 16128:16147" ht="13" customHeight="1">
      <c r="B789" s="119"/>
      <c r="C789" s="23">
        <f t="shared" si="497"/>
        <v>2026092</v>
      </c>
      <c r="D789" s="23">
        <v>28</v>
      </c>
      <c r="E789" s="128">
        <v>0</v>
      </c>
      <c r="F789" s="126" t="e">
        <f>VLOOKUP(E789,'Códigos bancos'!$B$4:$C$29,2,0)</f>
        <v>#N/A</v>
      </c>
      <c r="G789" s="36">
        <v>1</v>
      </c>
      <c r="H789" s="126" t="str">
        <f>VLOOKUP(G789,'Códigos bancos'!$F$4:$G$14,2,0)</f>
        <v>Oficinas</v>
      </c>
      <c r="I789" s="130"/>
      <c r="J789" s="174">
        <v>0</v>
      </c>
      <c r="K789" s="174">
        <v>0</v>
      </c>
      <c r="L789" s="174">
        <v>0</v>
      </c>
      <c r="M789" s="174">
        <v>0</v>
      </c>
      <c r="N789" s="174">
        <v>0</v>
      </c>
      <c r="O789" s="174">
        <v>0</v>
      </c>
      <c r="P789" s="174">
        <v>0</v>
      </c>
      <c r="Q789" s="174">
        <v>0</v>
      </c>
      <c r="R789" s="174">
        <v>0</v>
      </c>
      <c r="S789" s="215">
        <v>0</v>
      </c>
      <c r="T789" s="71">
        <f t="shared" si="498"/>
        <v>0</v>
      </c>
      <c r="U789" s="71">
        <f t="shared" si="499"/>
        <v>0</v>
      </c>
      <c r="V789" s="117">
        <v>0</v>
      </c>
      <c r="W789" s="117">
        <v>0</v>
      </c>
      <c r="X789" s="71">
        <f t="shared" si="500"/>
        <v>0</v>
      </c>
      <c r="Y789" s="71">
        <f t="shared" si="501"/>
        <v>0</v>
      </c>
      <c r="AA789" s="65"/>
      <c r="AC789" s="71">
        <f t="shared" si="502"/>
        <v>0</v>
      </c>
      <c r="AD789" s="39"/>
      <c r="AE789" s="7"/>
      <c r="AF789" s="15"/>
      <c r="AG789" s="71" t="b">
        <f t="shared" si="503"/>
        <v>1</v>
      </c>
      <c r="AI789" s="71">
        <f t="shared" si="504"/>
        <v>0</v>
      </c>
      <c r="AJ789" s="39"/>
      <c r="AK789" s="15"/>
      <c r="AL789" s="71" t="b">
        <f t="shared" si="505"/>
        <v>1</v>
      </c>
      <c r="AN789" s="65"/>
    </row>
    <row r="790" spans="2:40 16128:16147" ht="13" customHeight="1">
      <c r="B790" s="119"/>
      <c r="C790" s="23">
        <f t="shared" si="497"/>
        <v>2026092</v>
      </c>
      <c r="D790" s="23">
        <v>28</v>
      </c>
      <c r="E790" s="128">
        <v>0</v>
      </c>
      <c r="F790" s="126" t="e">
        <f>VLOOKUP(E790,'Códigos bancos'!$B$4:$C$29,2,0)</f>
        <v>#N/A</v>
      </c>
      <c r="G790" s="36">
        <v>1</v>
      </c>
      <c r="H790" s="126" t="str">
        <f>VLOOKUP(G790,'Códigos bancos'!$F$4:$G$14,2,0)</f>
        <v>Oficinas</v>
      </c>
      <c r="I790" s="130"/>
      <c r="J790" s="174">
        <v>0</v>
      </c>
      <c r="K790" s="174">
        <v>0</v>
      </c>
      <c r="L790" s="174">
        <v>0</v>
      </c>
      <c r="M790" s="174">
        <v>0</v>
      </c>
      <c r="N790" s="174">
        <v>0</v>
      </c>
      <c r="O790" s="174">
        <v>0</v>
      </c>
      <c r="P790" s="174">
        <v>0</v>
      </c>
      <c r="Q790" s="174">
        <v>0</v>
      </c>
      <c r="R790" s="174">
        <v>0</v>
      </c>
      <c r="S790" s="215">
        <v>0</v>
      </c>
      <c r="T790" s="71">
        <f t="shared" si="498"/>
        <v>0</v>
      </c>
      <c r="U790" s="71">
        <f t="shared" si="499"/>
        <v>0</v>
      </c>
      <c r="V790" s="117">
        <v>0</v>
      </c>
      <c r="W790" s="117">
        <v>0</v>
      </c>
      <c r="X790" s="71">
        <f t="shared" si="500"/>
        <v>0</v>
      </c>
      <c r="Y790" s="71">
        <f t="shared" si="501"/>
        <v>0</v>
      </c>
      <c r="AA790" s="65"/>
      <c r="AC790" s="71">
        <f t="shared" si="502"/>
        <v>0</v>
      </c>
      <c r="AD790" s="39"/>
      <c r="AE790" s="7"/>
      <c r="AF790" s="15"/>
      <c r="AG790" s="71" t="b">
        <f t="shared" si="503"/>
        <v>1</v>
      </c>
      <c r="AI790" s="71">
        <f t="shared" si="504"/>
        <v>0</v>
      </c>
      <c r="AJ790" s="39"/>
      <c r="AK790" s="15"/>
      <c r="AL790" s="71" t="b">
        <f t="shared" si="505"/>
        <v>1</v>
      </c>
      <c r="AN790" s="65"/>
    </row>
    <row r="791" spans="2:40 16128:16147" ht="13" customHeight="1">
      <c r="B791" s="119"/>
      <c r="C791" s="23">
        <f t="shared" si="497"/>
        <v>2026092</v>
      </c>
      <c r="D791" s="23">
        <v>28</v>
      </c>
      <c r="E791" s="128">
        <v>0</v>
      </c>
      <c r="F791" s="126" t="e">
        <f>VLOOKUP(E791,'Códigos bancos'!$B$4:$C$29,2,0)</f>
        <v>#N/A</v>
      </c>
      <c r="G791" s="36">
        <v>1</v>
      </c>
      <c r="H791" s="126" t="str">
        <f>VLOOKUP(G791,'Códigos bancos'!$F$4:$G$14,2,0)</f>
        <v>Oficinas</v>
      </c>
      <c r="I791" s="130"/>
      <c r="J791" s="174">
        <v>0</v>
      </c>
      <c r="K791" s="174">
        <v>0</v>
      </c>
      <c r="L791" s="174">
        <v>0</v>
      </c>
      <c r="M791" s="174">
        <v>0</v>
      </c>
      <c r="N791" s="174">
        <v>0</v>
      </c>
      <c r="O791" s="174">
        <v>0</v>
      </c>
      <c r="P791" s="174">
        <v>0</v>
      </c>
      <c r="Q791" s="174">
        <v>0</v>
      </c>
      <c r="R791" s="174">
        <v>0</v>
      </c>
      <c r="S791" s="215">
        <v>0</v>
      </c>
      <c r="T791" s="71">
        <f t="shared" si="498"/>
        <v>0</v>
      </c>
      <c r="U791" s="71">
        <f t="shared" si="499"/>
        <v>0</v>
      </c>
      <c r="V791" s="117">
        <v>0</v>
      </c>
      <c r="W791" s="117">
        <v>0</v>
      </c>
      <c r="X791" s="71">
        <f t="shared" si="500"/>
        <v>0</v>
      </c>
      <c r="Y791" s="71">
        <f t="shared" si="501"/>
        <v>0</v>
      </c>
      <c r="AA791" s="65"/>
      <c r="AC791" s="71">
        <f t="shared" si="502"/>
        <v>0</v>
      </c>
      <c r="AD791" s="39"/>
      <c r="AE791" s="7"/>
      <c r="AF791" s="15"/>
      <c r="AG791" s="71" t="b">
        <f t="shared" si="503"/>
        <v>1</v>
      </c>
      <c r="AI791" s="71"/>
      <c r="AJ791" s="39"/>
      <c r="AK791" s="15"/>
      <c r="AL791" s="71" t="b">
        <f t="shared" si="505"/>
        <v>1</v>
      </c>
      <c r="AN791" s="65"/>
    </row>
    <row r="792" spans="2:40 16128:16147" ht="13" customHeight="1">
      <c r="B792" s="119"/>
      <c r="C792" s="23">
        <f t="shared" si="497"/>
        <v>2026092</v>
      </c>
      <c r="D792" s="23">
        <v>28</v>
      </c>
      <c r="E792" s="128">
        <v>0</v>
      </c>
      <c r="F792" s="126" t="e">
        <f>VLOOKUP(E792,'Códigos bancos'!$B$4:$C$29,2,0)</f>
        <v>#N/A</v>
      </c>
      <c r="G792" s="36">
        <v>1</v>
      </c>
      <c r="H792" s="126" t="str">
        <f>VLOOKUP(G792,'Códigos bancos'!$F$4:$G$14,2,0)</f>
        <v>Oficinas</v>
      </c>
      <c r="I792" s="130"/>
      <c r="J792" s="174">
        <v>0</v>
      </c>
      <c r="K792" s="174">
        <v>0</v>
      </c>
      <c r="L792" s="174">
        <v>0</v>
      </c>
      <c r="M792" s="174">
        <v>0</v>
      </c>
      <c r="N792" s="174">
        <v>0</v>
      </c>
      <c r="O792" s="174">
        <v>0</v>
      </c>
      <c r="P792" s="174">
        <v>0</v>
      </c>
      <c r="Q792" s="174">
        <v>0</v>
      </c>
      <c r="R792" s="174">
        <v>0</v>
      </c>
      <c r="S792" s="215">
        <v>0</v>
      </c>
      <c r="T792" s="71">
        <f t="shared" si="498"/>
        <v>0</v>
      </c>
      <c r="U792" s="71">
        <f t="shared" si="499"/>
        <v>0</v>
      </c>
      <c r="V792" s="117">
        <v>0</v>
      </c>
      <c r="W792" s="117">
        <v>0</v>
      </c>
      <c r="X792" s="71">
        <f t="shared" si="500"/>
        <v>0</v>
      </c>
      <c r="Y792" s="71">
        <f t="shared" si="501"/>
        <v>0</v>
      </c>
      <c r="AA792" s="65"/>
      <c r="AC792" s="71">
        <f t="shared" si="502"/>
        <v>0</v>
      </c>
      <c r="AD792" s="39"/>
      <c r="AE792" s="7"/>
      <c r="AF792" s="15"/>
      <c r="AG792" s="71" t="b">
        <f t="shared" si="503"/>
        <v>1</v>
      </c>
      <c r="AI792" s="71">
        <f>Y792</f>
        <v>0</v>
      </c>
      <c r="AJ792" s="39"/>
      <c r="AK792" s="15"/>
      <c r="AL792" s="71" t="b">
        <f t="shared" si="505"/>
        <v>1</v>
      </c>
      <c r="AN792" s="65"/>
    </row>
    <row r="793" spans="2:40 16128:16147" ht="13" customHeight="1" thickBot="1">
      <c r="B793" s="119"/>
      <c r="C793" s="23">
        <f t="shared" si="497"/>
        <v>2026092</v>
      </c>
      <c r="D793" s="23">
        <v>28</v>
      </c>
      <c r="E793" s="128">
        <v>0</v>
      </c>
      <c r="F793" s="126" t="e">
        <f>VLOOKUP(E793,'Códigos bancos'!$B$4:$C$29,2,0)</f>
        <v>#N/A</v>
      </c>
      <c r="G793" s="36">
        <v>1</v>
      </c>
      <c r="H793" s="126" t="str">
        <f>VLOOKUP(G793,'Códigos bancos'!$F$4:$G$14,2,0)</f>
        <v>Oficinas</v>
      </c>
      <c r="I793" s="130"/>
      <c r="J793" s="174">
        <v>0</v>
      </c>
      <c r="K793" s="174">
        <v>0</v>
      </c>
      <c r="L793" s="174">
        <v>0</v>
      </c>
      <c r="M793" s="174">
        <v>0</v>
      </c>
      <c r="N793" s="174">
        <v>0</v>
      </c>
      <c r="O793" s="174">
        <v>0</v>
      </c>
      <c r="P793" s="174">
        <v>0</v>
      </c>
      <c r="Q793" s="174">
        <v>0</v>
      </c>
      <c r="R793" s="174">
        <v>0</v>
      </c>
      <c r="S793" s="215">
        <v>0</v>
      </c>
      <c r="T793" s="71">
        <f t="shared" si="498"/>
        <v>0</v>
      </c>
      <c r="U793" s="71">
        <f t="shared" si="499"/>
        <v>0</v>
      </c>
      <c r="V793" s="117">
        <v>0</v>
      </c>
      <c r="W793" s="117">
        <v>0</v>
      </c>
      <c r="X793" s="71">
        <f t="shared" si="500"/>
        <v>0</v>
      </c>
      <c r="Y793" s="71">
        <f t="shared" si="501"/>
        <v>0</v>
      </c>
      <c r="AA793" s="65"/>
      <c r="AC793" s="71">
        <f t="shared" si="502"/>
        <v>0</v>
      </c>
      <c r="AD793" s="39"/>
      <c r="AE793" s="7"/>
      <c r="AF793" s="15"/>
      <c r="AG793" s="71" t="b">
        <f t="shared" si="503"/>
        <v>1</v>
      </c>
      <c r="AI793" s="71">
        <f t="shared" si="504"/>
        <v>0</v>
      </c>
      <c r="AJ793" s="39"/>
      <c r="AK793" s="15"/>
      <c r="AL793" s="71" t="b">
        <f t="shared" si="505"/>
        <v>1</v>
      </c>
      <c r="AN793" s="65"/>
    </row>
    <row r="794" spans="2:40 16128:16147" ht="13" customHeight="1" thickBot="1">
      <c r="E794" s="120" t="s">
        <v>0</v>
      </c>
      <c r="F794" s="121" t="s">
        <v>53</v>
      </c>
      <c r="G794" s="121"/>
      <c r="H794" s="121"/>
      <c r="I794" s="121"/>
      <c r="J794" s="122">
        <f t="shared" ref="J794:Y794" si="515">SUM(J769:J793)</f>
        <v>0</v>
      </c>
      <c r="K794" s="122">
        <f t="shared" si="515"/>
        <v>0</v>
      </c>
      <c r="L794" s="122">
        <f t="shared" si="515"/>
        <v>0</v>
      </c>
      <c r="M794" s="122">
        <f t="shared" si="515"/>
        <v>0</v>
      </c>
      <c r="N794" s="122">
        <f t="shared" si="515"/>
        <v>0</v>
      </c>
      <c r="O794" s="122">
        <f t="shared" si="515"/>
        <v>0</v>
      </c>
      <c r="P794" s="122">
        <f t="shared" si="515"/>
        <v>0</v>
      </c>
      <c r="Q794" s="122">
        <f t="shared" si="515"/>
        <v>0</v>
      </c>
      <c r="R794" s="122">
        <f t="shared" si="515"/>
        <v>11</v>
      </c>
      <c r="S794" s="122">
        <f t="shared" si="515"/>
        <v>595260</v>
      </c>
      <c r="T794" s="122">
        <f t="shared" si="515"/>
        <v>11</v>
      </c>
      <c r="U794" s="122">
        <f t="shared" si="515"/>
        <v>595260</v>
      </c>
      <c r="V794" s="123">
        <f t="shared" si="515"/>
        <v>11</v>
      </c>
      <c r="W794" s="123">
        <f t="shared" si="515"/>
        <v>595260</v>
      </c>
      <c r="X794" s="122">
        <f t="shared" si="515"/>
        <v>0</v>
      </c>
      <c r="Y794" s="123">
        <f t="shared" si="515"/>
        <v>0</v>
      </c>
      <c r="AA794" s="65"/>
      <c r="AC794" s="122">
        <f>SUM(AC769:AC793)</f>
        <v>0</v>
      </c>
      <c r="AD794" s="122">
        <f>SUM(AD769:AD793)</f>
        <v>0</v>
      </c>
      <c r="AE794" s="122">
        <f>SUM(AE769:AE793)</f>
        <v>0</v>
      </c>
      <c r="AF794" s="123">
        <f>SUM(AF769:AF793)</f>
        <v>0</v>
      </c>
      <c r="AG794" s="100"/>
      <c r="AI794" s="122">
        <f>SUM(AI769:AI793)</f>
        <v>0</v>
      </c>
      <c r="AJ794" s="122">
        <f>SUM(AJ769:AJ793)</f>
        <v>0</v>
      </c>
      <c r="AK794" s="123">
        <f>SUM(AK769:AK793)</f>
        <v>0</v>
      </c>
      <c r="AL794" s="100"/>
      <c r="AN794" s="65"/>
    </row>
    <row r="795" spans="2:40 16128:16147" ht="13" thickBot="1">
      <c r="AA795" s="65"/>
      <c r="AN795" s="65"/>
    </row>
    <row r="796" spans="2:40 16128:16147" ht="41.25" customHeight="1" thickBot="1">
      <c r="B796" s="112" t="s">
        <v>4</v>
      </c>
      <c r="C796" s="34" t="s">
        <v>6</v>
      </c>
      <c r="D796" s="34" t="s">
        <v>7</v>
      </c>
      <c r="E796" s="34" t="s">
        <v>49</v>
      </c>
      <c r="F796" s="34" t="s">
        <v>50</v>
      </c>
      <c r="G796" s="34" t="s">
        <v>51</v>
      </c>
      <c r="H796" s="34" t="s">
        <v>52</v>
      </c>
      <c r="I796" s="34" t="s">
        <v>13</v>
      </c>
      <c r="J796" s="12" t="s">
        <v>8</v>
      </c>
      <c r="K796" s="12" t="s">
        <v>36</v>
      </c>
      <c r="L796" s="12" t="s">
        <v>9</v>
      </c>
      <c r="M796" s="12" t="s">
        <v>37</v>
      </c>
      <c r="N796" s="87" t="s">
        <v>10</v>
      </c>
      <c r="O796" s="88" t="s">
        <v>38</v>
      </c>
      <c r="P796" s="87" t="s">
        <v>11</v>
      </c>
      <c r="Q796" s="88" t="s">
        <v>39</v>
      </c>
      <c r="R796" s="87" t="s">
        <v>12</v>
      </c>
      <c r="S796" s="88" t="s">
        <v>40</v>
      </c>
      <c r="T796" s="64" t="s">
        <v>41</v>
      </c>
      <c r="U796" s="64" t="s">
        <v>42</v>
      </c>
      <c r="V796" s="35" t="s">
        <v>32</v>
      </c>
      <c r="W796" s="67" t="s">
        <v>35</v>
      </c>
      <c r="X796" s="12" t="s">
        <v>34</v>
      </c>
      <c r="Y796" s="68" t="s">
        <v>33</v>
      </c>
      <c r="AA796" s="66"/>
      <c r="AC796" s="12" t="s">
        <v>34</v>
      </c>
      <c r="AD796" s="12" t="s">
        <v>45</v>
      </c>
      <c r="AE796" s="12" t="s">
        <v>43</v>
      </c>
      <c r="AF796" s="12" t="s">
        <v>44</v>
      </c>
      <c r="AG796" s="12" t="s">
        <v>46</v>
      </c>
      <c r="AI796" s="12" t="s">
        <v>33</v>
      </c>
      <c r="AJ796" s="12" t="s">
        <v>47</v>
      </c>
      <c r="AK796" s="12" t="s">
        <v>48</v>
      </c>
      <c r="AL796" s="12" t="s">
        <v>46</v>
      </c>
      <c r="AN796" s="66"/>
      <c r="WVH796" s="1"/>
      <c r="WVI796" s="1"/>
      <c r="WVZ796"/>
      <c r="WWA796"/>
    </row>
    <row r="797" spans="2:40 16128:16147" ht="13" customHeight="1">
      <c r="B797" s="119" t="s">
        <v>86</v>
      </c>
      <c r="C797" s="24">
        <f>IF(D797&lt;=15,$C$1,$C$2)</f>
        <v>2026092</v>
      </c>
      <c r="D797" s="24">
        <v>29</v>
      </c>
      <c r="E797" s="127">
        <v>20</v>
      </c>
      <c r="F797" s="125" t="str">
        <f>VLOOKUP(E797,'Códigos bancos'!$B$4:$C$29,2,0)</f>
        <v>Bancolombia ENERBIT</v>
      </c>
      <c r="G797" s="18">
        <v>1</v>
      </c>
      <c r="H797" s="125" t="str">
        <f>VLOOKUP(G797,'Códigos bancos'!$F$4:$G$14,2,0)</f>
        <v>Oficinas</v>
      </c>
      <c r="I797" s="129"/>
      <c r="J797" s="213">
        <v>0</v>
      </c>
      <c r="K797" s="213">
        <v>0</v>
      </c>
      <c r="L797" s="213">
        <v>0</v>
      </c>
      <c r="M797" s="213">
        <v>0</v>
      </c>
      <c r="N797" s="213">
        <v>0</v>
      </c>
      <c r="O797" s="213">
        <v>0</v>
      </c>
      <c r="P797" s="213">
        <v>0</v>
      </c>
      <c r="Q797" s="213">
        <v>0</v>
      </c>
      <c r="R797" s="174">
        <f>15+1</f>
        <v>16</v>
      </c>
      <c r="S797" s="215">
        <f>790780+35990</f>
        <v>826770</v>
      </c>
      <c r="T797" s="70">
        <f>J797+L797+N797+P797+R797</f>
        <v>16</v>
      </c>
      <c r="U797" s="70">
        <f>K797+M797+O797+Q797+S797</f>
        <v>826770</v>
      </c>
      <c r="V797" s="116">
        <f>15+1</f>
        <v>16</v>
      </c>
      <c r="W797" s="116">
        <f>790780+35990</f>
        <v>826770</v>
      </c>
      <c r="X797" s="70">
        <f>V797-T797</f>
        <v>0</v>
      </c>
      <c r="Y797" s="70">
        <f>W797-U797</f>
        <v>0</v>
      </c>
      <c r="AA797" s="65"/>
      <c r="AC797" s="124">
        <f>X797</f>
        <v>0</v>
      </c>
      <c r="AD797" s="115"/>
      <c r="AE797" s="16"/>
      <c r="AF797" s="114"/>
      <c r="AG797" s="124" t="b">
        <f>AC797=(AD797+AE797+AF797)</f>
        <v>1</v>
      </c>
      <c r="AI797" s="70">
        <f>Y797</f>
        <v>0</v>
      </c>
      <c r="AJ797" s="115"/>
      <c r="AK797" s="114"/>
      <c r="AL797" s="70" t="b">
        <f>AI797=(AJ797+AK797)</f>
        <v>1</v>
      </c>
      <c r="AN797" s="65"/>
    </row>
    <row r="798" spans="2:40 16128:16147" ht="13" customHeight="1">
      <c r="B798" s="119"/>
      <c r="C798" s="23">
        <f t="shared" ref="C798:C821" si="516">IF(D798&lt;=15,$C$1,$C$2)</f>
        <v>2026092</v>
      </c>
      <c r="D798" s="23">
        <v>29</v>
      </c>
      <c r="E798" s="128">
        <v>0</v>
      </c>
      <c r="F798" s="126" t="e">
        <f>VLOOKUP(E798,'Códigos bancos'!$B$4:$C$29,2,0)</f>
        <v>#N/A</v>
      </c>
      <c r="G798" s="36">
        <v>1</v>
      </c>
      <c r="H798" s="126" t="str">
        <f>VLOOKUP(G798,'Códigos bancos'!$F$4:$G$14,2,0)</f>
        <v>Oficinas</v>
      </c>
      <c r="I798" s="130"/>
      <c r="J798" s="174">
        <v>0</v>
      </c>
      <c r="K798" s="174">
        <v>0</v>
      </c>
      <c r="L798" s="174">
        <v>0</v>
      </c>
      <c r="M798" s="174">
        <v>0</v>
      </c>
      <c r="N798" s="174">
        <v>0</v>
      </c>
      <c r="O798" s="174">
        <v>0</v>
      </c>
      <c r="P798" s="174">
        <v>0</v>
      </c>
      <c r="Q798" s="174">
        <v>0</v>
      </c>
      <c r="R798" s="174">
        <v>0</v>
      </c>
      <c r="S798" s="215">
        <v>0</v>
      </c>
      <c r="T798" s="71">
        <f t="shared" ref="T798:T821" si="517">J798+L798+N798+P798+R798</f>
        <v>0</v>
      </c>
      <c r="U798" s="71">
        <f t="shared" ref="U798:U821" si="518">K798+M798+O798+Q798+S798</f>
        <v>0</v>
      </c>
      <c r="V798" s="117">
        <v>0</v>
      </c>
      <c r="W798" s="117">
        <v>0</v>
      </c>
      <c r="X798" s="71">
        <f t="shared" ref="X798:X821" si="519">V798-T798</f>
        <v>0</v>
      </c>
      <c r="Y798" s="71">
        <f t="shared" ref="Y798:Y821" si="520">W798-U798</f>
        <v>0</v>
      </c>
      <c r="AA798" s="65"/>
      <c r="AC798" s="71">
        <f t="shared" ref="AC798:AC821" si="521">X798</f>
        <v>0</v>
      </c>
      <c r="AD798" s="39"/>
      <c r="AE798" s="7"/>
      <c r="AF798" s="15"/>
      <c r="AG798" s="71" t="b">
        <f t="shared" ref="AG798:AG821" si="522">AC798=(AD798+AE798+AF798)</f>
        <v>1</v>
      </c>
      <c r="AI798" s="71">
        <f t="shared" ref="AI798:AI821" si="523">Y798</f>
        <v>0</v>
      </c>
      <c r="AJ798" s="39"/>
      <c r="AK798" s="15"/>
      <c r="AL798" s="71" t="b">
        <f t="shared" ref="AL798:AL821" si="524">AI798=(AJ798+AK798)</f>
        <v>1</v>
      </c>
      <c r="AN798" s="65"/>
    </row>
    <row r="799" spans="2:40 16128:16147" ht="13" customHeight="1">
      <c r="B799" s="119"/>
      <c r="C799" s="23">
        <f t="shared" si="516"/>
        <v>2026092</v>
      </c>
      <c r="D799" s="23">
        <v>29</v>
      </c>
      <c r="E799" s="128">
        <v>0</v>
      </c>
      <c r="F799" s="126" t="e">
        <f>VLOOKUP(E799,'Códigos bancos'!$B$4:$C$29,2,0)</f>
        <v>#N/A</v>
      </c>
      <c r="G799" s="36">
        <v>1</v>
      </c>
      <c r="H799" s="126" t="str">
        <f>VLOOKUP(G799,'Códigos bancos'!$F$4:$G$14,2,0)</f>
        <v>Oficinas</v>
      </c>
      <c r="I799" s="130"/>
      <c r="J799" s="174">
        <v>0</v>
      </c>
      <c r="K799" s="174">
        <v>0</v>
      </c>
      <c r="L799" s="174">
        <v>0</v>
      </c>
      <c r="M799" s="174">
        <v>0</v>
      </c>
      <c r="N799" s="174">
        <v>0</v>
      </c>
      <c r="O799" s="174">
        <v>0</v>
      </c>
      <c r="P799" s="174">
        <v>0</v>
      </c>
      <c r="Q799" s="174">
        <v>0</v>
      </c>
      <c r="R799" s="174">
        <v>0</v>
      </c>
      <c r="S799" s="215">
        <v>0</v>
      </c>
      <c r="T799" s="71">
        <f t="shared" si="517"/>
        <v>0</v>
      </c>
      <c r="U799" s="71">
        <f t="shared" si="518"/>
        <v>0</v>
      </c>
      <c r="V799" s="117">
        <v>0</v>
      </c>
      <c r="W799" s="117">
        <v>0</v>
      </c>
      <c r="X799" s="71">
        <f t="shared" si="519"/>
        <v>0</v>
      </c>
      <c r="Y799" s="71">
        <f t="shared" si="520"/>
        <v>0</v>
      </c>
      <c r="AA799" s="65"/>
      <c r="AC799" s="71">
        <f t="shared" si="521"/>
        <v>0</v>
      </c>
      <c r="AD799" s="45"/>
      <c r="AE799" s="14"/>
      <c r="AF799" s="46"/>
      <c r="AG799" s="71" t="b">
        <f t="shared" si="522"/>
        <v>1</v>
      </c>
      <c r="AI799" s="71">
        <f t="shared" si="523"/>
        <v>0</v>
      </c>
      <c r="AJ799" s="45"/>
      <c r="AK799" s="46"/>
      <c r="AL799" s="71" t="b">
        <f t="shared" si="524"/>
        <v>1</v>
      </c>
      <c r="AN799" s="65"/>
    </row>
    <row r="800" spans="2:40 16128:16147" ht="13" customHeight="1">
      <c r="B800" s="119"/>
      <c r="C800" s="23">
        <f t="shared" si="516"/>
        <v>2026092</v>
      </c>
      <c r="D800" s="23">
        <v>29</v>
      </c>
      <c r="E800" s="128">
        <v>0</v>
      </c>
      <c r="F800" s="126" t="e">
        <f>VLOOKUP(E800,'Códigos bancos'!$B$4:$C$29,2,0)</f>
        <v>#N/A</v>
      </c>
      <c r="G800" s="36">
        <v>1</v>
      </c>
      <c r="H800" s="126" t="str">
        <f>VLOOKUP(G800,'Códigos bancos'!$F$4:$G$14,2,0)</f>
        <v>Oficinas</v>
      </c>
      <c r="I800" s="130"/>
      <c r="J800" s="174">
        <v>0</v>
      </c>
      <c r="K800" s="174">
        <v>0</v>
      </c>
      <c r="L800" s="174">
        <v>0</v>
      </c>
      <c r="M800" s="174">
        <v>0</v>
      </c>
      <c r="N800" s="174">
        <v>0</v>
      </c>
      <c r="O800" s="174">
        <v>0</v>
      </c>
      <c r="P800" s="174">
        <v>0</v>
      </c>
      <c r="Q800" s="174">
        <v>0</v>
      </c>
      <c r="R800" s="174">
        <v>0</v>
      </c>
      <c r="S800" s="215">
        <v>0</v>
      </c>
      <c r="T800" s="71">
        <f t="shared" si="517"/>
        <v>0</v>
      </c>
      <c r="U800" s="71">
        <f t="shared" si="518"/>
        <v>0</v>
      </c>
      <c r="V800" s="117">
        <v>0</v>
      </c>
      <c r="W800" s="117">
        <v>0</v>
      </c>
      <c r="X800" s="71">
        <f t="shared" si="519"/>
        <v>0</v>
      </c>
      <c r="Y800" s="71">
        <f t="shared" si="520"/>
        <v>0</v>
      </c>
      <c r="AA800" s="65"/>
      <c r="AC800" s="71">
        <f t="shared" si="521"/>
        <v>0</v>
      </c>
      <c r="AD800" s="39"/>
      <c r="AE800" s="7"/>
      <c r="AF800" s="15"/>
      <c r="AG800" s="71" t="b">
        <f t="shared" si="522"/>
        <v>1</v>
      </c>
      <c r="AI800" s="71">
        <f t="shared" si="523"/>
        <v>0</v>
      </c>
      <c r="AJ800" s="39"/>
      <c r="AK800" s="15"/>
      <c r="AL800" s="71" t="b">
        <f t="shared" si="524"/>
        <v>1</v>
      </c>
      <c r="AN800" s="65"/>
    </row>
    <row r="801" spans="2:40" ht="13" customHeight="1">
      <c r="B801" s="119"/>
      <c r="C801" s="23">
        <f t="shared" si="516"/>
        <v>2026092</v>
      </c>
      <c r="D801" s="23">
        <v>29</v>
      </c>
      <c r="E801" s="128">
        <v>0</v>
      </c>
      <c r="F801" s="126" t="e">
        <f>VLOOKUP(E801,'Códigos bancos'!$B$4:$C$29,2,0)</f>
        <v>#N/A</v>
      </c>
      <c r="G801" s="36">
        <v>1</v>
      </c>
      <c r="H801" s="126" t="str">
        <f>VLOOKUP(G801,'Códigos bancos'!$F$4:$G$14,2,0)</f>
        <v>Oficinas</v>
      </c>
      <c r="I801" s="130"/>
      <c r="J801" s="174">
        <v>0</v>
      </c>
      <c r="K801" s="174">
        <v>0</v>
      </c>
      <c r="L801" s="174">
        <v>0</v>
      </c>
      <c r="M801" s="174">
        <v>0</v>
      </c>
      <c r="N801" s="174">
        <v>0</v>
      </c>
      <c r="O801" s="174">
        <v>0</v>
      </c>
      <c r="P801" s="174">
        <v>0</v>
      </c>
      <c r="Q801" s="174">
        <v>0</v>
      </c>
      <c r="R801" s="174">
        <v>0</v>
      </c>
      <c r="S801" s="215">
        <v>0</v>
      </c>
      <c r="T801" s="71">
        <f t="shared" si="517"/>
        <v>0</v>
      </c>
      <c r="U801" s="71">
        <f t="shared" si="518"/>
        <v>0</v>
      </c>
      <c r="V801" s="117">
        <v>0</v>
      </c>
      <c r="W801" s="117">
        <v>0</v>
      </c>
      <c r="X801" s="71">
        <f t="shared" si="519"/>
        <v>0</v>
      </c>
      <c r="Y801" s="71">
        <f t="shared" si="520"/>
        <v>0</v>
      </c>
      <c r="AA801" s="65"/>
      <c r="AC801" s="71">
        <f t="shared" si="521"/>
        <v>0</v>
      </c>
      <c r="AD801" s="39"/>
      <c r="AE801" s="7"/>
      <c r="AF801" s="15"/>
      <c r="AG801" s="71" t="b">
        <f t="shared" si="522"/>
        <v>1</v>
      </c>
      <c r="AI801" s="71">
        <f t="shared" si="523"/>
        <v>0</v>
      </c>
      <c r="AJ801" s="39"/>
      <c r="AK801" s="15"/>
      <c r="AL801" s="71" t="b">
        <f t="shared" si="524"/>
        <v>1</v>
      </c>
      <c r="AN801" s="65"/>
    </row>
    <row r="802" spans="2:40" ht="13" customHeight="1">
      <c r="B802" s="119"/>
      <c r="C802" s="23">
        <f t="shared" si="516"/>
        <v>2026092</v>
      </c>
      <c r="D802" s="23">
        <v>29</v>
      </c>
      <c r="E802" s="128">
        <v>0</v>
      </c>
      <c r="F802" s="126" t="e">
        <f>VLOOKUP(E802,'Códigos bancos'!$B$4:$C$29,2,0)</f>
        <v>#N/A</v>
      </c>
      <c r="G802" s="36">
        <v>1</v>
      </c>
      <c r="H802" s="126" t="str">
        <f>VLOOKUP(G802,'Códigos bancos'!$F$4:$G$14,2,0)</f>
        <v>Oficinas</v>
      </c>
      <c r="I802" s="130"/>
      <c r="J802" s="174">
        <v>0</v>
      </c>
      <c r="K802" s="174">
        <v>0</v>
      </c>
      <c r="L802" s="174">
        <v>0</v>
      </c>
      <c r="M802" s="174">
        <v>0</v>
      </c>
      <c r="N802" s="174">
        <v>0</v>
      </c>
      <c r="O802" s="174">
        <v>0</v>
      </c>
      <c r="P802" s="174">
        <v>0</v>
      </c>
      <c r="Q802" s="174">
        <v>0</v>
      </c>
      <c r="R802" s="174">
        <v>0</v>
      </c>
      <c r="S802" s="215">
        <v>0</v>
      </c>
      <c r="T802" s="71">
        <f t="shared" si="517"/>
        <v>0</v>
      </c>
      <c r="U802" s="71">
        <f t="shared" si="518"/>
        <v>0</v>
      </c>
      <c r="V802" s="117">
        <v>0</v>
      </c>
      <c r="W802" s="117">
        <v>0</v>
      </c>
      <c r="X802" s="71">
        <f t="shared" si="519"/>
        <v>0</v>
      </c>
      <c r="Y802" s="71">
        <f t="shared" si="520"/>
        <v>0</v>
      </c>
      <c r="AA802" s="65"/>
      <c r="AC802" s="71">
        <f t="shared" si="521"/>
        <v>0</v>
      </c>
      <c r="AD802" s="39"/>
      <c r="AE802" s="7"/>
      <c r="AF802" s="15"/>
      <c r="AG802" s="71" t="b">
        <f t="shared" si="522"/>
        <v>1</v>
      </c>
      <c r="AI802" s="71">
        <f t="shared" si="523"/>
        <v>0</v>
      </c>
      <c r="AJ802" s="39"/>
      <c r="AK802" s="15"/>
      <c r="AL802" s="71" t="b">
        <f t="shared" si="524"/>
        <v>1</v>
      </c>
      <c r="AN802" s="65"/>
    </row>
    <row r="803" spans="2:40" ht="13" customHeight="1">
      <c r="B803" s="119"/>
      <c r="C803" s="23">
        <f t="shared" si="516"/>
        <v>2026092</v>
      </c>
      <c r="D803" s="23">
        <v>29</v>
      </c>
      <c r="E803" s="128">
        <v>0</v>
      </c>
      <c r="F803" s="126" t="e">
        <f>VLOOKUP(E803,'Códigos bancos'!$B$4:$C$29,2,0)</f>
        <v>#N/A</v>
      </c>
      <c r="G803" s="36">
        <v>1</v>
      </c>
      <c r="H803" s="126" t="str">
        <f>VLOOKUP(G803,'Códigos bancos'!$F$4:$G$14,2,0)</f>
        <v>Oficinas</v>
      </c>
      <c r="I803" s="130"/>
      <c r="J803" s="174">
        <v>0</v>
      </c>
      <c r="K803" s="174">
        <v>0</v>
      </c>
      <c r="L803" s="174">
        <v>0</v>
      </c>
      <c r="M803" s="174">
        <v>0</v>
      </c>
      <c r="N803" s="174">
        <v>0</v>
      </c>
      <c r="O803" s="174">
        <v>0</v>
      </c>
      <c r="P803" s="174">
        <v>0</v>
      </c>
      <c r="Q803" s="174">
        <v>0</v>
      </c>
      <c r="R803" s="174">
        <v>0</v>
      </c>
      <c r="S803" s="215">
        <v>0</v>
      </c>
      <c r="T803" s="71">
        <f t="shared" si="517"/>
        <v>0</v>
      </c>
      <c r="U803" s="71">
        <f t="shared" si="518"/>
        <v>0</v>
      </c>
      <c r="V803" s="117">
        <v>0</v>
      </c>
      <c r="W803" s="117">
        <v>0</v>
      </c>
      <c r="X803" s="71">
        <f t="shared" si="519"/>
        <v>0</v>
      </c>
      <c r="Y803" s="71">
        <f t="shared" si="520"/>
        <v>0</v>
      </c>
      <c r="AA803" s="65"/>
      <c r="AC803" s="71">
        <f t="shared" si="521"/>
        <v>0</v>
      </c>
      <c r="AD803" s="39"/>
      <c r="AE803" s="7"/>
      <c r="AF803" s="15"/>
      <c r="AG803" s="71" t="b">
        <f t="shared" si="522"/>
        <v>1</v>
      </c>
      <c r="AI803" s="71">
        <f t="shared" si="523"/>
        <v>0</v>
      </c>
      <c r="AJ803" s="39"/>
      <c r="AK803" s="15"/>
      <c r="AL803" s="71" t="b">
        <f t="shared" si="524"/>
        <v>1</v>
      </c>
      <c r="AN803" s="65"/>
    </row>
    <row r="804" spans="2:40" ht="13" customHeight="1">
      <c r="B804" s="119"/>
      <c r="C804" s="23">
        <f t="shared" si="516"/>
        <v>2026092</v>
      </c>
      <c r="D804" s="23">
        <v>29</v>
      </c>
      <c r="E804" s="128">
        <v>0</v>
      </c>
      <c r="F804" s="126" t="e">
        <f>VLOOKUP(E804,'Códigos bancos'!$B$4:$C$29,2,0)</f>
        <v>#N/A</v>
      </c>
      <c r="G804" s="36">
        <v>1</v>
      </c>
      <c r="H804" s="126" t="str">
        <f>VLOOKUP(G804,'Códigos bancos'!$F$4:$G$14,2,0)</f>
        <v>Oficinas</v>
      </c>
      <c r="I804" s="130"/>
      <c r="J804" s="174">
        <v>0</v>
      </c>
      <c r="K804" s="174">
        <v>0</v>
      </c>
      <c r="L804" s="174">
        <v>0</v>
      </c>
      <c r="M804" s="174">
        <v>0</v>
      </c>
      <c r="N804" s="174">
        <v>0</v>
      </c>
      <c r="O804" s="174">
        <v>0</v>
      </c>
      <c r="P804" s="174">
        <v>0</v>
      </c>
      <c r="Q804" s="174">
        <v>0</v>
      </c>
      <c r="R804" s="174">
        <v>0</v>
      </c>
      <c r="S804" s="215">
        <v>0</v>
      </c>
      <c r="T804" s="71">
        <f t="shared" si="517"/>
        <v>0</v>
      </c>
      <c r="U804" s="71">
        <f t="shared" si="518"/>
        <v>0</v>
      </c>
      <c r="V804" s="117">
        <v>0</v>
      </c>
      <c r="W804" s="117">
        <v>0</v>
      </c>
      <c r="X804" s="71">
        <f t="shared" si="519"/>
        <v>0</v>
      </c>
      <c r="Y804" s="71">
        <f t="shared" si="520"/>
        <v>0</v>
      </c>
      <c r="AA804" s="65"/>
      <c r="AC804" s="71">
        <f t="shared" si="521"/>
        <v>0</v>
      </c>
      <c r="AD804" s="39"/>
      <c r="AE804" s="7"/>
      <c r="AF804" s="15"/>
      <c r="AG804" s="71" t="b">
        <f t="shared" si="522"/>
        <v>1</v>
      </c>
      <c r="AI804" s="71">
        <f t="shared" si="523"/>
        <v>0</v>
      </c>
      <c r="AJ804" s="39"/>
      <c r="AK804" s="15"/>
      <c r="AL804" s="71" t="b">
        <f t="shared" si="524"/>
        <v>1</v>
      </c>
      <c r="AN804" s="65"/>
    </row>
    <row r="805" spans="2:40" ht="13" customHeight="1">
      <c r="B805" s="119"/>
      <c r="C805" s="23">
        <f t="shared" si="516"/>
        <v>2026092</v>
      </c>
      <c r="D805" s="23">
        <v>29</v>
      </c>
      <c r="E805" s="128">
        <v>0</v>
      </c>
      <c r="F805" s="126" t="e">
        <f>VLOOKUP(E805,'Códigos bancos'!$B$4:$C$29,2,0)</f>
        <v>#N/A</v>
      </c>
      <c r="G805" s="36">
        <v>1</v>
      </c>
      <c r="H805" s="126" t="str">
        <f>VLOOKUP(G805,'Códigos bancos'!$F$4:$G$14,2,0)</f>
        <v>Oficinas</v>
      </c>
      <c r="I805" s="130"/>
      <c r="J805" s="174">
        <v>0</v>
      </c>
      <c r="K805" s="174">
        <v>0</v>
      </c>
      <c r="L805" s="174">
        <v>0</v>
      </c>
      <c r="M805" s="174">
        <v>0</v>
      </c>
      <c r="N805" s="174">
        <v>0</v>
      </c>
      <c r="O805" s="174">
        <v>0</v>
      </c>
      <c r="P805" s="174">
        <v>0</v>
      </c>
      <c r="Q805" s="174">
        <v>0</v>
      </c>
      <c r="R805" s="174">
        <v>0</v>
      </c>
      <c r="S805" s="215">
        <v>0</v>
      </c>
      <c r="T805" s="71">
        <f t="shared" si="517"/>
        <v>0</v>
      </c>
      <c r="U805" s="71">
        <f t="shared" si="518"/>
        <v>0</v>
      </c>
      <c r="V805" s="117">
        <v>0</v>
      </c>
      <c r="W805" s="117">
        <v>0</v>
      </c>
      <c r="X805" s="71">
        <f t="shared" si="519"/>
        <v>0</v>
      </c>
      <c r="Y805" s="71">
        <f t="shared" si="520"/>
        <v>0</v>
      </c>
      <c r="AA805" s="65"/>
      <c r="AC805" s="71">
        <f t="shared" si="521"/>
        <v>0</v>
      </c>
      <c r="AD805" s="39"/>
      <c r="AE805" s="7"/>
      <c r="AF805" s="15"/>
      <c r="AG805" s="71" t="b">
        <f t="shared" si="522"/>
        <v>1</v>
      </c>
      <c r="AI805" s="71">
        <f t="shared" si="523"/>
        <v>0</v>
      </c>
      <c r="AJ805" s="39"/>
      <c r="AK805" s="15"/>
      <c r="AL805" s="71" t="b">
        <f t="shared" si="524"/>
        <v>1</v>
      </c>
      <c r="AN805" s="65"/>
    </row>
    <row r="806" spans="2:40" ht="13" customHeight="1">
      <c r="B806" s="119"/>
      <c r="C806" s="23">
        <f t="shared" si="516"/>
        <v>2026092</v>
      </c>
      <c r="D806" s="23">
        <v>29</v>
      </c>
      <c r="E806" s="128">
        <v>0</v>
      </c>
      <c r="F806" s="126" t="e">
        <f>VLOOKUP(E806,'Códigos bancos'!$B$4:$C$29,2,0)</f>
        <v>#N/A</v>
      </c>
      <c r="G806" s="36">
        <v>1</v>
      </c>
      <c r="H806" s="126" t="str">
        <f>VLOOKUP(G806,'Códigos bancos'!$F$4:$G$14,2,0)</f>
        <v>Oficinas</v>
      </c>
      <c r="I806" s="130"/>
      <c r="J806" s="174">
        <v>0</v>
      </c>
      <c r="K806" s="174">
        <v>0</v>
      </c>
      <c r="L806" s="174">
        <v>0</v>
      </c>
      <c r="M806" s="174">
        <v>0</v>
      </c>
      <c r="N806" s="174">
        <v>0</v>
      </c>
      <c r="O806" s="174">
        <v>0</v>
      </c>
      <c r="P806" s="174">
        <v>0</v>
      </c>
      <c r="Q806" s="174">
        <v>0</v>
      </c>
      <c r="R806" s="174">
        <v>0</v>
      </c>
      <c r="S806" s="215">
        <v>0</v>
      </c>
      <c r="T806" s="71">
        <f t="shared" si="517"/>
        <v>0</v>
      </c>
      <c r="U806" s="71">
        <f t="shared" si="518"/>
        <v>0</v>
      </c>
      <c r="V806" s="117">
        <v>0</v>
      </c>
      <c r="W806" s="117">
        <v>0</v>
      </c>
      <c r="X806" s="71">
        <f t="shared" si="519"/>
        <v>0</v>
      </c>
      <c r="Y806" s="71">
        <f t="shared" si="520"/>
        <v>0</v>
      </c>
      <c r="AA806" s="65"/>
      <c r="AC806" s="71">
        <f t="shared" si="521"/>
        <v>0</v>
      </c>
      <c r="AD806" s="39"/>
      <c r="AE806" s="7"/>
      <c r="AF806" s="15"/>
      <c r="AG806" s="71" t="b">
        <f t="shared" si="522"/>
        <v>1</v>
      </c>
      <c r="AI806" s="71">
        <f t="shared" si="523"/>
        <v>0</v>
      </c>
      <c r="AJ806" s="39"/>
      <c r="AK806" s="15"/>
      <c r="AL806" s="71" t="b">
        <f t="shared" si="524"/>
        <v>1</v>
      </c>
      <c r="AN806" s="65"/>
    </row>
    <row r="807" spans="2:40" ht="13" customHeight="1">
      <c r="B807" s="119"/>
      <c r="C807" s="23">
        <f t="shared" si="516"/>
        <v>2026092</v>
      </c>
      <c r="D807" s="23">
        <v>29</v>
      </c>
      <c r="E807" s="128">
        <v>0</v>
      </c>
      <c r="F807" s="126" t="e">
        <f>VLOOKUP(E807,'Códigos bancos'!$B$4:$C$29,2,0)</f>
        <v>#N/A</v>
      </c>
      <c r="G807" s="36">
        <v>1</v>
      </c>
      <c r="H807" s="126" t="str">
        <f>VLOOKUP(G807,'Códigos bancos'!$F$4:$G$14,2,0)</f>
        <v>Oficinas</v>
      </c>
      <c r="I807" s="130"/>
      <c r="J807" s="174">
        <v>0</v>
      </c>
      <c r="K807" s="174">
        <v>0</v>
      </c>
      <c r="L807" s="174">
        <v>0</v>
      </c>
      <c r="M807" s="174">
        <v>0</v>
      </c>
      <c r="N807" s="174">
        <v>0</v>
      </c>
      <c r="O807" s="174">
        <v>0</v>
      </c>
      <c r="P807" s="174">
        <v>0</v>
      </c>
      <c r="Q807" s="174">
        <v>0</v>
      </c>
      <c r="R807" s="174">
        <v>0</v>
      </c>
      <c r="S807" s="215">
        <v>0</v>
      </c>
      <c r="T807" s="71">
        <f t="shared" si="517"/>
        <v>0</v>
      </c>
      <c r="U807" s="71">
        <f t="shared" si="518"/>
        <v>0</v>
      </c>
      <c r="V807" s="117">
        <v>0</v>
      </c>
      <c r="W807" s="117">
        <v>0</v>
      </c>
      <c r="X807" s="71">
        <f t="shared" si="519"/>
        <v>0</v>
      </c>
      <c r="Y807" s="71">
        <f t="shared" si="520"/>
        <v>0</v>
      </c>
      <c r="AA807" s="65"/>
      <c r="AC807" s="71">
        <f t="shared" si="521"/>
        <v>0</v>
      </c>
      <c r="AD807" s="39"/>
      <c r="AE807" s="7"/>
      <c r="AF807" s="15"/>
      <c r="AG807" s="71" t="b">
        <f t="shared" si="522"/>
        <v>1</v>
      </c>
      <c r="AI807" s="71">
        <f t="shared" si="523"/>
        <v>0</v>
      </c>
      <c r="AJ807" s="39"/>
      <c r="AK807" s="15"/>
      <c r="AL807" s="71" t="b">
        <f t="shared" si="524"/>
        <v>1</v>
      </c>
      <c r="AN807" s="65"/>
    </row>
    <row r="808" spans="2:40" ht="13" customHeight="1">
      <c r="B808" s="119"/>
      <c r="C808" s="23">
        <f t="shared" si="516"/>
        <v>2026092</v>
      </c>
      <c r="D808" s="23">
        <v>29</v>
      </c>
      <c r="E808" s="128">
        <v>0</v>
      </c>
      <c r="F808" s="126" t="e">
        <f>VLOOKUP(E808,'Códigos bancos'!$B$4:$C$29,2,0)</f>
        <v>#N/A</v>
      </c>
      <c r="G808" s="36">
        <v>1</v>
      </c>
      <c r="H808" s="126" t="str">
        <f>VLOOKUP(G808,'Códigos bancos'!$F$4:$G$14,2,0)</f>
        <v>Oficinas</v>
      </c>
      <c r="I808" s="130"/>
      <c r="J808" s="174">
        <v>0</v>
      </c>
      <c r="K808" s="174">
        <v>0</v>
      </c>
      <c r="L808" s="174">
        <v>0</v>
      </c>
      <c r="M808" s="174">
        <v>0</v>
      </c>
      <c r="N808" s="174">
        <v>0</v>
      </c>
      <c r="O808" s="174">
        <v>0</v>
      </c>
      <c r="P808" s="174">
        <v>0</v>
      </c>
      <c r="Q808" s="174">
        <v>0</v>
      </c>
      <c r="R808" s="174">
        <v>0</v>
      </c>
      <c r="S808" s="215">
        <v>0</v>
      </c>
      <c r="T808" s="71">
        <f t="shared" si="517"/>
        <v>0</v>
      </c>
      <c r="U808" s="71">
        <f t="shared" si="518"/>
        <v>0</v>
      </c>
      <c r="V808" s="117">
        <v>0</v>
      </c>
      <c r="W808" s="117">
        <v>0</v>
      </c>
      <c r="X808" s="71">
        <f t="shared" si="519"/>
        <v>0</v>
      </c>
      <c r="Y808" s="71">
        <f t="shared" si="520"/>
        <v>0</v>
      </c>
      <c r="AA808" s="65"/>
      <c r="AC808" s="71">
        <f t="shared" si="521"/>
        <v>0</v>
      </c>
      <c r="AD808" s="39"/>
      <c r="AE808" s="7"/>
      <c r="AF808" s="15"/>
      <c r="AG808" s="71" t="b">
        <f t="shared" si="522"/>
        <v>1</v>
      </c>
      <c r="AI808" s="71">
        <f t="shared" si="523"/>
        <v>0</v>
      </c>
      <c r="AJ808" s="39"/>
      <c r="AK808" s="15"/>
      <c r="AL808" s="71" t="b">
        <f t="shared" si="524"/>
        <v>1</v>
      </c>
      <c r="AN808" s="65"/>
    </row>
    <row r="809" spans="2:40" ht="13" customHeight="1">
      <c r="B809" s="119"/>
      <c r="C809" s="23">
        <f t="shared" si="516"/>
        <v>2026092</v>
      </c>
      <c r="D809" s="23">
        <v>29</v>
      </c>
      <c r="E809" s="128">
        <v>0</v>
      </c>
      <c r="F809" s="126" t="e">
        <f>VLOOKUP(E809,'Códigos bancos'!$B$4:$C$29,2,0)</f>
        <v>#N/A</v>
      </c>
      <c r="G809" s="36">
        <v>1</v>
      </c>
      <c r="H809" s="126" t="str">
        <f>VLOOKUP(G809,'Códigos bancos'!$F$4:$G$14,2,0)</f>
        <v>Oficinas</v>
      </c>
      <c r="I809" s="130"/>
      <c r="J809" s="174">
        <v>0</v>
      </c>
      <c r="K809" s="174">
        <v>0</v>
      </c>
      <c r="L809" s="174">
        <v>0</v>
      </c>
      <c r="M809" s="174">
        <v>0</v>
      </c>
      <c r="N809" s="174">
        <v>0</v>
      </c>
      <c r="O809" s="174">
        <v>0</v>
      </c>
      <c r="P809" s="174">
        <v>0</v>
      </c>
      <c r="Q809" s="174">
        <v>0</v>
      </c>
      <c r="R809" s="174">
        <v>0</v>
      </c>
      <c r="S809" s="215">
        <v>0</v>
      </c>
      <c r="T809" s="71">
        <f t="shared" si="517"/>
        <v>0</v>
      </c>
      <c r="U809" s="71">
        <f t="shared" si="518"/>
        <v>0</v>
      </c>
      <c r="V809" s="117">
        <v>0</v>
      </c>
      <c r="W809" s="117">
        <v>0</v>
      </c>
      <c r="X809" s="71">
        <f t="shared" si="519"/>
        <v>0</v>
      </c>
      <c r="Y809" s="71">
        <f t="shared" si="520"/>
        <v>0</v>
      </c>
      <c r="AA809" s="65"/>
      <c r="AC809" s="71">
        <f t="shared" si="521"/>
        <v>0</v>
      </c>
      <c r="AD809" s="39"/>
      <c r="AE809" s="7"/>
      <c r="AF809" s="15"/>
      <c r="AG809" s="71" t="b">
        <f t="shared" si="522"/>
        <v>1</v>
      </c>
      <c r="AI809" s="71">
        <f t="shared" si="523"/>
        <v>0</v>
      </c>
      <c r="AJ809" s="39"/>
      <c r="AK809" s="15"/>
      <c r="AL809" s="71" t="b">
        <f t="shared" si="524"/>
        <v>1</v>
      </c>
      <c r="AN809" s="65"/>
    </row>
    <row r="810" spans="2:40" ht="13" customHeight="1">
      <c r="B810" s="119"/>
      <c r="C810" s="159">
        <f t="shared" si="516"/>
        <v>2026092</v>
      </c>
      <c r="D810" s="23">
        <v>29</v>
      </c>
      <c r="E810" s="128">
        <v>0</v>
      </c>
      <c r="F810" s="126" t="e">
        <f>VLOOKUP(E810,'Códigos bancos'!$B$4:$C$29,2,0)</f>
        <v>#N/A</v>
      </c>
      <c r="G810" s="36">
        <v>1</v>
      </c>
      <c r="H810" s="126" t="str">
        <f>VLOOKUP(G810,'Códigos bancos'!$F$4:$G$14,2,0)</f>
        <v>Oficinas</v>
      </c>
      <c r="I810" s="130"/>
      <c r="J810" s="174">
        <v>0</v>
      </c>
      <c r="K810" s="174">
        <v>0</v>
      </c>
      <c r="L810" s="174">
        <v>0</v>
      </c>
      <c r="M810" s="174">
        <v>0</v>
      </c>
      <c r="N810" s="174">
        <v>0</v>
      </c>
      <c r="O810" s="174">
        <v>0</v>
      </c>
      <c r="P810" s="174">
        <v>0</v>
      </c>
      <c r="Q810" s="174">
        <v>0</v>
      </c>
      <c r="R810" s="174">
        <v>0</v>
      </c>
      <c r="S810" s="215">
        <v>0</v>
      </c>
      <c r="T810" s="71">
        <f t="shared" si="517"/>
        <v>0</v>
      </c>
      <c r="U810" s="71">
        <f t="shared" si="518"/>
        <v>0</v>
      </c>
      <c r="V810" s="117">
        <v>0</v>
      </c>
      <c r="W810" s="117">
        <v>0</v>
      </c>
      <c r="X810" s="71">
        <f t="shared" si="519"/>
        <v>0</v>
      </c>
      <c r="Y810" s="71">
        <f t="shared" si="520"/>
        <v>0</v>
      </c>
      <c r="AA810" s="65"/>
      <c r="AC810" s="71">
        <f t="shared" si="521"/>
        <v>0</v>
      </c>
      <c r="AD810" s="39"/>
      <c r="AE810" s="7"/>
      <c r="AF810" s="15"/>
      <c r="AG810" s="71" t="b">
        <f t="shared" si="522"/>
        <v>1</v>
      </c>
      <c r="AI810" s="71">
        <f t="shared" si="523"/>
        <v>0</v>
      </c>
      <c r="AJ810" s="39"/>
      <c r="AK810" s="15"/>
      <c r="AL810" s="71" t="b">
        <f t="shared" si="524"/>
        <v>1</v>
      </c>
      <c r="AN810" s="65"/>
    </row>
    <row r="811" spans="2:40" ht="13" customHeight="1">
      <c r="B811" s="119"/>
      <c r="C811" s="23">
        <f t="shared" si="516"/>
        <v>2026092</v>
      </c>
      <c r="D811" s="23">
        <v>29</v>
      </c>
      <c r="E811" s="128">
        <v>0</v>
      </c>
      <c r="F811" s="126" t="e">
        <f>VLOOKUP(E811,'Códigos bancos'!$B$4:$C$29,2,0)</f>
        <v>#N/A</v>
      </c>
      <c r="G811" s="36">
        <v>1</v>
      </c>
      <c r="H811" s="126" t="str">
        <f>VLOOKUP(G811,'Códigos bancos'!$F$4:$G$14,2,0)</f>
        <v>Oficinas</v>
      </c>
      <c r="I811" s="130"/>
      <c r="J811" s="174">
        <v>0</v>
      </c>
      <c r="K811" s="174">
        <v>0</v>
      </c>
      <c r="L811" s="174">
        <v>0</v>
      </c>
      <c r="M811" s="174">
        <v>0</v>
      </c>
      <c r="N811" s="174">
        <v>0</v>
      </c>
      <c r="O811" s="174">
        <v>0</v>
      </c>
      <c r="P811" s="174">
        <v>0</v>
      </c>
      <c r="Q811" s="174">
        <v>0</v>
      </c>
      <c r="R811" s="174">
        <v>0</v>
      </c>
      <c r="S811" s="215">
        <v>0</v>
      </c>
      <c r="T811" s="71">
        <f t="shared" si="517"/>
        <v>0</v>
      </c>
      <c r="U811" s="71">
        <f t="shared" si="518"/>
        <v>0</v>
      </c>
      <c r="V811" s="117">
        <v>0</v>
      </c>
      <c r="W811" s="117">
        <v>0</v>
      </c>
      <c r="X811" s="71">
        <f t="shared" si="519"/>
        <v>0</v>
      </c>
      <c r="Y811" s="71">
        <f t="shared" si="520"/>
        <v>0</v>
      </c>
      <c r="AA811" s="65"/>
      <c r="AC811" s="71">
        <f t="shared" si="521"/>
        <v>0</v>
      </c>
      <c r="AD811" s="39"/>
      <c r="AE811" s="7"/>
      <c r="AF811" s="15"/>
      <c r="AG811" s="71" t="b">
        <f t="shared" si="522"/>
        <v>1</v>
      </c>
      <c r="AI811" s="71">
        <f t="shared" si="523"/>
        <v>0</v>
      </c>
      <c r="AJ811" s="39"/>
      <c r="AK811" s="15"/>
      <c r="AL811" s="71" t="b">
        <f t="shared" si="524"/>
        <v>1</v>
      </c>
      <c r="AN811" s="65"/>
    </row>
    <row r="812" spans="2:40" ht="13" customHeight="1">
      <c r="B812" s="119"/>
      <c r="C812" s="23">
        <f t="shared" si="516"/>
        <v>2026092</v>
      </c>
      <c r="D812" s="23">
        <v>29</v>
      </c>
      <c r="E812" s="128">
        <v>0</v>
      </c>
      <c r="F812" s="126" t="e">
        <f>VLOOKUP(E812,'Códigos bancos'!$B$4:$C$29,2,0)</f>
        <v>#N/A</v>
      </c>
      <c r="G812" s="36">
        <v>1</v>
      </c>
      <c r="H812" s="126" t="str">
        <f>VLOOKUP(G812,'Códigos bancos'!$F$4:$G$14,2,0)</f>
        <v>Oficinas</v>
      </c>
      <c r="I812" s="130"/>
      <c r="J812" s="174">
        <v>0</v>
      </c>
      <c r="K812" s="174">
        <v>0</v>
      </c>
      <c r="L812" s="174">
        <v>0</v>
      </c>
      <c r="M812" s="174">
        <v>0</v>
      </c>
      <c r="N812" s="174">
        <v>0</v>
      </c>
      <c r="O812" s="174">
        <v>0</v>
      </c>
      <c r="P812" s="174">
        <v>0</v>
      </c>
      <c r="Q812" s="174">
        <v>0</v>
      </c>
      <c r="R812" s="174">
        <v>0</v>
      </c>
      <c r="S812" s="215">
        <v>0</v>
      </c>
      <c r="T812" s="71">
        <f t="shared" si="517"/>
        <v>0</v>
      </c>
      <c r="U812" s="71">
        <f t="shared" si="518"/>
        <v>0</v>
      </c>
      <c r="V812" s="117">
        <v>0</v>
      </c>
      <c r="W812" s="117">
        <v>0</v>
      </c>
      <c r="X812" s="71">
        <f t="shared" si="519"/>
        <v>0</v>
      </c>
      <c r="Y812" s="71">
        <f t="shared" si="520"/>
        <v>0</v>
      </c>
      <c r="AA812" s="65"/>
      <c r="AC812" s="71">
        <f t="shared" si="521"/>
        <v>0</v>
      </c>
      <c r="AD812" s="39"/>
      <c r="AE812" s="7"/>
      <c r="AF812" s="15"/>
      <c r="AG812" s="71" t="b">
        <f t="shared" si="522"/>
        <v>1</v>
      </c>
      <c r="AI812" s="71">
        <f t="shared" si="523"/>
        <v>0</v>
      </c>
      <c r="AJ812" s="39"/>
      <c r="AK812" s="15"/>
      <c r="AL812" s="71" t="b">
        <f t="shared" si="524"/>
        <v>1</v>
      </c>
      <c r="AN812" s="65"/>
    </row>
    <row r="813" spans="2:40" ht="13" customHeight="1">
      <c r="B813" s="119"/>
      <c r="C813" s="23">
        <f t="shared" si="516"/>
        <v>2026092</v>
      </c>
      <c r="D813" s="23">
        <v>29</v>
      </c>
      <c r="E813" s="128">
        <v>0</v>
      </c>
      <c r="F813" s="126" t="e">
        <f>VLOOKUP(E813,'Códigos bancos'!$B$4:$C$29,2,0)</f>
        <v>#N/A</v>
      </c>
      <c r="G813" s="36">
        <v>1</v>
      </c>
      <c r="H813" s="126" t="str">
        <f>VLOOKUP(G813,'Códigos bancos'!$F$4:$G$14,2,0)</f>
        <v>Oficinas</v>
      </c>
      <c r="I813" s="130"/>
      <c r="J813" s="174">
        <v>0</v>
      </c>
      <c r="K813" s="174">
        <v>0</v>
      </c>
      <c r="L813" s="174">
        <v>0</v>
      </c>
      <c r="M813" s="174">
        <v>0</v>
      </c>
      <c r="N813" s="174">
        <v>0</v>
      </c>
      <c r="O813" s="174">
        <v>0</v>
      </c>
      <c r="P813" s="174">
        <v>0</v>
      </c>
      <c r="Q813" s="174">
        <v>0</v>
      </c>
      <c r="R813" s="174">
        <v>0</v>
      </c>
      <c r="S813" s="215">
        <v>0</v>
      </c>
      <c r="T813" s="71">
        <f t="shared" si="517"/>
        <v>0</v>
      </c>
      <c r="U813" s="71">
        <f t="shared" si="518"/>
        <v>0</v>
      </c>
      <c r="V813" s="117">
        <v>0</v>
      </c>
      <c r="W813" s="117">
        <v>0</v>
      </c>
      <c r="X813" s="71">
        <f t="shared" si="519"/>
        <v>0</v>
      </c>
      <c r="Y813" s="71">
        <f t="shared" si="520"/>
        <v>0</v>
      </c>
      <c r="AA813" s="65"/>
      <c r="AC813" s="71">
        <f t="shared" si="521"/>
        <v>0</v>
      </c>
      <c r="AD813" s="39"/>
      <c r="AE813" s="7"/>
      <c r="AF813" s="15"/>
      <c r="AG813" s="71" t="b">
        <f t="shared" si="522"/>
        <v>1</v>
      </c>
      <c r="AI813" s="71">
        <f t="shared" si="523"/>
        <v>0</v>
      </c>
      <c r="AJ813" s="39"/>
      <c r="AK813" s="15"/>
      <c r="AL813" s="71" t="b">
        <f t="shared" si="524"/>
        <v>1</v>
      </c>
      <c r="AN813" s="65"/>
    </row>
    <row r="814" spans="2:40" ht="13" customHeight="1">
      <c r="B814" s="119"/>
      <c r="C814" s="23">
        <f t="shared" si="516"/>
        <v>2026092</v>
      </c>
      <c r="D814" s="23">
        <v>29</v>
      </c>
      <c r="E814" s="128">
        <v>0</v>
      </c>
      <c r="F814" s="126" t="e">
        <f>VLOOKUP(E814,'Códigos bancos'!$B$4:$C$29,2,0)</f>
        <v>#N/A</v>
      </c>
      <c r="G814" s="36">
        <v>1</v>
      </c>
      <c r="H814" s="126" t="str">
        <f>VLOOKUP(G814,'Códigos bancos'!$F$4:$G$14,2,0)</f>
        <v>Oficinas</v>
      </c>
      <c r="I814" s="130"/>
      <c r="J814" s="174">
        <v>0</v>
      </c>
      <c r="K814" s="174">
        <v>0</v>
      </c>
      <c r="L814" s="174">
        <v>0</v>
      </c>
      <c r="M814" s="174">
        <v>0</v>
      </c>
      <c r="N814" s="174">
        <v>0</v>
      </c>
      <c r="O814" s="174">
        <v>0</v>
      </c>
      <c r="P814" s="174">
        <v>0</v>
      </c>
      <c r="Q814" s="174">
        <v>0</v>
      </c>
      <c r="R814" s="174">
        <v>0</v>
      </c>
      <c r="S814" s="215">
        <v>0</v>
      </c>
      <c r="T814" s="71">
        <f t="shared" si="517"/>
        <v>0</v>
      </c>
      <c r="U814" s="71">
        <f t="shared" si="518"/>
        <v>0</v>
      </c>
      <c r="V814" s="117">
        <v>0</v>
      </c>
      <c r="W814" s="117">
        <v>0</v>
      </c>
      <c r="X814" s="71">
        <f t="shared" si="519"/>
        <v>0</v>
      </c>
      <c r="Y814" s="71">
        <f t="shared" si="520"/>
        <v>0</v>
      </c>
      <c r="AA814" s="65"/>
      <c r="AC814" s="71">
        <f t="shared" si="521"/>
        <v>0</v>
      </c>
      <c r="AD814" s="39"/>
      <c r="AE814" s="7"/>
      <c r="AF814" s="15"/>
      <c r="AG814" s="71" t="b">
        <f t="shared" si="522"/>
        <v>1</v>
      </c>
      <c r="AI814" s="71">
        <f t="shared" si="523"/>
        <v>0</v>
      </c>
      <c r="AJ814" s="39"/>
      <c r="AK814" s="15"/>
      <c r="AL814" s="71" t="b">
        <f t="shared" si="524"/>
        <v>1</v>
      </c>
      <c r="AN814" s="65"/>
    </row>
    <row r="815" spans="2:40" ht="13" customHeight="1">
      <c r="B815" s="119"/>
      <c r="C815" s="23">
        <f t="shared" si="516"/>
        <v>2026092</v>
      </c>
      <c r="D815" s="23">
        <v>29</v>
      </c>
      <c r="E815" s="128">
        <v>0</v>
      </c>
      <c r="F815" s="126" t="e">
        <f>VLOOKUP(E815,'Códigos bancos'!$B$4:$C$29,2,0)</f>
        <v>#N/A</v>
      </c>
      <c r="G815" s="36">
        <v>1</v>
      </c>
      <c r="H815" s="126" t="str">
        <f>VLOOKUP(G815,'Códigos bancos'!$F$4:$G$14,2,0)</f>
        <v>Oficinas</v>
      </c>
      <c r="I815" s="130"/>
      <c r="J815" s="174">
        <v>0</v>
      </c>
      <c r="K815" s="174">
        <v>0</v>
      </c>
      <c r="L815" s="174">
        <v>0</v>
      </c>
      <c r="M815" s="174">
        <v>0</v>
      </c>
      <c r="N815" s="174">
        <v>0</v>
      </c>
      <c r="O815" s="174">
        <v>0</v>
      </c>
      <c r="P815" s="174">
        <v>0</v>
      </c>
      <c r="Q815" s="174">
        <v>0</v>
      </c>
      <c r="R815" s="174">
        <v>0</v>
      </c>
      <c r="S815" s="215">
        <v>0</v>
      </c>
      <c r="T815" s="71">
        <f t="shared" si="517"/>
        <v>0</v>
      </c>
      <c r="U815" s="71">
        <f t="shared" si="518"/>
        <v>0</v>
      </c>
      <c r="V815" s="117">
        <v>0</v>
      </c>
      <c r="W815" s="117">
        <v>0</v>
      </c>
      <c r="X815" s="71">
        <f t="shared" si="519"/>
        <v>0</v>
      </c>
      <c r="Y815" s="71">
        <f t="shared" si="520"/>
        <v>0</v>
      </c>
      <c r="AA815" s="65"/>
      <c r="AC815" s="71">
        <f t="shared" si="521"/>
        <v>0</v>
      </c>
      <c r="AD815" s="39"/>
      <c r="AE815" s="7"/>
      <c r="AF815" s="15"/>
      <c r="AG815" s="71" t="b">
        <f t="shared" si="522"/>
        <v>1</v>
      </c>
      <c r="AI815" s="71">
        <f t="shared" si="523"/>
        <v>0</v>
      </c>
      <c r="AJ815" s="39"/>
      <c r="AK815" s="15"/>
      <c r="AL815" s="71" t="b">
        <f t="shared" si="524"/>
        <v>1</v>
      </c>
      <c r="AN815" s="65"/>
    </row>
    <row r="816" spans="2:40" ht="13" customHeight="1">
      <c r="B816" s="119"/>
      <c r="C816" s="23">
        <f t="shared" ref="C816" si="525">IF(D816&lt;=15,$C$1,$C$2)</f>
        <v>2026092</v>
      </c>
      <c r="D816" s="23">
        <v>29</v>
      </c>
      <c r="E816" s="128">
        <v>0</v>
      </c>
      <c r="F816" s="126" t="e">
        <f>VLOOKUP(E816,'Códigos bancos'!$B$4:$C$29,2,0)</f>
        <v>#N/A</v>
      </c>
      <c r="G816" s="36">
        <v>1</v>
      </c>
      <c r="H816" s="126" t="str">
        <f>VLOOKUP(G816,'Códigos bancos'!$F$4:$G$14,2,0)</f>
        <v>Oficinas</v>
      </c>
      <c r="I816" s="130"/>
      <c r="J816" s="174">
        <v>0</v>
      </c>
      <c r="K816" s="174">
        <v>0</v>
      </c>
      <c r="L816" s="174">
        <v>0</v>
      </c>
      <c r="M816" s="174">
        <v>0</v>
      </c>
      <c r="N816" s="174">
        <v>0</v>
      </c>
      <c r="O816" s="174">
        <v>0</v>
      </c>
      <c r="P816" s="174">
        <v>0</v>
      </c>
      <c r="Q816" s="174">
        <v>0</v>
      </c>
      <c r="R816" s="174">
        <v>0</v>
      </c>
      <c r="S816" s="215">
        <v>0</v>
      </c>
      <c r="T816" s="71">
        <f t="shared" ref="T816" si="526">J816+L816+N816+P816+R816</f>
        <v>0</v>
      </c>
      <c r="U816" s="71">
        <f t="shared" ref="U816" si="527">K816+M816+O816+Q816+S816</f>
        <v>0</v>
      </c>
      <c r="V816" s="117">
        <v>0</v>
      </c>
      <c r="W816" s="117">
        <v>0</v>
      </c>
      <c r="X816" s="71">
        <f t="shared" ref="X816" si="528">V816-T816</f>
        <v>0</v>
      </c>
      <c r="Y816" s="71">
        <f t="shared" ref="Y816" si="529">W816-U816</f>
        <v>0</v>
      </c>
      <c r="AA816" s="65"/>
      <c r="AC816" s="71">
        <f t="shared" ref="AC816" si="530">X816</f>
        <v>0</v>
      </c>
      <c r="AD816" s="39"/>
      <c r="AE816" s="7"/>
      <c r="AF816" s="15"/>
      <c r="AG816" s="71" t="b">
        <f t="shared" ref="AG816" si="531">AC816=(AD816+AE816+AF816)</f>
        <v>1</v>
      </c>
      <c r="AI816" s="71">
        <f t="shared" ref="AI816" si="532">Y816</f>
        <v>0</v>
      </c>
      <c r="AJ816" s="39"/>
      <c r="AK816" s="15"/>
      <c r="AL816" s="71" t="b">
        <f t="shared" ref="AL816" si="533">AI816=(AJ816+AK816)</f>
        <v>1</v>
      </c>
      <c r="AN816" s="65"/>
    </row>
    <row r="817" spans="2:40 16128:16147" ht="13" customHeight="1">
      <c r="B817" s="119"/>
      <c r="C817" s="23">
        <f t="shared" si="516"/>
        <v>2026092</v>
      </c>
      <c r="D817" s="23">
        <v>29</v>
      </c>
      <c r="E817" s="128">
        <v>0</v>
      </c>
      <c r="F817" s="126" t="e">
        <f>VLOOKUP(E817,'Códigos bancos'!$B$4:$C$29,2,0)</f>
        <v>#N/A</v>
      </c>
      <c r="G817" s="36">
        <v>1</v>
      </c>
      <c r="H817" s="126" t="str">
        <f>VLOOKUP(G817,'Códigos bancos'!$F$4:$G$14,2,0)</f>
        <v>Oficinas</v>
      </c>
      <c r="I817" s="130"/>
      <c r="J817" s="174">
        <v>0</v>
      </c>
      <c r="K817" s="174">
        <v>0</v>
      </c>
      <c r="L817" s="174">
        <v>0</v>
      </c>
      <c r="M817" s="174">
        <v>0</v>
      </c>
      <c r="N817" s="174">
        <v>0</v>
      </c>
      <c r="O817" s="174">
        <v>0</v>
      </c>
      <c r="P817" s="174">
        <v>0</v>
      </c>
      <c r="Q817" s="174">
        <v>0</v>
      </c>
      <c r="R817" s="174">
        <v>0</v>
      </c>
      <c r="S817" s="215">
        <v>0</v>
      </c>
      <c r="T817" s="71">
        <f t="shared" si="517"/>
        <v>0</v>
      </c>
      <c r="U817" s="71">
        <f t="shared" si="518"/>
        <v>0</v>
      </c>
      <c r="V817" s="117">
        <v>0</v>
      </c>
      <c r="W817" s="117">
        <v>0</v>
      </c>
      <c r="X817" s="71">
        <f t="shared" si="519"/>
        <v>0</v>
      </c>
      <c r="Y817" s="71">
        <f t="shared" si="520"/>
        <v>0</v>
      </c>
      <c r="AA817" s="65"/>
      <c r="AC817" s="71">
        <f t="shared" si="521"/>
        <v>0</v>
      </c>
      <c r="AD817" s="39"/>
      <c r="AE817" s="7"/>
      <c r="AF817" s="15"/>
      <c r="AG817" s="71" t="b">
        <f t="shared" si="522"/>
        <v>1</v>
      </c>
      <c r="AI817" s="71">
        <f t="shared" si="523"/>
        <v>0</v>
      </c>
      <c r="AJ817" s="39"/>
      <c r="AK817" s="15"/>
      <c r="AL817" s="71" t="b">
        <f t="shared" si="524"/>
        <v>1</v>
      </c>
      <c r="AN817" s="65"/>
    </row>
    <row r="818" spans="2:40 16128:16147" ht="13" customHeight="1">
      <c r="B818" s="119"/>
      <c r="C818" s="23">
        <f t="shared" si="516"/>
        <v>2026092</v>
      </c>
      <c r="D818" s="23">
        <v>29</v>
      </c>
      <c r="E818" s="128">
        <v>0</v>
      </c>
      <c r="F818" s="126" t="e">
        <f>VLOOKUP(E818,'Códigos bancos'!$B$4:$C$29,2,0)</f>
        <v>#N/A</v>
      </c>
      <c r="G818" s="36">
        <v>1</v>
      </c>
      <c r="H818" s="126" t="str">
        <f>VLOOKUP(G818,'Códigos bancos'!$F$4:$G$14,2,0)</f>
        <v>Oficinas</v>
      </c>
      <c r="I818" s="130"/>
      <c r="J818" s="174">
        <v>0</v>
      </c>
      <c r="K818" s="174">
        <v>0</v>
      </c>
      <c r="L818" s="174">
        <v>0</v>
      </c>
      <c r="M818" s="174">
        <v>0</v>
      </c>
      <c r="N818" s="174">
        <v>0</v>
      </c>
      <c r="O818" s="174">
        <v>0</v>
      </c>
      <c r="P818" s="174">
        <v>0</v>
      </c>
      <c r="Q818" s="174">
        <v>0</v>
      </c>
      <c r="R818" s="174">
        <v>0</v>
      </c>
      <c r="S818" s="215">
        <v>0</v>
      </c>
      <c r="T818" s="71">
        <f t="shared" si="517"/>
        <v>0</v>
      </c>
      <c r="U818" s="71">
        <f t="shared" si="518"/>
        <v>0</v>
      </c>
      <c r="V818" s="117">
        <v>0</v>
      </c>
      <c r="W818" s="117">
        <v>0</v>
      </c>
      <c r="X818" s="71">
        <f t="shared" si="519"/>
        <v>0</v>
      </c>
      <c r="Y818" s="71">
        <f t="shared" si="520"/>
        <v>0</v>
      </c>
      <c r="AA818" s="65"/>
      <c r="AC818" s="71">
        <f t="shared" si="521"/>
        <v>0</v>
      </c>
      <c r="AD818" s="39"/>
      <c r="AE818" s="7"/>
      <c r="AF818" s="15"/>
      <c r="AG818" s="71" t="b">
        <f t="shared" si="522"/>
        <v>1</v>
      </c>
      <c r="AI818" s="71">
        <f t="shared" si="523"/>
        <v>0</v>
      </c>
      <c r="AJ818" s="39"/>
      <c r="AK818" s="15"/>
      <c r="AL818" s="71" t="b">
        <f t="shared" si="524"/>
        <v>1</v>
      </c>
      <c r="AN818" s="65"/>
    </row>
    <row r="819" spans="2:40 16128:16147" ht="13" customHeight="1">
      <c r="B819" s="119"/>
      <c r="C819" s="23">
        <f t="shared" si="516"/>
        <v>2026092</v>
      </c>
      <c r="D819" s="23">
        <v>29</v>
      </c>
      <c r="E819" s="128">
        <v>0</v>
      </c>
      <c r="F819" s="126" t="e">
        <f>VLOOKUP(E819,'Códigos bancos'!$B$4:$C$29,2,0)</f>
        <v>#N/A</v>
      </c>
      <c r="G819" s="36">
        <v>1</v>
      </c>
      <c r="H819" s="126" t="str">
        <f>VLOOKUP(G819,'Códigos bancos'!$F$4:$G$14,2,0)</f>
        <v>Oficinas</v>
      </c>
      <c r="I819" s="130"/>
      <c r="J819" s="174">
        <v>0</v>
      </c>
      <c r="K819" s="174">
        <v>0</v>
      </c>
      <c r="L819" s="174">
        <v>0</v>
      </c>
      <c r="M819" s="174">
        <v>0</v>
      </c>
      <c r="N819" s="174">
        <v>0</v>
      </c>
      <c r="O819" s="174">
        <v>0</v>
      </c>
      <c r="P819" s="174">
        <v>0</v>
      </c>
      <c r="Q819" s="174">
        <v>0</v>
      </c>
      <c r="R819" s="174">
        <v>0</v>
      </c>
      <c r="S819" s="215">
        <v>0</v>
      </c>
      <c r="T819" s="71">
        <f t="shared" si="517"/>
        <v>0</v>
      </c>
      <c r="U819" s="71">
        <f t="shared" si="518"/>
        <v>0</v>
      </c>
      <c r="V819" s="117">
        <v>0</v>
      </c>
      <c r="W819" s="117">
        <v>0</v>
      </c>
      <c r="X819" s="71">
        <f t="shared" si="519"/>
        <v>0</v>
      </c>
      <c r="Y819" s="71">
        <f t="shared" si="520"/>
        <v>0</v>
      </c>
      <c r="AA819" s="65"/>
      <c r="AC819" s="71">
        <f t="shared" si="521"/>
        <v>0</v>
      </c>
      <c r="AD819" s="39"/>
      <c r="AE819" s="7"/>
      <c r="AF819" s="15"/>
      <c r="AG819" s="71" t="b">
        <f t="shared" si="522"/>
        <v>1</v>
      </c>
      <c r="AI819" s="71"/>
      <c r="AJ819" s="39"/>
      <c r="AK819" s="15"/>
      <c r="AL819" s="71" t="b">
        <f t="shared" si="524"/>
        <v>1</v>
      </c>
      <c r="AN819" s="65"/>
    </row>
    <row r="820" spans="2:40 16128:16147" ht="13" customHeight="1">
      <c r="B820" s="119"/>
      <c r="C820" s="23">
        <f t="shared" si="516"/>
        <v>2026092</v>
      </c>
      <c r="D820" s="23">
        <v>29</v>
      </c>
      <c r="E820" s="128">
        <v>0</v>
      </c>
      <c r="F820" s="126" t="e">
        <f>VLOOKUP(E820,'Códigos bancos'!$B$4:$C$29,2,0)</f>
        <v>#N/A</v>
      </c>
      <c r="G820" s="36">
        <v>1</v>
      </c>
      <c r="H820" s="126" t="str">
        <f>VLOOKUP(G820,'Códigos bancos'!$F$4:$G$14,2,0)</f>
        <v>Oficinas</v>
      </c>
      <c r="I820" s="130"/>
      <c r="J820" s="174">
        <v>0</v>
      </c>
      <c r="K820" s="174">
        <v>0</v>
      </c>
      <c r="L820" s="174">
        <v>0</v>
      </c>
      <c r="M820" s="174">
        <v>0</v>
      </c>
      <c r="N820" s="174">
        <v>0</v>
      </c>
      <c r="O820" s="174">
        <v>0</v>
      </c>
      <c r="P820" s="174">
        <v>0</v>
      </c>
      <c r="Q820" s="174">
        <v>0</v>
      </c>
      <c r="R820" s="174">
        <v>0</v>
      </c>
      <c r="S820" s="215">
        <v>0</v>
      </c>
      <c r="T820" s="71">
        <f t="shared" si="517"/>
        <v>0</v>
      </c>
      <c r="U820" s="71">
        <f t="shared" si="518"/>
        <v>0</v>
      </c>
      <c r="V820" s="117">
        <v>0</v>
      </c>
      <c r="W820" s="117">
        <v>0</v>
      </c>
      <c r="X820" s="71">
        <f t="shared" si="519"/>
        <v>0</v>
      </c>
      <c r="Y820" s="71">
        <f t="shared" si="520"/>
        <v>0</v>
      </c>
      <c r="AA820" s="65"/>
      <c r="AC820" s="71">
        <f t="shared" si="521"/>
        <v>0</v>
      </c>
      <c r="AD820" s="39"/>
      <c r="AE820" s="7"/>
      <c r="AF820" s="15"/>
      <c r="AG820" s="71" t="b">
        <f t="shared" si="522"/>
        <v>1</v>
      </c>
      <c r="AI820" s="71">
        <f>Y820</f>
        <v>0</v>
      </c>
      <c r="AJ820" s="39"/>
      <c r="AK820" s="15"/>
      <c r="AL820" s="71" t="b">
        <f t="shared" si="524"/>
        <v>1</v>
      </c>
      <c r="AN820" s="65"/>
    </row>
    <row r="821" spans="2:40 16128:16147" ht="13" customHeight="1" thickBot="1">
      <c r="B821" s="119"/>
      <c r="C821" s="23">
        <f t="shared" si="516"/>
        <v>2026092</v>
      </c>
      <c r="D821" s="23">
        <v>29</v>
      </c>
      <c r="E821" s="128">
        <v>0</v>
      </c>
      <c r="F821" s="126" t="e">
        <f>VLOOKUP(E821,'Códigos bancos'!$B$4:$C$29,2,0)</f>
        <v>#N/A</v>
      </c>
      <c r="G821" s="36">
        <v>1</v>
      </c>
      <c r="H821" s="126" t="str">
        <f>VLOOKUP(G821,'Códigos bancos'!$F$4:$G$14,2,0)</f>
        <v>Oficinas</v>
      </c>
      <c r="I821" s="130"/>
      <c r="J821" s="174">
        <v>0</v>
      </c>
      <c r="K821" s="174">
        <v>0</v>
      </c>
      <c r="L821" s="174">
        <v>0</v>
      </c>
      <c r="M821" s="174">
        <v>0</v>
      </c>
      <c r="N821" s="174">
        <v>0</v>
      </c>
      <c r="O821" s="174">
        <v>0</v>
      </c>
      <c r="P821" s="174">
        <v>0</v>
      </c>
      <c r="Q821" s="174">
        <v>0</v>
      </c>
      <c r="R821" s="174">
        <v>0</v>
      </c>
      <c r="S821" s="215">
        <v>0</v>
      </c>
      <c r="T821" s="71">
        <f t="shared" si="517"/>
        <v>0</v>
      </c>
      <c r="U821" s="71">
        <f t="shared" si="518"/>
        <v>0</v>
      </c>
      <c r="V821" s="117">
        <v>0</v>
      </c>
      <c r="W821" s="117">
        <v>0</v>
      </c>
      <c r="X821" s="71">
        <f t="shared" si="519"/>
        <v>0</v>
      </c>
      <c r="Y821" s="71">
        <f t="shared" si="520"/>
        <v>0</v>
      </c>
      <c r="AA821" s="65"/>
      <c r="AC821" s="71">
        <f t="shared" si="521"/>
        <v>0</v>
      </c>
      <c r="AD821" s="39"/>
      <c r="AE821" s="7"/>
      <c r="AF821" s="15"/>
      <c r="AG821" s="71" t="b">
        <f t="shared" si="522"/>
        <v>1</v>
      </c>
      <c r="AI821" s="71">
        <f t="shared" si="523"/>
        <v>0</v>
      </c>
      <c r="AJ821" s="39"/>
      <c r="AK821" s="15"/>
      <c r="AL821" s="71" t="b">
        <f t="shared" si="524"/>
        <v>1</v>
      </c>
      <c r="AN821" s="65"/>
    </row>
    <row r="822" spans="2:40 16128:16147" ht="13" customHeight="1" thickBot="1">
      <c r="E822" s="120" t="s">
        <v>0</v>
      </c>
      <c r="F822" s="121" t="s">
        <v>53</v>
      </c>
      <c r="G822" s="121"/>
      <c r="H822" s="121"/>
      <c r="I822" s="121"/>
      <c r="J822" s="122">
        <f t="shared" ref="J822:Y822" si="534">SUM(J797:J821)</f>
        <v>0</v>
      </c>
      <c r="K822" s="122">
        <f t="shared" si="534"/>
        <v>0</v>
      </c>
      <c r="L822" s="122">
        <f t="shared" si="534"/>
        <v>0</v>
      </c>
      <c r="M822" s="122">
        <f t="shared" si="534"/>
        <v>0</v>
      </c>
      <c r="N822" s="122">
        <f t="shared" si="534"/>
        <v>0</v>
      </c>
      <c r="O822" s="122">
        <f t="shared" si="534"/>
        <v>0</v>
      </c>
      <c r="P822" s="122">
        <f t="shared" si="534"/>
        <v>0</v>
      </c>
      <c r="Q822" s="122">
        <f t="shared" si="534"/>
        <v>0</v>
      </c>
      <c r="R822" s="122">
        <f t="shared" si="534"/>
        <v>16</v>
      </c>
      <c r="S822" s="122">
        <f t="shared" si="534"/>
        <v>826770</v>
      </c>
      <c r="T822" s="122">
        <f t="shared" si="534"/>
        <v>16</v>
      </c>
      <c r="U822" s="122">
        <f t="shared" si="534"/>
        <v>826770</v>
      </c>
      <c r="V822" s="123">
        <f t="shared" si="534"/>
        <v>16</v>
      </c>
      <c r="W822" s="123">
        <f t="shared" si="534"/>
        <v>826770</v>
      </c>
      <c r="X822" s="122">
        <f t="shared" si="534"/>
        <v>0</v>
      </c>
      <c r="Y822" s="123">
        <f t="shared" si="534"/>
        <v>0</v>
      </c>
      <c r="AA822" s="65"/>
      <c r="AC822" s="122">
        <f>SUM(AC797:AC821)</f>
        <v>0</v>
      </c>
      <c r="AD822" s="122">
        <f>SUM(AD797:AD821)</f>
        <v>0</v>
      </c>
      <c r="AE822" s="122">
        <f>SUM(AE797:AE821)</f>
        <v>0</v>
      </c>
      <c r="AF822" s="123">
        <f>SUM(AF797:AF821)</f>
        <v>0</v>
      </c>
      <c r="AG822" s="100"/>
      <c r="AI822" s="122">
        <f>SUM(AI797:AI821)</f>
        <v>0</v>
      </c>
      <c r="AJ822" s="122">
        <f>SUM(AJ797:AJ821)</f>
        <v>0</v>
      </c>
      <c r="AK822" s="123">
        <f>SUM(AK797:AK821)</f>
        <v>0</v>
      </c>
      <c r="AL822" s="100"/>
      <c r="AN822" s="65"/>
    </row>
    <row r="823" spans="2:40 16128:16147" ht="13" thickBot="1">
      <c r="AA823" s="65"/>
      <c r="AN823" s="65"/>
    </row>
    <row r="824" spans="2:40 16128:16147" ht="41.25" customHeight="1" thickBot="1">
      <c r="B824" s="112" t="s">
        <v>4</v>
      </c>
      <c r="C824" s="34" t="s">
        <v>6</v>
      </c>
      <c r="D824" s="34" t="s">
        <v>7</v>
      </c>
      <c r="E824" s="34" t="s">
        <v>49</v>
      </c>
      <c r="F824" s="34" t="s">
        <v>50</v>
      </c>
      <c r="G824" s="34" t="s">
        <v>51</v>
      </c>
      <c r="H824" s="34" t="s">
        <v>52</v>
      </c>
      <c r="I824" s="34" t="s">
        <v>13</v>
      </c>
      <c r="J824" s="12" t="s">
        <v>8</v>
      </c>
      <c r="K824" s="12" t="s">
        <v>36</v>
      </c>
      <c r="L824" s="12" t="s">
        <v>9</v>
      </c>
      <c r="M824" s="12" t="s">
        <v>37</v>
      </c>
      <c r="N824" s="87" t="s">
        <v>10</v>
      </c>
      <c r="O824" s="88" t="s">
        <v>38</v>
      </c>
      <c r="P824" s="87" t="s">
        <v>11</v>
      </c>
      <c r="Q824" s="88" t="s">
        <v>39</v>
      </c>
      <c r="R824" s="87" t="s">
        <v>12</v>
      </c>
      <c r="S824" s="88" t="s">
        <v>40</v>
      </c>
      <c r="T824" s="64" t="s">
        <v>41</v>
      </c>
      <c r="U824" s="64" t="s">
        <v>42</v>
      </c>
      <c r="V824" s="35" t="s">
        <v>32</v>
      </c>
      <c r="W824" s="67" t="s">
        <v>35</v>
      </c>
      <c r="X824" s="12" t="s">
        <v>34</v>
      </c>
      <c r="Y824" s="68" t="s">
        <v>33</v>
      </c>
      <c r="AA824" s="66"/>
      <c r="AC824" s="12" t="s">
        <v>34</v>
      </c>
      <c r="AD824" s="12" t="s">
        <v>45</v>
      </c>
      <c r="AE824" s="12" t="s">
        <v>43</v>
      </c>
      <c r="AF824" s="12" t="s">
        <v>44</v>
      </c>
      <c r="AG824" s="12" t="s">
        <v>46</v>
      </c>
      <c r="AI824" s="12" t="s">
        <v>33</v>
      </c>
      <c r="AJ824" s="12" t="s">
        <v>47</v>
      </c>
      <c r="AK824" s="12" t="s">
        <v>48</v>
      </c>
      <c r="AL824" s="12" t="s">
        <v>46</v>
      </c>
      <c r="AN824" s="66"/>
      <c r="WVH824" s="1"/>
      <c r="WVI824" s="1"/>
      <c r="WVZ824"/>
      <c r="WWA824"/>
    </row>
    <row r="825" spans="2:40 16128:16147" ht="13" customHeight="1">
      <c r="B825" s="119" t="s">
        <v>87</v>
      </c>
      <c r="C825" s="24">
        <f>IF(D825&lt;=15,$C$1,$C$2)</f>
        <v>2026092</v>
      </c>
      <c r="D825" s="24">
        <v>30</v>
      </c>
      <c r="E825" s="127">
        <v>20</v>
      </c>
      <c r="F825" s="125" t="str">
        <f>VLOOKUP(E825,'Códigos bancos'!$B$4:$C$29,2,0)</f>
        <v>Bancolombia ENERBIT</v>
      </c>
      <c r="G825" s="18">
        <v>1</v>
      </c>
      <c r="H825" s="125" t="str">
        <f>VLOOKUP(G825,'Códigos bancos'!$F$4:$G$14,2,0)</f>
        <v>Oficinas</v>
      </c>
      <c r="I825" s="129"/>
      <c r="J825" s="213">
        <v>0</v>
      </c>
      <c r="K825" s="213">
        <v>0</v>
      </c>
      <c r="L825" s="213">
        <v>0</v>
      </c>
      <c r="M825" s="213">
        <v>0</v>
      </c>
      <c r="N825" s="213">
        <v>0</v>
      </c>
      <c r="O825" s="213">
        <v>0</v>
      </c>
      <c r="P825" s="213">
        <v>0</v>
      </c>
      <c r="Q825" s="213">
        <v>0</v>
      </c>
      <c r="R825" s="174">
        <v>18</v>
      </c>
      <c r="S825" s="215">
        <v>1712980</v>
      </c>
      <c r="T825" s="70">
        <f>J825+L825+N825+P825+R825</f>
        <v>18</v>
      </c>
      <c r="U825" s="70">
        <f>K825+M825+O825+Q825+S825</f>
        <v>1712980</v>
      </c>
      <c r="V825" s="116">
        <v>18</v>
      </c>
      <c r="W825" s="116">
        <v>1712980</v>
      </c>
      <c r="X825" s="70">
        <f>V825-T825</f>
        <v>0</v>
      </c>
      <c r="Y825" s="70">
        <f>W825-U825</f>
        <v>0</v>
      </c>
      <c r="AA825" s="65"/>
      <c r="AC825" s="124">
        <f>X825</f>
        <v>0</v>
      </c>
      <c r="AD825" s="115"/>
      <c r="AE825" s="16"/>
      <c r="AF825" s="114"/>
      <c r="AG825" s="124" t="b">
        <f>AC825=(AD825+AE825+AF825)</f>
        <v>1</v>
      </c>
      <c r="AI825" s="70">
        <f>Y825</f>
        <v>0</v>
      </c>
      <c r="AJ825" s="115"/>
      <c r="AK825" s="114"/>
      <c r="AL825" s="70" t="b">
        <f>AI825=(AJ825+AK825)</f>
        <v>1</v>
      </c>
      <c r="AN825" s="65"/>
    </row>
    <row r="826" spans="2:40 16128:16147" ht="13" customHeight="1">
      <c r="B826" s="119"/>
      <c r="C826" s="23">
        <f t="shared" ref="C826:C849" si="535">IF(D826&lt;=15,$C$1,$C$2)</f>
        <v>2026092</v>
      </c>
      <c r="D826" s="23">
        <v>30</v>
      </c>
      <c r="E826" s="128">
        <v>0</v>
      </c>
      <c r="F826" s="126" t="e">
        <f>VLOOKUP(E826,'Códigos bancos'!$B$4:$C$29,2,0)</f>
        <v>#N/A</v>
      </c>
      <c r="G826" s="36">
        <v>1</v>
      </c>
      <c r="H826" s="126" t="str">
        <f>VLOOKUP(G826,'Códigos bancos'!$F$4:$G$14,2,0)</f>
        <v>Oficinas</v>
      </c>
      <c r="I826" s="130"/>
      <c r="J826" s="174">
        <v>0</v>
      </c>
      <c r="K826" s="174">
        <v>0</v>
      </c>
      <c r="L826" s="174">
        <v>0</v>
      </c>
      <c r="M826" s="174">
        <v>0</v>
      </c>
      <c r="N826" s="174">
        <v>0</v>
      </c>
      <c r="O826" s="174">
        <v>0</v>
      </c>
      <c r="P826" s="174">
        <v>0</v>
      </c>
      <c r="Q826" s="174">
        <v>0</v>
      </c>
      <c r="R826" s="174">
        <v>0</v>
      </c>
      <c r="S826" s="215">
        <v>0</v>
      </c>
      <c r="T826" s="71">
        <f t="shared" ref="T826:T849" si="536">J826+L826+N826+P826+R826</f>
        <v>0</v>
      </c>
      <c r="U826" s="71">
        <f t="shared" ref="U826:U849" si="537">K826+M826+O826+Q826+S826</f>
        <v>0</v>
      </c>
      <c r="V826" s="117">
        <v>0</v>
      </c>
      <c r="W826" s="117">
        <v>0</v>
      </c>
      <c r="X826" s="71">
        <f t="shared" ref="X826:X849" si="538">V826-T826</f>
        <v>0</v>
      </c>
      <c r="Y826" s="71">
        <f t="shared" ref="Y826:Y849" si="539">W826-U826</f>
        <v>0</v>
      </c>
      <c r="AA826" s="65"/>
      <c r="AC826" s="71">
        <f t="shared" ref="AC826:AC849" si="540">X826</f>
        <v>0</v>
      </c>
      <c r="AD826" s="39"/>
      <c r="AE826" s="7"/>
      <c r="AF826" s="15"/>
      <c r="AG826" s="71" t="b">
        <f t="shared" ref="AG826:AG849" si="541">AC826=(AD826+AE826+AF826)</f>
        <v>1</v>
      </c>
      <c r="AI826" s="71">
        <f t="shared" ref="AI826:AI849" si="542">Y826</f>
        <v>0</v>
      </c>
      <c r="AJ826" s="39"/>
      <c r="AK826" s="15"/>
      <c r="AL826" s="71" t="b">
        <f t="shared" ref="AL826:AL849" si="543">AI826=(AJ826+AK826)</f>
        <v>1</v>
      </c>
      <c r="AN826" s="65"/>
    </row>
    <row r="827" spans="2:40 16128:16147" ht="13" customHeight="1">
      <c r="B827" s="119"/>
      <c r="C827" s="23">
        <f t="shared" si="535"/>
        <v>2026092</v>
      </c>
      <c r="D827" s="23">
        <v>30</v>
      </c>
      <c r="E827" s="128">
        <v>0</v>
      </c>
      <c r="F827" s="126" t="e">
        <f>VLOOKUP(E827,'Códigos bancos'!$B$4:$C$29,2,0)</f>
        <v>#N/A</v>
      </c>
      <c r="G827" s="36">
        <v>1</v>
      </c>
      <c r="H827" s="126" t="str">
        <f>VLOOKUP(G827,'Códigos bancos'!$F$4:$G$14,2,0)</f>
        <v>Oficinas</v>
      </c>
      <c r="I827" s="130"/>
      <c r="J827" s="174">
        <v>0</v>
      </c>
      <c r="K827" s="174">
        <v>0</v>
      </c>
      <c r="L827" s="174">
        <v>0</v>
      </c>
      <c r="M827" s="174">
        <v>0</v>
      </c>
      <c r="N827" s="174">
        <v>0</v>
      </c>
      <c r="O827" s="174">
        <v>0</v>
      </c>
      <c r="P827" s="174">
        <v>0</v>
      </c>
      <c r="Q827" s="174">
        <v>0</v>
      </c>
      <c r="R827" s="174">
        <v>0</v>
      </c>
      <c r="S827" s="215">
        <v>0</v>
      </c>
      <c r="T827" s="71">
        <f t="shared" si="536"/>
        <v>0</v>
      </c>
      <c r="U827" s="71">
        <f t="shared" si="537"/>
        <v>0</v>
      </c>
      <c r="V827" s="117">
        <v>0</v>
      </c>
      <c r="W827" s="117">
        <v>0</v>
      </c>
      <c r="X827" s="71">
        <f t="shared" si="538"/>
        <v>0</v>
      </c>
      <c r="Y827" s="71">
        <f t="shared" si="539"/>
        <v>0</v>
      </c>
      <c r="AA827" s="65"/>
      <c r="AC827" s="71">
        <f t="shared" si="540"/>
        <v>0</v>
      </c>
      <c r="AD827" s="45"/>
      <c r="AE827" s="14"/>
      <c r="AF827" s="46"/>
      <c r="AG827" s="71" t="b">
        <f t="shared" si="541"/>
        <v>1</v>
      </c>
      <c r="AI827" s="71">
        <f t="shared" si="542"/>
        <v>0</v>
      </c>
      <c r="AJ827" s="45"/>
      <c r="AK827" s="46"/>
      <c r="AL827" s="71" t="b">
        <f t="shared" si="543"/>
        <v>1</v>
      </c>
      <c r="AN827" s="65"/>
    </row>
    <row r="828" spans="2:40 16128:16147" ht="13" customHeight="1">
      <c r="B828" s="119"/>
      <c r="C828" s="23">
        <f t="shared" si="535"/>
        <v>2026092</v>
      </c>
      <c r="D828" s="23">
        <v>30</v>
      </c>
      <c r="E828" s="128">
        <v>0</v>
      </c>
      <c r="F828" s="126" t="e">
        <f>VLOOKUP(E828,'Códigos bancos'!$B$4:$C$29,2,0)</f>
        <v>#N/A</v>
      </c>
      <c r="G828" s="36">
        <v>1</v>
      </c>
      <c r="H828" s="126" t="str">
        <f>VLOOKUP(G828,'Códigos bancos'!$F$4:$G$14,2,0)</f>
        <v>Oficinas</v>
      </c>
      <c r="I828" s="130"/>
      <c r="J828" s="174">
        <v>0</v>
      </c>
      <c r="K828" s="174">
        <v>0</v>
      </c>
      <c r="L828" s="174">
        <v>0</v>
      </c>
      <c r="M828" s="174">
        <v>0</v>
      </c>
      <c r="N828" s="174">
        <v>0</v>
      </c>
      <c r="O828" s="174">
        <v>0</v>
      </c>
      <c r="P828" s="174">
        <v>0</v>
      </c>
      <c r="Q828" s="174">
        <v>0</v>
      </c>
      <c r="R828" s="174">
        <v>0</v>
      </c>
      <c r="S828" s="215">
        <v>0</v>
      </c>
      <c r="T828" s="71">
        <f t="shared" si="536"/>
        <v>0</v>
      </c>
      <c r="U828" s="71">
        <f t="shared" si="537"/>
        <v>0</v>
      </c>
      <c r="V828" s="117">
        <v>0</v>
      </c>
      <c r="W828" s="117">
        <v>0</v>
      </c>
      <c r="X828" s="71">
        <f t="shared" si="538"/>
        <v>0</v>
      </c>
      <c r="Y828" s="71">
        <f t="shared" si="539"/>
        <v>0</v>
      </c>
      <c r="AA828" s="65"/>
      <c r="AC828" s="71">
        <f t="shared" si="540"/>
        <v>0</v>
      </c>
      <c r="AD828" s="39"/>
      <c r="AE828" s="7"/>
      <c r="AF828" s="15"/>
      <c r="AG828" s="71" t="b">
        <f t="shared" si="541"/>
        <v>1</v>
      </c>
      <c r="AI828" s="71">
        <f t="shared" si="542"/>
        <v>0</v>
      </c>
      <c r="AJ828" s="39"/>
      <c r="AK828" s="15"/>
      <c r="AL828" s="71" t="b">
        <f t="shared" si="543"/>
        <v>1</v>
      </c>
      <c r="AN828" s="65"/>
    </row>
    <row r="829" spans="2:40 16128:16147" ht="13" customHeight="1">
      <c r="B829" s="119"/>
      <c r="C829" s="23">
        <f t="shared" si="535"/>
        <v>2026092</v>
      </c>
      <c r="D829" s="23">
        <v>30</v>
      </c>
      <c r="E829" s="128">
        <v>0</v>
      </c>
      <c r="F829" s="126" t="e">
        <f>VLOOKUP(E829,'Códigos bancos'!$B$4:$C$29,2,0)</f>
        <v>#N/A</v>
      </c>
      <c r="G829" s="36">
        <v>1</v>
      </c>
      <c r="H829" s="126" t="str">
        <f>VLOOKUP(G829,'Códigos bancos'!$F$4:$G$14,2,0)</f>
        <v>Oficinas</v>
      </c>
      <c r="I829" s="130"/>
      <c r="J829" s="174">
        <v>0</v>
      </c>
      <c r="K829" s="174">
        <v>0</v>
      </c>
      <c r="L829" s="174">
        <v>0</v>
      </c>
      <c r="M829" s="174">
        <v>0</v>
      </c>
      <c r="N829" s="174">
        <v>0</v>
      </c>
      <c r="O829" s="174">
        <v>0</v>
      </c>
      <c r="P829" s="174">
        <v>0</v>
      </c>
      <c r="Q829" s="174">
        <v>0</v>
      </c>
      <c r="R829" s="174">
        <v>0</v>
      </c>
      <c r="S829" s="215">
        <v>0</v>
      </c>
      <c r="T829" s="71">
        <f t="shared" si="536"/>
        <v>0</v>
      </c>
      <c r="U829" s="71">
        <f t="shared" si="537"/>
        <v>0</v>
      </c>
      <c r="V829" s="117">
        <v>0</v>
      </c>
      <c r="W829" s="117">
        <v>0</v>
      </c>
      <c r="X829" s="71">
        <f t="shared" si="538"/>
        <v>0</v>
      </c>
      <c r="Y829" s="71">
        <f t="shared" si="539"/>
        <v>0</v>
      </c>
      <c r="AA829" s="65"/>
      <c r="AC829" s="71">
        <f t="shared" si="540"/>
        <v>0</v>
      </c>
      <c r="AD829" s="39"/>
      <c r="AE829" s="7"/>
      <c r="AF829" s="15"/>
      <c r="AG829" s="71" t="b">
        <f t="shared" si="541"/>
        <v>1</v>
      </c>
      <c r="AI829" s="71">
        <f t="shared" si="542"/>
        <v>0</v>
      </c>
      <c r="AJ829" s="39"/>
      <c r="AK829" s="15"/>
      <c r="AL829" s="71" t="b">
        <f t="shared" si="543"/>
        <v>1</v>
      </c>
      <c r="AN829" s="65"/>
    </row>
    <row r="830" spans="2:40 16128:16147" ht="13" customHeight="1">
      <c r="B830" s="119"/>
      <c r="C830" s="23">
        <f t="shared" si="535"/>
        <v>2026092</v>
      </c>
      <c r="D830" s="23">
        <v>30</v>
      </c>
      <c r="E830" s="128">
        <v>0</v>
      </c>
      <c r="F830" s="126" t="e">
        <f>VLOOKUP(E830,'Códigos bancos'!$B$4:$C$29,2,0)</f>
        <v>#N/A</v>
      </c>
      <c r="G830" s="36">
        <v>1</v>
      </c>
      <c r="H830" s="126" t="str">
        <f>VLOOKUP(G830,'Códigos bancos'!$F$4:$G$14,2,0)</f>
        <v>Oficinas</v>
      </c>
      <c r="I830" s="130"/>
      <c r="J830" s="174">
        <v>0</v>
      </c>
      <c r="K830" s="174">
        <v>0</v>
      </c>
      <c r="L830" s="174">
        <v>0</v>
      </c>
      <c r="M830" s="174">
        <v>0</v>
      </c>
      <c r="N830" s="174">
        <v>0</v>
      </c>
      <c r="O830" s="174">
        <v>0</v>
      </c>
      <c r="P830" s="174">
        <v>0</v>
      </c>
      <c r="Q830" s="174">
        <v>0</v>
      </c>
      <c r="R830" s="174">
        <v>0</v>
      </c>
      <c r="S830" s="215">
        <v>0</v>
      </c>
      <c r="T830" s="71">
        <f t="shared" si="536"/>
        <v>0</v>
      </c>
      <c r="U830" s="71">
        <f t="shared" si="537"/>
        <v>0</v>
      </c>
      <c r="V830" s="117">
        <v>0</v>
      </c>
      <c r="W830" s="117">
        <v>0</v>
      </c>
      <c r="X830" s="71">
        <f t="shared" si="538"/>
        <v>0</v>
      </c>
      <c r="Y830" s="71">
        <f t="shared" si="539"/>
        <v>0</v>
      </c>
      <c r="AA830" s="65"/>
      <c r="AC830" s="71">
        <f t="shared" si="540"/>
        <v>0</v>
      </c>
      <c r="AD830" s="39"/>
      <c r="AE830" s="7"/>
      <c r="AF830" s="15"/>
      <c r="AG830" s="71" t="b">
        <f t="shared" si="541"/>
        <v>1</v>
      </c>
      <c r="AI830" s="71">
        <f t="shared" si="542"/>
        <v>0</v>
      </c>
      <c r="AJ830" s="39"/>
      <c r="AK830" s="15"/>
      <c r="AL830" s="71" t="b">
        <f t="shared" si="543"/>
        <v>1</v>
      </c>
      <c r="AN830" s="65"/>
    </row>
    <row r="831" spans="2:40 16128:16147" ht="13" customHeight="1">
      <c r="B831" s="119"/>
      <c r="C831" s="23">
        <f t="shared" si="535"/>
        <v>2026092</v>
      </c>
      <c r="D831" s="23">
        <v>30</v>
      </c>
      <c r="E831" s="128">
        <v>0</v>
      </c>
      <c r="F831" s="126" t="e">
        <f>VLOOKUP(E831,'Códigos bancos'!$B$4:$C$29,2,0)</f>
        <v>#N/A</v>
      </c>
      <c r="G831" s="36">
        <v>1</v>
      </c>
      <c r="H831" s="126" t="str">
        <f>VLOOKUP(G831,'Códigos bancos'!$F$4:$G$14,2,0)</f>
        <v>Oficinas</v>
      </c>
      <c r="I831" s="130"/>
      <c r="J831" s="174">
        <v>0</v>
      </c>
      <c r="K831" s="174">
        <v>0</v>
      </c>
      <c r="L831" s="174">
        <v>0</v>
      </c>
      <c r="M831" s="174">
        <v>0</v>
      </c>
      <c r="N831" s="174">
        <v>0</v>
      </c>
      <c r="O831" s="174">
        <v>0</v>
      </c>
      <c r="P831" s="174">
        <v>0</v>
      </c>
      <c r="Q831" s="174">
        <v>0</v>
      </c>
      <c r="R831" s="174">
        <v>0</v>
      </c>
      <c r="S831" s="215">
        <v>0</v>
      </c>
      <c r="T831" s="71">
        <f t="shared" si="536"/>
        <v>0</v>
      </c>
      <c r="U831" s="71">
        <f t="shared" si="537"/>
        <v>0</v>
      </c>
      <c r="V831" s="117">
        <v>0</v>
      </c>
      <c r="W831" s="117">
        <v>0</v>
      </c>
      <c r="X831" s="71">
        <f t="shared" si="538"/>
        <v>0</v>
      </c>
      <c r="Y831" s="71">
        <f t="shared" si="539"/>
        <v>0</v>
      </c>
      <c r="AA831" s="65"/>
      <c r="AC831" s="71">
        <f t="shared" si="540"/>
        <v>0</v>
      </c>
      <c r="AD831" s="39"/>
      <c r="AE831" s="7"/>
      <c r="AF831" s="15"/>
      <c r="AG831" s="71" t="b">
        <f t="shared" si="541"/>
        <v>1</v>
      </c>
      <c r="AI831" s="71">
        <f t="shared" si="542"/>
        <v>0</v>
      </c>
      <c r="AJ831" s="39"/>
      <c r="AK831" s="15"/>
      <c r="AL831" s="71" t="b">
        <f t="shared" si="543"/>
        <v>1</v>
      </c>
      <c r="AN831" s="65"/>
    </row>
    <row r="832" spans="2:40 16128:16147" ht="13" customHeight="1">
      <c r="B832" s="119"/>
      <c r="C832" s="23">
        <f t="shared" si="535"/>
        <v>2026092</v>
      </c>
      <c r="D832" s="23">
        <v>30</v>
      </c>
      <c r="E832" s="128">
        <v>0</v>
      </c>
      <c r="F832" s="126" t="e">
        <f>VLOOKUP(E832,'Códigos bancos'!$B$4:$C$29,2,0)</f>
        <v>#N/A</v>
      </c>
      <c r="G832" s="36">
        <v>1</v>
      </c>
      <c r="H832" s="126" t="str">
        <f>VLOOKUP(G832,'Códigos bancos'!$F$4:$G$14,2,0)</f>
        <v>Oficinas</v>
      </c>
      <c r="I832" s="130"/>
      <c r="J832" s="174">
        <v>0</v>
      </c>
      <c r="K832" s="174">
        <v>0</v>
      </c>
      <c r="L832" s="174">
        <v>0</v>
      </c>
      <c r="M832" s="174">
        <v>0</v>
      </c>
      <c r="N832" s="174">
        <v>0</v>
      </c>
      <c r="O832" s="174">
        <v>0</v>
      </c>
      <c r="P832" s="174">
        <v>0</v>
      </c>
      <c r="Q832" s="174">
        <v>0</v>
      </c>
      <c r="R832" s="174">
        <v>0</v>
      </c>
      <c r="S832" s="215">
        <v>0</v>
      </c>
      <c r="T832" s="71">
        <f t="shared" si="536"/>
        <v>0</v>
      </c>
      <c r="U832" s="71">
        <f t="shared" si="537"/>
        <v>0</v>
      </c>
      <c r="V832" s="117">
        <v>0</v>
      </c>
      <c r="W832" s="117">
        <v>0</v>
      </c>
      <c r="X832" s="71">
        <f t="shared" si="538"/>
        <v>0</v>
      </c>
      <c r="Y832" s="71">
        <f t="shared" si="539"/>
        <v>0</v>
      </c>
      <c r="AA832" s="65"/>
      <c r="AC832" s="71">
        <f t="shared" si="540"/>
        <v>0</v>
      </c>
      <c r="AD832" s="39"/>
      <c r="AE832" s="7"/>
      <c r="AF832" s="15"/>
      <c r="AG832" s="71" t="b">
        <f t="shared" si="541"/>
        <v>1</v>
      </c>
      <c r="AI832" s="71">
        <f t="shared" si="542"/>
        <v>0</v>
      </c>
      <c r="AJ832" s="39"/>
      <c r="AK832" s="15"/>
      <c r="AL832" s="71" t="b">
        <f t="shared" si="543"/>
        <v>1</v>
      </c>
      <c r="AN832" s="65"/>
    </row>
    <row r="833" spans="2:40" ht="13" customHeight="1">
      <c r="B833" s="119"/>
      <c r="C833" s="23">
        <f t="shared" si="535"/>
        <v>2026092</v>
      </c>
      <c r="D833" s="23">
        <v>30</v>
      </c>
      <c r="E833" s="128">
        <v>0</v>
      </c>
      <c r="F833" s="126" t="e">
        <f>VLOOKUP(E833,'Códigos bancos'!$B$4:$C$29,2,0)</f>
        <v>#N/A</v>
      </c>
      <c r="G833" s="36">
        <v>1</v>
      </c>
      <c r="H833" s="126" t="str">
        <f>VLOOKUP(G833,'Códigos bancos'!$F$4:$G$14,2,0)</f>
        <v>Oficinas</v>
      </c>
      <c r="I833" s="130"/>
      <c r="J833" s="174">
        <v>0</v>
      </c>
      <c r="K833" s="174">
        <v>0</v>
      </c>
      <c r="L833" s="174">
        <v>0</v>
      </c>
      <c r="M833" s="174">
        <v>0</v>
      </c>
      <c r="N833" s="174">
        <v>0</v>
      </c>
      <c r="O833" s="174">
        <v>0</v>
      </c>
      <c r="P833" s="174">
        <v>0</v>
      </c>
      <c r="Q833" s="174">
        <v>0</v>
      </c>
      <c r="R833" s="174">
        <v>0</v>
      </c>
      <c r="S833" s="215">
        <v>0</v>
      </c>
      <c r="T833" s="71">
        <f t="shared" si="536"/>
        <v>0</v>
      </c>
      <c r="U833" s="71">
        <f t="shared" si="537"/>
        <v>0</v>
      </c>
      <c r="V833" s="117">
        <v>0</v>
      </c>
      <c r="W833" s="117">
        <v>0</v>
      </c>
      <c r="X833" s="71">
        <f t="shared" si="538"/>
        <v>0</v>
      </c>
      <c r="Y833" s="71">
        <f t="shared" si="539"/>
        <v>0</v>
      </c>
      <c r="AA833" s="65"/>
      <c r="AC833" s="71">
        <f t="shared" si="540"/>
        <v>0</v>
      </c>
      <c r="AD833" s="39"/>
      <c r="AE833" s="7"/>
      <c r="AF833" s="15"/>
      <c r="AG833" s="71" t="b">
        <f t="shared" si="541"/>
        <v>1</v>
      </c>
      <c r="AI833" s="71">
        <f t="shared" si="542"/>
        <v>0</v>
      </c>
      <c r="AJ833" s="39"/>
      <c r="AK833" s="15"/>
      <c r="AL833" s="71" t="b">
        <f t="shared" si="543"/>
        <v>1</v>
      </c>
      <c r="AN833" s="65"/>
    </row>
    <row r="834" spans="2:40" ht="13" customHeight="1">
      <c r="B834" s="119"/>
      <c r="C834" s="23">
        <f t="shared" si="535"/>
        <v>2026092</v>
      </c>
      <c r="D834" s="23">
        <v>30</v>
      </c>
      <c r="E834" s="128">
        <v>0</v>
      </c>
      <c r="F834" s="126" t="e">
        <f>VLOOKUP(E834,'Códigos bancos'!$B$4:$C$29,2,0)</f>
        <v>#N/A</v>
      </c>
      <c r="G834" s="36">
        <v>1</v>
      </c>
      <c r="H834" s="126" t="str">
        <f>VLOOKUP(G834,'Códigos bancos'!$F$4:$G$14,2,0)</f>
        <v>Oficinas</v>
      </c>
      <c r="I834" s="130"/>
      <c r="J834" s="174">
        <v>0</v>
      </c>
      <c r="K834" s="174">
        <v>0</v>
      </c>
      <c r="L834" s="174">
        <v>0</v>
      </c>
      <c r="M834" s="174">
        <v>0</v>
      </c>
      <c r="N834" s="174">
        <v>0</v>
      </c>
      <c r="O834" s="174">
        <v>0</v>
      </c>
      <c r="P834" s="174">
        <v>0</v>
      </c>
      <c r="Q834" s="174">
        <v>0</v>
      </c>
      <c r="R834" s="174">
        <v>0</v>
      </c>
      <c r="S834" s="215">
        <v>0</v>
      </c>
      <c r="T834" s="71">
        <f t="shared" si="536"/>
        <v>0</v>
      </c>
      <c r="U834" s="71">
        <f t="shared" si="537"/>
        <v>0</v>
      </c>
      <c r="V834" s="117">
        <v>0</v>
      </c>
      <c r="W834" s="117">
        <v>0</v>
      </c>
      <c r="X834" s="71">
        <f t="shared" si="538"/>
        <v>0</v>
      </c>
      <c r="Y834" s="71">
        <f t="shared" si="539"/>
        <v>0</v>
      </c>
      <c r="AA834" s="65"/>
      <c r="AC834" s="71">
        <f t="shared" si="540"/>
        <v>0</v>
      </c>
      <c r="AD834" s="39"/>
      <c r="AE834" s="7"/>
      <c r="AF834" s="15"/>
      <c r="AG834" s="71" t="b">
        <f t="shared" si="541"/>
        <v>1</v>
      </c>
      <c r="AI834" s="71">
        <f t="shared" si="542"/>
        <v>0</v>
      </c>
      <c r="AJ834" s="39"/>
      <c r="AK834" s="15"/>
      <c r="AL834" s="71" t="b">
        <f t="shared" si="543"/>
        <v>1</v>
      </c>
      <c r="AN834" s="65"/>
    </row>
    <row r="835" spans="2:40" ht="13" customHeight="1">
      <c r="B835" s="119"/>
      <c r="C835" s="23">
        <f t="shared" si="535"/>
        <v>2026092</v>
      </c>
      <c r="D835" s="23">
        <v>30</v>
      </c>
      <c r="E835" s="128">
        <v>0</v>
      </c>
      <c r="F835" s="126" t="e">
        <f>VLOOKUP(E835,'Códigos bancos'!$B$4:$C$29,2,0)</f>
        <v>#N/A</v>
      </c>
      <c r="G835" s="36">
        <v>1</v>
      </c>
      <c r="H835" s="126" t="str">
        <f>VLOOKUP(G835,'Códigos bancos'!$F$4:$G$14,2,0)</f>
        <v>Oficinas</v>
      </c>
      <c r="I835" s="130"/>
      <c r="J835" s="174">
        <v>0</v>
      </c>
      <c r="K835" s="174">
        <v>0</v>
      </c>
      <c r="L835" s="174">
        <v>0</v>
      </c>
      <c r="M835" s="174">
        <v>0</v>
      </c>
      <c r="N835" s="174">
        <v>0</v>
      </c>
      <c r="O835" s="174">
        <v>0</v>
      </c>
      <c r="P835" s="174">
        <v>0</v>
      </c>
      <c r="Q835" s="174">
        <v>0</v>
      </c>
      <c r="R835" s="174">
        <v>0</v>
      </c>
      <c r="S835" s="215">
        <v>0</v>
      </c>
      <c r="T835" s="71">
        <f t="shared" si="536"/>
        <v>0</v>
      </c>
      <c r="U835" s="71">
        <f t="shared" si="537"/>
        <v>0</v>
      </c>
      <c r="V835" s="117">
        <v>0</v>
      </c>
      <c r="W835" s="117">
        <v>0</v>
      </c>
      <c r="X835" s="71">
        <f t="shared" si="538"/>
        <v>0</v>
      </c>
      <c r="Y835" s="71">
        <f t="shared" si="539"/>
        <v>0</v>
      </c>
      <c r="AA835" s="65"/>
      <c r="AC835" s="71">
        <f t="shared" si="540"/>
        <v>0</v>
      </c>
      <c r="AD835" s="39"/>
      <c r="AE835" s="7"/>
      <c r="AF835" s="15"/>
      <c r="AG835" s="71" t="b">
        <f t="shared" si="541"/>
        <v>1</v>
      </c>
      <c r="AI835" s="71">
        <f t="shared" si="542"/>
        <v>0</v>
      </c>
      <c r="AJ835" s="39"/>
      <c r="AK835" s="15"/>
      <c r="AL835" s="71" t="b">
        <f t="shared" si="543"/>
        <v>1</v>
      </c>
      <c r="AN835" s="65"/>
    </row>
    <row r="836" spans="2:40" ht="13" customHeight="1">
      <c r="B836" s="119"/>
      <c r="C836" s="23">
        <f t="shared" si="535"/>
        <v>2026092</v>
      </c>
      <c r="D836" s="23">
        <v>30</v>
      </c>
      <c r="E836" s="128">
        <v>0</v>
      </c>
      <c r="F836" s="126" t="e">
        <f>VLOOKUP(E836,'Códigos bancos'!$B$4:$C$29,2,0)</f>
        <v>#N/A</v>
      </c>
      <c r="G836" s="36">
        <v>1</v>
      </c>
      <c r="H836" s="126" t="str">
        <f>VLOOKUP(G836,'Códigos bancos'!$F$4:$G$14,2,0)</f>
        <v>Oficinas</v>
      </c>
      <c r="I836" s="130"/>
      <c r="J836" s="174">
        <v>0</v>
      </c>
      <c r="K836" s="174">
        <v>0</v>
      </c>
      <c r="L836" s="174">
        <v>0</v>
      </c>
      <c r="M836" s="174">
        <v>0</v>
      </c>
      <c r="N836" s="174">
        <v>0</v>
      </c>
      <c r="O836" s="174">
        <v>0</v>
      </c>
      <c r="P836" s="174">
        <v>0</v>
      </c>
      <c r="Q836" s="174">
        <v>0</v>
      </c>
      <c r="R836" s="174">
        <v>0</v>
      </c>
      <c r="S836" s="215">
        <v>0</v>
      </c>
      <c r="T836" s="71">
        <f t="shared" si="536"/>
        <v>0</v>
      </c>
      <c r="U836" s="71">
        <f t="shared" si="537"/>
        <v>0</v>
      </c>
      <c r="V836" s="117">
        <v>0</v>
      </c>
      <c r="W836" s="117">
        <v>0</v>
      </c>
      <c r="X836" s="71">
        <f t="shared" si="538"/>
        <v>0</v>
      </c>
      <c r="Y836" s="71">
        <f t="shared" si="539"/>
        <v>0</v>
      </c>
      <c r="AA836" s="65"/>
      <c r="AC836" s="71">
        <f t="shared" si="540"/>
        <v>0</v>
      </c>
      <c r="AD836" s="39"/>
      <c r="AE836" s="7"/>
      <c r="AF836" s="15"/>
      <c r="AG836" s="71" t="b">
        <f t="shared" si="541"/>
        <v>1</v>
      </c>
      <c r="AI836" s="71">
        <f t="shared" si="542"/>
        <v>0</v>
      </c>
      <c r="AJ836" s="39"/>
      <c r="AK836" s="15"/>
      <c r="AL836" s="71" t="b">
        <f t="shared" si="543"/>
        <v>1</v>
      </c>
      <c r="AN836" s="65"/>
    </row>
    <row r="837" spans="2:40" ht="13" customHeight="1">
      <c r="B837" s="119"/>
      <c r="C837" s="23">
        <f t="shared" si="535"/>
        <v>2026092</v>
      </c>
      <c r="D837" s="23">
        <v>30</v>
      </c>
      <c r="E837" s="128">
        <v>0</v>
      </c>
      <c r="F837" s="126" t="e">
        <f>VLOOKUP(E837,'Códigos bancos'!$B$4:$C$29,2,0)</f>
        <v>#N/A</v>
      </c>
      <c r="G837" s="36">
        <v>1</v>
      </c>
      <c r="H837" s="126" t="str">
        <f>VLOOKUP(G837,'Códigos bancos'!$F$4:$G$14,2,0)</f>
        <v>Oficinas</v>
      </c>
      <c r="I837" s="130"/>
      <c r="J837" s="174">
        <v>0</v>
      </c>
      <c r="K837" s="174">
        <v>0</v>
      </c>
      <c r="L837" s="174">
        <v>0</v>
      </c>
      <c r="M837" s="174">
        <v>0</v>
      </c>
      <c r="N837" s="174">
        <v>0</v>
      </c>
      <c r="O837" s="174">
        <v>0</v>
      </c>
      <c r="P837" s="174">
        <v>0</v>
      </c>
      <c r="Q837" s="174">
        <v>0</v>
      </c>
      <c r="R837" s="174">
        <v>0</v>
      </c>
      <c r="S837" s="215">
        <v>0</v>
      </c>
      <c r="T837" s="71">
        <f t="shared" si="536"/>
        <v>0</v>
      </c>
      <c r="U837" s="71">
        <f t="shared" si="537"/>
        <v>0</v>
      </c>
      <c r="V837" s="117">
        <v>0</v>
      </c>
      <c r="W837" s="117">
        <v>0</v>
      </c>
      <c r="X837" s="71">
        <f t="shared" si="538"/>
        <v>0</v>
      </c>
      <c r="Y837" s="71">
        <f t="shared" si="539"/>
        <v>0</v>
      </c>
      <c r="AA837" s="65"/>
      <c r="AC837" s="71">
        <f t="shared" si="540"/>
        <v>0</v>
      </c>
      <c r="AD837" s="39"/>
      <c r="AE837" s="7"/>
      <c r="AF837" s="15"/>
      <c r="AG837" s="71" t="b">
        <f t="shared" si="541"/>
        <v>1</v>
      </c>
      <c r="AI837" s="71">
        <f t="shared" si="542"/>
        <v>0</v>
      </c>
      <c r="AJ837" s="39"/>
      <c r="AK837" s="15"/>
      <c r="AL837" s="71" t="b">
        <f t="shared" si="543"/>
        <v>1</v>
      </c>
      <c r="AN837" s="65"/>
    </row>
    <row r="838" spans="2:40" ht="13" customHeight="1">
      <c r="B838" s="119"/>
      <c r="C838" s="159">
        <f t="shared" si="535"/>
        <v>2026092</v>
      </c>
      <c r="D838" s="23">
        <v>30</v>
      </c>
      <c r="E838" s="128">
        <v>0</v>
      </c>
      <c r="F838" s="126" t="e">
        <f>VLOOKUP(E838,'Códigos bancos'!$B$4:$C$29,2,0)</f>
        <v>#N/A</v>
      </c>
      <c r="G838" s="36">
        <v>1</v>
      </c>
      <c r="H838" s="126" t="str">
        <f>VLOOKUP(G838,'Códigos bancos'!$F$4:$G$14,2,0)</f>
        <v>Oficinas</v>
      </c>
      <c r="I838" s="130"/>
      <c r="J838" s="174">
        <v>0</v>
      </c>
      <c r="K838" s="174">
        <v>0</v>
      </c>
      <c r="L838" s="174">
        <v>0</v>
      </c>
      <c r="M838" s="174">
        <v>0</v>
      </c>
      <c r="N838" s="174">
        <v>0</v>
      </c>
      <c r="O838" s="174">
        <v>0</v>
      </c>
      <c r="P838" s="174">
        <v>0</v>
      </c>
      <c r="Q838" s="174">
        <v>0</v>
      </c>
      <c r="R838" s="174">
        <v>0</v>
      </c>
      <c r="S838" s="215">
        <v>0</v>
      </c>
      <c r="T838" s="71">
        <f t="shared" si="536"/>
        <v>0</v>
      </c>
      <c r="U838" s="71">
        <f t="shared" si="537"/>
        <v>0</v>
      </c>
      <c r="V838" s="117">
        <v>0</v>
      </c>
      <c r="W838" s="117">
        <v>0</v>
      </c>
      <c r="X838" s="71">
        <f t="shared" si="538"/>
        <v>0</v>
      </c>
      <c r="Y838" s="71">
        <f t="shared" si="539"/>
        <v>0</v>
      </c>
      <c r="AA838" s="65"/>
      <c r="AC838" s="71">
        <f t="shared" si="540"/>
        <v>0</v>
      </c>
      <c r="AD838" s="39"/>
      <c r="AE838" s="7"/>
      <c r="AF838" s="15"/>
      <c r="AG838" s="71" t="b">
        <f t="shared" si="541"/>
        <v>1</v>
      </c>
      <c r="AI838" s="71">
        <f t="shared" si="542"/>
        <v>0</v>
      </c>
      <c r="AJ838" s="39"/>
      <c r="AK838" s="15"/>
      <c r="AL838" s="71" t="b">
        <f t="shared" si="543"/>
        <v>1</v>
      </c>
      <c r="AN838" s="65"/>
    </row>
    <row r="839" spans="2:40" ht="13" customHeight="1">
      <c r="B839" s="119"/>
      <c r="C839" s="23">
        <f t="shared" si="535"/>
        <v>2026092</v>
      </c>
      <c r="D839" s="23">
        <v>30</v>
      </c>
      <c r="E839" s="128">
        <v>0</v>
      </c>
      <c r="F839" s="126" t="e">
        <f>VLOOKUP(E839,'Códigos bancos'!$B$4:$C$29,2,0)</f>
        <v>#N/A</v>
      </c>
      <c r="G839" s="36">
        <v>1</v>
      </c>
      <c r="H839" s="126" t="str">
        <f>VLOOKUP(G839,'Códigos bancos'!$F$4:$G$14,2,0)</f>
        <v>Oficinas</v>
      </c>
      <c r="I839" s="130"/>
      <c r="J839" s="174">
        <v>0</v>
      </c>
      <c r="K839" s="174">
        <v>0</v>
      </c>
      <c r="L839" s="174">
        <v>0</v>
      </c>
      <c r="M839" s="174">
        <v>0</v>
      </c>
      <c r="N839" s="174">
        <v>0</v>
      </c>
      <c r="O839" s="174">
        <v>0</v>
      </c>
      <c r="P839" s="174">
        <v>0</v>
      </c>
      <c r="Q839" s="174">
        <v>0</v>
      </c>
      <c r="R839" s="174">
        <v>0</v>
      </c>
      <c r="S839" s="215">
        <v>0</v>
      </c>
      <c r="T839" s="71">
        <f t="shared" si="536"/>
        <v>0</v>
      </c>
      <c r="U839" s="71">
        <f t="shared" si="537"/>
        <v>0</v>
      </c>
      <c r="V839" s="117">
        <v>0</v>
      </c>
      <c r="W839" s="117">
        <v>0</v>
      </c>
      <c r="X839" s="71">
        <f t="shared" si="538"/>
        <v>0</v>
      </c>
      <c r="Y839" s="71">
        <f t="shared" si="539"/>
        <v>0</v>
      </c>
      <c r="AA839" s="65"/>
      <c r="AC839" s="71">
        <f t="shared" si="540"/>
        <v>0</v>
      </c>
      <c r="AD839" s="39"/>
      <c r="AE839" s="7"/>
      <c r="AF839" s="15"/>
      <c r="AG839" s="71" t="b">
        <f t="shared" si="541"/>
        <v>1</v>
      </c>
      <c r="AI839" s="71">
        <f t="shared" si="542"/>
        <v>0</v>
      </c>
      <c r="AJ839" s="39"/>
      <c r="AK839" s="15"/>
      <c r="AL839" s="71" t="b">
        <f t="shared" si="543"/>
        <v>1</v>
      </c>
      <c r="AN839" s="65"/>
    </row>
    <row r="840" spans="2:40" ht="13" customHeight="1">
      <c r="B840" s="119"/>
      <c r="C840" s="23">
        <f t="shared" si="535"/>
        <v>2026092</v>
      </c>
      <c r="D840" s="23">
        <v>30</v>
      </c>
      <c r="E840" s="128">
        <v>0</v>
      </c>
      <c r="F840" s="126" t="e">
        <f>VLOOKUP(E840,'Códigos bancos'!$B$4:$C$29,2,0)</f>
        <v>#N/A</v>
      </c>
      <c r="G840" s="36">
        <v>1</v>
      </c>
      <c r="H840" s="126" t="str">
        <f>VLOOKUP(G840,'Códigos bancos'!$F$4:$G$14,2,0)</f>
        <v>Oficinas</v>
      </c>
      <c r="I840" s="130"/>
      <c r="J840" s="174">
        <v>0</v>
      </c>
      <c r="K840" s="174">
        <v>0</v>
      </c>
      <c r="L840" s="174">
        <v>0</v>
      </c>
      <c r="M840" s="174">
        <v>0</v>
      </c>
      <c r="N840" s="174">
        <v>0</v>
      </c>
      <c r="O840" s="174">
        <v>0</v>
      </c>
      <c r="P840" s="174">
        <v>0</v>
      </c>
      <c r="Q840" s="174">
        <v>0</v>
      </c>
      <c r="R840" s="174">
        <v>0</v>
      </c>
      <c r="S840" s="215">
        <v>0</v>
      </c>
      <c r="T840" s="71">
        <f t="shared" si="536"/>
        <v>0</v>
      </c>
      <c r="U840" s="71">
        <f t="shared" si="537"/>
        <v>0</v>
      </c>
      <c r="V840" s="117">
        <v>0</v>
      </c>
      <c r="W840" s="117">
        <v>0</v>
      </c>
      <c r="X840" s="71">
        <f t="shared" si="538"/>
        <v>0</v>
      </c>
      <c r="Y840" s="71">
        <f t="shared" si="539"/>
        <v>0</v>
      </c>
      <c r="AA840" s="65"/>
      <c r="AC840" s="71">
        <f t="shared" si="540"/>
        <v>0</v>
      </c>
      <c r="AD840" s="39"/>
      <c r="AE840" s="7"/>
      <c r="AF840" s="15"/>
      <c r="AG840" s="71" t="b">
        <f t="shared" si="541"/>
        <v>1</v>
      </c>
      <c r="AI840" s="71">
        <f t="shared" si="542"/>
        <v>0</v>
      </c>
      <c r="AJ840" s="39"/>
      <c r="AK840" s="15"/>
      <c r="AL840" s="71" t="b">
        <f t="shared" si="543"/>
        <v>1</v>
      </c>
      <c r="AN840" s="65"/>
    </row>
    <row r="841" spans="2:40" ht="13" customHeight="1">
      <c r="B841" s="119"/>
      <c r="C841" s="23">
        <f t="shared" si="535"/>
        <v>2026092</v>
      </c>
      <c r="D841" s="23">
        <v>30</v>
      </c>
      <c r="E841" s="128">
        <v>0</v>
      </c>
      <c r="F841" s="126" t="e">
        <f>VLOOKUP(E841,'Códigos bancos'!$B$4:$C$29,2,0)</f>
        <v>#N/A</v>
      </c>
      <c r="G841" s="36">
        <v>1</v>
      </c>
      <c r="H841" s="126" t="str">
        <f>VLOOKUP(G841,'Códigos bancos'!$F$4:$G$14,2,0)</f>
        <v>Oficinas</v>
      </c>
      <c r="I841" s="130"/>
      <c r="J841" s="174">
        <v>0</v>
      </c>
      <c r="K841" s="174">
        <v>0</v>
      </c>
      <c r="L841" s="174">
        <v>0</v>
      </c>
      <c r="M841" s="174">
        <v>0</v>
      </c>
      <c r="N841" s="174">
        <v>0</v>
      </c>
      <c r="O841" s="174">
        <v>0</v>
      </c>
      <c r="P841" s="174">
        <v>0</v>
      </c>
      <c r="Q841" s="174">
        <v>0</v>
      </c>
      <c r="R841" s="174">
        <v>0</v>
      </c>
      <c r="S841" s="215">
        <v>0</v>
      </c>
      <c r="T841" s="71">
        <f t="shared" si="536"/>
        <v>0</v>
      </c>
      <c r="U841" s="71">
        <f t="shared" si="537"/>
        <v>0</v>
      </c>
      <c r="V841" s="117">
        <v>0</v>
      </c>
      <c r="W841" s="117">
        <v>0</v>
      </c>
      <c r="X841" s="71">
        <f t="shared" si="538"/>
        <v>0</v>
      </c>
      <c r="Y841" s="71">
        <f t="shared" si="539"/>
        <v>0</v>
      </c>
      <c r="AA841" s="65"/>
      <c r="AC841" s="71">
        <f t="shared" si="540"/>
        <v>0</v>
      </c>
      <c r="AD841" s="39"/>
      <c r="AE841" s="7"/>
      <c r="AF841" s="15"/>
      <c r="AG841" s="71" t="b">
        <f t="shared" si="541"/>
        <v>1</v>
      </c>
      <c r="AI841" s="71">
        <f t="shared" si="542"/>
        <v>0</v>
      </c>
      <c r="AJ841" s="39"/>
      <c r="AK841" s="15"/>
      <c r="AL841" s="71" t="b">
        <f t="shared" si="543"/>
        <v>1</v>
      </c>
      <c r="AN841" s="65"/>
    </row>
    <row r="842" spans="2:40" ht="13" customHeight="1">
      <c r="B842" s="119"/>
      <c r="C842" s="23">
        <f t="shared" si="535"/>
        <v>2026092</v>
      </c>
      <c r="D842" s="23">
        <v>30</v>
      </c>
      <c r="E842" s="128">
        <v>0</v>
      </c>
      <c r="F842" s="126" t="e">
        <f>VLOOKUP(E842,'Códigos bancos'!$B$4:$C$29,2,0)</f>
        <v>#N/A</v>
      </c>
      <c r="G842" s="36">
        <v>1</v>
      </c>
      <c r="H842" s="126" t="str">
        <f>VLOOKUP(G842,'Códigos bancos'!$F$4:$G$14,2,0)</f>
        <v>Oficinas</v>
      </c>
      <c r="I842" s="130"/>
      <c r="J842" s="174">
        <v>0</v>
      </c>
      <c r="K842" s="174">
        <v>0</v>
      </c>
      <c r="L842" s="174">
        <v>0</v>
      </c>
      <c r="M842" s="174">
        <v>0</v>
      </c>
      <c r="N842" s="174">
        <v>0</v>
      </c>
      <c r="O842" s="174">
        <v>0</v>
      </c>
      <c r="P842" s="174">
        <v>0</v>
      </c>
      <c r="Q842" s="174">
        <v>0</v>
      </c>
      <c r="R842" s="174">
        <v>0</v>
      </c>
      <c r="S842" s="215">
        <v>0</v>
      </c>
      <c r="T842" s="71">
        <f t="shared" si="536"/>
        <v>0</v>
      </c>
      <c r="U842" s="71">
        <f t="shared" si="537"/>
        <v>0</v>
      </c>
      <c r="V842" s="117">
        <v>0</v>
      </c>
      <c r="W842" s="117">
        <v>0</v>
      </c>
      <c r="X842" s="71">
        <f t="shared" si="538"/>
        <v>0</v>
      </c>
      <c r="Y842" s="71">
        <f t="shared" si="539"/>
        <v>0</v>
      </c>
      <c r="AA842" s="65"/>
      <c r="AC842" s="71">
        <f t="shared" si="540"/>
        <v>0</v>
      </c>
      <c r="AD842" s="39"/>
      <c r="AE842" s="7"/>
      <c r="AF842" s="15"/>
      <c r="AG842" s="71" t="b">
        <f t="shared" si="541"/>
        <v>1</v>
      </c>
      <c r="AI842" s="71">
        <f t="shared" si="542"/>
        <v>0</v>
      </c>
      <c r="AJ842" s="39"/>
      <c r="AK842" s="15"/>
      <c r="AL842" s="71" t="b">
        <f t="shared" si="543"/>
        <v>1</v>
      </c>
      <c r="AN842" s="65"/>
    </row>
    <row r="843" spans="2:40" ht="13" customHeight="1">
      <c r="B843" s="119"/>
      <c r="C843" s="23">
        <f t="shared" si="535"/>
        <v>2026092</v>
      </c>
      <c r="D843" s="23">
        <v>30</v>
      </c>
      <c r="E843" s="128">
        <v>0</v>
      </c>
      <c r="F843" s="126" t="e">
        <f>VLOOKUP(E843,'Códigos bancos'!$B$4:$C$29,2,0)</f>
        <v>#N/A</v>
      </c>
      <c r="G843" s="36">
        <v>1</v>
      </c>
      <c r="H843" s="126" t="str">
        <f>VLOOKUP(G843,'Códigos bancos'!$F$4:$G$14,2,0)</f>
        <v>Oficinas</v>
      </c>
      <c r="I843" s="130"/>
      <c r="J843" s="174">
        <v>0</v>
      </c>
      <c r="K843" s="174">
        <v>0</v>
      </c>
      <c r="L843" s="174">
        <v>0</v>
      </c>
      <c r="M843" s="174">
        <v>0</v>
      </c>
      <c r="N843" s="174">
        <v>0</v>
      </c>
      <c r="O843" s="174">
        <v>0</v>
      </c>
      <c r="P843" s="174">
        <v>0</v>
      </c>
      <c r="Q843" s="174">
        <v>0</v>
      </c>
      <c r="R843" s="174">
        <v>0</v>
      </c>
      <c r="S843" s="215">
        <v>0</v>
      </c>
      <c r="T843" s="71">
        <f t="shared" si="536"/>
        <v>0</v>
      </c>
      <c r="U843" s="71">
        <f t="shared" si="537"/>
        <v>0</v>
      </c>
      <c r="V843" s="117">
        <v>0</v>
      </c>
      <c r="W843" s="117">
        <v>0</v>
      </c>
      <c r="X843" s="71">
        <f t="shared" si="538"/>
        <v>0</v>
      </c>
      <c r="Y843" s="71">
        <f t="shared" si="539"/>
        <v>0</v>
      </c>
      <c r="AA843" s="65"/>
      <c r="AC843" s="71">
        <f t="shared" si="540"/>
        <v>0</v>
      </c>
      <c r="AD843" s="39"/>
      <c r="AE843" s="7"/>
      <c r="AF843" s="15"/>
      <c r="AG843" s="71" t="b">
        <f t="shared" si="541"/>
        <v>1</v>
      </c>
      <c r="AI843" s="71">
        <f t="shared" si="542"/>
        <v>0</v>
      </c>
      <c r="AJ843" s="39"/>
      <c r="AK843" s="15"/>
      <c r="AL843" s="71" t="b">
        <f t="shared" si="543"/>
        <v>1</v>
      </c>
      <c r="AN843" s="65"/>
    </row>
    <row r="844" spans="2:40" ht="13" customHeight="1">
      <c r="B844" s="119"/>
      <c r="C844" s="23">
        <f t="shared" ref="C844" si="544">IF(D844&lt;=15,$C$1,$C$2)</f>
        <v>2026092</v>
      </c>
      <c r="D844" s="23">
        <v>30</v>
      </c>
      <c r="E844" s="128">
        <v>0</v>
      </c>
      <c r="F844" s="126" t="e">
        <f>VLOOKUP(E844,'Códigos bancos'!$B$4:$C$29,2,0)</f>
        <v>#N/A</v>
      </c>
      <c r="G844" s="36">
        <v>1</v>
      </c>
      <c r="H844" s="126" t="str">
        <f>VLOOKUP(G844,'Códigos bancos'!$F$4:$G$14,2,0)</f>
        <v>Oficinas</v>
      </c>
      <c r="I844" s="130"/>
      <c r="J844" s="174">
        <v>0</v>
      </c>
      <c r="K844" s="174">
        <v>0</v>
      </c>
      <c r="L844" s="174">
        <v>0</v>
      </c>
      <c r="M844" s="174">
        <v>0</v>
      </c>
      <c r="N844" s="174">
        <v>0</v>
      </c>
      <c r="O844" s="174">
        <v>0</v>
      </c>
      <c r="P844" s="174">
        <v>0</v>
      </c>
      <c r="Q844" s="174">
        <v>0</v>
      </c>
      <c r="R844" s="174">
        <v>0</v>
      </c>
      <c r="S844" s="215">
        <v>0</v>
      </c>
      <c r="T844" s="71">
        <f t="shared" ref="T844" si="545">J844+L844+N844+P844+R844</f>
        <v>0</v>
      </c>
      <c r="U844" s="71">
        <f t="shared" ref="U844" si="546">K844+M844+O844+Q844+S844</f>
        <v>0</v>
      </c>
      <c r="V844" s="117">
        <v>0</v>
      </c>
      <c r="W844" s="117">
        <v>0</v>
      </c>
      <c r="X844" s="71">
        <f t="shared" ref="X844" si="547">V844-T844</f>
        <v>0</v>
      </c>
      <c r="Y844" s="71">
        <f t="shared" ref="Y844" si="548">W844-U844</f>
        <v>0</v>
      </c>
      <c r="AA844" s="65"/>
      <c r="AC844" s="71">
        <f t="shared" ref="AC844" si="549">X844</f>
        <v>0</v>
      </c>
      <c r="AD844" s="39"/>
      <c r="AE844" s="7"/>
      <c r="AF844" s="15"/>
      <c r="AG844" s="71" t="b">
        <f t="shared" ref="AG844" si="550">AC844=(AD844+AE844+AF844)</f>
        <v>1</v>
      </c>
      <c r="AI844" s="71">
        <f t="shared" ref="AI844" si="551">Y844</f>
        <v>0</v>
      </c>
      <c r="AJ844" s="39"/>
      <c r="AK844" s="15"/>
      <c r="AL844" s="71" t="b">
        <f t="shared" ref="AL844" si="552">AI844=(AJ844+AK844)</f>
        <v>1</v>
      </c>
      <c r="AN844" s="65"/>
    </row>
    <row r="845" spans="2:40" ht="13" customHeight="1">
      <c r="B845" s="119"/>
      <c r="C845" s="23">
        <f t="shared" si="535"/>
        <v>2026092</v>
      </c>
      <c r="D845" s="23">
        <v>30</v>
      </c>
      <c r="E845" s="128">
        <v>0</v>
      </c>
      <c r="F845" s="126" t="e">
        <f>VLOOKUP(E845,'Códigos bancos'!$B$4:$C$29,2,0)</f>
        <v>#N/A</v>
      </c>
      <c r="G845" s="36">
        <v>1</v>
      </c>
      <c r="H845" s="126" t="str">
        <f>VLOOKUP(G845,'Códigos bancos'!$F$4:$G$14,2,0)</f>
        <v>Oficinas</v>
      </c>
      <c r="I845" s="130"/>
      <c r="J845" s="174">
        <v>0</v>
      </c>
      <c r="K845" s="174">
        <v>0</v>
      </c>
      <c r="L845" s="174">
        <v>0</v>
      </c>
      <c r="M845" s="174">
        <v>0</v>
      </c>
      <c r="N845" s="174">
        <v>0</v>
      </c>
      <c r="O845" s="174">
        <v>0</v>
      </c>
      <c r="P845" s="174">
        <v>0</v>
      </c>
      <c r="Q845" s="174">
        <v>0</v>
      </c>
      <c r="R845" s="174">
        <v>0</v>
      </c>
      <c r="S845" s="215">
        <v>0</v>
      </c>
      <c r="T845" s="71">
        <f t="shared" si="536"/>
        <v>0</v>
      </c>
      <c r="U845" s="71">
        <f t="shared" si="537"/>
        <v>0</v>
      </c>
      <c r="V845" s="117">
        <v>0</v>
      </c>
      <c r="W845" s="117">
        <v>0</v>
      </c>
      <c r="X845" s="71">
        <f t="shared" si="538"/>
        <v>0</v>
      </c>
      <c r="Y845" s="71">
        <f t="shared" si="539"/>
        <v>0</v>
      </c>
      <c r="AA845" s="65"/>
      <c r="AC845" s="71">
        <f t="shared" si="540"/>
        <v>0</v>
      </c>
      <c r="AD845" s="39"/>
      <c r="AE845" s="7"/>
      <c r="AF845" s="15"/>
      <c r="AG845" s="71" t="b">
        <f t="shared" si="541"/>
        <v>1</v>
      </c>
      <c r="AI845" s="71">
        <f t="shared" si="542"/>
        <v>0</v>
      </c>
      <c r="AJ845" s="39"/>
      <c r="AK845" s="15"/>
      <c r="AL845" s="71" t="b">
        <f t="shared" si="543"/>
        <v>1</v>
      </c>
      <c r="AN845" s="65"/>
    </row>
    <row r="846" spans="2:40" ht="13" customHeight="1">
      <c r="B846" s="119"/>
      <c r="C846" s="23">
        <f t="shared" si="535"/>
        <v>2026092</v>
      </c>
      <c r="D846" s="23">
        <v>30</v>
      </c>
      <c r="E846" s="128">
        <v>0</v>
      </c>
      <c r="F846" s="126" t="e">
        <f>VLOOKUP(E846,'Códigos bancos'!$B$4:$C$29,2,0)</f>
        <v>#N/A</v>
      </c>
      <c r="G846" s="36">
        <v>1</v>
      </c>
      <c r="H846" s="126" t="str">
        <f>VLOOKUP(G846,'Códigos bancos'!$F$4:$G$14,2,0)</f>
        <v>Oficinas</v>
      </c>
      <c r="I846" s="130"/>
      <c r="J846" s="174">
        <v>0</v>
      </c>
      <c r="K846" s="174">
        <v>0</v>
      </c>
      <c r="L846" s="174">
        <v>0</v>
      </c>
      <c r="M846" s="174">
        <v>0</v>
      </c>
      <c r="N846" s="174">
        <v>0</v>
      </c>
      <c r="O846" s="174">
        <v>0</v>
      </c>
      <c r="P846" s="174">
        <v>0</v>
      </c>
      <c r="Q846" s="174">
        <v>0</v>
      </c>
      <c r="R846" s="174">
        <v>0</v>
      </c>
      <c r="S846" s="215">
        <v>0</v>
      </c>
      <c r="T846" s="71">
        <f t="shared" si="536"/>
        <v>0</v>
      </c>
      <c r="U846" s="71">
        <f t="shared" si="537"/>
        <v>0</v>
      </c>
      <c r="V846" s="117">
        <v>0</v>
      </c>
      <c r="W846" s="117">
        <v>0</v>
      </c>
      <c r="X846" s="71">
        <f t="shared" si="538"/>
        <v>0</v>
      </c>
      <c r="Y846" s="71">
        <f t="shared" si="539"/>
        <v>0</v>
      </c>
      <c r="AA846" s="65"/>
      <c r="AC846" s="71">
        <f t="shared" si="540"/>
        <v>0</v>
      </c>
      <c r="AD846" s="39"/>
      <c r="AE846" s="7"/>
      <c r="AF846" s="15"/>
      <c r="AG846" s="71" t="b">
        <f t="shared" si="541"/>
        <v>1</v>
      </c>
      <c r="AI846" s="71">
        <f t="shared" si="542"/>
        <v>0</v>
      </c>
      <c r="AJ846" s="39"/>
      <c r="AK846" s="15"/>
      <c r="AL846" s="71" t="b">
        <f t="shared" si="543"/>
        <v>1</v>
      </c>
      <c r="AN846" s="65"/>
    </row>
    <row r="847" spans="2:40" ht="13" customHeight="1">
      <c r="B847" s="119"/>
      <c r="C847" s="23">
        <f t="shared" si="535"/>
        <v>2026092</v>
      </c>
      <c r="D847" s="23">
        <v>30</v>
      </c>
      <c r="E847" s="128">
        <v>0</v>
      </c>
      <c r="F847" s="126" t="e">
        <f>VLOOKUP(E847,'Códigos bancos'!$B$4:$C$29,2,0)</f>
        <v>#N/A</v>
      </c>
      <c r="G847" s="36">
        <v>1</v>
      </c>
      <c r="H847" s="126" t="str">
        <f>VLOOKUP(G847,'Códigos bancos'!$F$4:$G$14,2,0)</f>
        <v>Oficinas</v>
      </c>
      <c r="I847" s="130"/>
      <c r="J847" s="174">
        <v>0</v>
      </c>
      <c r="K847" s="174">
        <v>0</v>
      </c>
      <c r="L847" s="174">
        <v>0</v>
      </c>
      <c r="M847" s="174">
        <v>0</v>
      </c>
      <c r="N847" s="174">
        <v>0</v>
      </c>
      <c r="O847" s="174">
        <v>0</v>
      </c>
      <c r="P847" s="174">
        <v>0</v>
      </c>
      <c r="Q847" s="174">
        <v>0</v>
      </c>
      <c r="R847" s="174">
        <v>0</v>
      </c>
      <c r="S847" s="215">
        <v>0</v>
      </c>
      <c r="T847" s="71">
        <f t="shared" si="536"/>
        <v>0</v>
      </c>
      <c r="U847" s="71">
        <f t="shared" si="537"/>
        <v>0</v>
      </c>
      <c r="V847" s="117">
        <v>0</v>
      </c>
      <c r="W847" s="117">
        <v>0</v>
      </c>
      <c r="X847" s="71">
        <f t="shared" si="538"/>
        <v>0</v>
      </c>
      <c r="Y847" s="71">
        <f t="shared" si="539"/>
        <v>0</v>
      </c>
      <c r="AA847" s="65"/>
      <c r="AC847" s="71">
        <f t="shared" si="540"/>
        <v>0</v>
      </c>
      <c r="AD847" s="39"/>
      <c r="AE847" s="7"/>
      <c r="AF847" s="15"/>
      <c r="AG847" s="71" t="b">
        <f t="shared" si="541"/>
        <v>1</v>
      </c>
      <c r="AI847" s="71"/>
      <c r="AJ847" s="39"/>
      <c r="AK847" s="15"/>
      <c r="AL847" s="71" t="b">
        <f t="shared" si="543"/>
        <v>1</v>
      </c>
      <c r="AN847" s="65"/>
    </row>
    <row r="848" spans="2:40" ht="13" customHeight="1">
      <c r="B848" s="119"/>
      <c r="C848" s="23">
        <f t="shared" si="535"/>
        <v>2026092</v>
      </c>
      <c r="D848" s="23">
        <v>30</v>
      </c>
      <c r="E848" s="128">
        <v>0</v>
      </c>
      <c r="F848" s="126" t="e">
        <f>VLOOKUP(E848,'Códigos bancos'!$B$4:$C$29,2,0)</f>
        <v>#N/A</v>
      </c>
      <c r="G848" s="36">
        <v>1</v>
      </c>
      <c r="H848" s="126" t="str">
        <f>VLOOKUP(G848,'Códigos bancos'!$F$4:$G$14,2,0)</f>
        <v>Oficinas</v>
      </c>
      <c r="I848" s="130"/>
      <c r="J848" s="174">
        <v>0</v>
      </c>
      <c r="K848" s="174">
        <v>0</v>
      </c>
      <c r="L848" s="174">
        <v>0</v>
      </c>
      <c r="M848" s="174">
        <v>0</v>
      </c>
      <c r="N848" s="174">
        <v>0</v>
      </c>
      <c r="O848" s="174">
        <v>0</v>
      </c>
      <c r="P848" s="174">
        <v>0</v>
      </c>
      <c r="Q848" s="174">
        <v>0</v>
      </c>
      <c r="R848" s="174">
        <v>0</v>
      </c>
      <c r="S848" s="215">
        <v>0</v>
      </c>
      <c r="T848" s="71">
        <f t="shared" si="536"/>
        <v>0</v>
      </c>
      <c r="U848" s="71">
        <f t="shared" si="537"/>
        <v>0</v>
      </c>
      <c r="V848" s="117">
        <v>0</v>
      </c>
      <c r="W848" s="117">
        <v>0</v>
      </c>
      <c r="X848" s="71">
        <f t="shared" si="538"/>
        <v>0</v>
      </c>
      <c r="Y848" s="71">
        <f t="shared" si="539"/>
        <v>0</v>
      </c>
      <c r="AA848" s="65"/>
      <c r="AC848" s="71">
        <f t="shared" si="540"/>
        <v>0</v>
      </c>
      <c r="AD848" s="39"/>
      <c r="AE848" s="7"/>
      <c r="AF848" s="15"/>
      <c r="AG848" s="71" t="b">
        <f t="shared" si="541"/>
        <v>1</v>
      </c>
      <c r="AI848" s="71">
        <f>Y848</f>
        <v>0</v>
      </c>
      <c r="AJ848" s="39"/>
      <c r="AK848" s="15"/>
      <c r="AL848" s="71" t="b">
        <f t="shared" si="543"/>
        <v>1</v>
      </c>
      <c r="AN848" s="65"/>
    </row>
    <row r="849" spans="2:40 16128:16147" ht="13" customHeight="1" thickBot="1">
      <c r="B849" s="119"/>
      <c r="C849" s="23">
        <f t="shared" si="535"/>
        <v>2026092</v>
      </c>
      <c r="D849" s="23">
        <v>30</v>
      </c>
      <c r="E849" s="128">
        <v>0</v>
      </c>
      <c r="F849" s="126" t="e">
        <f>VLOOKUP(E849,'Códigos bancos'!$B$4:$C$29,2,0)</f>
        <v>#N/A</v>
      </c>
      <c r="G849" s="36">
        <v>1</v>
      </c>
      <c r="H849" s="126" t="str">
        <f>VLOOKUP(G849,'Códigos bancos'!$F$4:$G$14,2,0)</f>
        <v>Oficinas</v>
      </c>
      <c r="I849" s="130"/>
      <c r="J849" s="174">
        <v>0</v>
      </c>
      <c r="K849" s="174">
        <v>0</v>
      </c>
      <c r="L849" s="174">
        <v>0</v>
      </c>
      <c r="M849" s="174">
        <v>0</v>
      </c>
      <c r="N849" s="174">
        <v>0</v>
      </c>
      <c r="O849" s="174">
        <v>0</v>
      </c>
      <c r="P849" s="174">
        <v>0</v>
      </c>
      <c r="Q849" s="174">
        <v>0</v>
      </c>
      <c r="R849" s="174">
        <v>0</v>
      </c>
      <c r="S849" s="215">
        <v>0</v>
      </c>
      <c r="T849" s="71">
        <f t="shared" si="536"/>
        <v>0</v>
      </c>
      <c r="U849" s="71">
        <f t="shared" si="537"/>
        <v>0</v>
      </c>
      <c r="V849" s="117">
        <v>0</v>
      </c>
      <c r="W849" s="117">
        <v>0</v>
      </c>
      <c r="X849" s="71">
        <f t="shared" si="538"/>
        <v>0</v>
      </c>
      <c r="Y849" s="71">
        <f t="shared" si="539"/>
        <v>0</v>
      </c>
      <c r="AA849" s="65"/>
      <c r="AC849" s="71">
        <f t="shared" si="540"/>
        <v>0</v>
      </c>
      <c r="AD849" s="39"/>
      <c r="AE849" s="7"/>
      <c r="AF849" s="15"/>
      <c r="AG849" s="71" t="b">
        <f t="shared" si="541"/>
        <v>1</v>
      </c>
      <c r="AI849" s="71">
        <f t="shared" si="542"/>
        <v>0</v>
      </c>
      <c r="AJ849" s="39"/>
      <c r="AK849" s="15"/>
      <c r="AL849" s="71" t="b">
        <f t="shared" si="543"/>
        <v>1</v>
      </c>
      <c r="AN849" s="65"/>
    </row>
    <row r="850" spans="2:40 16128:16147" ht="13" customHeight="1" thickBot="1">
      <c r="E850" s="120" t="s">
        <v>0</v>
      </c>
      <c r="F850" s="121" t="s">
        <v>53</v>
      </c>
      <c r="G850" s="121"/>
      <c r="H850" s="121"/>
      <c r="I850" s="121"/>
      <c r="J850" s="122">
        <f t="shared" ref="J850:Y850" si="553">SUM(J825:J849)</f>
        <v>0</v>
      </c>
      <c r="K850" s="122">
        <f t="shared" si="553"/>
        <v>0</v>
      </c>
      <c r="L850" s="122">
        <f t="shared" si="553"/>
        <v>0</v>
      </c>
      <c r="M850" s="122">
        <f t="shared" si="553"/>
        <v>0</v>
      </c>
      <c r="N850" s="122">
        <f t="shared" si="553"/>
        <v>0</v>
      </c>
      <c r="O850" s="122">
        <f t="shared" si="553"/>
        <v>0</v>
      </c>
      <c r="P850" s="122">
        <f t="shared" si="553"/>
        <v>0</v>
      </c>
      <c r="Q850" s="122">
        <f t="shared" si="553"/>
        <v>0</v>
      </c>
      <c r="R850" s="122">
        <f t="shared" si="553"/>
        <v>18</v>
      </c>
      <c r="S850" s="122">
        <f t="shared" si="553"/>
        <v>1712980</v>
      </c>
      <c r="T850" s="122">
        <f t="shared" si="553"/>
        <v>18</v>
      </c>
      <c r="U850" s="122">
        <f t="shared" si="553"/>
        <v>1712980</v>
      </c>
      <c r="V850" s="123">
        <f t="shared" si="553"/>
        <v>18</v>
      </c>
      <c r="W850" s="123">
        <f t="shared" si="553"/>
        <v>1712980</v>
      </c>
      <c r="X850" s="122">
        <f t="shared" si="553"/>
        <v>0</v>
      </c>
      <c r="Y850" s="123">
        <f t="shared" si="553"/>
        <v>0</v>
      </c>
      <c r="AA850" s="65"/>
      <c r="AC850" s="122">
        <f>SUM(AC825:AC849)</f>
        <v>0</v>
      </c>
      <c r="AD850" s="122">
        <f>SUM(AD825:AD849)</f>
        <v>0</v>
      </c>
      <c r="AE850" s="122">
        <f>SUM(AE825:AE849)</f>
        <v>0</v>
      </c>
      <c r="AF850" s="123">
        <f>SUM(AF825:AF849)</f>
        <v>0</v>
      </c>
      <c r="AG850" s="100"/>
      <c r="AI850" s="122">
        <f>SUM(AI825:AI849)</f>
        <v>0</v>
      </c>
      <c r="AJ850" s="122">
        <f>SUM(AJ825:AJ849)</f>
        <v>0</v>
      </c>
      <c r="AK850" s="123">
        <f>SUM(AK825:AK849)</f>
        <v>0</v>
      </c>
      <c r="AL850" s="100"/>
      <c r="AN850" s="65"/>
    </row>
    <row r="851" spans="2:40 16128:16147" ht="13" thickBot="1">
      <c r="AA851" s="65"/>
      <c r="AN851" s="65"/>
    </row>
    <row r="852" spans="2:40 16128:16147" ht="41.25" customHeight="1" thickBot="1">
      <c r="B852" s="112" t="s">
        <v>4</v>
      </c>
      <c r="C852" s="34" t="s">
        <v>6</v>
      </c>
      <c r="D852" s="34" t="s">
        <v>7</v>
      </c>
      <c r="E852" s="34" t="s">
        <v>49</v>
      </c>
      <c r="F852" s="34" t="s">
        <v>50</v>
      </c>
      <c r="G852" s="34" t="s">
        <v>51</v>
      </c>
      <c r="H852" s="34" t="s">
        <v>52</v>
      </c>
      <c r="I852" s="34" t="s">
        <v>13</v>
      </c>
      <c r="J852" s="12" t="s">
        <v>8</v>
      </c>
      <c r="K852" s="12" t="s">
        <v>36</v>
      </c>
      <c r="L852" s="12" t="s">
        <v>9</v>
      </c>
      <c r="M852" s="12" t="s">
        <v>37</v>
      </c>
      <c r="N852" s="87" t="s">
        <v>10</v>
      </c>
      <c r="O852" s="88" t="s">
        <v>38</v>
      </c>
      <c r="P852" s="87" t="s">
        <v>11</v>
      </c>
      <c r="Q852" s="88" t="s">
        <v>39</v>
      </c>
      <c r="R852" s="87" t="s">
        <v>12</v>
      </c>
      <c r="S852" s="88" t="s">
        <v>40</v>
      </c>
      <c r="T852" s="64" t="s">
        <v>41</v>
      </c>
      <c r="U852" s="64" t="s">
        <v>42</v>
      </c>
      <c r="V852" s="35" t="s">
        <v>32</v>
      </c>
      <c r="W852" s="67" t="s">
        <v>35</v>
      </c>
      <c r="X852" s="12" t="s">
        <v>34</v>
      </c>
      <c r="Y852" s="68" t="s">
        <v>33</v>
      </c>
      <c r="AA852" s="66"/>
      <c r="AC852" s="12" t="s">
        <v>34</v>
      </c>
      <c r="AD852" s="12" t="s">
        <v>45</v>
      </c>
      <c r="AE852" s="12" t="s">
        <v>43</v>
      </c>
      <c r="AF852" s="12" t="s">
        <v>44</v>
      </c>
      <c r="AG852" s="12" t="s">
        <v>46</v>
      </c>
      <c r="AI852" s="12" t="s">
        <v>33</v>
      </c>
      <c r="AJ852" s="12" t="s">
        <v>47</v>
      </c>
      <c r="AK852" s="12" t="s">
        <v>48</v>
      </c>
      <c r="AL852" s="12" t="s">
        <v>46</v>
      </c>
      <c r="AN852" s="66"/>
      <c r="WVH852" s="1"/>
      <c r="WVI852" s="1"/>
      <c r="WVZ852"/>
      <c r="WWA852"/>
    </row>
    <row r="853" spans="2:40 16128:16147" ht="13" customHeight="1">
      <c r="B853" s="118"/>
      <c r="C853" s="24">
        <f>IF(D853&lt;=15,$C$1,$C$2)</f>
        <v>2026092</v>
      </c>
      <c r="D853" s="24">
        <v>31</v>
      </c>
      <c r="E853" s="127">
        <v>20</v>
      </c>
      <c r="F853" s="125" t="str">
        <f>VLOOKUP(E853,'Códigos bancos'!$B$4:$C$29,2,0)</f>
        <v>Bancolombia ENERBIT</v>
      </c>
      <c r="G853" s="18">
        <v>1</v>
      </c>
      <c r="H853" s="125" t="str">
        <f>VLOOKUP(G853,'Códigos bancos'!$F$4:$G$14,2,0)</f>
        <v>Oficinas</v>
      </c>
      <c r="I853" s="129"/>
      <c r="J853" s="213">
        <v>0</v>
      </c>
      <c r="K853" s="213">
        <v>0</v>
      </c>
      <c r="L853" s="213">
        <v>0</v>
      </c>
      <c r="M853" s="213">
        <v>0</v>
      </c>
      <c r="N853" s="213">
        <v>0</v>
      </c>
      <c r="O853" s="213">
        <v>0</v>
      </c>
      <c r="P853" s="213">
        <v>0</v>
      </c>
      <c r="Q853" s="213">
        <v>0</v>
      </c>
      <c r="R853" s="213">
        <v>0</v>
      </c>
      <c r="S853" s="214">
        <v>0</v>
      </c>
      <c r="T853" s="70">
        <f>J853+L853+N853+P853+R853</f>
        <v>0</v>
      </c>
      <c r="U853" s="70">
        <f>K853+M853+O853+Q853+S853</f>
        <v>0</v>
      </c>
      <c r="V853" s="116">
        <v>0</v>
      </c>
      <c r="W853" s="116">
        <v>0</v>
      </c>
      <c r="X853" s="70">
        <f>V853-T853</f>
        <v>0</v>
      </c>
      <c r="Y853" s="70">
        <f>W853-U853</f>
        <v>0</v>
      </c>
      <c r="AA853" s="65"/>
      <c r="AC853" s="124">
        <f>X853</f>
        <v>0</v>
      </c>
      <c r="AD853" s="115"/>
      <c r="AE853" s="16"/>
      <c r="AF853" s="114"/>
      <c r="AG853" s="124" t="b">
        <f>AC853=(AD853+AE853+AF853)</f>
        <v>1</v>
      </c>
      <c r="AI853" s="70">
        <f>Y853</f>
        <v>0</v>
      </c>
      <c r="AJ853" s="115"/>
      <c r="AK853" s="114"/>
      <c r="AL853" s="70" t="b">
        <f>AI853=(AJ853+AK853)</f>
        <v>1</v>
      </c>
      <c r="AN853" s="65"/>
    </row>
    <row r="854" spans="2:40 16128:16147" ht="13" customHeight="1">
      <c r="B854" s="119"/>
      <c r="C854" s="23">
        <f t="shared" ref="C854:C877" si="554">IF(D854&lt;=15,$C$1,$C$2)</f>
        <v>2026092</v>
      </c>
      <c r="D854" s="23">
        <v>31</v>
      </c>
      <c r="E854" s="128">
        <v>0</v>
      </c>
      <c r="F854" s="126" t="e">
        <f>VLOOKUP(E854,'Códigos bancos'!$B$4:$C$29,2,0)</f>
        <v>#N/A</v>
      </c>
      <c r="G854" s="36">
        <v>1</v>
      </c>
      <c r="H854" s="126" t="str">
        <f>VLOOKUP(G854,'Códigos bancos'!$F$4:$G$14,2,0)</f>
        <v>Oficinas</v>
      </c>
      <c r="I854" s="130"/>
      <c r="J854" s="174">
        <v>0</v>
      </c>
      <c r="K854" s="174">
        <v>0</v>
      </c>
      <c r="L854" s="174">
        <v>0</v>
      </c>
      <c r="M854" s="174">
        <v>0</v>
      </c>
      <c r="N854" s="174">
        <v>0</v>
      </c>
      <c r="O854" s="174">
        <v>0</v>
      </c>
      <c r="P854" s="174">
        <v>0</v>
      </c>
      <c r="Q854" s="174">
        <v>0</v>
      </c>
      <c r="R854" s="174">
        <v>0</v>
      </c>
      <c r="S854" s="215">
        <v>0</v>
      </c>
      <c r="T854" s="71">
        <f t="shared" ref="T854:T877" si="555">J854+L854+N854+P854+R854</f>
        <v>0</v>
      </c>
      <c r="U854" s="71">
        <f t="shared" ref="U854:U877" si="556">K854+M854+O854+Q854+S854</f>
        <v>0</v>
      </c>
      <c r="V854" s="117">
        <v>0</v>
      </c>
      <c r="W854" s="117">
        <v>0</v>
      </c>
      <c r="X854" s="71">
        <f t="shared" ref="X854:X877" si="557">V854-T854</f>
        <v>0</v>
      </c>
      <c r="Y854" s="71">
        <f t="shared" ref="Y854:Y877" si="558">W854-U854</f>
        <v>0</v>
      </c>
      <c r="AA854" s="65"/>
      <c r="AC854" s="71">
        <f t="shared" ref="AC854:AC877" si="559">X854</f>
        <v>0</v>
      </c>
      <c r="AD854" s="39"/>
      <c r="AE854" s="7"/>
      <c r="AF854" s="15"/>
      <c r="AG854" s="71" t="b">
        <f t="shared" ref="AG854:AG877" si="560">AC854=(AD854+AE854+AF854)</f>
        <v>1</v>
      </c>
      <c r="AI854" s="71">
        <f t="shared" ref="AI854:AI877" si="561">Y854</f>
        <v>0</v>
      </c>
      <c r="AJ854" s="39"/>
      <c r="AK854" s="15"/>
      <c r="AL854" s="71" t="b">
        <f t="shared" ref="AL854:AL877" si="562">AI854=(AJ854+AK854)</f>
        <v>1</v>
      </c>
      <c r="AN854" s="65"/>
    </row>
    <row r="855" spans="2:40 16128:16147" ht="13" customHeight="1">
      <c r="B855" s="119"/>
      <c r="C855" s="23">
        <f t="shared" si="554"/>
        <v>2026092</v>
      </c>
      <c r="D855" s="23">
        <v>31</v>
      </c>
      <c r="E855" s="128">
        <v>0</v>
      </c>
      <c r="F855" s="126" t="e">
        <f>VLOOKUP(E855,'Códigos bancos'!$B$4:$C$29,2,0)</f>
        <v>#N/A</v>
      </c>
      <c r="G855" s="36">
        <v>1</v>
      </c>
      <c r="H855" s="126" t="str">
        <f>VLOOKUP(G855,'Códigos bancos'!$F$4:$G$14,2,0)</f>
        <v>Oficinas</v>
      </c>
      <c r="I855" s="130"/>
      <c r="J855" s="174">
        <v>0</v>
      </c>
      <c r="K855" s="174">
        <v>0</v>
      </c>
      <c r="L855" s="174">
        <v>0</v>
      </c>
      <c r="M855" s="174">
        <v>0</v>
      </c>
      <c r="N855" s="174">
        <v>0</v>
      </c>
      <c r="O855" s="174">
        <v>0</v>
      </c>
      <c r="P855" s="174">
        <v>0</v>
      </c>
      <c r="Q855" s="174">
        <v>0</v>
      </c>
      <c r="R855" s="174">
        <v>0</v>
      </c>
      <c r="S855" s="215">
        <v>0</v>
      </c>
      <c r="T855" s="71">
        <f t="shared" si="555"/>
        <v>0</v>
      </c>
      <c r="U855" s="71">
        <f t="shared" si="556"/>
        <v>0</v>
      </c>
      <c r="V855" s="117">
        <v>0</v>
      </c>
      <c r="W855" s="117">
        <v>0</v>
      </c>
      <c r="X855" s="71">
        <f t="shared" si="557"/>
        <v>0</v>
      </c>
      <c r="Y855" s="71">
        <f t="shared" si="558"/>
        <v>0</v>
      </c>
      <c r="AA855" s="65"/>
      <c r="AC855" s="71">
        <f t="shared" si="559"/>
        <v>0</v>
      </c>
      <c r="AD855" s="45"/>
      <c r="AE855" s="14"/>
      <c r="AF855" s="46"/>
      <c r="AG855" s="71" t="b">
        <f t="shared" si="560"/>
        <v>1</v>
      </c>
      <c r="AI855" s="71">
        <f t="shared" si="561"/>
        <v>0</v>
      </c>
      <c r="AJ855" s="45"/>
      <c r="AK855" s="46"/>
      <c r="AL855" s="71" t="b">
        <f t="shared" si="562"/>
        <v>1</v>
      </c>
      <c r="AN855" s="65"/>
    </row>
    <row r="856" spans="2:40 16128:16147" ht="13" customHeight="1">
      <c r="B856" s="119"/>
      <c r="C856" s="23">
        <f t="shared" si="554"/>
        <v>2026092</v>
      </c>
      <c r="D856" s="23">
        <v>31</v>
      </c>
      <c r="E856" s="128">
        <v>0</v>
      </c>
      <c r="F856" s="126" t="e">
        <f>VLOOKUP(E856,'Códigos bancos'!$B$4:$C$29,2,0)</f>
        <v>#N/A</v>
      </c>
      <c r="G856" s="36">
        <v>1</v>
      </c>
      <c r="H856" s="126" t="str">
        <f>VLOOKUP(G856,'Códigos bancos'!$F$4:$G$14,2,0)</f>
        <v>Oficinas</v>
      </c>
      <c r="I856" s="130"/>
      <c r="J856" s="174">
        <v>0</v>
      </c>
      <c r="K856" s="174">
        <v>0</v>
      </c>
      <c r="L856" s="174">
        <v>0</v>
      </c>
      <c r="M856" s="174">
        <v>0</v>
      </c>
      <c r="N856" s="174">
        <v>0</v>
      </c>
      <c r="O856" s="174">
        <v>0</v>
      </c>
      <c r="P856" s="174">
        <v>0</v>
      </c>
      <c r="Q856" s="174">
        <v>0</v>
      </c>
      <c r="R856" s="174">
        <v>0</v>
      </c>
      <c r="S856" s="215">
        <v>0</v>
      </c>
      <c r="T856" s="71">
        <f t="shared" si="555"/>
        <v>0</v>
      </c>
      <c r="U856" s="71">
        <f t="shared" si="556"/>
        <v>0</v>
      </c>
      <c r="V856" s="117">
        <v>0</v>
      </c>
      <c r="W856" s="117">
        <v>0</v>
      </c>
      <c r="X856" s="71">
        <f t="shared" si="557"/>
        <v>0</v>
      </c>
      <c r="Y856" s="71">
        <f t="shared" si="558"/>
        <v>0</v>
      </c>
      <c r="AA856" s="65"/>
      <c r="AC856" s="71">
        <f t="shared" si="559"/>
        <v>0</v>
      </c>
      <c r="AD856" s="39"/>
      <c r="AE856" s="7"/>
      <c r="AF856" s="15"/>
      <c r="AG856" s="71" t="b">
        <f t="shared" si="560"/>
        <v>1</v>
      </c>
      <c r="AI856" s="71">
        <f t="shared" si="561"/>
        <v>0</v>
      </c>
      <c r="AJ856" s="39"/>
      <c r="AK856" s="15"/>
      <c r="AL856" s="71" t="b">
        <f t="shared" si="562"/>
        <v>1</v>
      </c>
      <c r="AN856" s="65"/>
    </row>
    <row r="857" spans="2:40 16128:16147" ht="13" customHeight="1">
      <c r="B857" s="119"/>
      <c r="C857" s="23">
        <f t="shared" si="554"/>
        <v>2026092</v>
      </c>
      <c r="D857" s="23">
        <v>31</v>
      </c>
      <c r="E857" s="128">
        <v>0</v>
      </c>
      <c r="F857" s="126" t="e">
        <f>VLOOKUP(E857,'Códigos bancos'!$B$4:$C$29,2,0)</f>
        <v>#N/A</v>
      </c>
      <c r="G857" s="36">
        <v>1</v>
      </c>
      <c r="H857" s="126" t="str">
        <f>VLOOKUP(G857,'Códigos bancos'!$F$4:$G$14,2,0)</f>
        <v>Oficinas</v>
      </c>
      <c r="I857" s="130"/>
      <c r="J857" s="174">
        <v>0</v>
      </c>
      <c r="K857" s="174">
        <v>0</v>
      </c>
      <c r="L857" s="174">
        <v>0</v>
      </c>
      <c r="M857" s="174">
        <v>0</v>
      </c>
      <c r="N857" s="174">
        <v>0</v>
      </c>
      <c r="O857" s="174">
        <v>0</v>
      </c>
      <c r="P857" s="174">
        <v>0</v>
      </c>
      <c r="Q857" s="174">
        <v>0</v>
      </c>
      <c r="R857" s="174">
        <v>0</v>
      </c>
      <c r="S857" s="215">
        <v>0</v>
      </c>
      <c r="T857" s="71">
        <f t="shared" si="555"/>
        <v>0</v>
      </c>
      <c r="U857" s="71">
        <f t="shared" si="556"/>
        <v>0</v>
      </c>
      <c r="V857" s="117">
        <v>0</v>
      </c>
      <c r="W857" s="117">
        <v>0</v>
      </c>
      <c r="X857" s="71">
        <f t="shared" si="557"/>
        <v>0</v>
      </c>
      <c r="Y857" s="71">
        <f t="shared" si="558"/>
        <v>0</v>
      </c>
      <c r="AA857" s="65"/>
      <c r="AC857" s="71">
        <f t="shared" si="559"/>
        <v>0</v>
      </c>
      <c r="AD857" s="39"/>
      <c r="AE857" s="7"/>
      <c r="AF857" s="15"/>
      <c r="AG857" s="71" t="b">
        <f t="shared" si="560"/>
        <v>1</v>
      </c>
      <c r="AI857" s="71">
        <f t="shared" si="561"/>
        <v>0</v>
      </c>
      <c r="AJ857" s="39"/>
      <c r="AK857" s="15"/>
      <c r="AL857" s="71" t="b">
        <f t="shared" si="562"/>
        <v>1</v>
      </c>
      <c r="AN857" s="65"/>
    </row>
    <row r="858" spans="2:40 16128:16147" ht="13" customHeight="1">
      <c r="B858" s="119"/>
      <c r="C858" s="23">
        <f t="shared" si="554"/>
        <v>2026092</v>
      </c>
      <c r="D858" s="23">
        <v>31</v>
      </c>
      <c r="E858" s="128">
        <v>0</v>
      </c>
      <c r="F858" s="126" t="e">
        <f>VLOOKUP(E858,'Códigos bancos'!$B$4:$C$29,2,0)</f>
        <v>#N/A</v>
      </c>
      <c r="G858" s="36">
        <v>1</v>
      </c>
      <c r="H858" s="126" t="str">
        <f>VLOOKUP(G858,'Códigos bancos'!$F$4:$G$14,2,0)</f>
        <v>Oficinas</v>
      </c>
      <c r="I858" s="130"/>
      <c r="J858" s="174">
        <v>0</v>
      </c>
      <c r="K858" s="174">
        <v>0</v>
      </c>
      <c r="L858" s="174">
        <v>0</v>
      </c>
      <c r="M858" s="174">
        <v>0</v>
      </c>
      <c r="N858" s="174">
        <v>0</v>
      </c>
      <c r="O858" s="174">
        <v>0</v>
      </c>
      <c r="P858" s="174">
        <v>0</v>
      </c>
      <c r="Q858" s="174">
        <v>0</v>
      </c>
      <c r="R858" s="174">
        <v>0</v>
      </c>
      <c r="S858" s="215">
        <v>0</v>
      </c>
      <c r="T858" s="71">
        <f t="shared" si="555"/>
        <v>0</v>
      </c>
      <c r="U858" s="71">
        <f t="shared" si="556"/>
        <v>0</v>
      </c>
      <c r="V858" s="117">
        <v>0</v>
      </c>
      <c r="W858" s="117">
        <v>0</v>
      </c>
      <c r="X858" s="71">
        <f t="shared" si="557"/>
        <v>0</v>
      </c>
      <c r="Y858" s="71">
        <f t="shared" si="558"/>
        <v>0</v>
      </c>
      <c r="AA858" s="65"/>
      <c r="AC858" s="71">
        <f t="shared" si="559"/>
        <v>0</v>
      </c>
      <c r="AD858" s="39"/>
      <c r="AE858" s="7"/>
      <c r="AF858" s="15"/>
      <c r="AG858" s="71" t="b">
        <f t="shared" si="560"/>
        <v>1</v>
      </c>
      <c r="AI858" s="71">
        <f t="shared" si="561"/>
        <v>0</v>
      </c>
      <c r="AJ858" s="39"/>
      <c r="AK858" s="15"/>
      <c r="AL858" s="71" t="b">
        <f t="shared" si="562"/>
        <v>1</v>
      </c>
      <c r="AN858" s="65"/>
    </row>
    <row r="859" spans="2:40 16128:16147" ht="13" customHeight="1">
      <c r="B859" s="119"/>
      <c r="C859" s="23">
        <f t="shared" si="554"/>
        <v>2026092</v>
      </c>
      <c r="D859" s="23">
        <v>31</v>
      </c>
      <c r="E859" s="128">
        <v>0</v>
      </c>
      <c r="F859" s="126" t="e">
        <f>VLOOKUP(E859,'Códigos bancos'!$B$4:$C$29,2,0)</f>
        <v>#N/A</v>
      </c>
      <c r="G859" s="36">
        <v>1</v>
      </c>
      <c r="H859" s="126" t="str">
        <f>VLOOKUP(G859,'Códigos bancos'!$F$4:$G$14,2,0)</f>
        <v>Oficinas</v>
      </c>
      <c r="I859" s="130"/>
      <c r="J859" s="174">
        <v>0</v>
      </c>
      <c r="K859" s="174">
        <v>0</v>
      </c>
      <c r="L859" s="174">
        <v>0</v>
      </c>
      <c r="M859" s="174">
        <v>0</v>
      </c>
      <c r="N859" s="174">
        <v>0</v>
      </c>
      <c r="O859" s="174">
        <v>0</v>
      </c>
      <c r="P859" s="174">
        <v>0</v>
      </c>
      <c r="Q859" s="174">
        <v>0</v>
      </c>
      <c r="R859" s="174">
        <v>0</v>
      </c>
      <c r="S859" s="215">
        <v>0</v>
      </c>
      <c r="T859" s="71">
        <f t="shared" si="555"/>
        <v>0</v>
      </c>
      <c r="U859" s="71">
        <f t="shared" si="556"/>
        <v>0</v>
      </c>
      <c r="V859" s="117">
        <v>0</v>
      </c>
      <c r="W859" s="117">
        <v>0</v>
      </c>
      <c r="X859" s="71">
        <f t="shared" si="557"/>
        <v>0</v>
      </c>
      <c r="Y859" s="71">
        <f t="shared" si="558"/>
        <v>0</v>
      </c>
      <c r="AA859" s="65"/>
      <c r="AC859" s="71">
        <f t="shared" si="559"/>
        <v>0</v>
      </c>
      <c r="AD859" s="39"/>
      <c r="AE859" s="7"/>
      <c r="AF859" s="15"/>
      <c r="AG859" s="71" t="b">
        <f t="shared" si="560"/>
        <v>1</v>
      </c>
      <c r="AI859" s="71">
        <f t="shared" si="561"/>
        <v>0</v>
      </c>
      <c r="AJ859" s="39"/>
      <c r="AK859" s="15"/>
      <c r="AL859" s="71" t="b">
        <f t="shared" si="562"/>
        <v>1</v>
      </c>
      <c r="AN859" s="65"/>
    </row>
    <row r="860" spans="2:40 16128:16147" ht="13" customHeight="1">
      <c r="B860" s="119"/>
      <c r="C860" s="23">
        <f t="shared" si="554"/>
        <v>2026092</v>
      </c>
      <c r="D860" s="23">
        <v>31</v>
      </c>
      <c r="E860" s="128">
        <v>0</v>
      </c>
      <c r="F860" s="126" t="e">
        <f>VLOOKUP(E860,'Códigos bancos'!$B$4:$C$29,2,0)</f>
        <v>#N/A</v>
      </c>
      <c r="G860" s="36">
        <v>1</v>
      </c>
      <c r="H860" s="126" t="str">
        <f>VLOOKUP(G860,'Códigos bancos'!$F$4:$G$14,2,0)</f>
        <v>Oficinas</v>
      </c>
      <c r="I860" s="130"/>
      <c r="J860" s="174">
        <v>0</v>
      </c>
      <c r="K860" s="174">
        <v>0</v>
      </c>
      <c r="L860" s="174">
        <v>0</v>
      </c>
      <c r="M860" s="174">
        <v>0</v>
      </c>
      <c r="N860" s="174">
        <v>0</v>
      </c>
      <c r="O860" s="174">
        <v>0</v>
      </c>
      <c r="P860" s="174">
        <v>0</v>
      </c>
      <c r="Q860" s="174">
        <v>0</v>
      </c>
      <c r="R860" s="174">
        <v>0</v>
      </c>
      <c r="S860" s="215">
        <v>0</v>
      </c>
      <c r="T860" s="71">
        <f t="shared" si="555"/>
        <v>0</v>
      </c>
      <c r="U860" s="71">
        <f t="shared" si="556"/>
        <v>0</v>
      </c>
      <c r="V860" s="117">
        <v>0</v>
      </c>
      <c r="W860" s="117">
        <v>0</v>
      </c>
      <c r="X860" s="71">
        <f t="shared" si="557"/>
        <v>0</v>
      </c>
      <c r="Y860" s="71">
        <f t="shared" si="558"/>
        <v>0</v>
      </c>
      <c r="AA860" s="65"/>
      <c r="AC860" s="71">
        <f t="shared" si="559"/>
        <v>0</v>
      </c>
      <c r="AD860" s="39"/>
      <c r="AE860" s="7"/>
      <c r="AF860" s="15"/>
      <c r="AG860" s="71" t="b">
        <f t="shared" si="560"/>
        <v>1</v>
      </c>
      <c r="AI860" s="71">
        <f t="shared" si="561"/>
        <v>0</v>
      </c>
      <c r="AJ860" s="39"/>
      <c r="AK860" s="15"/>
      <c r="AL860" s="71" t="b">
        <f t="shared" si="562"/>
        <v>1</v>
      </c>
      <c r="AN860" s="65"/>
    </row>
    <row r="861" spans="2:40 16128:16147" ht="13" customHeight="1">
      <c r="B861" s="119"/>
      <c r="C861" s="23">
        <f t="shared" si="554"/>
        <v>2026092</v>
      </c>
      <c r="D861" s="23">
        <v>31</v>
      </c>
      <c r="E861" s="128">
        <v>0</v>
      </c>
      <c r="F861" s="126" t="e">
        <f>VLOOKUP(E861,'Códigos bancos'!$B$4:$C$29,2,0)</f>
        <v>#N/A</v>
      </c>
      <c r="G861" s="36">
        <v>1</v>
      </c>
      <c r="H861" s="126" t="str">
        <f>VLOOKUP(G861,'Códigos bancos'!$F$4:$G$14,2,0)</f>
        <v>Oficinas</v>
      </c>
      <c r="I861" s="130"/>
      <c r="J861" s="174">
        <v>0</v>
      </c>
      <c r="K861" s="174">
        <v>0</v>
      </c>
      <c r="L861" s="174">
        <v>0</v>
      </c>
      <c r="M861" s="174">
        <v>0</v>
      </c>
      <c r="N861" s="174">
        <v>0</v>
      </c>
      <c r="O861" s="174">
        <v>0</v>
      </c>
      <c r="P861" s="174">
        <v>0</v>
      </c>
      <c r="Q861" s="174">
        <v>0</v>
      </c>
      <c r="R861" s="174">
        <v>0</v>
      </c>
      <c r="S861" s="215">
        <v>0</v>
      </c>
      <c r="T861" s="71">
        <f t="shared" si="555"/>
        <v>0</v>
      </c>
      <c r="U861" s="71">
        <f t="shared" si="556"/>
        <v>0</v>
      </c>
      <c r="V861" s="117">
        <v>0</v>
      </c>
      <c r="W861" s="117">
        <v>0</v>
      </c>
      <c r="X861" s="71">
        <f t="shared" si="557"/>
        <v>0</v>
      </c>
      <c r="Y861" s="71">
        <f t="shared" si="558"/>
        <v>0</v>
      </c>
      <c r="AA861" s="65"/>
      <c r="AC861" s="71">
        <f t="shared" si="559"/>
        <v>0</v>
      </c>
      <c r="AD861" s="39"/>
      <c r="AE861" s="7"/>
      <c r="AF861" s="15"/>
      <c r="AG861" s="71" t="b">
        <f t="shared" si="560"/>
        <v>1</v>
      </c>
      <c r="AI861" s="71">
        <f t="shared" si="561"/>
        <v>0</v>
      </c>
      <c r="AJ861" s="39"/>
      <c r="AK861" s="15"/>
      <c r="AL861" s="71" t="b">
        <f t="shared" si="562"/>
        <v>1</v>
      </c>
      <c r="AN861" s="65"/>
    </row>
    <row r="862" spans="2:40 16128:16147" ht="13" customHeight="1">
      <c r="B862" s="119"/>
      <c r="C862" s="23">
        <f t="shared" si="554"/>
        <v>2026092</v>
      </c>
      <c r="D862" s="23">
        <v>31</v>
      </c>
      <c r="E862" s="128">
        <v>0</v>
      </c>
      <c r="F862" s="126" t="e">
        <f>VLOOKUP(E862,'Códigos bancos'!$B$4:$C$29,2,0)</f>
        <v>#N/A</v>
      </c>
      <c r="G862" s="36">
        <v>1</v>
      </c>
      <c r="H862" s="126" t="str">
        <f>VLOOKUP(G862,'Códigos bancos'!$F$4:$G$14,2,0)</f>
        <v>Oficinas</v>
      </c>
      <c r="I862" s="130"/>
      <c r="J862" s="174">
        <v>0</v>
      </c>
      <c r="K862" s="174">
        <v>0</v>
      </c>
      <c r="L862" s="174">
        <v>0</v>
      </c>
      <c r="M862" s="174">
        <v>0</v>
      </c>
      <c r="N862" s="174">
        <v>0</v>
      </c>
      <c r="O862" s="174">
        <v>0</v>
      </c>
      <c r="P862" s="174">
        <v>0</v>
      </c>
      <c r="Q862" s="174">
        <v>0</v>
      </c>
      <c r="R862" s="174">
        <v>0</v>
      </c>
      <c r="S862" s="215">
        <v>0</v>
      </c>
      <c r="T862" s="71">
        <f t="shared" si="555"/>
        <v>0</v>
      </c>
      <c r="U862" s="71">
        <f t="shared" si="556"/>
        <v>0</v>
      </c>
      <c r="V862" s="117">
        <v>0</v>
      </c>
      <c r="W862" s="117">
        <v>0</v>
      </c>
      <c r="X862" s="71">
        <f t="shared" si="557"/>
        <v>0</v>
      </c>
      <c r="Y862" s="71">
        <f t="shared" si="558"/>
        <v>0</v>
      </c>
      <c r="AA862" s="65"/>
      <c r="AC862" s="71">
        <f t="shared" si="559"/>
        <v>0</v>
      </c>
      <c r="AD862" s="39"/>
      <c r="AE862" s="7"/>
      <c r="AF862" s="15"/>
      <c r="AG862" s="71" t="b">
        <f t="shared" si="560"/>
        <v>1</v>
      </c>
      <c r="AI862" s="71">
        <f t="shared" si="561"/>
        <v>0</v>
      </c>
      <c r="AJ862" s="39"/>
      <c r="AK862" s="15"/>
      <c r="AL862" s="71" t="b">
        <f t="shared" si="562"/>
        <v>1</v>
      </c>
      <c r="AN862" s="65"/>
    </row>
    <row r="863" spans="2:40 16128:16147" ht="13" customHeight="1">
      <c r="B863" s="119"/>
      <c r="C863" s="23">
        <f t="shared" si="554"/>
        <v>2026092</v>
      </c>
      <c r="D863" s="23">
        <v>31</v>
      </c>
      <c r="E863" s="128">
        <v>0</v>
      </c>
      <c r="F863" s="126" t="e">
        <f>VLOOKUP(E863,'Códigos bancos'!$B$4:$C$29,2,0)</f>
        <v>#N/A</v>
      </c>
      <c r="G863" s="36">
        <v>1</v>
      </c>
      <c r="H863" s="126" t="str">
        <f>VLOOKUP(G863,'Códigos bancos'!$F$4:$G$14,2,0)</f>
        <v>Oficinas</v>
      </c>
      <c r="I863" s="130"/>
      <c r="J863" s="174">
        <v>0</v>
      </c>
      <c r="K863" s="174">
        <v>0</v>
      </c>
      <c r="L863" s="174">
        <v>0</v>
      </c>
      <c r="M863" s="174">
        <v>0</v>
      </c>
      <c r="N863" s="174">
        <v>0</v>
      </c>
      <c r="O863" s="174">
        <v>0</v>
      </c>
      <c r="P863" s="174">
        <v>0</v>
      </c>
      <c r="Q863" s="174">
        <v>0</v>
      </c>
      <c r="R863" s="174">
        <v>0</v>
      </c>
      <c r="S863" s="215">
        <v>0</v>
      </c>
      <c r="T863" s="71">
        <f t="shared" si="555"/>
        <v>0</v>
      </c>
      <c r="U863" s="71">
        <f t="shared" si="556"/>
        <v>0</v>
      </c>
      <c r="V863" s="117">
        <v>0</v>
      </c>
      <c r="W863" s="117">
        <v>0</v>
      </c>
      <c r="X863" s="71">
        <f t="shared" si="557"/>
        <v>0</v>
      </c>
      <c r="Y863" s="71">
        <f t="shared" si="558"/>
        <v>0</v>
      </c>
      <c r="AA863" s="65"/>
      <c r="AC863" s="71">
        <f t="shared" si="559"/>
        <v>0</v>
      </c>
      <c r="AD863" s="39"/>
      <c r="AE863" s="7"/>
      <c r="AF863" s="15"/>
      <c r="AG863" s="71" t="b">
        <f t="shared" si="560"/>
        <v>1</v>
      </c>
      <c r="AI863" s="71">
        <f t="shared" si="561"/>
        <v>0</v>
      </c>
      <c r="AJ863" s="39"/>
      <c r="AK863" s="15"/>
      <c r="AL863" s="71" t="b">
        <f t="shared" si="562"/>
        <v>1</v>
      </c>
      <c r="AN863" s="65"/>
    </row>
    <row r="864" spans="2:40 16128:16147" ht="13" customHeight="1">
      <c r="B864" s="119"/>
      <c r="C864" s="23">
        <f t="shared" si="554"/>
        <v>2026092</v>
      </c>
      <c r="D864" s="23">
        <v>31</v>
      </c>
      <c r="E864" s="128">
        <v>0</v>
      </c>
      <c r="F864" s="126" t="e">
        <f>VLOOKUP(E864,'Códigos bancos'!$B$4:$C$29,2,0)</f>
        <v>#N/A</v>
      </c>
      <c r="G864" s="36">
        <v>1</v>
      </c>
      <c r="H864" s="126" t="str">
        <f>VLOOKUP(G864,'Códigos bancos'!$F$4:$G$14,2,0)</f>
        <v>Oficinas</v>
      </c>
      <c r="I864" s="130"/>
      <c r="J864" s="174">
        <v>0</v>
      </c>
      <c r="K864" s="174">
        <v>0</v>
      </c>
      <c r="L864" s="174">
        <v>0</v>
      </c>
      <c r="M864" s="174">
        <v>0</v>
      </c>
      <c r="N864" s="174">
        <v>0</v>
      </c>
      <c r="O864" s="174">
        <v>0</v>
      </c>
      <c r="P864" s="174">
        <v>0</v>
      </c>
      <c r="Q864" s="174">
        <v>0</v>
      </c>
      <c r="R864" s="174">
        <v>0</v>
      </c>
      <c r="S864" s="215">
        <v>0</v>
      </c>
      <c r="T864" s="71">
        <f t="shared" si="555"/>
        <v>0</v>
      </c>
      <c r="U864" s="71">
        <f t="shared" si="556"/>
        <v>0</v>
      </c>
      <c r="V864" s="117">
        <v>0</v>
      </c>
      <c r="W864" s="117">
        <v>0</v>
      </c>
      <c r="X864" s="71">
        <f t="shared" si="557"/>
        <v>0</v>
      </c>
      <c r="Y864" s="71">
        <f t="shared" si="558"/>
        <v>0</v>
      </c>
      <c r="AA864" s="65"/>
      <c r="AC864" s="71">
        <f t="shared" si="559"/>
        <v>0</v>
      </c>
      <c r="AD864" s="39"/>
      <c r="AE864" s="7"/>
      <c r="AF864" s="15"/>
      <c r="AG864" s="71" t="b">
        <f t="shared" si="560"/>
        <v>1</v>
      </c>
      <c r="AI864" s="71">
        <f t="shared" si="561"/>
        <v>0</v>
      </c>
      <c r="AJ864" s="39"/>
      <c r="AK864" s="15"/>
      <c r="AL864" s="71" t="b">
        <f t="shared" si="562"/>
        <v>1</v>
      </c>
      <c r="AN864" s="65"/>
    </row>
    <row r="865" spans="1:40" ht="13" customHeight="1">
      <c r="B865" s="119"/>
      <c r="C865" s="23">
        <f t="shared" si="554"/>
        <v>2026092</v>
      </c>
      <c r="D865" s="23">
        <v>31</v>
      </c>
      <c r="E865" s="128">
        <v>0</v>
      </c>
      <c r="F865" s="126" t="e">
        <f>VLOOKUP(E865,'Códigos bancos'!$B$4:$C$29,2,0)</f>
        <v>#N/A</v>
      </c>
      <c r="G865" s="36">
        <v>1</v>
      </c>
      <c r="H865" s="126" t="str">
        <f>VLOOKUP(G865,'Códigos bancos'!$F$4:$G$14,2,0)</f>
        <v>Oficinas</v>
      </c>
      <c r="I865" s="130"/>
      <c r="J865" s="174">
        <v>0</v>
      </c>
      <c r="K865" s="174">
        <v>0</v>
      </c>
      <c r="L865" s="174">
        <v>0</v>
      </c>
      <c r="M865" s="174">
        <v>0</v>
      </c>
      <c r="N865" s="174">
        <v>0</v>
      </c>
      <c r="O865" s="174">
        <v>0</v>
      </c>
      <c r="P865" s="174">
        <v>0</v>
      </c>
      <c r="Q865" s="174">
        <v>0</v>
      </c>
      <c r="R865" s="174">
        <v>0</v>
      </c>
      <c r="S865" s="215">
        <v>0</v>
      </c>
      <c r="T865" s="71">
        <f t="shared" si="555"/>
        <v>0</v>
      </c>
      <c r="U865" s="71">
        <f t="shared" si="556"/>
        <v>0</v>
      </c>
      <c r="V865" s="117">
        <v>0</v>
      </c>
      <c r="W865" s="117">
        <v>0</v>
      </c>
      <c r="X865" s="71">
        <f t="shared" si="557"/>
        <v>0</v>
      </c>
      <c r="Y865" s="71">
        <f t="shared" si="558"/>
        <v>0</v>
      </c>
      <c r="AA865" s="65"/>
      <c r="AC865" s="71">
        <f t="shared" si="559"/>
        <v>0</v>
      </c>
      <c r="AD865" s="39"/>
      <c r="AE865" s="7"/>
      <c r="AF865" s="15"/>
      <c r="AG865" s="71" t="b">
        <f t="shared" si="560"/>
        <v>1</v>
      </c>
      <c r="AI865" s="71">
        <f t="shared" si="561"/>
        <v>0</v>
      </c>
      <c r="AJ865" s="39"/>
      <c r="AK865" s="15"/>
      <c r="AL865" s="71" t="b">
        <f t="shared" si="562"/>
        <v>1</v>
      </c>
      <c r="AN865" s="65"/>
    </row>
    <row r="866" spans="1:40" ht="13" customHeight="1">
      <c r="B866" s="119"/>
      <c r="C866" s="159">
        <f t="shared" si="554"/>
        <v>2026092</v>
      </c>
      <c r="D866" s="23">
        <v>31</v>
      </c>
      <c r="E866" s="128">
        <v>0</v>
      </c>
      <c r="F866" s="126" t="e">
        <f>VLOOKUP(E866,'Códigos bancos'!$B$4:$C$29,2,0)</f>
        <v>#N/A</v>
      </c>
      <c r="G866" s="36">
        <v>1</v>
      </c>
      <c r="H866" s="126" t="str">
        <f>VLOOKUP(G866,'Códigos bancos'!$F$4:$G$14,2,0)</f>
        <v>Oficinas</v>
      </c>
      <c r="I866" s="130"/>
      <c r="J866" s="174">
        <v>0</v>
      </c>
      <c r="K866" s="174">
        <v>0</v>
      </c>
      <c r="L866" s="174">
        <v>0</v>
      </c>
      <c r="M866" s="174">
        <v>0</v>
      </c>
      <c r="N866" s="174">
        <v>0</v>
      </c>
      <c r="O866" s="174">
        <v>0</v>
      </c>
      <c r="P866" s="174">
        <v>0</v>
      </c>
      <c r="Q866" s="174">
        <v>0</v>
      </c>
      <c r="R866" s="174">
        <v>0</v>
      </c>
      <c r="S866" s="215">
        <v>0</v>
      </c>
      <c r="T866" s="71">
        <f t="shared" si="555"/>
        <v>0</v>
      </c>
      <c r="U866" s="71">
        <f t="shared" si="556"/>
        <v>0</v>
      </c>
      <c r="V866" s="117">
        <v>0</v>
      </c>
      <c r="W866" s="117">
        <v>0</v>
      </c>
      <c r="X866" s="71">
        <f t="shared" si="557"/>
        <v>0</v>
      </c>
      <c r="Y866" s="71">
        <f t="shared" si="558"/>
        <v>0</v>
      </c>
      <c r="AA866" s="65"/>
      <c r="AC866" s="71">
        <f t="shared" si="559"/>
        <v>0</v>
      </c>
      <c r="AD866" s="39"/>
      <c r="AE866" s="7"/>
      <c r="AF866" s="15"/>
      <c r="AG866" s="71" t="b">
        <f t="shared" si="560"/>
        <v>1</v>
      </c>
      <c r="AI866" s="71">
        <f t="shared" si="561"/>
        <v>0</v>
      </c>
      <c r="AJ866" s="39"/>
      <c r="AK866" s="15"/>
      <c r="AL866" s="71" t="b">
        <f t="shared" si="562"/>
        <v>1</v>
      </c>
      <c r="AN866" s="65"/>
    </row>
    <row r="867" spans="1:40" ht="13" customHeight="1">
      <c r="B867" s="119"/>
      <c r="C867" s="23">
        <f t="shared" si="554"/>
        <v>2026092</v>
      </c>
      <c r="D867" s="23">
        <v>31</v>
      </c>
      <c r="E867" s="128">
        <v>0</v>
      </c>
      <c r="F867" s="126" t="e">
        <f>VLOOKUP(E867,'Códigos bancos'!$B$4:$C$29,2,0)</f>
        <v>#N/A</v>
      </c>
      <c r="G867" s="36">
        <v>1</v>
      </c>
      <c r="H867" s="126" t="str">
        <f>VLOOKUP(G867,'Códigos bancos'!$F$4:$G$14,2,0)</f>
        <v>Oficinas</v>
      </c>
      <c r="I867" s="130"/>
      <c r="J867" s="174">
        <v>0</v>
      </c>
      <c r="K867" s="174">
        <v>0</v>
      </c>
      <c r="L867" s="174">
        <v>0</v>
      </c>
      <c r="M867" s="174">
        <v>0</v>
      </c>
      <c r="N867" s="174">
        <v>0</v>
      </c>
      <c r="O867" s="174">
        <v>0</v>
      </c>
      <c r="P867" s="174">
        <v>0</v>
      </c>
      <c r="Q867" s="174">
        <v>0</v>
      </c>
      <c r="R867" s="174">
        <v>0</v>
      </c>
      <c r="S867" s="215">
        <v>0</v>
      </c>
      <c r="T867" s="71">
        <f t="shared" si="555"/>
        <v>0</v>
      </c>
      <c r="U867" s="71">
        <f t="shared" si="556"/>
        <v>0</v>
      </c>
      <c r="V867" s="117">
        <v>0</v>
      </c>
      <c r="W867" s="117">
        <v>0</v>
      </c>
      <c r="X867" s="71">
        <f t="shared" si="557"/>
        <v>0</v>
      </c>
      <c r="Y867" s="71">
        <f t="shared" si="558"/>
        <v>0</v>
      </c>
      <c r="AA867" s="65"/>
      <c r="AC867" s="71">
        <f t="shared" si="559"/>
        <v>0</v>
      </c>
      <c r="AD867" s="39"/>
      <c r="AE867" s="7"/>
      <c r="AF867" s="15"/>
      <c r="AG867" s="71" t="b">
        <f t="shared" si="560"/>
        <v>1</v>
      </c>
      <c r="AI867" s="71">
        <f t="shared" si="561"/>
        <v>0</v>
      </c>
      <c r="AJ867" s="39"/>
      <c r="AK867" s="15"/>
      <c r="AL867" s="71" t="b">
        <f t="shared" si="562"/>
        <v>1</v>
      </c>
      <c r="AN867" s="65"/>
    </row>
    <row r="868" spans="1:40" ht="13" customHeight="1">
      <c r="B868" s="119"/>
      <c r="C868" s="23">
        <f t="shared" si="554"/>
        <v>2026092</v>
      </c>
      <c r="D868" s="23">
        <v>31</v>
      </c>
      <c r="E868" s="128">
        <v>0</v>
      </c>
      <c r="F868" s="126" t="e">
        <f>VLOOKUP(E868,'Códigos bancos'!$B$4:$C$29,2,0)</f>
        <v>#N/A</v>
      </c>
      <c r="G868" s="36">
        <v>1</v>
      </c>
      <c r="H868" s="126" t="str">
        <f>VLOOKUP(G868,'Códigos bancos'!$F$4:$G$14,2,0)</f>
        <v>Oficinas</v>
      </c>
      <c r="I868" s="130"/>
      <c r="J868" s="174">
        <v>0</v>
      </c>
      <c r="K868" s="174">
        <v>0</v>
      </c>
      <c r="L868" s="174">
        <v>0</v>
      </c>
      <c r="M868" s="174">
        <v>0</v>
      </c>
      <c r="N868" s="174">
        <v>0</v>
      </c>
      <c r="O868" s="174">
        <v>0</v>
      </c>
      <c r="P868" s="174">
        <v>0</v>
      </c>
      <c r="Q868" s="174">
        <v>0</v>
      </c>
      <c r="R868" s="174">
        <v>0</v>
      </c>
      <c r="S868" s="215">
        <v>0</v>
      </c>
      <c r="T868" s="71">
        <f t="shared" si="555"/>
        <v>0</v>
      </c>
      <c r="U868" s="71">
        <f t="shared" si="556"/>
        <v>0</v>
      </c>
      <c r="V868" s="117">
        <v>0</v>
      </c>
      <c r="W868" s="117">
        <v>0</v>
      </c>
      <c r="X868" s="71">
        <f t="shared" si="557"/>
        <v>0</v>
      </c>
      <c r="Y868" s="71">
        <f t="shared" si="558"/>
        <v>0</v>
      </c>
      <c r="AA868" s="65"/>
      <c r="AC868" s="71">
        <f t="shared" si="559"/>
        <v>0</v>
      </c>
      <c r="AD868" s="39"/>
      <c r="AE868" s="7"/>
      <c r="AF868" s="15"/>
      <c r="AG868" s="71" t="b">
        <f t="shared" si="560"/>
        <v>1</v>
      </c>
      <c r="AI868" s="71">
        <f t="shared" si="561"/>
        <v>0</v>
      </c>
      <c r="AJ868" s="39"/>
      <c r="AK868" s="15"/>
      <c r="AL868" s="71" t="b">
        <f t="shared" si="562"/>
        <v>1</v>
      </c>
      <c r="AN868" s="65"/>
    </row>
    <row r="869" spans="1:40" ht="13" customHeight="1">
      <c r="B869" s="119"/>
      <c r="C869" s="23">
        <f t="shared" si="554"/>
        <v>2026092</v>
      </c>
      <c r="D869" s="23">
        <v>31</v>
      </c>
      <c r="E869" s="128">
        <v>0</v>
      </c>
      <c r="F869" s="126" t="e">
        <f>VLOOKUP(E869,'Códigos bancos'!$B$4:$C$29,2,0)</f>
        <v>#N/A</v>
      </c>
      <c r="G869" s="36">
        <v>1</v>
      </c>
      <c r="H869" s="126" t="str">
        <f>VLOOKUP(G869,'Códigos bancos'!$F$4:$G$14,2,0)</f>
        <v>Oficinas</v>
      </c>
      <c r="I869" s="130"/>
      <c r="J869" s="174">
        <v>0</v>
      </c>
      <c r="K869" s="174">
        <v>0</v>
      </c>
      <c r="L869" s="174">
        <v>0</v>
      </c>
      <c r="M869" s="174">
        <v>0</v>
      </c>
      <c r="N869" s="174">
        <v>0</v>
      </c>
      <c r="O869" s="174">
        <v>0</v>
      </c>
      <c r="P869" s="174">
        <v>0</v>
      </c>
      <c r="Q869" s="174">
        <v>0</v>
      </c>
      <c r="R869" s="174">
        <v>0</v>
      </c>
      <c r="S869" s="215">
        <v>0</v>
      </c>
      <c r="T869" s="71">
        <f t="shared" si="555"/>
        <v>0</v>
      </c>
      <c r="U869" s="71">
        <f t="shared" si="556"/>
        <v>0</v>
      </c>
      <c r="V869" s="117">
        <v>0</v>
      </c>
      <c r="W869" s="117">
        <v>0</v>
      </c>
      <c r="X869" s="71">
        <f t="shared" si="557"/>
        <v>0</v>
      </c>
      <c r="Y869" s="71">
        <f t="shared" si="558"/>
        <v>0</v>
      </c>
      <c r="AA869" s="65"/>
      <c r="AC869" s="71">
        <f t="shared" si="559"/>
        <v>0</v>
      </c>
      <c r="AD869" s="39"/>
      <c r="AE869" s="7"/>
      <c r="AF869" s="15"/>
      <c r="AG869" s="71" t="b">
        <f t="shared" si="560"/>
        <v>1</v>
      </c>
      <c r="AI869" s="71">
        <f t="shared" si="561"/>
        <v>0</v>
      </c>
      <c r="AJ869" s="39"/>
      <c r="AK869" s="15"/>
      <c r="AL869" s="71" t="b">
        <f t="shared" si="562"/>
        <v>1</v>
      </c>
      <c r="AN869" s="65"/>
    </row>
    <row r="870" spans="1:40" ht="13" customHeight="1">
      <c r="B870" s="119"/>
      <c r="C870" s="23">
        <f t="shared" si="554"/>
        <v>2026092</v>
      </c>
      <c r="D870" s="23">
        <v>31</v>
      </c>
      <c r="E870" s="128">
        <v>0</v>
      </c>
      <c r="F870" s="126" t="e">
        <f>VLOOKUP(E870,'Códigos bancos'!$B$4:$C$29,2,0)</f>
        <v>#N/A</v>
      </c>
      <c r="G870" s="36">
        <v>1</v>
      </c>
      <c r="H870" s="126" t="str">
        <f>VLOOKUP(G870,'Códigos bancos'!$F$4:$G$14,2,0)</f>
        <v>Oficinas</v>
      </c>
      <c r="I870" s="130"/>
      <c r="J870" s="174">
        <v>0</v>
      </c>
      <c r="K870" s="174">
        <v>0</v>
      </c>
      <c r="L870" s="174">
        <v>0</v>
      </c>
      <c r="M870" s="174">
        <v>0</v>
      </c>
      <c r="N870" s="174">
        <v>0</v>
      </c>
      <c r="O870" s="174">
        <v>0</v>
      </c>
      <c r="P870" s="174">
        <v>0</v>
      </c>
      <c r="Q870" s="174">
        <v>0</v>
      </c>
      <c r="R870" s="174">
        <v>0</v>
      </c>
      <c r="S870" s="215">
        <v>0</v>
      </c>
      <c r="T870" s="71">
        <f t="shared" si="555"/>
        <v>0</v>
      </c>
      <c r="U870" s="71">
        <f t="shared" si="556"/>
        <v>0</v>
      </c>
      <c r="V870" s="117">
        <v>0</v>
      </c>
      <c r="W870" s="117">
        <v>0</v>
      </c>
      <c r="X870" s="71">
        <f t="shared" si="557"/>
        <v>0</v>
      </c>
      <c r="Y870" s="71">
        <f t="shared" si="558"/>
        <v>0</v>
      </c>
      <c r="AA870" s="65"/>
      <c r="AC870" s="71">
        <f t="shared" si="559"/>
        <v>0</v>
      </c>
      <c r="AD870" s="39"/>
      <c r="AE870" s="7"/>
      <c r="AF870" s="15"/>
      <c r="AG870" s="71" t="b">
        <f t="shared" si="560"/>
        <v>1</v>
      </c>
      <c r="AI870" s="71">
        <f t="shared" si="561"/>
        <v>0</v>
      </c>
      <c r="AJ870" s="39"/>
      <c r="AK870" s="15"/>
      <c r="AL870" s="71" t="b">
        <f t="shared" si="562"/>
        <v>1</v>
      </c>
      <c r="AN870" s="65"/>
    </row>
    <row r="871" spans="1:40" ht="13" customHeight="1">
      <c r="B871" s="119"/>
      <c r="C871" s="23">
        <f t="shared" si="554"/>
        <v>2026092</v>
      </c>
      <c r="D871" s="23">
        <v>31</v>
      </c>
      <c r="E871" s="128">
        <v>0</v>
      </c>
      <c r="F871" s="126" t="e">
        <f>VLOOKUP(E871,'Códigos bancos'!$B$4:$C$29,2,0)</f>
        <v>#N/A</v>
      </c>
      <c r="G871" s="36">
        <v>1</v>
      </c>
      <c r="H871" s="126" t="str">
        <f>VLOOKUP(G871,'Códigos bancos'!$F$4:$G$14,2,0)</f>
        <v>Oficinas</v>
      </c>
      <c r="I871" s="130"/>
      <c r="J871" s="174">
        <v>0</v>
      </c>
      <c r="K871" s="174">
        <v>0</v>
      </c>
      <c r="L871" s="174">
        <v>0</v>
      </c>
      <c r="M871" s="174">
        <v>0</v>
      </c>
      <c r="N871" s="174">
        <v>0</v>
      </c>
      <c r="O871" s="174">
        <v>0</v>
      </c>
      <c r="P871" s="174">
        <v>0</v>
      </c>
      <c r="Q871" s="174">
        <v>0</v>
      </c>
      <c r="R871" s="174">
        <v>0</v>
      </c>
      <c r="S871" s="215">
        <v>0</v>
      </c>
      <c r="T871" s="71">
        <f t="shared" si="555"/>
        <v>0</v>
      </c>
      <c r="U871" s="71">
        <f t="shared" si="556"/>
        <v>0</v>
      </c>
      <c r="V871" s="117">
        <v>0</v>
      </c>
      <c r="W871" s="117">
        <v>0</v>
      </c>
      <c r="X871" s="71">
        <f t="shared" si="557"/>
        <v>0</v>
      </c>
      <c r="Y871" s="71">
        <f t="shared" si="558"/>
        <v>0</v>
      </c>
      <c r="AA871" s="65"/>
      <c r="AC871" s="71">
        <f t="shared" si="559"/>
        <v>0</v>
      </c>
      <c r="AD871" s="39"/>
      <c r="AE871" s="7"/>
      <c r="AF871" s="15"/>
      <c r="AG871" s="71" t="b">
        <f t="shared" si="560"/>
        <v>1</v>
      </c>
      <c r="AI871" s="71">
        <f t="shared" si="561"/>
        <v>0</v>
      </c>
      <c r="AJ871" s="39"/>
      <c r="AK871" s="15"/>
      <c r="AL871" s="71" t="b">
        <f t="shared" si="562"/>
        <v>1</v>
      </c>
      <c r="AN871" s="65"/>
    </row>
    <row r="872" spans="1:40" ht="13" customHeight="1">
      <c r="B872" s="119"/>
      <c r="C872" s="23">
        <f t="shared" ref="C872" si="563">IF(D872&lt;=15,$C$1,$C$2)</f>
        <v>2026092</v>
      </c>
      <c r="D872" s="23">
        <v>31</v>
      </c>
      <c r="E872" s="128">
        <v>0</v>
      </c>
      <c r="F872" s="126" t="e">
        <f>VLOOKUP(E872,'Códigos bancos'!$B$4:$C$29,2,0)</f>
        <v>#N/A</v>
      </c>
      <c r="G872" s="36">
        <v>1</v>
      </c>
      <c r="H872" s="126" t="str">
        <f>VLOOKUP(G872,'Códigos bancos'!$F$4:$G$14,2,0)</f>
        <v>Oficinas</v>
      </c>
      <c r="I872" s="130"/>
      <c r="J872" s="174">
        <v>0</v>
      </c>
      <c r="K872" s="174">
        <v>0</v>
      </c>
      <c r="L872" s="174">
        <v>0</v>
      </c>
      <c r="M872" s="174">
        <v>0</v>
      </c>
      <c r="N872" s="174">
        <v>0</v>
      </c>
      <c r="O872" s="174">
        <v>0</v>
      </c>
      <c r="P872" s="174">
        <v>0</v>
      </c>
      <c r="Q872" s="174">
        <v>0</v>
      </c>
      <c r="R872" s="174">
        <v>0</v>
      </c>
      <c r="S872" s="215">
        <v>0</v>
      </c>
      <c r="T872" s="71">
        <f t="shared" ref="T872" si="564">J872+L872+N872+P872+R872</f>
        <v>0</v>
      </c>
      <c r="U872" s="71">
        <f t="shared" ref="U872" si="565">K872+M872+O872+Q872+S872</f>
        <v>0</v>
      </c>
      <c r="V872" s="117">
        <v>0</v>
      </c>
      <c r="W872" s="117">
        <v>0</v>
      </c>
      <c r="X872" s="71">
        <f t="shared" ref="X872" si="566">V872-T872</f>
        <v>0</v>
      </c>
      <c r="Y872" s="71">
        <f t="shared" ref="Y872" si="567">W872-U872</f>
        <v>0</v>
      </c>
      <c r="AA872" s="65"/>
      <c r="AC872" s="71">
        <f t="shared" ref="AC872" si="568">X872</f>
        <v>0</v>
      </c>
      <c r="AD872" s="39"/>
      <c r="AE872" s="7"/>
      <c r="AF872" s="15"/>
      <c r="AG872" s="71" t="b">
        <f t="shared" ref="AG872" si="569">AC872=(AD872+AE872+AF872)</f>
        <v>1</v>
      </c>
      <c r="AI872" s="71">
        <f t="shared" ref="AI872" si="570">Y872</f>
        <v>0</v>
      </c>
      <c r="AJ872" s="39"/>
      <c r="AK872" s="15"/>
      <c r="AL872" s="71" t="b">
        <f t="shared" ref="AL872" si="571">AI872=(AJ872+AK872)</f>
        <v>1</v>
      </c>
      <c r="AN872" s="65"/>
    </row>
    <row r="873" spans="1:40" ht="13" customHeight="1">
      <c r="B873" s="119"/>
      <c r="C873" s="23">
        <f t="shared" si="554"/>
        <v>2026092</v>
      </c>
      <c r="D873" s="23">
        <v>31</v>
      </c>
      <c r="E873" s="128">
        <v>0</v>
      </c>
      <c r="F873" s="126" t="e">
        <f>VLOOKUP(E873,'Códigos bancos'!$B$4:$C$29,2,0)</f>
        <v>#N/A</v>
      </c>
      <c r="G873" s="36">
        <v>1</v>
      </c>
      <c r="H873" s="126" t="str">
        <f>VLOOKUP(G873,'Códigos bancos'!$F$4:$G$14,2,0)</f>
        <v>Oficinas</v>
      </c>
      <c r="I873" s="130"/>
      <c r="J873" s="174">
        <v>0</v>
      </c>
      <c r="K873" s="174">
        <v>0</v>
      </c>
      <c r="L873" s="174">
        <v>0</v>
      </c>
      <c r="M873" s="174">
        <v>0</v>
      </c>
      <c r="N873" s="174">
        <v>0</v>
      </c>
      <c r="O873" s="174">
        <v>0</v>
      </c>
      <c r="P873" s="174">
        <v>0</v>
      </c>
      <c r="Q873" s="174">
        <v>0</v>
      </c>
      <c r="R873" s="174">
        <v>0</v>
      </c>
      <c r="S873" s="215">
        <v>0</v>
      </c>
      <c r="T873" s="71">
        <f t="shared" si="555"/>
        <v>0</v>
      </c>
      <c r="U873" s="71">
        <f t="shared" si="556"/>
        <v>0</v>
      </c>
      <c r="V873" s="117">
        <v>0</v>
      </c>
      <c r="W873" s="117">
        <v>0</v>
      </c>
      <c r="X873" s="71">
        <f t="shared" si="557"/>
        <v>0</v>
      </c>
      <c r="Y873" s="71">
        <f t="shared" si="558"/>
        <v>0</v>
      </c>
      <c r="AA873" s="65"/>
      <c r="AC873" s="71">
        <f t="shared" si="559"/>
        <v>0</v>
      </c>
      <c r="AD873" s="39"/>
      <c r="AE873" s="7"/>
      <c r="AF873" s="15"/>
      <c r="AG873" s="71" t="b">
        <f t="shared" si="560"/>
        <v>1</v>
      </c>
      <c r="AI873" s="71">
        <f t="shared" si="561"/>
        <v>0</v>
      </c>
      <c r="AJ873" s="39"/>
      <c r="AK873" s="15"/>
      <c r="AL873" s="71" t="b">
        <f t="shared" si="562"/>
        <v>1</v>
      </c>
      <c r="AN873" s="65"/>
    </row>
    <row r="874" spans="1:40" ht="13" customHeight="1">
      <c r="B874" s="119"/>
      <c r="C874" s="23">
        <f t="shared" si="554"/>
        <v>2026092</v>
      </c>
      <c r="D874" s="23">
        <v>31</v>
      </c>
      <c r="E874" s="128">
        <v>0</v>
      </c>
      <c r="F874" s="126" t="e">
        <f>VLOOKUP(E874,'Códigos bancos'!$B$4:$C$29,2,0)</f>
        <v>#N/A</v>
      </c>
      <c r="G874" s="36">
        <v>1</v>
      </c>
      <c r="H874" s="126" t="str">
        <f>VLOOKUP(G874,'Códigos bancos'!$F$4:$G$14,2,0)</f>
        <v>Oficinas</v>
      </c>
      <c r="I874" s="130"/>
      <c r="J874" s="174">
        <v>0</v>
      </c>
      <c r="K874" s="174">
        <v>0</v>
      </c>
      <c r="L874" s="174">
        <v>0</v>
      </c>
      <c r="M874" s="174">
        <v>0</v>
      </c>
      <c r="N874" s="174">
        <v>0</v>
      </c>
      <c r="O874" s="174">
        <v>0</v>
      </c>
      <c r="P874" s="174">
        <v>0</v>
      </c>
      <c r="Q874" s="174">
        <v>0</v>
      </c>
      <c r="R874" s="174">
        <v>0</v>
      </c>
      <c r="S874" s="215">
        <v>0</v>
      </c>
      <c r="T874" s="71">
        <f t="shared" si="555"/>
        <v>0</v>
      </c>
      <c r="U874" s="71">
        <f t="shared" si="556"/>
        <v>0</v>
      </c>
      <c r="V874" s="117">
        <v>0</v>
      </c>
      <c r="W874" s="117">
        <v>0</v>
      </c>
      <c r="X874" s="71">
        <f t="shared" si="557"/>
        <v>0</v>
      </c>
      <c r="Y874" s="71">
        <f t="shared" si="558"/>
        <v>0</v>
      </c>
      <c r="AA874" s="65"/>
      <c r="AC874" s="71">
        <f t="shared" si="559"/>
        <v>0</v>
      </c>
      <c r="AD874" s="39"/>
      <c r="AE874" s="7"/>
      <c r="AF874" s="15"/>
      <c r="AG874" s="71" t="b">
        <f t="shared" si="560"/>
        <v>1</v>
      </c>
      <c r="AI874" s="71">
        <f t="shared" si="561"/>
        <v>0</v>
      </c>
      <c r="AJ874" s="39"/>
      <c r="AK874" s="15"/>
      <c r="AL874" s="71" t="b">
        <f t="shared" si="562"/>
        <v>1</v>
      </c>
      <c r="AN874" s="65"/>
    </row>
    <row r="875" spans="1:40" ht="13" customHeight="1">
      <c r="B875" s="119"/>
      <c r="C875" s="23">
        <f t="shared" si="554"/>
        <v>2026092</v>
      </c>
      <c r="D875" s="23">
        <v>31</v>
      </c>
      <c r="E875" s="128">
        <v>0</v>
      </c>
      <c r="F875" s="126" t="e">
        <f>VLOOKUP(E875,'Códigos bancos'!$B$4:$C$29,2,0)</f>
        <v>#N/A</v>
      </c>
      <c r="G875" s="36">
        <v>1</v>
      </c>
      <c r="H875" s="126" t="str">
        <f>VLOOKUP(G875,'Códigos bancos'!$F$4:$G$14,2,0)</f>
        <v>Oficinas</v>
      </c>
      <c r="I875" s="130"/>
      <c r="J875" s="174">
        <v>0</v>
      </c>
      <c r="K875" s="174">
        <v>0</v>
      </c>
      <c r="L875" s="174">
        <v>0</v>
      </c>
      <c r="M875" s="174">
        <v>0</v>
      </c>
      <c r="N875" s="174">
        <v>0</v>
      </c>
      <c r="O875" s="174">
        <v>0</v>
      </c>
      <c r="P875" s="174">
        <v>0</v>
      </c>
      <c r="Q875" s="174">
        <v>0</v>
      </c>
      <c r="R875" s="174">
        <v>0</v>
      </c>
      <c r="S875" s="215">
        <v>0</v>
      </c>
      <c r="T875" s="71">
        <f t="shared" si="555"/>
        <v>0</v>
      </c>
      <c r="U875" s="71">
        <f t="shared" si="556"/>
        <v>0</v>
      </c>
      <c r="V875" s="117">
        <v>0</v>
      </c>
      <c r="W875" s="117">
        <v>0</v>
      </c>
      <c r="X875" s="71">
        <f t="shared" si="557"/>
        <v>0</v>
      </c>
      <c r="Y875" s="71">
        <f t="shared" si="558"/>
        <v>0</v>
      </c>
      <c r="AA875" s="65"/>
      <c r="AC875" s="71">
        <f t="shared" si="559"/>
        <v>0</v>
      </c>
      <c r="AD875" s="39"/>
      <c r="AE875" s="7"/>
      <c r="AF875" s="15"/>
      <c r="AG875" s="71" t="b">
        <f t="shared" si="560"/>
        <v>1</v>
      </c>
      <c r="AI875" s="71"/>
      <c r="AJ875" s="39"/>
      <c r="AK875" s="15"/>
      <c r="AL875" s="71" t="b">
        <f t="shared" si="562"/>
        <v>1</v>
      </c>
      <c r="AN875" s="65"/>
    </row>
    <row r="876" spans="1:40" ht="13" customHeight="1">
      <c r="B876" s="119"/>
      <c r="C876" s="23">
        <f t="shared" si="554"/>
        <v>2026092</v>
      </c>
      <c r="D876" s="23">
        <v>31</v>
      </c>
      <c r="E876" s="128">
        <v>0</v>
      </c>
      <c r="F876" s="126" t="e">
        <f>VLOOKUP(E876,'Códigos bancos'!$B$4:$C$29,2,0)</f>
        <v>#N/A</v>
      </c>
      <c r="G876" s="36">
        <v>1</v>
      </c>
      <c r="H876" s="126" t="str">
        <f>VLOOKUP(G876,'Códigos bancos'!$F$4:$G$14,2,0)</f>
        <v>Oficinas</v>
      </c>
      <c r="I876" s="130"/>
      <c r="J876" s="174">
        <v>0</v>
      </c>
      <c r="K876" s="174">
        <v>0</v>
      </c>
      <c r="L876" s="174">
        <v>0</v>
      </c>
      <c r="M876" s="174">
        <v>0</v>
      </c>
      <c r="N876" s="174">
        <v>0</v>
      </c>
      <c r="O876" s="174">
        <v>0</v>
      </c>
      <c r="P876" s="174">
        <v>0</v>
      </c>
      <c r="Q876" s="174">
        <v>0</v>
      </c>
      <c r="R876" s="174">
        <v>0</v>
      </c>
      <c r="S876" s="215">
        <v>0</v>
      </c>
      <c r="T876" s="71">
        <f t="shared" si="555"/>
        <v>0</v>
      </c>
      <c r="U876" s="71">
        <f t="shared" si="556"/>
        <v>0</v>
      </c>
      <c r="V876" s="117">
        <v>0</v>
      </c>
      <c r="W876" s="117">
        <v>0</v>
      </c>
      <c r="X876" s="71">
        <f t="shared" si="557"/>
        <v>0</v>
      </c>
      <c r="Y876" s="71">
        <f t="shared" si="558"/>
        <v>0</v>
      </c>
      <c r="AA876" s="65"/>
      <c r="AC876" s="71">
        <f t="shared" si="559"/>
        <v>0</v>
      </c>
      <c r="AD876" s="39"/>
      <c r="AE876" s="7"/>
      <c r="AF876" s="15"/>
      <c r="AG876" s="71" t="b">
        <f t="shared" si="560"/>
        <v>1</v>
      </c>
      <c r="AI876" s="71">
        <f>Y876</f>
        <v>0</v>
      </c>
      <c r="AJ876" s="39"/>
      <c r="AK876" s="15"/>
      <c r="AL876" s="71" t="b">
        <f t="shared" si="562"/>
        <v>1</v>
      </c>
      <c r="AN876" s="65"/>
    </row>
    <row r="877" spans="1:40" ht="13" customHeight="1" thickBot="1">
      <c r="B877" s="119"/>
      <c r="C877" s="23">
        <f t="shared" si="554"/>
        <v>2026092</v>
      </c>
      <c r="D877" s="23">
        <v>31</v>
      </c>
      <c r="E877" s="128">
        <v>0</v>
      </c>
      <c r="F877" s="126" t="e">
        <f>VLOOKUP(E877,'Códigos bancos'!$B$4:$C$29,2,0)</f>
        <v>#N/A</v>
      </c>
      <c r="G877" s="36">
        <v>1</v>
      </c>
      <c r="H877" s="126" t="str">
        <f>VLOOKUP(G877,'Códigos bancos'!$F$4:$G$14,2,0)</f>
        <v>Oficinas</v>
      </c>
      <c r="I877" s="130"/>
      <c r="J877" s="174">
        <v>0</v>
      </c>
      <c r="K877" s="174">
        <v>0</v>
      </c>
      <c r="L877" s="174">
        <v>0</v>
      </c>
      <c r="M877" s="174">
        <v>0</v>
      </c>
      <c r="N877" s="174">
        <v>0</v>
      </c>
      <c r="O877" s="174">
        <v>0</v>
      </c>
      <c r="P877" s="174">
        <v>0</v>
      </c>
      <c r="Q877" s="174">
        <v>0</v>
      </c>
      <c r="R877" s="174">
        <v>0</v>
      </c>
      <c r="S877" s="215">
        <v>0</v>
      </c>
      <c r="T877" s="71">
        <f t="shared" si="555"/>
        <v>0</v>
      </c>
      <c r="U877" s="71">
        <f t="shared" si="556"/>
        <v>0</v>
      </c>
      <c r="V877" s="117">
        <v>0</v>
      </c>
      <c r="W877" s="117">
        <v>0</v>
      </c>
      <c r="X877" s="71">
        <f t="shared" si="557"/>
        <v>0</v>
      </c>
      <c r="Y877" s="71">
        <f t="shared" si="558"/>
        <v>0</v>
      </c>
      <c r="AA877" s="65"/>
      <c r="AC877" s="71">
        <f t="shared" si="559"/>
        <v>0</v>
      </c>
      <c r="AD877" s="39"/>
      <c r="AE877" s="7"/>
      <c r="AF877" s="15"/>
      <c r="AG877" s="71" t="b">
        <f t="shared" si="560"/>
        <v>1</v>
      </c>
      <c r="AI877" s="71">
        <f t="shared" si="561"/>
        <v>0</v>
      </c>
      <c r="AJ877" s="39"/>
      <c r="AK877" s="15"/>
      <c r="AL877" s="71" t="b">
        <f t="shared" si="562"/>
        <v>1</v>
      </c>
      <c r="AN877" s="65"/>
    </row>
    <row r="878" spans="1:40" ht="13" customHeight="1" thickBot="1">
      <c r="E878" s="120" t="s">
        <v>0</v>
      </c>
      <c r="F878" s="121" t="s">
        <v>53</v>
      </c>
      <c r="G878" s="121"/>
      <c r="H878" s="121"/>
      <c r="I878" s="121"/>
      <c r="J878" s="122">
        <f t="shared" ref="J878:Y878" si="572">SUM(J853:J877)</f>
        <v>0</v>
      </c>
      <c r="K878" s="122">
        <f t="shared" si="572"/>
        <v>0</v>
      </c>
      <c r="L878" s="122">
        <f t="shared" si="572"/>
        <v>0</v>
      </c>
      <c r="M878" s="122">
        <f t="shared" si="572"/>
        <v>0</v>
      </c>
      <c r="N878" s="122">
        <f t="shared" si="572"/>
        <v>0</v>
      </c>
      <c r="O878" s="122">
        <f t="shared" si="572"/>
        <v>0</v>
      </c>
      <c r="P878" s="122">
        <f t="shared" si="572"/>
        <v>0</v>
      </c>
      <c r="Q878" s="122">
        <f t="shared" si="572"/>
        <v>0</v>
      </c>
      <c r="R878" s="122">
        <f t="shared" si="572"/>
        <v>0</v>
      </c>
      <c r="S878" s="122">
        <f t="shared" si="572"/>
        <v>0</v>
      </c>
      <c r="T878" s="122">
        <f t="shared" si="572"/>
        <v>0</v>
      </c>
      <c r="U878" s="122">
        <f t="shared" si="572"/>
        <v>0</v>
      </c>
      <c r="V878" s="123">
        <f t="shared" si="572"/>
        <v>0</v>
      </c>
      <c r="W878" s="123">
        <f t="shared" si="572"/>
        <v>0</v>
      </c>
      <c r="X878" s="122">
        <f t="shared" si="572"/>
        <v>0</v>
      </c>
      <c r="Y878" s="123">
        <f t="shared" si="572"/>
        <v>0</v>
      </c>
      <c r="AA878" s="65"/>
      <c r="AC878" s="122">
        <f>SUM(AC853:AC877)</f>
        <v>0</v>
      </c>
      <c r="AD878" s="122">
        <f>SUM(AD853:AD877)</f>
        <v>0</v>
      </c>
      <c r="AE878" s="122">
        <f>SUM(AE853:AE877)</f>
        <v>0</v>
      </c>
      <c r="AF878" s="123">
        <f>SUM(AF853:AF877)</f>
        <v>0</v>
      </c>
      <c r="AG878" s="100"/>
      <c r="AI878" s="122">
        <f>SUM(AI853:AI877)</f>
        <v>0</v>
      </c>
      <c r="AJ878" s="122">
        <f>SUM(AJ853:AJ877)</f>
        <v>0</v>
      </c>
      <c r="AK878" s="123">
        <f>SUM(AK853:AK877)</f>
        <v>0</v>
      </c>
      <c r="AL878" s="100"/>
      <c r="AN878" s="65"/>
    </row>
    <row r="879" spans="1:40">
      <c r="AA879" s="65"/>
      <c r="AN879" s="65"/>
    </row>
    <row r="880" spans="1:40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5"/>
    </row>
  </sheetData>
  <sortState xmlns:xlrd2="http://schemas.microsoft.com/office/spreadsheetml/2017/richdata2" ref="C16:D24">
    <sortCondition ref="C16:C24"/>
  </sortState>
  <phoneticPr fontId="21" type="noConversion"/>
  <conditionalFormatting sqref="D13:D37 D41:D65 D69:D93 D97:D121 D125:D149 D153:D177 D181:D205 D209:D233 D237:D261 D265:D289 D293:D317 D321:D345 D349:D373 D377:D401 D405:D429">
    <cfRule type="cellIs" dxfId="3" priority="2" operator="between">
      <formula>16</formula>
      <formula>31</formula>
    </cfRule>
  </conditionalFormatting>
  <conditionalFormatting sqref="D433:D457 D461:D485 D489:D513 D517:D541 D545:D569 D573:D597 D601:D625 D629:D653 D657:D681 D685:D709 D713:D737 D741:D765 D769:D793 D797:D821 D825:D849 D853:D877">
    <cfRule type="cellIs" dxfId="2" priority="1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92D050"/>
  </sheetPr>
  <dimension ref="A1:WWA219"/>
  <sheetViews>
    <sheetView topLeftCell="A109" zoomScale="90" zoomScaleNormal="90" workbookViewId="0">
      <selection activeCell="B115" sqref="B115"/>
    </sheetView>
  </sheetViews>
  <sheetFormatPr baseColWidth="10" defaultColWidth="11.453125" defaultRowHeight="11.5"/>
  <cols>
    <col min="1" max="1" width="3" style="1" customWidth="1"/>
    <col min="2" max="2" width="11.54296875" style="1" customWidth="1"/>
    <col min="3" max="3" width="15.453125" style="1" customWidth="1"/>
    <col min="4" max="4" width="11" style="221" customWidth="1"/>
    <col min="5" max="5" width="9.54296875" style="1" customWidth="1"/>
    <col min="6" max="6" width="26.26953125" style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hidden="1" customWidth="1"/>
    <col min="11" max="11" width="14.54296875" style="1" hidden="1" customWidth="1"/>
    <col min="12" max="12" width="12.81640625" style="1" hidden="1" customWidth="1"/>
    <col min="13" max="13" width="11" style="1" hidden="1" customWidth="1"/>
    <col min="14" max="14" width="12.81640625" style="1" hidden="1" customWidth="1"/>
    <col min="15" max="15" width="12" style="1" hidden="1" customWidth="1"/>
    <col min="16" max="16" width="12.81640625" style="1" hidden="1" customWidth="1"/>
    <col min="17" max="17" width="13.81640625" style="1" hidden="1" customWidth="1"/>
    <col min="18" max="18" width="12.81640625" style="1" bestFit="1" customWidth="1"/>
    <col min="19" max="19" width="13.453125" style="1" bestFit="1" customWidth="1"/>
    <col min="20" max="20" width="11.1796875" style="1" bestFit="1" customWidth="1"/>
    <col min="21" max="21" width="14" style="1" bestFit="1" customWidth="1"/>
    <col min="22" max="22" width="13.453125" style="1" bestFit="1" customWidth="1"/>
    <col min="23" max="23" width="13.453125" style="1" customWidth="1"/>
    <col min="24" max="24" width="11.81640625" style="1" customWidth="1"/>
    <col min="25" max="25" width="12" style="1" bestFit="1" customWidth="1"/>
    <col min="26" max="26" width="5.453125" style="1" customWidth="1"/>
    <col min="27" max="27" width="2.54296875" style="1" customWidth="1"/>
    <col min="28" max="28" width="3" style="1" customWidth="1"/>
    <col min="29" max="29" width="11.453125" style="1" bestFit="1" customWidth="1"/>
    <col min="30" max="30" width="15.54296875" style="8" customWidth="1"/>
    <col min="31" max="31" width="14" style="8" bestFit="1" customWidth="1"/>
    <col min="32" max="32" width="11.453125" style="8"/>
    <col min="33" max="33" width="12.81640625" style="1" bestFit="1" customWidth="1"/>
    <col min="34" max="34" width="3.453125" style="1" customWidth="1"/>
    <col min="35" max="35" width="11.453125" style="1" bestFit="1" customWidth="1"/>
    <col min="36" max="36" width="16.54296875" style="8" customWidth="1"/>
    <col min="37" max="37" width="16.453125" style="8" customWidth="1"/>
    <col min="38" max="38" width="12.81640625" style="1" bestFit="1" customWidth="1"/>
    <col min="39" max="39" width="2.1796875" style="1" customWidth="1"/>
    <col min="40" max="40" width="2.54296875" style="1" customWidth="1"/>
    <col min="41" max="16384" width="11.453125" style="1"/>
  </cols>
  <sheetData>
    <row r="1" spans="2:40 16146:16147" ht="13" customHeight="1">
      <c r="C1" s="89">
        <f>Oportuno!C1</f>
        <v>2026091</v>
      </c>
      <c r="D1" s="218"/>
      <c r="E1" s="90"/>
      <c r="F1" s="90"/>
      <c r="G1" s="90"/>
      <c r="H1" s="90"/>
      <c r="I1" s="90"/>
      <c r="J1" s="18">
        <f t="shared" ref="J1:Y1" si="0">SUM(J13:J110)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6</v>
      </c>
      <c r="S1" s="18">
        <f t="shared" si="0"/>
        <v>1179300</v>
      </c>
      <c r="T1" s="18">
        <f t="shared" si="0"/>
        <v>6</v>
      </c>
      <c r="U1" s="18">
        <f t="shared" si="0"/>
        <v>1179300</v>
      </c>
      <c r="V1" s="18">
        <f t="shared" si="0"/>
        <v>6</v>
      </c>
      <c r="W1" s="18">
        <f t="shared" si="0"/>
        <v>1179300</v>
      </c>
      <c r="X1" s="18">
        <f t="shared" si="0"/>
        <v>0</v>
      </c>
      <c r="Y1" s="10">
        <f t="shared" si="0"/>
        <v>0</v>
      </c>
      <c r="AA1" s="66"/>
      <c r="AD1" s="18">
        <f>SUM(AD13:AD110)</f>
        <v>0</v>
      </c>
      <c r="AE1" s="18">
        <f>SUM(AE13:AE110)</f>
        <v>0</v>
      </c>
      <c r="AF1" s="18">
        <f>SUM(AF13:AF110)</f>
        <v>0</v>
      </c>
      <c r="AG1" s="10">
        <f>SUM(AG13:AG110)</f>
        <v>0</v>
      </c>
      <c r="AI1" s="18">
        <f>SUM(AI13:AI110)</f>
        <v>0</v>
      </c>
      <c r="AJ1" s="18">
        <f>SUM(AJ13:AJ110)</f>
        <v>0</v>
      </c>
      <c r="AK1" s="18">
        <f>SUM(AK13:AK110)</f>
        <v>0</v>
      </c>
      <c r="AL1" s="10">
        <f>SUM(AL13:AL110)</f>
        <v>0</v>
      </c>
      <c r="AN1" s="66"/>
    </row>
    <row r="2" spans="2:40 16146:16147" ht="13" customHeight="1">
      <c r="C2" s="91">
        <f>Oportuno!C2</f>
        <v>2026092</v>
      </c>
      <c r="D2" s="219"/>
      <c r="E2" s="80"/>
      <c r="F2" s="80"/>
      <c r="G2" s="80"/>
      <c r="H2" s="80"/>
      <c r="I2" s="80"/>
      <c r="J2" s="36">
        <f t="shared" ref="J2:Y2" si="1">SUM(J115:J217)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>SUM(N115:N217)</f>
        <v>0</v>
      </c>
      <c r="O2" s="36">
        <f>SUM(O115:O217)</f>
        <v>0</v>
      </c>
      <c r="P2" s="36">
        <f t="shared" si="1"/>
        <v>0</v>
      </c>
      <c r="Q2" s="36">
        <f t="shared" si="1"/>
        <v>0</v>
      </c>
      <c r="R2" s="36">
        <f t="shared" si="1"/>
        <v>76</v>
      </c>
      <c r="S2" s="36">
        <f t="shared" si="1"/>
        <v>5242682</v>
      </c>
      <c r="T2" s="36">
        <f t="shared" si="1"/>
        <v>76</v>
      </c>
      <c r="U2" s="36">
        <f t="shared" si="1"/>
        <v>5242682</v>
      </c>
      <c r="V2" s="36">
        <f t="shared" si="1"/>
        <v>76</v>
      </c>
      <c r="W2" s="36">
        <f t="shared" si="1"/>
        <v>5242682</v>
      </c>
      <c r="X2" s="36">
        <f t="shared" si="1"/>
        <v>0</v>
      </c>
      <c r="Y2" s="9">
        <f t="shared" si="1"/>
        <v>0</v>
      </c>
      <c r="AA2" s="66"/>
      <c r="AD2" s="36">
        <f>SUM(AD115:AD217)</f>
        <v>0</v>
      </c>
      <c r="AE2" s="36">
        <f>SUM(AE115:AE217)</f>
        <v>0</v>
      </c>
      <c r="AF2" s="36">
        <f>SUM(AF115:AF217)</f>
        <v>0</v>
      </c>
      <c r="AG2" s="9">
        <f>SUM(AG115:AG217)</f>
        <v>0</v>
      </c>
      <c r="AI2" s="36">
        <f>SUM(AI115:AI217)</f>
        <v>0</v>
      </c>
      <c r="AJ2" s="36">
        <f>SUM(AJ115:AJ217)</f>
        <v>0</v>
      </c>
      <c r="AK2" s="36">
        <f>SUM(AK115:AK217)</f>
        <v>0</v>
      </c>
      <c r="AL2" s="9">
        <f>SUM(AL115:AL217)</f>
        <v>0</v>
      </c>
      <c r="AN2" s="66"/>
    </row>
    <row r="3" spans="2:40 16146:16147" ht="13" customHeight="1" thickBot="1">
      <c r="C3" s="92">
        <f>Oportuno!C3</f>
        <v>202609</v>
      </c>
      <c r="D3" s="220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82</v>
      </c>
      <c r="S3" s="94">
        <f t="shared" si="2"/>
        <v>6421982</v>
      </c>
      <c r="T3" s="94">
        <f t="shared" si="2"/>
        <v>82</v>
      </c>
      <c r="U3" s="94">
        <f t="shared" si="2"/>
        <v>6421982</v>
      </c>
      <c r="V3" s="94">
        <f t="shared" si="2"/>
        <v>82</v>
      </c>
      <c r="W3" s="94">
        <f t="shared" si="2"/>
        <v>6421982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</row>
    <row r="4" spans="2:40 16146:16147" ht="12" customHeight="1" thickBot="1">
      <c r="AA4" s="66"/>
      <c r="AN4" s="66"/>
    </row>
    <row r="5" spans="2:40 16146:16147" ht="12.5">
      <c r="B5" s="96"/>
      <c r="C5" s="19"/>
      <c r="D5" s="222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D5" s="1"/>
      <c r="AE5" s="1"/>
      <c r="AF5" s="1"/>
      <c r="AJ5" s="1"/>
      <c r="AK5" s="1"/>
      <c r="AN5" s="66"/>
      <c r="WVZ5"/>
      <c r="WWA5"/>
    </row>
    <row r="6" spans="2:40 16146:16147" ht="15.5">
      <c r="B6" s="97"/>
      <c r="C6" s="20"/>
      <c r="D6" s="223"/>
      <c r="E6" s="99"/>
      <c r="G6" s="100"/>
      <c r="H6" s="101" t="s">
        <v>26</v>
      </c>
      <c r="W6" s="102"/>
      <c r="Y6" s="5"/>
      <c r="AA6" s="66"/>
      <c r="AD6" s="1"/>
      <c r="AE6" s="1"/>
      <c r="AF6" s="1"/>
      <c r="AJ6" s="1"/>
      <c r="AK6" s="1"/>
      <c r="AN6" s="66"/>
      <c r="WVZ6"/>
      <c r="WWA6"/>
    </row>
    <row r="7" spans="2:40 16146:16147" ht="15.5">
      <c r="B7" s="97"/>
      <c r="C7" s="20"/>
      <c r="D7" s="223"/>
      <c r="E7" s="99"/>
      <c r="G7" s="100"/>
      <c r="H7" s="101" t="s">
        <v>24</v>
      </c>
      <c r="Y7" s="5"/>
      <c r="AA7" s="66"/>
      <c r="AD7" s="1"/>
      <c r="AE7" s="1"/>
      <c r="AF7" s="1"/>
      <c r="AJ7" s="1"/>
      <c r="AK7" s="1"/>
      <c r="AN7" s="66"/>
      <c r="WVZ7"/>
      <c r="WWA7"/>
    </row>
    <row r="8" spans="2:40 16146:16147" ht="15.5">
      <c r="B8" s="97"/>
      <c r="C8" s="20"/>
      <c r="D8" s="223"/>
      <c r="E8" s="99"/>
      <c r="G8" s="100"/>
      <c r="H8" s="103" t="s">
        <v>25</v>
      </c>
      <c r="Y8" s="5"/>
      <c r="AA8" s="66"/>
      <c r="AD8" s="1"/>
      <c r="AE8" s="1"/>
      <c r="AF8" s="1"/>
      <c r="AJ8" s="1"/>
      <c r="AK8" s="1"/>
      <c r="AN8" s="66"/>
      <c r="WVZ8"/>
      <c r="WWA8"/>
    </row>
    <row r="9" spans="2:40 16146:16147" ht="13.5" customHeight="1">
      <c r="B9" s="97"/>
      <c r="C9" s="20"/>
      <c r="D9" s="223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Z9"/>
      <c r="WWA9"/>
    </row>
    <row r="10" spans="2:40 16146:16147" ht="13.5" customHeight="1">
      <c r="B10" s="97"/>
      <c r="C10" s="20"/>
      <c r="D10" s="223"/>
      <c r="E10" s="109"/>
      <c r="G10" s="100"/>
      <c r="H10" s="110" t="str">
        <f>Oportuno!H10</f>
        <v>SEPTIEMBRE_2026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AD10" s="1"/>
      <c r="AE10" s="1"/>
      <c r="AF10" s="1"/>
      <c r="AJ10" s="1"/>
      <c r="AK10" s="1"/>
      <c r="AN10" s="66"/>
      <c r="WVZ10"/>
      <c r="WWA10"/>
    </row>
    <row r="11" spans="2:40 16146:16147" ht="13.5" customHeight="1" thickBot="1">
      <c r="B11" s="111"/>
      <c r="C11" s="21"/>
      <c r="D11" s="224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Z11"/>
      <c r="WWA11"/>
    </row>
    <row r="12" spans="2:40 16146:16147" ht="35" thickBot="1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12" t="s">
        <v>8</v>
      </c>
      <c r="K12" s="12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87" t="s">
        <v>12</v>
      </c>
      <c r="S12" s="88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AC12" s="12" t="s">
        <v>34</v>
      </c>
      <c r="AD12" s="12" t="s">
        <v>45</v>
      </c>
      <c r="AE12" s="12" t="s">
        <v>43</v>
      </c>
      <c r="AF12" s="12" t="s">
        <v>44</v>
      </c>
      <c r="AG12" s="12" t="s">
        <v>46</v>
      </c>
      <c r="AI12" s="12" t="s">
        <v>33</v>
      </c>
      <c r="AJ12" s="12" t="s">
        <v>47</v>
      </c>
      <c r="AK12" s="12" t="s">
        <v>48</v>
      </c>
      <c r="AL12" s="12" t="s">
        <v>46</v>
      </c>
      <c r="AN12" s="66"/>
      <c r="WVZ12"/>
      <c r="WWA12"/>
    </row>
    <row r="13" spans="2:40 16146:16147" ht="13" customHeight="1">
      <c r="B13" s="73" t="s">
        <v>71</v>
      </c>
      <c r="C13" s="25">
        <f t="shared" ref="C13:C34" si="3">$C$1</f>
        <v>2026091</v>
      </c>
      <c r="D13" s="226">
        <v>46260</v>
      </c>
      <c r="E13" s="138">
        <v>20</v>
      </c>
      <c r="F13" s="139" t="str">
        <f>VLOOKUP(E13,'Códigos bancos'!$B$3:$D$29,2,0)</f>
        <v>Bancolombia ENERBIT</v>
      </c>
      <c r="G13" s="138">
        <v>1</v>
      </c>
      <c r="H13" s="139" t="str">
        <f>VLOOKUP(G13,'Códigos bancos'!$F$3:$G$14,2,0)</f>
        <v>Oficinas</v>
      </c>
      <c r="I13" s="139">
        <f>VLOOKUP(E13,'Códigos bancos'!$B$3:$D$29,3,0)</f>
        <v>0</v>
      </c>
      <c r="J13" s="212">
        <v>0</v>
      </c>
      <c r="K13" s="212">
        <v>0</v>
      </c>
      <c r="L13" s="212">
        <v>0</v>
      </c>
      <c r="M13" s="212">
        <v>0</v>
      </c>
      <c r="N13" s="212">
        <v>0</v>
      </c>
      <c r="O13" s="212">
        <v>0</v>
      </c>
      <c r="P13" s="212">
        <v>0</v>
      </c>
      <c r="Q13" s="212">
        <v>0</v>
      </c>
      <c r="R13" s="174">
        <v>6</v>
      </c>
      <c r="S13" s="174">
        <v>1179300</v>
      </c>
      <c r="T13" s="141">
        <f t="shared" ref="T13:T34" si="4">J13+L13+N13+P13+R13</f>
        <v>6</v>
      </c>
      <c r="U13" s="84">
        <f t="shared" ref="U13:U34" si="5">K13+M13+O13+Q13+S13</f>
        <v>1179300</v>
      </c>
      <c r="V13" s="56">
        <v>6</v>
      </c>
      <c r="W13" s="56">
        <v>1179300</v>
      </c>
      <c r="X13" s="113">
        <f t="shared" ref="X13:Y14" si="6">V13-T13</f>
        <v>0</v>
      </c>
      <c r="Y13" s="113">
        <f t="shared" si="6"/>
        <v>0</v>
      </c>
      <c r="AA13" s="66"/>
      <c r="AC13" s="84">
        <f>X13</f>
        <v>0</v>
      </c>
      <c r="AD13" s="13">
        <v>0</v>
      </c>
      <c r="AE13" s="13">
        <v>0</v>
      </c>
      <c r="AF13" s="13">
        <v>0</v>
      </c>
      <c r="AG13" s="85" t="b">
        <f>AC13=(AD13+AE13+AF13)</f>
        <v>1</v>
      </c>
      <c r="AI13" s="84">
        <f>Y13</f>
        <v>0</v>
      </c>
      <c r="AJ13" s="13">
        <v>0</v>
      </c>
      <c r="AK13" s="13">
        <v>0</v>
      </c>
      <c r="AL13" s="85" t="b">
        <f>AI13=(AJ13+AK13)</f>
        <v>1</v>
      </c>
      <c r="AN13" s="66"/>
    </row>
    <row r="14" spans="2:40 16146:16147" ht="13" customHeight="1">
      <c r="B14" s="73"/>
      <c r="C14" s="23">
        <f t="shared" si="3"/>
        <v>2026091</v>
      </c>
      <c r="D14" s="226"/>
      <c r="E14" s="138"/>
      <c r="F14" s="139" t="e">
        <f>VLOOKUP(E14,'Códigos bancos'!$B$3:$D$29,2,0)</f>
        <v>#N/A</v>
      </c>
      <c r="G14" s="138" t="str">
        <f t="shared" ref="G14:G34" si="7">IFERROR(IF(T14&gt;0,1,""),"")</f>
        <v/>
      </c>
      <c r="H14" s="81" t="e">
        <f>VLOOKUP(G14,'Códigos bancos'!$F$3:$G$14,2,0)</f>
        <v>#N/A</v>
      </c>
      <c r="I14" s="139" t="e">
        <f>VLOOKUP(E14,'Códigos bancos'!$B$3:$D$29,3,0)</f>
        <v>#N/A</v>
      </c>
      <c r="J14" s="56"/>
      <c r="K14" s="56"/>
      <c r="L14" s="56"/>
      <c r="M14" s="56"/>
      <c r="N14" s="56"/>
      <c r="O14" s="56"/>
      <c r="P14" s="56"/>
      <c r="Q14" s="56"/>
      <c r="R14" s="174"/>
      <c r="S14" s="174"/>
      <c r="T14" s="82">
        <f t="shared" si="4"/>
        <v>0</v>
      </c>
      <c r="U14" s="83">
        <f t="shared" si="5"/>
        <v>0</v>
      </c>
      <c r="V14" s="56">
        <v>0</v>
      </c>
      <c r="W14" s="56"/>
      <c r="X14" s="69">
        <f t="shared" si="6"/>
        <v>0</v>
      </c>
      <c r="Y14" s="69">
        <f t="shared" si="6"/>
        <v>0</v>
      </c>
      <c r="AA14" s="66"/>
      <c r="AC14" s="84">
        <f t="shared" ref="AC14:AC75" si="8">X14</f>
        <v>0</v>
      </c>
      <c r="AD14" s="13">
        <v>0</v>
      </c>
      <c r="AE14" s="13">
        <v>0</v>
      </c>
      <c r="AF14" s="13">
        <v>0</v>
      </c>
      <c r="AG14" s="85" t="b">
        <f t="shared" ref="AG14:AG75" si="9">AC14=(AD14+AE14+AF14)</f>
        <v>1</v>
      </c>
      <c r="AI14" s="84">
        <f t="shared" ref="AI14:AI75" si="10">Y14</f>
        <v>0</v>
      </c>
      <c r="AJ14" s="13">
        <v>0</v>
      </c>
      <c r="AK14" s="13">
        <v>0</v>
      </c>
      <c r="AL14" s="85" t="b">
        <f t="shared" ref="AL14:AL75" si="11">AI14=(AJ14+AK14)</f>
        <v>1</v>
      </c>
      <c r="AN14" s="66"/>
    </row>
    <row r="15" spans="2:40 16146:16147" ht="13" customHeight="1">
      <c r="B15" s="73"/>
      <c r="C15" s="23">
        <f t="shared" si="3"/>
        <v>2026091</v>
      </c>
      <c r="D15" s="226"/>
      <c r="E15" s="138"/>
      <c r="F15" s="139" t="e">
        <f>VLOOKUP(E15,'Códigos bancos'!$B$3:$D$29,2,0)</f>
        <v>#N/A</v>
      </c>
      <c r="G15" s="138" t="str">
        <f t="shared" si="7"/>
        <v/>
      </c>
      <c r="H15" s="81" t="e">
        <f>VLOOKUP(G15,'Códigos bancos'!$F$3:$G$14,2,0)</f>
        <v>#N/A</v>
      </c>
      <c r="I15" s="139" t="e">
        <f>VLOOKUP(E15,'Códigos bancos'!$B$3:$D$29,3,0)</f>
        <v>#N/A</v>
      </c>
      <c r="J15" s="56"/>
      <c r="K15" s="56"/>
      <c r="L15" s="56"/>
      <c r="M15" s="56"/>
      <c r="N15" s="56"/>
      <c r="O15" s="56"/>
      <c r="P15" s="56"/>
      <c r="Q15" s="56"/>
      <c r="R15" s="174"/>
      <c r="S15" s="174"/>
      <c r="T15" s="82">
        <f t="shared" si="4"/>
        <v>0</v>
      </c>
      <c r="U15" s="83">
        <f t="shared" si="5"/>
        <v>0</v>
      </c>
      <c r="V15" s="56">
        <v>0</v>
      </c>
      <c r="W15" s="56">
        <v>0</v>
      </c>
      <c r="X15" s="69">
        <f t="shared" ref="X15:X76" si="12">V15-T15</f>
        <v>0</v>
      </c>
      <c r="Y15" s="69">
        <f t="shared" ref="Y15:Y76" si="13">W15-U15</f>
        <v>0</v>
      </c>
      <c r="AA15" s="66"/>
      <c r="AC15" s="84">
        <f t="shared" si="8"/>
        <v>0</v>
      </c>
      <c r="AD15" s="13">
        <v>0</v>
      </c>
      <c r="AE15" s="13">
        <v>0</v>
      </c>
      <c r="AF15" s="13">
        <v>0</v>
      </c>
      <c r="AG15" s="85" t="b">
        <f t="shared" si="9"/>
        <v>1</v>
      </c>
      <c r="AI15" s="84">
        <f t="shared" si="10"/>
        <v>0</v>
      </c>
      <c r="AJ15" s="13">
        <v>0</v>
      </c>
      <c r="AK15" s="13">
        <v>0</v>
      </c>
      <c r="AL15" s="85" t="b">
        <f t="shared" si="11"/>
        <v>1</v>
      </c>
      <c r="AN15" s="66"/>
    </row>
    <row r="16" spans="2:40 16146:16147" ht="13" customHeight="1">
      <c r="B16" s="73"/>
      <c r="C16" s="23">
        <f t="shared" si="3"/>
        <v>2026091</v>
      </c>
      <c r="D16" s="226"/>
      <c r="E16" s="138"/>
      <c r="F16" s="139" t="e">
        <f>VLOOKUP(E16,'Códigos bancos'!$B$3:$D$29,2,0)</f>
        <v>#N/A</v>
      </c>
      <c r="G16" s="138" t="str">
        <f t="shared" si="7"/>
        <v/>
      </c>
      <c r="H16" s="81" t="e">
        <f>VLOOKUP(G16,'Códigos bancos'!$F$3:$G$14,2,0)</f>
        <v>#N/A</v>
      </c>
      <c r="I16" s="139" t="e">
        <f>VLOOKUP(E16,'Códigos bancos'!$B$3:$D$29,3,0)</f>
        <v>#N/A</v>
      </c>
      <c r="J16" s="56"/>
      <c r="K16" s="56"/>
      <c r="L16" s="56"/>
      <c r="M16" s="56"/>
      <c r="N16" s="56"/>
      <c r="O16" s="56"/>
      <c r="P16" s="56"/>
      <c r="Q16" s="56"/>
      <c r="R16" s="174"/>
      <c r="S16" s="174"/>
      <c r="T16" s="82">
        <f t="shared" si="4"/>
        <v>0</v>
      </c>
      <c r="U16" s="83">
        <f t="shared" si="5"/>
        <v>0</v>
      </c>
      <c r="V16" s="56">
        <v>0</v>
      </c>
      <c r="W16" s="56">
        <v>0</v>
      </c>
      <c r="X16" s="69">
        <f t="shared" si="12"/>
        <v>0</v>
      </c>
      <c r="Y16" s="69">
        <f t="shared" si="13"/>
        <v>0</v>
      </c>
      <c r="AA16" s="66"/>
      <c r="AC16" s="84">
        <f t="shared" si="8"/>
        <v>0</v>
      </c>
      <c r="AD16" s="13">
        <v>0</v>
      </c>
      <c r="AE16" s="13">
        <v>0</v>
      </c>
      <c r="AF16" s="13">
        <v>0</v>
      </c>
      <c r="AG16" s="85" t="b">
        <f t="shared" si="9"/>
        <v>1</v>
      </c>
      <c r="AI16" s="84">
        <f t="shared" si="10"/>
        <v>0</v>
      </c>
      <c r="AJ16" s="13">
        <v>0</v>
      </c>
      <c r="AK16" s="13">
        <v>0</v>
      </c>
      <c r="AL16" s="85" t="b">
        <f t="shared" si="11"/>
        <v>1</v>
      </c>
      <c r="AN16" s="66"/>
    </row>
    <row r="17" spans="2:40" ht="13" customHeight="1">
      <c r="B17" s="73"/>
      <c r="C17" s="23">
        <f t="shared" si="3"/>
        <v>2026091</v>
      </c>
      <c r="D17" s="226"/>
      <c r="E17" s="138"/>
      <c r="F17" s="139" t="e">
        <f>VLOOKUP(E17,'Códigos bancos'!$B$3:$D$29,2,0)</f>
        <v>#N/A</v>
      </c>
      <c r="G17" s="138" t="str">
        <f t="shared" si="7"/>
        <v/>
      </c>
      <c r="H17" s="81" t="e">
        <f>VLOOKUP(G17,'Códigos bancos'!$F$3:$G$14,2,0)</f>
        <v>#N/A</v>
      </c>
      <c r="I17" s="139" t="e">
        <f>VLOOKUP(E17,'Códigos bancos'!$B$3:$D$29,3,0)</f>
        <v>#N/A</v>
      </c>
      <c r="J17" s="56"/>
      <c r="K17" s="56"/>
      <c r="L17" s="56"/>
      <c r="M17" s="56"/>
      <c r="N17" s="56"/>
      <c r="O17" s="56"/>
      <c r="P17" s="56"/>
      <c r="Q17" s="56"/>
      <c r="R17" s="174"/>
      <c r="S17" s="174"/>
      <c r="T17" s="82">
        <f t="shared" si="4"/>
        <v>0</v>
      </c>
      <c r="U17" s="83">
        <f t="shared" si="5"/>
        <v>0</v>
      </c>
      <c r="V17" s="56">
        <v>0</v>
      </c>
      <c r="W17" s="56">
        <v>0</v>
      </c>
      <c r="X17" s="69">
        <f t="shared" si="12"/>
        <v>0</v>
      </c>
      <c r="Y17" s="69">
        <f t="shared" si="13"/>
        <v>0</v>
      </c>
      <c r="AA17" s="66"/>
      <c r="AC17" s="84">
        <f t="shared" si="8"/>
        <v>0</v>
      </c>
      <c r="AD17" s="13">
        <v>0</v>
      </c>
      <c r="AE17" s="13">
        <v>0</v>
      </c>
      <c r="AF17" s="13">
        <v>0</v>
      </c>
      <c r="AG17" s="85" t="b">
        <f t="shared" si="9"/>
        <v>1</v>
      </c>
      <c r="AI17" s="84">
        <f t="shared" si="10"/>
        <v>0</v>
      </c>
      <c r="AJ17" s="13">
        <v>0</v>
      </c>
      <c r="AK17" s="13">
        <v>0</v>
      </c>
      <c r="AL17" s="85" t="b">
        <f t="shared" si="11"/>
        <v>1</v>
      </c>
      <c r="AN17" s="66"/>
    </row>
    <row r="18" spans="2:40" ht="13" customHeight="1">
      <c r="B18" s="73"/>
      <c r="C18" s="23">
        <f t="shared" si="3"/>
        <v>2026091</v>
      </c>
      <c r="D18" s="226"/>
      <c r="E18" s="138"/>
      <c r="F18" s="139" t="e">
        <f>VLOOKUP(E18,'Códigos bancos'!$B$3:$D$29,2,0)</f>
        <v>#N/A</v>
      </c>
      <c r="G18" s="138" t="str">
        <f t="shared" si="7"/>
        <v/>
      </c>
      <c r="H18" s="81" t="e">
        <f>VLOOKUP(G18,'Códigos bancos'!$F$3:$G$14,2,0)</f>
        <v>#N/A</v>
      </c>
      <c r="I18" s="139" t="e">
        <f>VLOOKUP(E18,'Códigos bancos'!$B$3:$D$29,3,0)</f>
        <v>#N/A</v>
      </c>
      <c r="J18" s="56"/>
      <c r="K18" s="56"/>
      <c r="L18" s="56"/>
      <c r="M18" s="56"/>
      <c r="N18" s="56"/>
      <c r="O18" s="56"/>
      <c r="P18" s="56"/>
      <c r="Q18" s="56"/>
      <c r="R18" s="174"/>
      <c r="S18" s="174"/>
      <c r="T18" s="82">
        <f t="shared" si="4"/>
        <v>0</v>
      </c>
      <c r="U18" s="83">
        <f t="shared" si="5"/>
        <v>0</v>
      </c>
      <c r="V18" s="56">
        <v>0</v>
      </c>
      <c r="W18" s="56">
        <v>0</v>
      </c>
      <c r="X18" s="69">
        <f t="shared" si="12"/>
        <v>0</v>
      </c>
      <c r="Y18" s="69">
        <f t="shared" si="13"/>
        <v>0</v>
      </c>
      <c r="AA18" s="66"/>
      <c r="AC18" s="84">
        <f t="shared" si="8"/>
        <v>0</v>
      </c>
      <c r="AD18" s="13">
        <v>0</v>
      </c>
      <c r="AE18" s="13">
        <v>0</v>
      </c>
      <c r="AF18" s="13">
        <v>0</v>
      </c>
      <c r="AG18" s="85" t="b">
        <f t="shared" si="9"/>
        <v>1</v>
      </c>
      <c r="AI18" s="84">
        <f t="shared" si="10"/>
        <v>0</v>
      </c>
      <c r="AJ18" s="13">
        <v>0</v>
      </c>
      <c r="AK18" s="13">
        <v>0</v>
      </c>
      <c r="AL18" s="85" t="b">
        <f t="shared" si="11"/>
        <v>1</v>
      </c>
      <c r="AN18" s="66"/>
    </row>
    <row r="19" spans="2:40" ht="13" customHeight="1">
      <c r="B19" s="73"/>
      <c r="C19" s="23">
        <f t="shared" si="3"/>
        <v>2026091</v>
      </c>
      <c r="D19" s="226"/>
      <c r="E19" s="138"/>
      <c r="F19" s="139" t="e">
        <f>VLOOKUP(E19,'Códigos bancos'!$B$3:$D$29,2,0)</f>
        <v>#N/A</v>
      </c>
      <c r="G19" s="138" t="str">
        <f t="shared" si="7"/>
        <v/>
      </c>
      <c r="H19" s="81" t="e">
        <f>VLOOKUP(G19,'Códigos bancos'!$F$3:$G$14,2,0)</f>
        <v>#N/A</v>
      </c>
      <c r="I19" s="139" t="e">
        <f>VLOOKUP(E19,'Códigos bancos'!$B$3:$D$29,3,0)</f>
        <v>#N/A</v>
      </c>
      <c r="J19" s="56"/>
      <c r="K19" s="56"/>
      <c r="L19" s="56"/>
      <c r="M19" s="56"/>
      <c r="N19" s="56"/>
      <c r="O19" s="56"/>
      <c r="P19" s="56"/>
      <c r="Q19" s="56"/>
      <c r="R19" s="174"/>
      <c r="S19" s="174"/>
      <c r="T19" s="82">
        <f t="shared" si="4"/>
        <v>0</v>
      </c>
      <c r="U19" s="83">
        <f t="shared" si="5"/>
        <v>0</v>
      </c>
      <c r="V19" s="56">
        <v>0</v>
      </c>
      <c r="W19" s="56">
        <v>0</v>
      </c>
      <c r="X19" s="69">
        <f t="shared" si="12"/>
        <v>0</v>
      </c>
      <c r="Y19" s="69">
        <f t="shared" si="13"/>
        <v>0</v>
      </c>
      <c r="AA19" s="66"/>
      <c r="AC19" s="84">
        <f t="shared" si="8"/>
        <v>0</v>
      </c>
      <c r="AD19" s="13">
        <v>0</v>
      </c>
      <c r="AE19" s="13">
        <v>0</v>
      </c>
      <c r="AF19" s="13">
        <v>0</v>
      </c>
      <c r="AG19" s="85" t="b">
        <f t="shared" si="9"/>
        <v>1</v>
      </c>
      <c r="AI19" s="84">
        <f t="shared" si="10"/>
        <v>0</v>
      </c>
      <c r="AJ19" s="13">
        <v>0</v>
      </c>
      <c r="AK19" s="13">
        <v>0</v>
      </c>
      <c r="AL19" s="85" t="b">
        <f t="shared" si="11"/>
        <v>1</v>
      </c>
      <c r="AN19" s="66"/>
    </row>
    <row r="20" spans="2:40" ht="13" customHeight="1">
      <c r="B20" s="73"/>
      <c r="C20" s="23">
        <f t="shared" si="3"/>
        <v>2026091</v>
      </c>
      <c r="D20" s="226"/>
      <c r="E20" s="138"/>
      <c r="F20" s="139" t="e">
        <f>VLOOKUP(E20,'Códigos bancos'!$B$3:$D$29,2,0)</f>
        <v>#N/A</v>
      </c>
      <c r="G20" s="138" t="str">
        <f t="shared" si="7"/>
        <v/>
      </c>
      <c r="H20" s="81" t="e">
        <f>VLOOKUP(G20,'Códigos bancos'!$F$3:$G$14,2,0)</f>
        <v>#N/A</v>
      </c>
      <c r="I20" s="139" t="e">
        <f>VLOOKUP(E20,'Códigos bancos'!$B$3:$D$29,3,0)</f>
        <v>#N/A</v>
      </c>
      <c r="J20" s="56"/>
      <c r="K20" s="56"/>
      <c r="L20" s="56"/>
      <c r="M20" s="56"/>
      <c r="N20" s="56"/>
      <c r="O20" s="56"/>
      <c r="P20" s="56"/>
      <c r="Q20" s="56"/>
      <c r="R20" s="174"/>
      <c r="S20" s="174"/>
      <c r="T20" s="82">
        <f t="shared" si="4"/>
        <v>0</v>
      </c>
      <c r="U20" s="83">
        <f t="shared" si="5"/>
        <v>0</v>
      </c>
      <c r="V20" s="56">
        <v>0</v>
      </c>
      <c r="W20" s="56">
        <v>0</v>
      </c>
      <c r="X20" s="69">
        <f t="shared" si="12"/>
        <v>0</v>
      </c>
      <c r="Y20" s="69">
        <f t="shared" si="13"/>
        <v>0</v>
      </c>
      <c r="AA20" s="66"/>
      <c r="AC20" s="84">
        <f t="shared" si="8"/>
        <v>0</v>
      </c>
      <c r="AD20" s="13">
        <v>0</v>
      </c>
      <c r="AE20" s="13">
        <v>0</v>
      </c>
      <c r="AF20" s="13">
        <v>0</v>
      </c>
      <c r="AG20" s="85" t="b">
        <f t="shared" si="9"/>
        <v>1</v>
      </c>
      <c r="AI20" s="84">
        <f t="shared" si="10"/>
        <v>0</v>
      </c>
      <c r="AJ20" s="13">
        <v>0</v>
      </c>
      <c r="AK20" s="13">
        <v>0</v>
      </c>
      <c r="AL20" s="85" t="b">
        <f t="shared" si="11"/>
        <v>1</v>
      </c>
      <c r="AN20" s="66"/>
    </row>
    <row r="21" spans="2:40" ht="13" customHeight="1">
      <c r="B21" s="73"/>
      <c r="C21" s="23">
        <f t="shared" si="3"/>
        <v>2026091</v>
      </c>
      <c r="D21" s="226"/>
      <c r="E21" s="138"/>
      <c r="F21" s="139" t="e">
        <f>VLOOKUP(E21,'Códigos bancos'!$B$3:$D$29,2,0)</f>
        <v>#N/A</v>
      </c>
      <c r="G21" s="138" t="str">
        <f t="shared" si="7"/>
        <v/>
      </c>
      <c r="H21" s="81" t="e">
        <f>VLOOKUP(G21,'Códigos bancos'!$F$3:$G$14,2,0)</f>
        <v>#N/A</v>
      </c>
      <c r="I21" s="139" t="e">
        <f>VLOOKUP(E21,'Códigos bancos'!$B$3:$D$29,3,0)</f>
        <v>#N/A</v>
      </c>
      <c r="J21" s="56"/>
      <c r="K21" s="56"/>
      <c r="L21" s="56"/>
      <c r="M21" s="56"/>
      <c r="N21" s="56"/>
      <c r="O21" s="56"/>
      <c r="P21" s="56"/>
      <c r="Q21" s="56"/>
      <c r="R21" s="174"/>
      <c r="S21" s="174"/>
      <c r="T21" s="82">
        <f t="shared" si="4"/>
        <v>0</v>
      </c>
      <c r="U21" s="83">
        <f t="shared" si="5"/>
        <v>0</v>
      </c>
      <c r="V21" s="56">
        <v>0</v>
      </c>
      <c r="W21" s="56">
        <v>0</v>
      </c>
      <c r="X21" s="69">
        <f t="shared" si="12"/>
        <v>0</v>
      </c>
      <c r="Y21" s="69">
        <f t="shared" si="13"/>
        <v>0</v>
      </c>
      <c r="AA21" s="66"/>
      <c r="AC21" s="84">
        <f t="shared" si="8"/>
        <v>0</v>
      </c>
      <c r="AD21" s="13">
        <v>0</v>
      </c>
      <c r="AE21" s="13">
        <v>0</v>
      </c>
      <c r="AF21" s="13">
        <v>0</v>
      </c>
      <c r="AG21" s="85" t="b">
        <f t="shared" si="9"/>
        <v>1</v>
      </c>
      <c r="AI21" s="84">
        <f t="shared" si="10"/>
        <v>0</v>
      </c>
      <c r="AJ21" s="13">
        <v>0</v>
      </c>
      <c r="AK21" s="13">
        <v>0</v>
      </c>
      <c r="AL21" s="85" t="b">
        <f t="shared" si="11"/>
        <v>1</v>
      </c>
      <c r="AN21" s="66"/>
    </row>
    <row r="22" spans="2:40" ht="13" customHeight="1">
      <c r="B22" s="73"/>
      <c r="C22" s="23">
        <f t="shared" si="3"/>
        <v>2026091</v>
      </c>
      <c r="D22" s="226"/>
      <c r="E22" s="138"/>
      <c r="F22" s="139" t="e">
        <f>VLOOKUP(E22,'Códigos bancos'!$B$3:$D$29,2,0)</f>
        <v>#N/A</v>
      </c>
      <c r="G22" s="138" t="str">
        <f t="shared" si="7"/>
        <v/>
      </c>
      <c r="H22" s="81" t="e">
        <f>VLOOKUP(G22,'Códigos bancos'!$F$3:$G$14,2,0)</f>
        <v>#N/A</v>
      </c>
      <c r="I22" s="139" t="e">
        <f>VLOOKUP(E22,'Códigos bancos'!$B$3:$D$29,3,0)</f>
        <v>#N/A</v>
      </c>
      <c r="J22" s="56"/>
      <c r="K22" s="56"/>
      <c r="L22" s="56"/>
      <c r="M22" s="56"/>
      <c r="N22" s="56"/>
      <c r="O22" s="56"/>
      <c r="P22" s="56"/>
      <c r="Q22" s="56"/>
      <c r="R22" s="174"/>
      <c r="S22" s="174"/>
      <c r="T22" s="82">
        <f t="shared" si="4"/>
        <v>0</v>
      </c>
      <c r="U22" s="83">
        <f t="shared" si="5"/>
        <v>0</v>
      </c>
      <c r="V22" s="56">
        <v>0</v>
      </c>
      <c r="W22" s="56">
        <v>0</v>
      </c>
      <c r="X22" s="69">
        <f t="shared" si="12"/>
        <v>0</v>
      </c>
      <c r="Y22" s="69">
        <f t="shared" si="13"/>
        <v>0</v>
      </c>
      <c r="AA22" s="66"/>
      <c r="AC22" s="84">
        <f t="shared" si="8"/>
        <v>0</v>
      </c>
      <c r="AD22" s="13">
        <v>0</v>
      </c>
      <c r="AE22" s="13">
        <v>0</v>
      </c>
      <c r="AF22" s="13">
        <v>0</v>
      </c>
      <c r="AG22" s="85" t="b">
        <f t="shared" si="9"/>
        <v>1</v>
      </c>
      <c r="AI22" s="84">
        <f t="shared" si="10"/>
        <v>0</v>
      </c>
      <c r="AJ22" s="13">
        <v>0</v>
      </c>
      <c r="AK22" s="13">
        <v>0</v>
      </c>
      <c r="AL22" s="85" t="b">
        <f t="shared" si="11"/>
        <v>1</v>
      </c>
      <c r="AN22" s="66"/>
    </row>
    <row r="23" spans="2:40" ht="13" customHeight="1">
      <c r="B23" s="73"/>
      <c r="C23" s="23">
        <f t="shared" si="3"/>
        <v>2026091</v>
      </c>
      <c r="D23" s="226"/>
      <c r="E23" s="138"/>
      <c r="F23" s="139" t="e">
        <f>VLOOKUP(E23,'Códigos bancos'!$B$3:$D$29,2,0)</f>
        <v>#N/A</v>
      </c>
      <c r="G23" s="138" t="str">
        <f t="shared" si="7"/>
        <v/>
      </c>
      <c r="H23" s="81" t="e">
        <f>VLOOKUP(G23,'Códigos bancos'!$F$3:$G$14,2,0)</f>
        <v>#N/A</v>
      </c>
      <c r="I23" s="139" t="e">
        <f>VLOOKUP(E23,'Códigos bancos'!$B$3:$D$29,3,0)</f>
        <v>#N/A</v>
      </c>
      <c r="J23" s="56"/>
      <c r="K23" s="56"/>
      <c r="L23" s="56"/>
      <c r="M23" s="56"/>
      <c r="N23" s="56"/>
      <c r="O23" s="56"/>
      <c r="P23" s="56"/>
      <c r="Q23" s="56"/>
      <c r="R23" s="174"/>
      <c r="S23" s="174"/>
      <c r="T23" s="82">
        <f t="shared" si="4"/>
        <v>0</v>
      </c>
      <c r="U23" s="83">
        <f t="shared" si="5"/>
        <v>0</v>
      </c>
      <c r="V23" s="56">
        <v>0</v>
      </c>
      <c r="W23" s="56">
        <v>0</v>
      </c>
      <c r="X23" s="69">
        <f t="shared" si="12"/>
        <v>0</v>
      </c>
      <c r="Y23" s="69">
        <f t="shared" si="13"/>
        <v>0</v>
      </c>
      <c r="AA23" s="66"/>
      <c r="AC23" s="84">
        <f t="shared" si="8"/>
        <v>0</v>
      </c>
      <c r="AD23" s="13">
        <v>0</v>
      </c>
      <c r="AE23" s="13">
        <v>0</v>
      </c>
      <c r="AF23" s="13">
        <v>0</v>
      </c>
      <c r="AG23" s="85" t="b">
        <f t="shared" si="9"/>
        <v>1</v>
      </c>
      <c r="AI23" s="84">
        <f t="shared" si="10"/>
        <v>0</v>
      </c>
      <c r="AJ23" s="13">
        <v>0</v>
      </c>
      <c r="AK23" s="13">
        <v>0</v>
      </c>
      <c r="AL23" s="85" t="b">
        <f t="shared" si="11"/>
        <v>1</v>
      </c>
      <c r="AN23" s="66"/>
    </row>
    <row r="24" spans="2:40" ht="13" customHeight="1">
      <c r="B24" s="73"/>
      <c r="C24" s="23">
        <f t="shared" si="3"/>
        <v>2026091</v>
      </c>
      <c r="D24" s="226"/>
      <c r="E24" s="138"/>
      <c r="F24" s="139" t="e">
        <f>VLOOKUP(E24,'Códigos bancos'!$B$3:$D$29,2,0)</f>
        <v>#N/A</v>
      </c>
      <c r="G24" s="138" t="str">
        <f t="shared" si="7"/>
        <v/>
      </c>
      <c r="H24" s="81" t="e">
        <f>VLOOKUP(G24,'Códigos bancos'!$F$3:$G$14,2,0)</f>
        <v>#N/A</v>
      </c>
      <c r="I24" s="139" t="e">
        <f>VLOOKUP(E24,'Códigos bancos'!$B$3:$D$29,3,0)</f>
        <v>#N/A</v>
      </c>
      <c r="J24" s="56"/>
      <c r="K24" s="56"/>
      <c r="L24" s="56"/>
      <c r="M24" s="56"/>
      <c r="N24" s="56"/>
      <c r="O24" s="56"/>
      <c r="P24" s="56"/>
      <c r="Q24" s="56"/>
      <c r="R24" s="174"/>
      <c r="S24" s="174"/>
      <c r="T24" s="82">
        <f t="shared" si="4"/>
        <v>0</v>
      </c>
      <c r="U24" s="83">
        <f t="shared" si="5"/>
        <v>0</v>
      </c>
      <c r="V24" s="56">
        <v>0</v>
      </c>
      <c r="W24" s="56">
        <v>0</v>
      </c>
      <c r="X24" s="69">
        <f t="shared" si="12"/>
        <v>0</v>
      </c>
      <c r="Y24" s="69">
        <f t="shared" si="13"/>
        <v>0</v>
      </c>
      <c r="AA24" s="66"/>
      <c r="AC24" s="84">
        <f t="shared" si="8"/>
        <v>0</v>
      </c>
      <c r="AD24" s="13">
        <v>0</v>
      </c>
      <c r="AE24" s="13">
        <v>0</v>
      </c>
      <c r="AF24" s="13">
        <v>0</v>
      </c>
      <c r="AG24" s="85" t="b">
        <f t="shared" si="9"/>
        <v>1</v>
      </c>
      <c r="AI24" s="84">
        <f t="shared" si="10"/>
        <v>0</v>
      </c>
      <c r="AJ24" s="13">
        <v>0</v>
      </c>
      <c r="AK24" s="13">
        <v>0</v>
      </c>
      <c r="AL24" s="85" t="b">
        <f t="shared" si="11"/>
        <v>1</v>
      </c>
      <c r="AN24" s="66"/>
    </row>
    <row r="25" spans="2:40" ht="13" customHeight="1">
      <c r="B25" s="73"/>
      <c r="C25" s="23">
        <f t="shared" si="3"/>
        <v>2026091</v>
      </c>
      <c r="D25" s="226"/>
      <c r="E25" s="138"/>
      <c r="F25" s="139" t="e">
        <f>VLOOKUP(E25,'Códigos bancos'!$B$3:$D$29,2,0)</f>
        <v>#N/A</v>
      </c>
      <c r="G25" s="138" t="str">
        <f t="shared" si="7"/>
        <v/>
      </c>
      <c r="H25" s="81" t="e">
        <f>VLOOKUP(G25,'Códigos bancos'!$F$3:$G$14,2,0)</f>
        <v>#N/A</v>
      </c>
      <c r="I25" s="139" t="e">
        <f>VLOOKUP(E25,'Códigos bancos'!$B$3:$D$29,3,0)</f>
        <v>#N/A</v>
      </c>
      <c r="J25" s="56"/>
      <c r="K25" s="56"/>
      <c r="L25" s="56"/>
      <c r="M25" s="56"/>
      <c r="N25" s="56"/>
      <c r="O25" s="56"/>
      <c r="P25" s="56"/>
      <c r="Q25" s="56"/>
      <c r="R25" s="174"/>
      <c r="S25" s="174"/>
      <c r="T25" s="82">
        <f t="shared" si="4"/>
        <v>0</v>
      </c>
      <c r="U25" s="83">
        <f t="shared" si="5"/>
        <v>0</v>
      </c>
      <c r="V25" s="56">
        <v>0</v>
      </c>
      <c r="W25" s="56">
        <v>0</v>
      </c>
      <c r="X25" s="69">
        <f t="shared" si="12"/>
        <v>0</v>
      </c>
      <c r="Y25" s="69">
        <f t="shared" si="13"/>
        <v>0</v>
      </c>
      <c r="AA25" s="66"/>
      <c r="AC25" s="84">
        <f t="shared" si="8"/>
        <v>0</v>
      </c>
      <c r="AD25" s="13">
        <v>0</v>
      </c>
      <c r="AE25" s="13">
        <v>0</v>
      </c>
      <c r="AF25" s="13">
        <v>0</v>
      </c>
      <c r="AG25" s="85" t="b">
        <f t="shared" si="9"/>
        <v>1</v>
      </c>
      <c r="AI25" s="84">
        <f t="shared" si="10"/>
        <v>0</v>
      </c>
      <c r="AJ25" s="13">
        <v>0</v>
      </c>
      <c r="AK25" s="13">
        <v>0</v>
      </c>
      <c r="AL25" s="85" t="b">
        <f t="shared" si="11"/>
        <v>1</v>
      </c>
      <c r="AN25" s="66"/>
    </row>
    <row r="26" spans="2:40" ht="13" customHeight="1">
      <c r="B26" s="73"/>
      <c r="C26" s="23">
        <f t="shared" si="3"/>
        <v>2026091</v>
      </c>
      <c r="D26" s="226"/>
      <c r="E26" s="138"/>
      <c r="F26" s="139" t="e">
        <f>VLOOKUP(E26,'Códigos bancos'!$B$3:$D$29,2,0)</f>
        <v>#N/A</v>
      </c>
      <c r="G26" s="138" t="str">
        <f t="shared" si="7"/>
        <v/>
      </c>
      <c r="H26" s="81" t="e">
        <f>VLOOKUP(G26,'Códigos bancos'!$F$3:$G$14,2,0)</f>
        <v>#N/A</v>
      </c>
      <c r="I26" s="139" t="e">
        <f>VLOOKUP(E26,'Códigos bancos'!$B$3:$D$29,3,0)</f>
        <v>#N/A</v>
      </c>
      <c r="J26" s="56"/>
      <c r="K26" s="56"/>
      <c r="L26" s="56"/>
      <c r="M26" s="56"/>
      <c r="N26" s="56"/>
      <c r="O26" s="56"/>
      <c r="P26" s="56"/>
      <c r="Q26" s="56"/>
      <c r="R26" s="174"/>
      <c r="S26" s="174"/>
      <c r="T26" s="82">
        <f t="shared" si="4"/>
        <v>0</v>
      </c>
      <c r="U26" s="83">
        <f t="shared" si="5"/>
        <v>0</v>
      </c>
      <c r="V26" s="56">
        <v>0</v>
      </c>
      <c r="W26" s="56">
        <v>0</v>
      </c>
      <c r="X26" s="69">
        <f t="shared" si="12"/>
        <v>0</v>
      </c>
      <c r="Y26" s="69">
        <f t="shared" si="13"/>
        <v>0</v>
      </c>
      <c r="AA26" s="66"/>
      <c r="AC26" s="84">
        <f t="shared" si="8"/>
        <v>0</v>
      </c>
      <c r="AD26" s="13">
        <v>0</v>
      </c>
      <c r="AE26" s="13">
        <v>0</v>
      </c>
      <c r="AF26" s="13">
        <v>0</v>
      </c>
      <c r="AG26" s="85" t="b">
        <f t="shared" si="9"/>
        <v>1</v>
      </c>
      <c r="AI26" s="84">
        <f t="shared" si="10"/>
        <v>0</v>
      </c>
      <c r="AJ26" s="13">
        <v>0</v>
      </c>
      <c r="AK26" s="13">
        <v>0</v>
      </c>
      <c r="AL26" s="85" t="b">
        <f t="shared" si="11"/>
        <v>1</v>
      </c>
      <c r="AN26" s="66"/>
    </row>
    <row r="27" spans="2:40" ht="13" customHeight="1">
      <c r="B27" s="73"/>
      <c r="C27" s="23">
        <f t="shared" si="3"/>
        <v>2026091</v>
      </c>
      <c r="D27" s="226"/>
      <c r="E27" s="138"/>
      <c r="F27" s="139" t="e">
        <f>VLOOKUP(E27,'Códigos bancos'!$B$3:$D$29,2,0)</f>
        <v>#N/A</v>
      </c>
      <c r="G27" s="138" t="str">
        <f t="shared" si="7"/>
        <v/>
      </c>
      <c r="H27" s="81" t="e">
        <f>VLOOKUP(G27,'Códigos bancos'!$F$3:$G$14,2,0)</f>
        <v>#N/A</v>
      </c>
      <c r="I27" s="139" t="e">
        <f>VLOOKUP(E27,'Códigos bancos'!$B$3:$D$29,3,0)</f>
        <v>#N/A</v>
      </c>
      <c r="J27" s="56"/>
      <c r="K27" s="56"/>
      <c r="L27" s="56"/>
      <c r="M27" s="56"/>
      <c r="N27" s="56"/>
      <c r="O27" s="56"/>
      <c r="P27" s="56"/>
      <c r="Q27" s="56"/>
      <c r="R27" s="174"/>
      <c r="S27" s="174"/>
      <c r="T27" s="82">
        <f t="shared" si="4"/>
        <v>0</v>
      </c>
      <c r="U27" s="83">
        <f t="shared" si="5"/>
        <v>0</v>
      </c>
      <c r="V27" s="56">
        <v>0</v>
      </c>
      <c r="W27" s="56">
        <v>0</v>
      </c>
      <c r="X27" s="69">
        <f t="shared" si="12"/>
        <v>0</v>
      </c>
      <c r="Y27" s="69">
        <f t="shared" si="13"/>
        <v>0</v>
      </c>
      <c r="AA27" s="66"/>
      <c r="AC27" s="84">
        <f t="shared" si="8"/>
        <v>0</v>
      </c>
      <c r="AD27" s="13">
        <v>0</v>
      </c>
      <c r="AE27" s="13">
        <v>0</v>
      </c>
      <c r="AF27" s="13">
        <v>0</v>
      </c>
      <c r="AG27" s="85" t="b">
        <f t="shared" si="9"/>
        <v>1</v>
      </c>
      <c r="AI27" s="84">
        <f t="shared" si="10"/>
        <v>0</v>
      </c>
      <c r="AJ27" s="13">
        <v>0</v>
      </c>
      <c r="AK27" s="13">
        <v>0</v>
      </c>
      <c r="AL27" s="85" t="b">
        <f t="shared" si="11"/>
        <v>1</v>
      </c>
      <c r="AN27" s="66"/>
    </row>
    <row r="28" spans="2:40" ht="13" customHeight="1">
      <c r="B28" s="73"/>
      <c r="C28" s="23">
        <f t="shared" si="3"/>
        <v>2026091</v>
      </c>
      <c r="D28" s="226"/>
      <c r="E28" s="138"/>
      <c r="F28" s="81" t="e">
        <f>VLOOKUP(E28,'Códigos bancos'!$B$3:$D$29,2,0)</f>
        <v>#N/A</v>
      </c>
      <c r="G28" s="138" t="str">
        <f t="shared" si="7"/>
        <v/>
      </c>
      <c r="H28" s="81" t="e">
        <f>VLOOKUP(G28,'Códigos bancos'!$F$3:$G$14,2,0)</f>
        <v>#N/A</v>
      </c>
      <c r="I28" s="139" t="e">
        <f>VLOOKUP(E28,'Códigos bancos'!$B$3:$D$29,3,0)</f>
        <v>#N/A</v>
      </c>
      <c r="J28" s="56"/>
      <c r="K28" s="56"/>
      <c r="L28" s="56"/>
      <c r="M28" s="56"/>
      <c r="N28" s="56"/>
      <c r="O28" s="56"/>
      <c r="P28" s="56"/>
      <c r="Q28" s="56"/>
      <c r="R28" s="174"/>
      <c r="S28" s="174"/>
      <c r="T28" s="82">
        <f t="shared" si="4"/>
        <v>0</v>
      </c>
      <c r="U28" s="83">
        <f t="shared" si="5"/>
        <v>0</v>
      </c>
      <c r="V28" s="56">
        <v>0</v>
      </c>
      <c r="W28" s="56">
        <v>0</v>
      </c>
      <c r="X28" s="69">
        <f t="shared" si="12"/>
        <v>0</v>
      </c>
      <c r="Y28" s="69">
        <f t="shared" si="13"/>
        <v>0</v>
      </c>
      <c r="AA28" s="66"/>
      <c r="AC28" s="84">
        <f t="shared" si="8"/>
        <v>0</v>
      </c>
      <c r="AD28" s="13">
        <v>0</v>
      </c>
      <c r="AE28" s="13">
        <v>0</v>
      </c>
      <c r="AF28" s="13">
        <v>0</v>
      </c>
      <c r="AG28" s="85" t="b">
        <f t="shared" si="9"/>
        <v>1</v>
      </c>
      <c r="AI28" s="84">
        <f t="shared" si="10"/>
        <v>0</v>
      </c>
      <c r="AJ28" s="13">
        <v>0</v>
      </c>
      <c r="AK28" s="13">
        <v>0</v>
      </c>
      <c r="AL28" s="85" t="b">
        <f t="shared" si="11"/>
        <v>1</v>
      </c>
      <c r="AN28" s="66"/>
    </row>
    <row r="29" spans="2:40" ht="13" customHeight="1">
      <c r="B29" s="73"/>
      <c r="C29" s="23">
        <f t="shared" si="3"/>
        <v>2026091</v>
      </c>
      <c r="D29" s="226"/>
      <c r="E29" s="138"/>
      <c r="F29" s="81" t="e">
        <f>VLOOKUP(E29,'Códigos bancos'!$B$3:$D$29,2,0)</f>
        <v>#N/A</v>
      </c>
      <c r="G29" s="138" t="str">
        <f t="shared" si="7"/>
        <v/>
      </c>
      <c r="H29" s="81" t="e">
        <f>VLOOKUP(G29,'Códigos bancos'!$F$3:$G$14,2,0)</f>
        <v>#N/A</v>
      </c>
      <c r="I29" s="139" t="e">
        <f>VLOOKUP(E29,'Códigos bancos'!$B$3:$D$29,3,0)</f>
        <v>#N/A</v>
      </c>
      <c r="J29" s="56"/>
      <c r="K29" s="56"/>
      <c r="L29" s="56"/>
      <c r="M29" s="56"/>
      <c r="N29" s="56"/>
      <c r="O29" s="56"/>
      <c r="P29" s="56"/>
      <c r="Q29" s="56"/>
      <c r="R29" s="174"/>
      <c r="S29" s="174"/>
      <c r="T29" s="82">
        <f t="shared" si="4"/>
        <v>0</v>
      </c>
      <c r="U29" s="83">
        <f t="shared" si="5"/>
        <v>0</v>
      </c>
      <c r="V29" s="56">
        <v>0</v>
      </c>
      <c r="W29" s="56">
        <v>0</v>
      </c>
      <c r="X29" s="69">
        <f t="shared" si="12"/>
        <v>0</v>
      </c>
      <c r="Y29" s="69">
        <f t="shared" si="13"/>
        <v>0</v>
      </c>
      <c r="AA29" s="66"/>
      <c r="AC29" s="84">
        <f t="shared" si="8"/>
        <v>0</v>
      </c>
      <c r="AD29" s="13">
        <v>0</v>
      </c>
      <c r="AE29" s="13">
        <v>0</v>
      </c>
      <c r="AF29" s="13">
        <v>0</v>
      </c>
      <c r="AG29" s="85" t="b">
        <f t="shared" si="9"/>
        <v>1</v>
      </c>
      <c r="AI29" s="84">
        <f t="shared" si="10"/>
        <v>0</v>
      </c>
      <c r="AJ29" s="13">
        <v>0</v>
      </c>
      <c r="AK29" s="13">
        <v>0</v>
      </c>
      <c r="AL29" s="85" t="b">
        <f t="shared" si="11"/>
        <v>1</v>
      </c>
      <c r="AN29" s="66"/>
    </row>
    <row r="30" spans="2:40" ht="13" customHeight="1">
      <c r="B30" s="73"/>
      <c r="C30" s="23">
        <f t="shared" si="3"/>
        <v>2026091</v>
      </c>
      <c r="D30" s="226"/>
      <c r="E30" s="138"/>
      <c r="F30" s="81" t="e">
        <f>VLOOKUP(E30,'Códigos bancos'!$B$3:$D$29,2,0)</f>
        <v>#N/A</v>
      </c>
      <c r="G30" s="138" t="str">
        <f t="shared" si="7"/>
        <v/>
      </c>
      <c r="H30" s="81" t="e">
        <f>VLOOKUP(G30,'Códigos bancos'!$F$3:$G$14,2,0)</f>
        <v>#N/A</v>
      </c>
      <c r="I30" s="139" t="e">
        <f>VLOOKUP(E30,'Códigos bancos'!$B$3:$D$29,3,0)</f>
        <v>#N/A</v>
      </c>
      <c r="J30" s="56"/>
      <c r="K30" s="56"/>
      <c r="L30" s="56"/>
      <c r="M30" s="56"/>
      <c r="N30" s="56"/>
      <c r="O30" s="56"/>
      <c r="P30" s="56"/>
      <c r="Q30" s="56"/>
      <c r="R30" s="174"/>
      <c r="S30" s="174"/>
      <c r="T30" s="82">
        <f t="shared" si="4"/>
        <v>0</v>
      </c>
      <c r="U30" s="83">
        <f t="shared" si="5"/>
        <v>0</v>
      </c>
      <c r="V30" s="56">
        <v>0</v>
      </c>
      <c r="W30" s="56">
        <v>0</v>
      </c>
      <c r="X30" s="69">
        <f t="shared" si="12"/>
        <v>0</v>
      </c>
      <c r="Y30" s="69">
        <f t="shared" si="13"/>
        <v>0</v>
      </c>
      <c r="AA30" s="66"/>
      <c r="AC30" s="84">
        <f t="shared" si="8"/>
        <v>0</v>
      </c>
      <c r="AD30" s="13">
        <v>0</v>
      </c>
      <c r="AE30" s="13">
        <v>0</v>
      </c>
      <c r="AF30" s="13">
        <v>0</v>
      </c>
      <c r="AG30" s="85" t="b">
        <f t="shared" si="9"/>
        <v>1</v>
      </c>
      <c r="AI30" s="84">
        <f t="shared" si="10"/>
        <v>0</v>
      </c>
      <c r="AJ30" s="13">
        <v>0</v>
      </c>
      <c r="AK30" s="13">
        <v>0</v>
      </c>
      <c r="AL30" s="85" t="b">
        <f t="shared" si="11"/>
        <v>1</v>
      </c>
      <c r="AN30" s="66"/>
    </row>
    <row r="31" spans="2:40" ht="13" customHeight="1">
      <c r="B31" s="73"/>
      <c r="C31" s="23">
        <f t="shared" si="3"/>
        <v>2026091</v>
      </c>
      <c r="D31" s="226"/>
      <c r="E31" s="138"/>
      <c r="F31" s="81" t="e">
        <f>VLOOKUP(E31,'Códigos bancos'!$B$3:$D$29,2,0)</f>
        <v>#N/A</v>
      </c>
      <c r="G31" s="138" t="str">
        <f t="shared" si="7"/>
        <v/>
      </c>
      <c r="H31" s="81" t="e">
        <f>VLOOKUP(G31,'Códigos bancos'!$F$3:$G$14,2,0)</f>
        <v>#N/A</v>
      </c>
      <c r="I31" s="139" t="e">
        <f>VLOOKUP(E31,'Códigos bancos'!$B$3:$D$29,3,0)</f>
        <v>#N/A</v>
      </c>
      <c r="J31" s="56"/>
      <c r="K31" s="56"/>
      <c r="L31" s="56"/>
      <c r="M31" s="56"/>
      <c r="N31" s="56"/>
      <c r="O31" s="56"/>
      <c r="P31" s="56"/>
      <c r="Q31" s="56"/>
      <c r="R31" s="174"/>
      <c r="S31" s="174"/>
      <c r="T31" s="82">
        <f t="shared" si="4"/>
        <v>0</v>
      </c>
      <c r="U31" s="83">
        <f t="shared" si="5"/>
        <v>0</v>
      </c>
      <c r="V31" s="56">
        <v>0</v>
      </c>
      <c r="W31" s="56">
        <v>0</v>
      </c>
      <c r="X31" s="69">
        <f t="shared" si="12"/>
        <v>0</v>
      </c>
      <c r="Y31" s="69">
        <f t="shared" si="13"/>
        <v>0</v>
      </c>
      <c r="AA31" s="66"/>
      <c r="AC31" s="84">
        <f t="shared" si="8"/>
        <v>0</v>
      </c>
      <c r="AD31" s="13">
        <v>0</v>
      </c>
      <c r="AE31" s="13">
        <v>0</v>
      </c>
      <c r="AF31" s="13">
        <v>0</v>
      </c>
      <c r="AG31" s="85" t="b">
        <f t="shared" si="9"/>
        <v>1</v>
      </c>
      <c r="AI31" s="84">
        <f t="shared" si="10"/>
        <v>0</v>
      </c>
      <c r="AJ31" s="13">
        <v>0</v>
      </c>
      <c r="AK31" s="13">
        <v>0</v>
      </c>
      <c r="AL31" s="85" t="b">
        <f t="shared" si="11"/>
        <v>1</v>
      </c>
      <c r="AN31" s="66"/>
    </row>
    <row r="32" spans="2:40" ht="13" customHeight="1">
      <c r="B32" s="73"/>
      <c r="C32" s="23">
        <f t="shared" si="3"/>
        <v>2026091</v>
      </c>
      <c r="D32" s="226"/>
      <c r="E32" s="138"/>
      <c r="F32" s="81" t="e">
        <f>VLOOKUP(E32,'Códigos bancos'!$B$3:$D$29,2,0)</f>
        <v>#N/A</v>
      </c>
      <c r="G32" s="138" t="str">
        <f t="shared" si="7"/>
        <v/>
      </c>
      <c r="H32" s="81" t="e">
        <f>VLOOKUP(G32,'Códigos bancos'!$F$3:$G$14,2,0)</f>
        <v>#N/A</v>
      </c>
      <c r="I32" s="139" t="e">
        <f>VLOOKUP(E32,'Códigos bancos'!$B$3:$D$29,3,0)</f>
        <v>#N/A</v>
      </c>
      <c r="J32" s="56"/>
      <c r="K32" s="56"/>
      <c r="L32" s="56"/>
      <c r="M32" s="56"/>
      <c r="N32" s="56"/>
      <c r="O32" s="56"/>
      <c r="P32" s="56"/>
      <c r="Q32" s="56"/>
      <c r="R32" s="174"/>
      <c r="S32" s="174"/>
      <c r="T32" s="82">
        <f t="shared" si="4"/>
        <v>0</v>
      </c>
      <c r="U32" s="83">
        <f t="shared" si="5"/>
        <v>0</v>
      </c>
      <c r="V32" s="56">
        <v>0</v>
      </c>
      <c r="W32" s="56">
        <v>0</v>
      </c>
      <c r="X32" s="69">
        <f t="shared" si="12"/>
        <v>0</v>
      </c>
      <c r="Y32" s="69">
        <f t="shared" si="13"/>
        <v>0</v>
      </c>
      <c r="AA32" s="66"/>
      <c r="AC32" s="84">
        <f t="shared" si="8"/>
        <v>0</v>
      </c>
      <c r="AD32" s="13">
        <v>0</v>
      </c>
      <c r="AE32" s="13">
        <v>0</v>
      </c>
      <c r="AF32" s="13">
        <v>0</v>
      </c>
      <c r="AG32" s="85" t="b">
        <f t="shared" si="9"/>
        <v>1</v>
      </c>
      <c r="AI32" s="84">
        <f t="shared" si="10"/>
        <v>0</v>
      </c>
      <c r="AJ32" s="13">
        <v>0</v>
      </c>
      <c r="AK32" s="13">
        <v>0</v>
      </c>
      <c r="AL32" s="85" t="b">
        <f t="shared" si="11"/>
        <v>1</v>
      </c>
      <c r="AN32" s="66"/>
    </row>
    <row r="33" spans="2:40" ht="13" customHeight="1">
      <c r="B33" s="73"/>
      <c r="C33" s="23">
        <f t="shared" si="3"/>
        <v>2026091</v>
      </c>
      <c r="D33" s="226"/>
      <c r="E33" s="138"/>
      <c r="F33" s="81" t="e">
        <f>VLOOKUP(E33,'Códigos bancos'!$B$3:$D$29,2,0)</f>
        <v>#N/A</v>
      </c>
      <c r="G33" s="138" t="str">
        <f t="shared" si="7"/>
        <v/>
      </c>
      <c r="H33" s="81" t="e">
        <f>VLOOKUP(G33,'Códigos bancos'!$F$3:$G$14,2,0)</f>
        <v>#N/A</v>
      </c>
      <c r="I33" s="139" t="e">
        <f>VLOOKUP(E33,'Códigos bancos'!$B$3:$D$29,3,0)</f>
        <v>#N/A</v>
      </c>
      <c r="J33" s="56"/>
      <c r="K33" s="56"/>
      <c r="L33" s="56"/>
      <c r="M33" s="56"/>
      <c r="N33" s="56"/>
      <c r="O33" s="56"/>
      <c r="P33" s="56"/>
      <c r="Q33" s="56"/>
      <c r="R33" s="174"/>
      <c r="S33" s="174"/>
      <c r="T33" s="82">
        <f t="shared" si="4"/>
        <v>0</v>
      </c>
      <c r="U33" s="83">
        <f t="shared" si="5"/>
        <v>0</v>
      </c>
      <c r="V33" s="56">
        <v>0</v>
      </c>
      <c r="W33" s="56">
        <v>0</v>
      </c>
      <c r="X33" s="69">
        <f t="shared" ref="X33:Y37" si="14">V33-T33</f>
        <v>0</v>
      </c>
      <c r="Y33" s="69">
        <f t="shared" si="14"/>
        <v>0</v>
      </c>
      <c r="AA33" s="66"/>
      <c r="AC33" s="84">
        <f>X33</f>
        <v>0</v>
      </c>
      <c r="AD33" s="13">
        <v>0</v>
      </c>
      <c r="AE33" s="13">
        <v>0</v>
      </c>
      <c r="AF33" s="13">
        <v>0</v>
      </c>
      <c r="AG33" s="85" t="b">
        <f>AC33=(AD33+AE33+AF33)</f>
        <v>1</v>
      </c>
      <c r="AI33" s="84">
        <f>Y33</f>
        <v>0</v>
      </c>
      <c r="AJ33" s="13">
        <v>0</v>
      </c>
      <c r="AK33" s="13">
        <v>0</v>
      </c>
      <c r="AL33" s="85" t="b">
        <f>AI33=(AJ33+AK33)</f>
        <v>1</v>
      </c>
      <c r="AN33" s="66"/>
    </row>
    <row r="34" spans="2:40" ht="13" customHeight="1">
      <c r="B34" s="73"/>
      <c r="C34" s="23">
        <f t="shared" si="3"/>
        <v>2026091</v>
      </c>
      <c r="D34" s="226"/>
      <c r="E34" s="138"/>
      <c r="F34" s="81" t="e">
        <f>VLOOKUP(E34,'Códigos bancos'!$B$3:$D$29,2,0)</f>
        <v>#N/A</v>
      </c>
      <c r="G34" s="138" t="str">
        <f t="shared" si="7"/>
        <v/>
      </c>
      <c r="H34" s="81" t="e">
        <f>VLOOKUP(G34,'Códigos bancos'!$F$3:$G$14,2,0)</f>
        <v>#N/A</v>
      </c>
      <c r="I34" s="139" t="e">
        <f>VLOOKUP(E34,'Códigos bancos'!$B$3:$D$29,3,0)</f>
        <v>#N/A</v>
      </c>
      <c r="J34" s="56"/>
      <c r="K34" s="56"/>
      <c r="L34" s="56"/>
      <c r="M34" s="56"/>
      <c r="N34" s="56"/>
      <c r="O34" s="56"/>
      <c r="P34" s="56"/>
      <c r="Q34" s="56"/>
      <c r="R34" s="174"/>
      <c r="S34" s="174"/>
      <c r="T34" s="82">
        <f t="shared" si="4"/>
        <v>0</v>
      </c>
      <c r="U34" s="83">
        <f t="shared" si="5"/>
        <v>0</v>
      </c>
      <c r="V34" s="56">
        <v>0</v>
      </c>
      <c r="W34" s="56">
        <v>0</v>
      </c>
      <c r="X34" s="69">
        <f t="shared" si="14"/>
        <v>0</v>
      </c>
      <c r="Y34" s="69">
        <f t="shared" si="14"/>
        <v>0</v>
      </c>
      <c r="AA34" s="66"/>
      <c r="AC34" s="84">
        <f>X34</f>
        <v>0</v>
      </c>
      <c r="AD34" s="13">
        <v>0</v>
      </c>
      <c r="AE34" s="13">
        <v>0</v>
      </c>
      <c r="AF34" s="13">
        <v>0</v>
      </c>
      <c r="AG34" s="85" t="b">
        <f>AC34=(AD34+AE34+AF34)</f>
        <v>1</v>
      </c>
      <c r="AI34" s="84">
        <f>Y34</f>
        <v>0</v>
      </c>
      <c r="AJ34" s="13">
        <v>0</v>
      </c>
      <c r="AK34" s="13">
        <v>0</v>
      </c>
      <c r="AL34" s="85" t="b">
        <f>AI34=(AJ34+AK34)</f>
        <v>1</v>
      </c>
      <c r="AN34" s="66"/>
    </row>
    <row r="35" spans="2:40" ht="13" customHeight="1">
      <c r="B35" s="73"/>
      <c r="C35" s="23">
        <f t="shared" ref="C35:C74" si="15">$C$1</f>
        <v>2026091</v>
      </c>
      <c r="D35" s="226"/>
      <c r="E35" s="138"/>
      <c r="F35" s="81" t="e">
        <f>VLOOKUP(E35,'Códigos bancos'!$B$3:$D$29,2,0)</f>
        <v>#N/A</v>
      </c>
      <c r="G35" s="138" t="str">
        <f t="shared" ref="G35:G75" si="16">IFERROR(IF(T35&gt;0,1,""),"")</f>
        <v/>
      </c>
      <c r="H35" s="81" t="e">
        <f>VLOOKUP(G35,'Códigos bancos'!$F$3:$G$14,2,0)</f>
        <v>#N/A</v>
      </c>
      <c r="I35" s="139" t="e">
        <f>VLOOKUP(E35,'Códigos bancos'!$B$3:$D$29,3,0)</f>
        <v>#N/A</v>
      </c>
      <c r="J35" s="56"/>
      <c r="K35" s="56"/>
      <c r="L35" s="56"/>
      <c r="M35" s="56"/>
      <c r="N35" s="56"/>
      <c r="O35" s="56"/>
      <c r="P35" s="56"/>
      <c r="Q35" s="56"/>
      <c r="R35" s="174"/>
      <c r="S35" s="174"/>
      <c r="T35" s="82">
        <f t="shared" ref="T35:U37" si="17">J35+L35+N35+P35+R35</f>
        <v>0</v>
      </c>
      <c r="U35" s="83">
        <f t="shared" si="17"/>
        <v>0</v>
      </c>
      <c r="V35" s="56">
        <v>0</v>
      </c>
      <c r="W35" s="56">
        <v>0</v>
      </c>
      <c r="X35" s="69">
        <f t="shared" si="14"/>
        <v>0</v>
      </c>
      <c r="Y35" s="69">
        <f t="shared" si="14"/>
        <v>0</v>
      </c>
      <c r="AA35" s="66"/>
      <c r="AC35" s="84">
        <f>X35</f>
        <v>0</v>
      </c>
      <c r="AD35" s="13">
        <v>0</v>
      </c>
      <c r="AE35" s="13">
        <v>0</v>
      </c>
      <c r="AF35" s="13">
        <v>0</v>
      </c>
      <c r="AG35" s="85" t="b">
        <f>AC35=(AD35+AE35+AF35)</f>
        <v>1</v>
      </c>
      <c r="AI35" s="84">
        <f>Y35</f>
        <v>0</v>
      </c>
      <c r="AJ35" s="13">
        <v>0</v>
      </c>
      <c r="AK35" s="13">
        <v>0</v>
      </c>
      <c r="AL35" s="85" t="b">
        <f>AI35=(AJ35+AK35)</f>
        <v>1</v>
      </c>
      <c r="AN35" s="66"/>
    </row>
    <row r="36" spans="2:40" ht="13" customHeight="1">
      <c r="B36" s="33"/>
      <c r="C36" s="23">
        <f t="shared" si="15"/>
        <v>2026091</v>
      </c>
      <c r="D36" s="226"/>
      <c r="E36" s="37"/>
      <c r="F36" s="81" t="e">
        <f>VLOOKUP(E36,'Códigos bancos'!$B$3:$D$29,2,0)</f>
        <v>#N/A</v>
      </c>
      <c r="G36" s="138" t="str">
        <f t="shared" si="16"/>
        <v/>
      </c>
      <c r="H36" s="81" t="e">
        <f>VLOOKUP(G36,'Códigos bancos'!$F$3:$G$14,2,0)</f>
        <v>#N/A</v>
      </c>
      <c r="I36" s="139" t="e">
        <f>VLOOKUP(E36,'Códigos bancos'!$B$3:$D$29,3,0)</f>
        <v>#N/A</v>
      </c>
      <c r="J36" s="174"/>
      <c r="K36" s="174"/>
      <c r="L36" s="174"/>
      <c r="M36" s="174"/>
      <c r="N36" s="174"/>
      <c r="O36" s="174"/>
      <c r="P36" s="174"/>
      <c r="Q36" s="174"/>
      <c r="R36" s="241"/>
      <c r="S36" s="241"/>
      <c r="T36" s="82">
        <f t="shared" si="17"/>
        <v>0</v>
      </c>
      <c r="U36" s="83">
        <f t="shared" si="17"/>
        <v>0</v>
      </c>
      <c r="V36" s="56">
        <v>0</v>
      </c>
      <c r="W36" s="56">
        <v>0</v>
      </c>
      <c r="X36" s="69">
        <f t="shared" si="14"/>
        <v>0</v>
      </c>
      <c r="Y36" s="69">
        <f t="shared" si="14"/>
        <v>0</v>
      </c>
      <c r="AA36" s="66"/>
      <c r="AC36" s="84">
        <f>X36</f>
        <v>0</v>
      </c>
      <c r="AD36" s="13">
        <v>0</v>
      </c>
      <c r="AE36" s="13">
        <v>0</v>
      </c>
      <c r="AF36" s="13">
        <v>0</v>
      </c>
      <c r="AG36" s="85" t="b">
        <f>AC36=(AD36+AE36+AF36)</f>
        <v>1</v>
      </c>
      <c r="AI36" s="84">
        <f>Y36</f>
        <v>0</v>
      </c>
      <c r="AJ36" s="13">
        <v>0</v>
      </c>
      <c r="AK36" s="13">
        <v>0</v>
      </c>
      <c r="AL36" s="85" t="b">
        <f>AI36=(AJ36+AK36)</f>
        <v>1</v>
      </c>
      <c r="AN36" s="66"/>
    </row>
    <row r="37" spans="2:40" ht="13" customHeight="1">
      <c r="B37" s="33"/>
      <c r="C37" s="23">
        <f t="shared" si="15"/>
        <v>2026091</v>
      </c>
      <c r="D37" s="226"/>
      <c r="E37" s="37"/>
      <c r="F37" s="81" t="e">
        <f>VLOOKUP(E37,'Códigos bancos'!$B$3:$D$29,2,0)</f>
        <v>#N/A</v>
      </c>
      <c r="G37" s="138" t="str">
        <f t="shared" si="16"/>
        <v/>
      </c>
      <c r="H37" s="81" t="e">
        <f>VLOOKUP(G37,'Códigos bancos'!$F$3:$G$14,2,0)</f>
        <v>#N/A</v>
      </c>
      <c r="I37" s="139" t="e">
        <f>VLOOKUP(E37,'Códigos bancos'!$B$3:$D$29,3,0)</f>
        <v>#N/A</v>
      </c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82">
        <f t="shared" si="17"/>
        <v>0</v>
      </c>
      <c r="U37" s="83">
        <f t="shared" si="17"/>
        <v>0</v>
      </c>
      <c r="V37" s="56">
        <v>0</v>
      </c>
      <c r="W37" s="56">
        <v>0</v>
      </c>
      <c r="X37" s="69">
        <f t="shared" si="14"/>
        <v>0</v>
      </c>
      <c r="Y37" s="69">
        <f t="shared" si="14"/>
        <v>0</v>
      </c>
      <c r="AA37" s="66"/>
      <c r="AC37" s="84">
        <f>X37</f>
        <v>0</v>
      </c>
      <c r="AD37" s="13">
        <v>0</v>
      </c>
      <c r="AE37" s="13">
        <v>0</v>
      </c>
      <c r="AF37" s="13">
        <v>0</v>
      </c>
      <c r="AG37" s="85" t="b">
        <f>AC37=(AD37+AE37+AF37)</f>
        <v>1</v>
      </c>
      <c r="AI37" s="84">
        <f>Y37</f>
        <v>0</v>
      </c>
      <c r="AJ37" s="13">
        <v>0</v>
      </c>
      <c r="AK37" s="13">
        <v>0</v>
      </c>
      <c r="AL37" s="85" t="b">
        <f>AI37=(AJ37+AK37)</f>
        <v>1</v>
      </c>
      <c r="AN37" s="66"/>
    </row>
    <row r="38" spans="2:40" ht="13" customHeight="1">
      <c r="B38" s="33"/>
      <c r="C38" s="23">
        <f t="shared" si="15"/>
        <v>2026091</v>
      </c>
      <c r="D38" s="226"/>
      <c r="E38" s="37"/>
      <c r="F38" s="81" t="e">
        <f>VLOOKUP(E38,'Códigos bancos'!$B$3:$D$29,2,0)</f>
        <v>#N/A</v>
      </c>
      <c r="G38" s="138" t="str">
        <f t="shared" si="16"/>
        <v/>
      </c>
      <c r="H38" s="81" t="e">
        <f>VLOOKUP(G38,'Códigos bancos'!$F$3:$G$14,2,0)</f>
        <v>#N/A</v>
      </c>
      <c r="I38" s="139" t="e">
        <f>VLOOKUP(E38,'Códigos bancos'!$B$3:$D$29,3,0)</f>
        <v>#N/A</v>
      </c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82">
        <f t="shared" ref="T38:T76" si="18">J38+L38+N38+P38+R38</f>
        <v>0</v>
      </c>
      <c r="U38" s="83">
        <f t="shared" ref="U38:U76" si="19">K38+M38+O38+Q38+S38</f>
        <v>0</v>
      </c>
      <c r="V38" s="56">
        <v>0</v>
      </c>
      <c r="W38" s="56">
        <v>0</v>
      </c>
      <c r="X38" s="69">
        <f t="shared" si="12"/>
        <v>0</v>
      </c>
      <c r="Y38" s="69">
        <f t="shared" si="13"/>
        <v>0</v>
      </c>
      <c r="AA38" s="66"/>
      <c r="AC38" s="84">
        <f t="shared" si="8"/>
        <v>0</v>
      </c>
      <c r="AD38" s="13">
        <v>0</v>
      </c>
      <c r="AE38" s="13">
        <v>0</v>
      </c>
      <c r="AF38" s="13">
        <v>0</v>
      </c>
      <c r="AG38" s="85" t="b">
        <f t="shared" si="9"/>
        <v>1</v>
      </c>
      <c r="AI38" s="84">
        <f t="shared" si="10"/>
        <v>0</v>
      </c>
      <c r="AJ38" s="13">
        <v>0</v>
      </c>
      <c r="AK38" s="13">
        <v>0</v>
      </c>
      <c r="AL38" s="85" t="b">
        <f t="shared" si="11"/>
        <v>1</v>
      </c>
      <c r="AN38" s="66"/>
    </row>
    <row r="39" spans="2:40" ht="13" customHeight="1">
      <c r="B39" s="33"/>
      <c r="C39" s="23">
        <f t="shared" si="15"/>
        <v>2026091</v>
      </c>
      <c r="D39" s="226"/>
      <c r="E39" s="37"/>
      <c r="F39" s="81" t="e">
        <f>VLOOKUP(E39,'Códigos bancos'!$B$3:$D$29,2,0)</f>
        <v>#N/A</v>
      </c>
      <c r="G39" s="138" t="str">
        <f t="shared" si="16"/>
        <v/>
      </c>
      <c r="H39" s="81" t="e">
        <f>VLOOKUP(G39,'Códigos bancos'!$F$3:$G$14,2,0)</f>
        <v>#N/A</v>
      </c>
      <c r="I39" s="139" t="e">
        <f>VLOOKUP(E39,'Códigos bancos'!$B$3:$D$29,3,0)</f>
        <v>#N/A</v>
      </c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82">
        <f t="shared" si="18"/>
        <v>0</v>
      </c>
      <c r="U39" s="83">
        <f t="shared" si="19"/>
        <v>0</v>
      </c>
      <c r="V39" s="56">
        <v>0</v>
      </c>
      <c r="W39" s="56">
        <v>0</v>
      </c>
      <c r="X39" s="69">
        <f t="shared" si="12"/>
        <v>0</v>
      </c>
      <c r="Y39" s="69">
        <f t="shared" si="13"/>
        <v>0</v>
      </c>
      <c r="AA39" s="66"/>
      <c r="AC39" s="84">
        <f t="shared" si="8"/>
        <v>0</v>
      </c>
      <c r="AD39" s="13">
        <v>0</v>
      </c>
      <c r="AE39" s="13">
        <v>0</v>
      </c>
      <c r="AF39" s="13">
        <v>0</v>
      </c>
      <c r="AG39" s="85" t="b">
        <f t="shared" si="9"/>
        <v>1</v>
      </c>
      <c r="AI39" s="84">
        <f t="shared" si="10"/>
        <v>0</v>
      </c>
      <c r="AJ39" s="13">
        <v>0</v>
      </c>
      <c r="AK39" s="13">
        <v>0</v>
      </c>
      <c r="AL39" s="85" t="b">
        <f t="shared" si="11"/>
        <v>1</v>
      </c>
      <c r="AN39" s="66"/>
    </row>
    <row r="40" spans="2:40" ht="13" customHeight="1">
      <c r="B40" s="33"/>
      <c r="C40" s="23">
        <f t="shared" si="15"/>
        <v>2026091</v>
      </c>
      <c r="D40" s="226"/>
      <c r="E40" s="37"/>
      <c r="F40" s="81" t="e">
        <f>VLOOKUP(E40,'Códigos bancos'!$B$3:$D$29,2,0)</f>
        <v>#N/A</v>
      </c>
      <c r="G40" s="138" t="str">
        <f t="shared" si="16"/>
        <v/>
      </c>
      <c r="H40" s="81" t="e">
        <f>VLOOKUP(G40,'Códigos bancos'!$F$3:$G$14,2,0)</f>
        <v>#N/A</v>
      </c>
      <c r="I40" s="139" t="e">
        <f>VLOOKUP(E40,'Códigos bancos'!$B$3:$D$29,3,0)</f>
        <v>#N/A</v>
      </c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82">
        <f t="shared" si="18"/>
        <v>0</v>
      </c>
      <c r="U40" s="83">
        <f t="shared" si="19"/>
        <v>0</v>
      </c>
      <c r="V40" s="56">
        <v>0</v>
      </c>
      <c r="W40" s="56">
        <v>0</v>
      </c>
      <c r="X40" s="69">
        <f t="shared" si="12"/>
        <v>0</v>
      </c>
      <c r="Y40" s="69">
        <f t="shared" si="13"/>
        <v>0</v>
      </c>
      <c r="AA40" s="66"/>
      <c r="AC40" s="84">
        <f t="shared" si="8"/>
        <v>0</v>
      </c>
      <c r="AD40" s="13">
        <v>0</v>
      </c>
      <c r="AE40" s="13">
        <v>0</v>
      </c>
      <c r="AF40" s="13">
        <v>0</v>
      </c>
      <c r="AG40" s="85" t="b">
        <f t="shared" si="9"/>
        <v>1</v>
      </c>
      <c r="AI40" s="84">
        <f t="shared" si="10"/>
        <v>0</v>
      </c>
      <c r="AJ40" s="13">
        <v>0</v>
      </c>
      <c r="AK40" s="13">
        <v>0</v>
      </c>
      <c r="AL40" s="85" t="b">
        <f t="shared" si="11"/>
        <v>1</v>
      </c>
      <c r="AN40" s="66"/>
    </row>
    <row r="41" spans="2:40" ht="13" customHeight="1">
      <c r="B41" s="33"/>
      <c r="C41" s="23">
        <f t="shared" si="15"/>
        <v>2026091</v>
      </c>
      <c r="D41" s="226"/>
      <c r="E41" s="37"/>
      <c r="F41" s="81" t="e">
        <f>VLOOKUP(E41,'Códigos bancos'!$B$3:$D$29,2,0)</f>
        <v>#N/A</v>
      </c>
      <c r="G41" s="138" t="str">
        <f t="shared" si="16"/>
        <v/>
      </c>
      <c r="H41" s="81" t="e">
        <f>VLOOKUP(G41,'Códigos bancos'!$F$3:$G$14,2,0)</f>
        <v>#N/A</v>
      </c>
      <c r="I41" s="139" t="e">
        <f>VLOOKUP(E41,'Códigos bancos'!$B$3:$D$29,3,0)</f>
        <v>#N/A</v>
      </c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82">
        <f t="shared" ref="T41:U44" si="20">J41+L41+N41+P41+R41</f>
        <v>0</v>
      </c>
      <c r="U41" s="83">
        <f t="shared" si="20"/>
        <v>0</v>
      </c>
      <c r="V41" s="56">
        <v>0</v>
      </c>
      <c r="W41" s="56">
        <v>0</v>
      </c>
      <c r="X41" s="69">
        <f t="shared" ref="X41:Y44" si="21">V41-T41</f>
        <v>0</v>
      </c>
      <c r="Y41" s="69">
        <f t="shared" si="21"/>
        <v>0</v>
      </c>
      <c r="AA41" s="66"/>
      <c r="AC41" s="84">
        <f>X41</f>
        <v>0</v>
      </c>
      <c r="AD41" s="13">
        <v>0</v>
      </c>
      <c r="AE41" s="13">
        <v>0</v>
      </c>
      <c r="AF41" s="13">
        <v>0</v>
      </c>
      <c r="AG41" s="85" t="b">
        <f>AC41=(AD41+AE41+AF41)</f>
        <v>1</v>
      </c>
      <c r="AI41" s="84">
        <f>Y41</f>
        <v>0</v>
      </c>
      <c r="AJ41" s="13">
        <v>0</v>
      </c>
      <c r="AK41" s="13">
        <v>0</v>
      </c>
      <c r="AL41" s="85" t="b">
        <f>AI41=(AJ41+AK41)</f>
        <v>1</v>
      </c>
      <c r="AN41" s="66"/>
    </row>
    <row r="42" spans="2:40" ht="13" customHeight="1">
      <c r="B42" s="33"/>
      <c r="C42" s="23">
        <f t="shared" si="15"/>
        <v>2026091</v>
      </c>
      <c r="D42" s="216"/>
      <c r="E42" s="37"/>
      <c r="F42" s="81" t="e">
        <f>VLOOKUP(E42,'Códigos bancos'!$B$3:$D$29,2,0)</f>
        <v>#N/A</v>
      </c>
      <c r="G42" s="138" t="str">
        <f t="shared" si="16"/>
        <v/>
      </c>
      <c r="H42" s="81" t="e">
        <f>VLOOKUP(G42,'Códigos bancos'!$F$3:$G$14,2,0)</f>
        <v>#N/A</v>
      </c>
      <c r="I42" s="139" t="e">
        <f>VLOOKUP(E42,'Códigos bancos'!$B$3:$D$29,3,0)</f>
        <v>#N/A</v>
      </c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82">
        <f t="shared" si="20"/>
        <v>0</v>
      </c>
      <c r="U42" s="83">
        <f t="shared" si="20"/>
        <v>0</v>
      </c>
      <c r="V42" s="56">
        <v>0</v>
      </c>
      <c r="W42" s="56">
        <v>0</v>
      </c>
      <c r="X42" s="69">
        <f t="shared" si="21"/>
        <v>0</v>
      </c>
      <c r="Y42" s="69">
        <f t="shared" si="21"/>
        <v>0</v>
      </c>
      <c r="AA42" s="66"/>
      <c r="AC42" s="84">
        <f>X42</f>
        <v>0</v>
      </c>
      <c r="AD42" s="13">
        <v>0</v>
      </c>
      <c r="AE42" s="13">
        <v>0</v>
      </c>
      <c r="AF42" s="13">
        <v>0</v>
      </c>
      <c r="AG42" s="85" t="b">
        <f>AC42=(AD42+AE42+AF42)</f>
        <v>1</v>
      </c>
      <c r="AI42" s="84">
        <f>Y42</f>
        <v>0</v>
      </c>
      <c r="AJ42" s="13">
        <v>0</v>
      </c>
      <c r="AK42" s="13">
        <v>0</v>
      </c>
      <c r="AL42" s="85" t="b">
        <f>AI42=(AJ42+AK42)</f>
        <v>1</v>
      </c>
      <c r="AN42" s="66"/>
    </row>
    <row r="43" spans="2:40" ht="13" customHeight="1">
      <c r="B43" s="33"/>
      <c r="C43" s="23">
        <f t="shared" si="15"/>
        <v>2026091</v>
      </c>
      <c r="D43" s="216"/>
      <c r="E43" s="37"/>
      <c r="F43" s="81" t="e">
        <f>VLOOKUP(E43,'Códigos bancos'!$B$3:$D$29,2,0)</f>
        <v>#N/A</v>
      </c>
      <c r="G43" s="138" t="str">
        <f t="shared" si="16"/>
        <v/>
      </c>
      <c r="H43" s="81" t="e">
        <f>VLOOKUP(G43,'Códigos bancos'!$F$3:$G$14,2,0)</f>
        <v>#N/A</v>
      </c>
      <c r="I43" s="139" t="e">
        <f>VLOOKUP(E43,'Códigos bancos'!$B$3:$D$29,3,0)</f>
        <v>#N/A</v>
      </c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82">
        <f t="shared" si="20"/>
        <v>0</v>
      </c>
      <c r="U43" s="83">
        <f t="shared" si="20"/>
        <v>0</v>
      </c>
      <c r="V43" s="36">
        <v>0</v>
      </c>
      <c r="W43" s="36">
        <v>0</v>
      </c>
      <c r="X43" s="69">
        <f t="shared" si="21"/>
        <v>0</v>
      </c>
      <c r="Y43" s="69">
        <f t="shared" si="21"/>
        <v>0</v>
      </c>
      <c r="AA43" s="66"/>
      <c r="AC43" s="84">
        <f>X43</f>
        <v>0</v>
      </c>
      <c r="AD43" s="13">
        <v>0</v>
      </c>
      <c r="AE43" s="13">
        <v>0</v>
      </c>
      <c r="AF43" s="13">
        <v>0</v>
      </c>
      <c r="AG43" s="85" t="b">
        <f>AC43=(AD43+AE43+AF43)</f>
        <v>1</v>
      </c>
      <c r="AI43" s="84">
        <f>Y43</f>
        <v>0</v>
      </c>
      <c r="AJ43" s="13">
        <v>0</v>
      </c>
      <c r="AK43" s="13">
        <v>0</v>
      </c>
      <c r="AL43" s="85" t="b">
        <f>AI43=(AJ43+AK43)</f>
        <v>1</v>
      </c>
      <c r="AN43" s="66"/>
    </row>
    <row r="44" spans="2:40" ht="13" customHeight="1">
      <c r="B44" s="33"/>
      <c r="C44" s="23">
        <f t="shared" si="15"/>
        <v>2026091</v>
      </c>
      <c r="D44" s="216"/>
      <c r="E44" s="37"/>
      <c r="F44" s="81" t="e">
        <f>VLOOKUP(E44,'Códigos bancos'!$B$3:$D$29,2,0)</f>
        <v>#N/A</v>
      </c>
      <c r="G44" s="138" t="str">
        <f t="shared" si="16"/>
        <v/>
      </c>
      <c r="H44" s="81" t="e">
        <f>VLOOKUP(G44,'Códigos bancos'!$F$3:$G$14,2,0)</f>
        <v>#N/A</v>
      </c>
      <c r="I44" s="139" t="e">
        <f>VLOOKUP(E44,'Códigos bancos'!$B$3:$D$29,3,0)</f>
        <v>#N/A</v>
      </c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82">
        <f t="shared" si="20"/>
        <v>0</v>
      </c>
      <c r="U44" s="83">
        <f t="shared" si="20"/>
        <v>0</v>
      </c>
      <c r="V44" s="36">
        <v>0</v>
      </c>
      <c r="W44" s="36">
        <v>0</v>
      </c>
      <c r="X44" s="69">
        <f t="shared" si="21"/>
        <v>0</v>
      </c>
      <c r="Y44" s="69">
        <f t="shared" si="21"/>
        <v>0</v>
      </c>
      <c r="AA44" s="66"/>
      <c r="AC44" s="84">
        <f>X44</f>
        <v>0</v>
      </c>
      <c r="AD44" s="13">
        <v>0</v>
      </c>
      <c r="AE44" s="13">
        <v>0</v>
      </c>
      <c r="AF44" s="13">
        <v>0</v>
      </c>
      <c r="AG44" s="85" t="b">
        <f>AC44=(AD44+AE44+AF44)</f>
        <v>1</v>
      </c>
      <c r="AI44" s="84">
        <f>Y44</f>
        <v>0</v>
      </c>
      <c r="AJ44" s="13">
        <v>0</v>
      </c>
      <c r="AK44" s="13">
        <v>0</v>
      </c>
      <c r="AL44" s="85" t="b">
        <f>AI44=(AJ44+AK44)</f>
        <v>1</v>
      </c>
      <c r="AN44" s="66"/>
    </row>
    <row r="45" spans="2:40" ht="13" customHeight="1">
      <c r="B45" s="33"/>
      <c r="C45" s="23">
        <f t="shared" si="15"/>
        <v>2026091</v>
      </c>
      <c r="D45" s="216"/>
      <c r="E45" s="37"/>
      <c r="F45" s="81" t="e">
        <f>VLOOKUP(E45,'Códigos bancos'!$B$3:$D$29,2,0)</f>
        <v>#N/A</v>
      </c>
      <c r="G45" s="138" t="str">
        <f t="shared" si="16"/>
        <v/>
      </c>
      <c r="H45" s="81" t="e">
        <f>VLOOKUP(G45,'Códigos bancos'!$F$3:$G$14,2,0)</f>
        <v>#N/A</v>
      </c>
      <c r="I45" s="139" t="e">
        <f>VLOOKUP(E45,'Códigos bancos'!$B$3:$D$29,3,0)</f>
        <v>#N/A</v>
      </c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82">
        <f t="shared" si="18"/>
        <v>0</v>
      </c>
      <c r="U45" s="83">
        <f t="shared" si="19"/>
        <v>0</v>
      </c>
      <c r="V45" s="36">
        <v>0</v>
      </c>
      <c r="W45" s="7">
        <v>0</v>
      </c>
      <c r="X45" s="69">
        <f t="shared" si="12"/>
        <v>0</v>
      </c>
      <c r="Y45" s="69">
        <f t="shared" si="13"/>
        <v>0</v>
      </c>
      <c r="AA45" s="66"/>
      <c r="AC45" s="84">
        <f t="shared" si="8"/>
        <v>0</v>
      </c>
      <c r="AD45" s="13">
        <v>0</v>
      </c>
      <c r="AE45" s="13">
        <v>0</v>
      </c>
      <c r="AF45" s="13">
        <v>0</v>
      </c>
      <c r="AG45" s="85" t="b">
        <f t="shared" si="9"/>
        <v>1</v>
      </c>
      <c r="AI45" s="84">
        <f t="shared" si="10"/>
        <v>0</v>
      </c>
      <c r="AJ45" s="13">
        <v>0</v>
      </c>
      <c r="AK45" s="13">
        <v>0</v>
      </c>
      <c r="AL45" s="85" t="b">
        <f t="shared" si="11"/>
        <v>1</v>
      </c>
      <c r="AN45" s="66"/>
    </row>
    <row r="46" spans="2:40" ht="13" customHeight="1">
      <c r="B46" s="33"/>
      <c r="C46" s="23">
        <f t="shared" si="15"/>
        <v>2026091</v>
      </c>
      <c r="D46" s="216"/>
      <c r="E46" s="37"/>
      <c r="F46" s="81" t="e">
        <f>VLOOKUP(E46,'Códigos bancos'!$B$3:$D$29,2,0)</f>
        <v>#N/A</v>
      </c>
      <c r="G46" s="138" t="str">
        <f t="shared" si="16"/>
        <v/>
      </c>
      <c r="H46" s="81" t="e">
        <f>VLOOKUP(G46,'Códigos bancos'!$F$3:$G$14,2,0)</f>
        <v>#N/A</v>
      </c>
      <c r="I46" s="139" t="e">
        <f>VLOOKUP(E46,'Códigos bancos'!$B$3:$D$29,3,0)</f>
        <v>#N/A</v>
      </c>
      <c r="J46" s="174"/>
      <c r="K46" s="174"/>
      <c r="L46" s="56"/>
      <c r="M46" s="56"/>
      <c r="N46" s="174"/>
      <c r="O46" s="174"/>
      <c r="P46" s="56"/>
      <c r="Q46" s="56"/>
      <c r="R46" s="174"/>
      <c r="S46" s="174"/>
      <c r="T46" s="82">
        <f t="shared" si="18"/>
        <v>0</v>
      </c>
      <c r="U46" s="83">
        <f t="shared" si="19"/>
        <v>0</v>
      </c>
      <c r="V46" s="36">
        <v>0</v>
      </c>
      <c r="W46" s="36">
        <v>0</v>
      </c>
      <c r="X46" s="69">
        <f t="shared" si="12"/>
        <v>0</v>
      </c>
      <c r="Y46" s="69">
        <f t="shared" si="13"/>
        <v>0</v>
      </c>
      <c r="AA46" s="66"/>
      <c r="AC46" s="84">
        <f t="shared" si="8"/>
        <v>0</v>
      </c>
      <c r="AD46" s="13">
        <v>0</v>
      </c>
      <c r="AE46" s="13">
        <v>0</v>
      </c>
      <c r="AF46" s="13">
        <v>0</v>
      </c>
      <c r="AG46" s="85" t="b">
        <f t="shared" si="9"/>
        <v>1</v>
      </c>
      <c r="AI46" s="84">
        <f t="shared" si="10"/>
        <v>0</v>
      </c>
      <c r="AJ46" s="13">
        <v>0</v>
      </c>
      <c r="AK46" s="13">
        <v>0</v>
      </c>
      <c r="AL46" s="85" t="b">
        <f t="shared" si="11"/>
        <v>1</v>
      </c>
      <c r="AN46" s="66"/>
    </row>
    <row r="47" spans="2:40" ht="13" customHeight="1">
      <c r="B47" s="33"/>
      <c r="C47" s="23">
        <f t="shared" si="15"/>
        <v>2026091</v>
      </c>
      <c r="D47" s="216"/>
      <c r="E47" s="37"/>
      <c r="F47" s="81" t="e">
        <f>VLOOKUP(E47,'Códigos bancos'!$B$3:$D$29,2,0)</f>
        <v>#N/A</v>
      </c>
      <c r="G47" s="138" t="str">
        <f t="shared" si="16"/>
        <v/>
      </c>
      <c r="H47" s="81" t="e">
        <f>VLOOKUP(G47,'Códigos bancos'!$F$3:$G$14,2,0)</f>
        <v>#N/A</v>
      </c>
      <c r="I47" s="139" t="e">
        <f>VLOOKUP(E47,'Códigos bancos'!$B$3:$D$29,3,0)</f>
        <v>#N/A</v>
      </c>
      <c r="J47" s="174"/>
      <c r="K47" s="174"/>
      <c r="L47" s="56"/>
      <c r="M47" s="56"/>
      <c r="N47" s="174"/>
      <c r="O47" s="174"/>
      <c r="P47" s="56"/>
      <c r="Q47" s="56"/>
      <c r="R47" s="174"/>
      <c r="S47" s="174"/>
      <c r="T47" s="82">
        <f t="shared" ref="T47:U49" si="22">J47+L47+N47+P47+R47</f>
        <v>0</v>
      </c>
      <c r="U47" s="83">
        <f t="shared" si="22"/>
        <v>0</v>
      </c>
      <c r="V47" s="36">
        <v>0</v>
      </c>
      <c r="W47" s="36">
        <v>0</v>
      </c>
      <c r="X47" s="69">
        <f t="shared" ref="X47:Y49" si="23">V47-T47</f>
        <v>0</v>
      </c>
      <c r="Y47" s="69">
        <f t="shared" si="23"/>
        <v>0</v>
      </c>
      <c r="AA47" s="66"/>
      <c r="AC47" s="84">
        <f>X47</f>
        <v>0</v>
      </c>
      <c r="AD47" s="13">
        <v>0</v>
      </c>
      <c r="AE47" s="13">
        <v>0</v>
      </c>
      <c r="AF47" s="13">
        <v>0</v>
      </c>
      <c r="AG47" s="85" t="b">
        <f>AC47=(AD47+AE47+AF47)</f>
        <v>1</v>
      </c>
      <c r="AI47" s="84">
        <f>Y47</f>
        <v>0</v>
      </c>
      <c r="AJ47" s="13">
        <v>0</v>
      </c>
      <c r="AK47" s="13">
        <v>0</v>
      </c>
      <c r="AL47" s="85" t="b">
        <f>AI47=(AJ47+AK47)</f>
        <v>1</v>
      </c>
      <c r="AN47" s="66"/>
    </row>
    <row r="48" spans="2:40" ht="13" customHeight="1">
      <c r="B48" s="33"/>
      <c r="C48" s="23">
        <f t="shared" si="15"/>
        <v>2026091</v>
      </c>
      <c r="D48" s="216"/>
      <c r="E48" s="37"/>
      <c r="F48" s="81" t="e">
        <f>VLOOKUP(E48,'Códigos bancos'!$B$3:$D$29,2,0)</f>
        <v>#N/A</v>
      </c>
      <c r="G48" s="138" t="str">
        <f t="shared" si="16"/>
        <v/>
      </c>
      <c r="H48" s="81" t="e">
        <f>VLOOKUP(G48,'Códigos bancos'!$F$3:$G$14,2,0)</f>
        <v>#N/A</v>
      </c>
      <c r="I48" s="139" t="e">
        <f>VLOOKUP(E48,'Códigos bancos'!$B$3:$D$29,3,0)</f>
        <v>#N/A</v>
      </c>
      <c r="J48" s="174"/>
      <c r="K48" s="174"/>
      <c r="L48" s="56"/>
      <c r="M48" s="56"/>
      <c r="N48" s="174"/>
      <c r="O48" s="174"/>
      <c r="P48" s="56"/>
      <c r="Q48" s="56"/>
      <c r="R48" s="174"/>
      <c r="S48" s="174"/>
      <c r="T48" s="82">
        <f t="shared" si="22"/>
        <v>0</v>
      </c>
      <c r="U48" s="83">
        <f t="shared" si="22"/>
        <v>0</v>
      </c>
      <c r="V48" s="36">
        <v>0</v>
      </c>
      <c r="W48" s="36">
        <v>0</v>
      </c>
      <c r="X48" s="69">
        <f t="shared" si="23"/>
        <v>0</v>
      </c>
      <c r="Y48" s="69">
        <f t="shared" si="23"/>
        <v>0</v>
      </c>
      <c r="AA48" s="66"/>
      <c r="AC48" s="84">
        <f>X48</f>
        <v>0</v>
      </c>
      <c r="AD48" s="13">
        <v>0</v>
      </c>
      <c r="AE48" s="13">
        <v>0</v>
      </c>
      <c r="AF48" s="13">
        <v>0</v>
      </c>
      <c r="AG48" s="85" t="b">
        <f>AC48=(AD48+AE48+AF48)</f>
        <v>1</v>
      </c>
      <c r="AI48" s="84">
        <f>Y48</f>
        <v>0</v>
      </c>
      <c r="AJ48" s="13">
        <v>0</v>
      </c>
      <c r="AK48" s="13">
        <v>0</v>
      </c>
      <c r="AL48" s="85" t="b">
        <f>AI48=(AJ48+AK48)</f>
        <v>1</v>
      </c>
      <c r="AN48" s="66"/>
    </row>
    <row r="49" spans="2:40" ht="13" customHeight="1">
      <c r="B49" s="33"/>
      <c r="C49" s="23">
        <f t="shared" si="15"/>
        <v>2026091</v>
      </c>
      <c r="D49" s="216"/>
      <c r="E49" s="37"/>
      <c r="F49" s="81" t="e">
        <f>VLOOKUP(E49,'Códigos bancos'!$B$3:$D$29,2,0)</f>
        <v>#N/A</v>
      </c>
      <c r="G49" s="138" t="str">
        <f t="shared" si="16"/>
        <v/>
      </c>
      <c r="H49" s="81" t="e">
        <f>VLOOKUP(G49,'Códigos bancos'!$F$3:$G$14,2,0)</f>
        <v>#N/A</v>
      </c>
      <c r="I49" s="139" t="e">
        <f>VLOOKUP(E49,'Códigos bancos'!$B$3:$D$29,3,0)</f>
        <v>#N/A</v>
      </c>
      <c r="J49" s="174"/>
      <c r="K49" s="174"/>
      <c r="L49" s="56"/>
      <c r="M49" s="56"/>
      <c r="N49" s="174"/>
      <c r="O49" s="174"/>
      <c r="P49" s="56"/>
      <c r="Q49" s="56"/>
      <c r="R49" s="174"/>
      <c r="S49" s="174"/>
      <c r="T49" s="82">
        <f t="shared" si="22"/>
        <v>0</v>
      </c>
      <c r="U49" s="83">
        <f t="shared" si="22"/>
        <v>0</v>
      </c>
      <c r="V49" s="36">
        <v>0</v>
      </c>
      <c r="W49" s="36">
        <v>0</v>
      </c>
      <c r="X49" s="69">
        <f t="shared" si="23"/>
        <v>0</v>
      </c>
      <c r="Y49" s="69">
        <f t="shared" si="23"/>
        <v>0</v>
      </c>
      <c r="AA49" s="66"/>
      <c r="AC49" s="84">
        <f>X49</f>
        <v>0</v>
      </c>
      <c r="AD49" s="13">
        <v>0</v>
      </c>
      <c r="AE49" s="13">
        <v>0</v>
      </c>
      <c r="AF49" s="13">
        <v>0</v>
      </c>
      <c r="AG49" s="85" t="b">
        <f>AC49=(AD49+AE49+AF49)</f>
        <v>1</v>
      </c>
      <c r="AI49" s="84">
        <f>Y49</f>
        <v>0</v>
      </c>
      <c r="AJ49" s="13">
        <v>0</v>
      </c>
      <c r="AK49" s="13">
        <v>0</v>
      </c>
      <c r="AL49" s="85" t="b">
        <f>AI49=(AJ49+AK49)</f>
        <v>1</v>
      </c>
      <c r="AN49" s="66"/>
    </row>
    <row r="50" spans="2:40" ht="13" customHeight="1">
      <c r="B50" s="33"/>
      <c r="C50" s="23">
        <f t="shared" si="15"/>
        <v>2026091</v>
      </c>
      <c r="D50" s="216"/>
      <c r="E50" s="37"/>
      <c r="F50" s="81" t="e">
        <f>VLOOKUP(E50,'Códigos bancos'!$B$3:$D$29,2,0)</f>
        <v>#N/A</v>
      </c>
      <c r="G50" s="138" t="str">
        <f t="shared" si="16"/>
        <v/>
      </c>
      <c r="H50" s="81" t="e">
        <f>VLOOKUP(G50,'Códigos bancos'!$F$3:$G$14,2,0)</f>
        <v>#N/A</v>
      </c>
      <c r="I50" s="139" t="e">
        <f>VLOOKUP(E50,'Códigos bancos'!$B$3:$D$29,3,0)</f>
        <v>#N/A</v>
      </c>
      <c r="J50" s="174"/>
      <c r="K50" s="174"/>
      <c r="L50" s="56"/>
      <c r="M50" s="56"/>
      <c r="N50" s="56"/>
      <c r="O50" s="56"/>
      <c r="P50" s="56"/>
      <c r="Q50" s="56"/>
      <c r="R50" s="174"/>
      <c r="S50" s="174"/>
      <c r="T50" s="82">
        <f t="shared" si="18"/>
        <v>0</v>
      </c>
      <c r="U50" s="83">
        <f t="shared" si="19"/>
        <v>0</v>
      </c>
      <c r="V50" s="36">
        <v>0</v>
      </c>
      <c r="W50" s="36">
        <v>0</v>
      </c>
      <c r="X50" s="69">
        <f t="shared" si="12"/>
        <v>0</v>
      </c>
      <c r="Y50" s="69">
        <f t="shared" si="13"/>
        <v>0</v>
      </c>
      <c r="AA50" s="66"/>
      <c r="AC50" s="84">
        <f t="shared" si="8"/>
        <v>0</v>
      </c>
      <c r="AD50" s="13">
        <v>0</v>
      </c>
      <c r="AE50" s="13">
        <v>0</v>
      </c>
      <c r="AF50" s="13">
        <v>0</v>
      </c>
      <c r="AG50" s="85" t="b">
        <f t="shared" si="9"/>
        <v>1</v>
      </c>
      <c r="AI50" s="84">
        <f t="shared" si="10"/>
        <v>0</v>
      </c>
      <c r="AJ50" s="13">
        <v>0</v>
      </c>
      <c r="AK50" s="13">
        <v>0</v>
      </c>
      <c r="AL50" s="85" t="b">
        <f t="shared" si="11"/>
        <v>1</v>
      </c>
      <c r="AN50" s="66"/>
    </row>
    <row r="51" spans="2:40" ht="13" customHeight="1">
      <c r="B51" s="33"/>
      <c r="C51" s="23">
        <f t="shared" si="15"/>
        <v>2026091</v>
      </c>
      <c r="D51" s="216"/>
      <c r="E51" s="37"/>
      <c r="F51" s="81" t="e">
        <f>VLOOKUP(E51,'Códigos bancos'!$B$3:$D$29,2,0)</f>
        <v>#N/A</v>
      </c>
      <c r="G51" s="138" t="str">
        <f t="shared" si="16"/>
        <v/>
      </c>
      <c r="H51" s="81" t="e">
        <f>VLOOKUP(G51,'Códigos bancos'!$F$3:$G$14,2,0)</f>
        <v>#N/A</v>
      </c>
      <c r="I51" s="139" t="e">
        <f>VLOOKUP(E51,'Códigos bancos'!$B$3:$D$29,3,0)</f>
        <v>#N/A</v>
      </c>
      <c r="J51" s="174"/>
      <c r="K51" s="174"/>
      <c r="L51" s="56"/>
      <c r="M51" s="56"/>
      <c r="N51" s="56"/>
      <c r="O51" s="56"/>
      <c r="P51" s="56"/>
      <c r="Q51" s="56"/>
      <c r="R51" s="174"/>
      <c r="S51" s="174"/>
      <c r="T51" s="82">
        <f t="shared" ref="T51:U54" si="24">J51+L51+N51+P51+R51</f>
        <v>0</v>
      </c>
      <c r="U51" s="83">
        <f t="shared" si="24"/>
        <v>0</v>
      </c>
      <c r="V51" s="36">
        <v>0</v>
      </c>
      <c r="W51" s="36">
        <v>0</v>
      </c>
      <c r="X51" s="69">
        <f t="shared" ref="X51:Y54" si="25">V51-T51</f>
        <v>0</v>
      </c>
      <c r="Y51" s="69">
        <f t="shared" si="25"/>
        <v>0</v>
      </c>
      <c r="AA51" s="66"/>
      <c r="AC51" s="84">
        <f>X51</f>
        <v>0</v>
      </c>
      <c r="AD51" s="13">
        <v>0</v>
      </c>
      <c r="AE51" s="13">
        <v>0</v>
      </c>
      <c r="AF51" s="13">
        <v>0</v>
      </c>
      <c r="AG51" s="85" t="b">
        <f>AC51=(AD51+AE51+AF51)</f>
        <v>1</v>
      </c>
      <c r="AI51" s="84">
        <f>Y51</f>
        <v>0</v>
      </c>
      <c r="AJ51" s="13">
        <v>0</v>
      </c>
      <c r="AK51" s="13">
        <v>0</v>
      </c>
      <c r="AL51" s="85" t="b">
        <f>AI51=(AJ51+AK51)</f>
        <v>1</v>
      </c>
      <c r="AN51" s="66"/>
    </row>
    <row r="52" spans="2:40" ht="13" customHeight="1">
      <c r="B52" s="33"/>
      <c r="C52" s="23">
        <f t="shared" si="15"/>
        <v>2026091</v>
      </c>
      <c r="D52" s="216"/>
      <c r="E52" s="37"/>
      <c r="F52" s="81" t="e">
        <f>VLOOKUP(E52,'Códigos bancos'!$B$3:$D$29,2,0)</f>
        <v>#N/A</v>
      </c>
      <c r="G52" s="138" t="str">
        <f t="shared" si="16"/>
        <v/>
      </c>
      <c r="H52" s="81" t="e">
        <f>VLOOKUP(G52,'Códigos bancos'!$F$3:$G$14,2,0)</f>
        <v>#N/A</v>
      </c>
      <c r="I52" s="139" t="e">
        <f>VLOOKUP(E52,'Códigos bancos'!$B$3:$D$29,3,0)</f>
        <v>#N/A</v>
      </c>
      <c r="J52" s="174"/>
      <c r="K52" s="174"/>
      <c r="L52" s="56"/>
      <c r="M52" s="56"/>
      <c r="N52" s="56"/>
      <c r="O52" s="56"/>
      <c r="P52" s="56"/>
      <c r="Q52" s="56"/>
      <c r="R52" s="174"/>
      <c r="S52" s="174"/>
      <c r="T52" s="82">
        <f t="shared" si="24"/>
        <v>0</v>
      </c>
      <c r="U52" s="83">
        <f t="shared" si="24"/>
        <v>0</v>
      </c>
      <c r="V52" s="36">
        <v>0</v>
      </c>
      <c r="W52" s="36">
        <v>0</v>
      </c>
      <c r="X52" s="69">
        <f t="shared" si="25"/>
        <v>0</v>
      </c>
      <c r="Y52" s="69">
        <f t="shared" si="25"/>
        <v>0</v>
      </c>
      <c r="AA52" s="66"/>
      <c r="AC52" s="84">
        <f>X52</f>
        <v>0</v>
      </c>
      <c r="AD52" s="13">
        <v>0</v>
      </c>
      <c r="AE52" s="13">
        <v>0</v>
      </c>
      <c r="AF52" s="13">
        <v>0</v>
      </c>
      <c r="AG52" s="85" t="b">
        <f>AC52=(AD52+AE52+AF52)</f>
        <v>1</v>
      </c>
      <c r="AI52" s="84">
        <f>Y52</f>
        <v>0</v>
      </c>
      <c r="AJ52" s="13">
        <v>0</v>
      </c>
      <c r="AK52" s="13">
        <v>0</v>
      </c>
      <c r="AL52" s="85" t="b">
        <f>AI52=(AJ52+AK52)</f>
        <v>1</v>
      </c>
      <c r="AN52" s="66"/>
    </row>
    <row r="53" spans="2:40" ht="13" customHeight="1">
      <c r="B53" s="33"/>
      <c r="C53" s="23">
        <f t="shared" si="15"/>
        <v>2026091</v>
      </c>
      <c r="D53" s="216"/>
      <c r="E53" s="37"/>
      <c r="F53" s="81" t="e">
        <f>VLOOKUP(E53,'Códigos bancos'!$B$3:$D$29,2,0)</f>
        <v>#N/A</v>
      </c>
      <c r="G53" s="138" t="str">
        <f t="shared" si="16"/>
        <v/>
      </c>
      <c r="H53" s="81" t="e">
        <f>VLOOKUP(G53,'Códigos bancos'!$F$3:$G$14,2,0)</f>
        <v>#N/A</v>
      </c>
      <c r="I53" s="139" t="e">
        <f>VLOOKUP(E53,'Códigos bancos'!$B$3:$D$29,3,0)</f>
        <v>#N/A</v>
      </c>
      <c r="J53" s="174"/>
      <c r="K53" s="174"/>
      <c r="L53" s="56"/>
      <c r="M53" s="56"/>
      <c r="N53" s="56"/>
      <c r="O53" s="56"/>
      <c r="P53" s="56"/>
      <c r="Q53" s="56"/>
      <c r="R53" s="174"/>
      <c r="S53" s="174"/>
      <c r="T53" s="82">
        <f t="shared" si="24"/>
        <v>0</v>
      </c>
      <c r="U53" s="83">
        <f t="shared" si="24"/>
        <v>0</v>
      </c>
      <c r="V53" s="36">
        <v>0</v>
      </c>
      <c r="W53" s="36">
        <v>0</v>
      </c>
      <c r="X53" s="69">
        <f t="shared" si="25"/>
        <v>0</v>
      </c>
      <c r="Y53" s="69">
        <f t="shared" si="25"/>
        <v>0</v>
      </c>
      <c r="AA53" s="66"/>
      <c r="AC53" s="84">
        <f>X53</f>
        <v>0</v>
      </c>
      <c r="AD53" s="13">
        <v>0</v>
      </c>
      <c r="AE53" s="13">
        <v>0</v>
      </c>
      <c r="AF53" s="13">
        <v>0</v>
      </c>
      <c r="AG53" s="85" t="b">
        <f>AC53=(AD53+AE53+AF53)</f>
        <v>1</v>
      </c>
      <c r="AI53" s="84">
        <f>Y53</f>
        <v>0</v>
      </c>
      <c r="AJ53" s="13">
        <v>0</v>
      </c>
      <c r="AK53" s="13">
        <v>0</v>
      </c>
      <c r="AL53" s="85" t="b">
        <f>AI53=(AJ53+AK53)</f>
        <v>1</v>
      </c>
      <c r="AN53" s="66"/>
    </row>
    <row r="54" spans="2:40" ht="13" customHeight="1">
      <c r="B54" s="33"/>
      <c r="C54" s="23">
        <f t="shared" si="15"/>
        <v>2026091</v>
      </c>
      <c r="D54" s="216"/>
      <c r="E54" s="37"/>
      <c r="F54" s="81" t="e">
        <f>VLOOKUP(E54,'Códigos bancos'!$B$3:$D$29,2,0)</f>
        <v>#N/A</v>
      </c>
      <c r="G54" s="138" t="str">
        <f t="shared" si="16"/>
        <v/>
      </c>
      <c r="H54" s="81" t="e">
        <f>VLOOKUP(G54,'Códigos bancos'!$F$3:$G$14,2,0)</f>
        <v>#N/A</v>
      </c>
      <c r="I54" s="139" t="e">
        <f>VLOOKUP(E54,'Códigos bancos'!$B$3:$D$29,3,0)</f>
        <v>#N/A</v>
      </c>
      <c r="J54" s="174"/>
      <c r="K54" s="174"/>
      <c r="L54" s="56"/>
      <c r="M54" s="56"/>
      <c r="N54" s="56"/>
      <c r="O54" s="56"/>
      <c r="P54" s="56"/>
      <c r="Q54" s="56"/>
      <c r="R54" s="174"/>
      <c r="S54" s="174"/>
      <c r="T54" s="82">
        <f t="shared" si="24"/>
        <v>0</v>
      </c>
      <c r="U54" s="83">
        <f t="shared" si="24"/>
        <v>0</v>
      </c>
      <c r="V54" s="36">
        <v>0</v>
      </c>
      <c r="W54" s="36">
        <v>0</v>
      </c>
      <c r="X54" s="69">
        <f t="shared" si="25"/>
        <v>0</v>
      </c>
      <c r="Y54" s="69">
        <f t="shared" si="25"/>
        <v>0</v>
      </c>
      <c r="AA54" s="66"/>
      <c r="AC54" s="84">
        <f>X54</f>
        <v>0</v>
      </c>
      <c r="AD54" s="13">
        <v>0</v>
      </c>
      <c r="AE54" s="13">
        <v>0</v>
      </c>
      <c r="AF54" s="13">
        <v>0</v>
      </c>
      <c r="AG54" s="85" t="b">
        <f>AC54=(AD54+AE54+AF54)</f>
        <v>1</v>
      </c>
      <c r="AI54" s="84">
        <f>Y54</f>
        <v>0</v>
      </c>
      <c r="AJ54" s="13">
        <v>0</v>
      </c>
      <c r="AK54" s="13">
        <v>0</v>
      </c>
      <c r="AL54" s="85" t="b">
        <f>AI54=(AJ54+AK54)</f>
        <v>1</v>
      </c>
      <c r="AN54" s="66"/>
    </row>
    <row r="55" spans="2:40" ht="13" customHeight="1">
      <c r="B55" s="33"/>
      <c r="C55" s="23">
        <f t="shared" si="15"/>
        <v>2026091</v>
      </c>
      <c r="D55" s="216"/>
      <c r="E55" s="37"/>
      <c r="F55" s="81" t="e">
        <f>VLOOKUP(E55,'Códigos bancos'!$B$3:$D$29,2,0)</f>
        <v>#N/A</v>
      </c>
      <c r="G55" s="138" t="str">
        <f t="shared" si="16"/>
        <v/>
      </c>
      <c r="H55" s="81" t="e">
        <f>VLOOKUP(G55,'Códigos bancos'!$F$3:$G$14,2,0)</f>
        <v>#N/A</v>
      </c>
      <c r="I55" s="139" t="e">
        <f>VLOOKUP(E55,'Códigos bancos'!$B$3:$D$29,3,0)</f>
        <v>#N/A</v>
      </c>
      <c r="J55" s="174"/>
      <c r="K55" s="174"/>
      <c r="L55" s="56"/>
      <c r="M55" s="56"/>
      <c r="N55" s="56"/>
      <c r="O55" s="56"/>
      <c r="P55" s="56"/>
      <c r="Q55" s="56"/>
      <c r="R55" s="174"/>
      <c r="S55" s="174"/>
      <c r="T55" s="82">
        <f t="shared" si="18"/>
        <v>0</v>
      </c>
      <c r="U55" s="83">
        <f t="shared" si="19"/>
        <v>0</v>
      </c>
      <c r="V55" s="36">
        <v>0</v>
      </c>
      <c r="W55" s="36">
        <v>0</v>
      </c>
      <c r="X55" s="69">
        <f t="shared" si="12"/>
        <v>0</v>
      </c>
      <c r="Y55" s="69">
        <f t="shared" si="13"/>
        <v>0</v>
      </c>
      <c r="AA55" s="66"/>
      <c r="AC55" s="84">
        <f t="shared" si="8"/>
        <v>0</v>
      </c>
      <c r="AD55" s="13">
        <v>0</v>
      </c>
      <c r="AE55" s="13">
        <v>0</v>
      </c>
      <c r="AF55" s="13">
        <v>0</v>
      </c>
      <c r="AG55" s="85" t="b">
        <f t="shared" si="9"/>
        <v>1</v>
      </c>
      <c r="AI55" s="84">
        <f t="shared" si="10"/>
        <v>0</v>
      </c>
      <c r="AJ55" s="13">
        <v>0</v>
      </c>
      <c r="AK55" s="13">
        <v>0</v>
      </c>
      <c r="AL55" s="85" t="b">
        <f t="shared" si="11"/>
        <v>1</v>
      </c>
      <c r="AN55" s="66"/>
    </row>
    <row r="56" spans="2:40" ht="13" customHeight="1">
      <c r="B56" s="33"/>
      <c r="C56" s="23">
        <f t="shared" si="15"/>
        <v>2026091</v>
      </c>
      <c r="D56" s="216"/>
      <c r="E56" s="37"/>
      <c r="F56" s="81" t="e">
        <f>VLOOKUP(E56,'Códigos bancos'!$B$3:$D$29,2,0)</f>
        <v>#N/A</v>
      </c>
      <c r="G56" s="138" t="str">
        <f t="shared" si="16"/>
        <v/>
      </c>
      <c r="H56" s="81" t="e">
        <f>VLOOKUP(G56,'Códigos bancos'!$F$3:$G$14,2,0)</f>
        <v>#N/A</v>
      </c>
      <c r="I56" s="139" t="e">
        <f>VLOOKUP(E56,'Códigos bancos'!$B$3:$D$29,3,0)</f>
        <v>#N/A</v>
      </c>
      <c r="J56" s="174"/>
      <c r="K56" s="174"/>
      <c r="L56" s="56"/>
      <c r="M56" s="56"/>
      <c r="N56" s="56"/>
      <c r="O56" s="56"/>
      <c r="P56" s="56"/>
      <c r="Q56" s="56"/>
      <c r="R56" s="174"/>
      <c r="S56" s="174"/>
      <c r="T56" s="82">
        <f t="shared" si="18"/>
        <v>0</v>
      </c>
      <c r="U56" s="83">
        <f t="shared" si="19"/>
        <v>0</v>
      </c>
      <c r="V56" s="36">
        <v>0</v>
      </c>
      <c r="W56" s="36">
        <v>0</v>
      </c>
      <c r="X56" s="69">
        <f t="shared" si="12"/>
        <v>0</v>
      </c>
      <c r="Y56" s="69">
        <f t="shared" si="13"/>
        <v>0</v>
      </c>
      <c r="AA56" s="66"/>
      <c r="AC56" s="84">
        <f t="shared" si="8"/>
        <v>0</v>
      </c>
      <c r="AD56" s="13">
        <v>0</v>
      </c>
      <c r="AE56" s="13">
        <v>0</v>
      </c>
      <c r="AF56" s="13">
        <v>0</v>
      </c>
      <c r="AG56" s="85" t="b">
        <f t="shared" si="9"/>
        <v>1</v>
      </c>
      <c r="AI56" s="84">
        <f t="shared" si="10"/>
        <v>0</v>
      </c>
      <c r="AJ56" s="13">
        <v>0</v>
      </c>
      <c r="AK56" s="13">
        <v>0</v>
      </c>
      <c r="AL56" s="85" t="b">
        <f t="shared" si="11"/>
        <v>1</v>
      </c>
      <c r="AN56" s="66"/>
    </row>
    <row r="57" spans="2:40" ht="13" customHeight="1">
      <c r="B57" s="33"/>
      <c r="C57" s="23">
        <f t="shared" si="15"/>
        <v>2026091</v>
      </c>
      <c r="D57" s="216"/>
      <c r="E57" s="37"/>
      <c r="F57" s="81" t="e">
        <f>VLOOKUP(E57,'Códigos bancos'!$B$3:$D$29,2,0)</f>
        <v>#N/A</v>
      </c>
      <c r="G57" s="138" t="str">
        <f t="shared" si="16"/>
        <v/>
      </c>
      <c r="H57" s="81" t="e">
        <f>VLOOKUP(G57,'Códigos bancos'!$F$3:$G$14,2,0)</f>
        <v>#N/A</v>
      </c>
      <c r="I57" s="139" t="e">
        <f>VLOOKUP(E57,'Códigos bancos'!$B$3:$D$29,3,0)</f>
        <v>#N/A</v>
      </c>
      <c r="J57" s="174"/>
      <c r="K57" s="174"/>
      <c r="L57" s="56"/>
      <c r="M57" s="56"/>
      <c r="N57" s="56"/>
      <c r="O57" s="56"/>
      <c r="P57" s="56"/>
      <c r="Q57" s="56"/>
      <c r="R57" s="174"/>
      <c r="S57" s="174"/>
      <c r="T57" s="82">
        <f>J57+L57+N57+P57+R57</f>
        <v>0</v>
      </c>
      <c r="U57" s="83">
        <f>K57+M57+O57+Q57+S57</f>
        <v>0</v>
      </c>
      <c r="V57" s="36">
        <v>0</v>
      </c>
      <c r="W57" s="36">
        <v>0</v>
      </c>
      <c r="X57" s="69">
        <f>V57-T57</f>
        <v>0</v>
      </c>
      <c r="Y57" s="69">
        <f>W57-U57</f>
        <v>0</v>
      </c>
      <c r="AA57" s="66"/>
      <c r="AC57" s="84">
        <f>X57</f>
        <v>0</v>
      </c>
      <c r="AD57" s="13">
        <v>0</v>
      </c>
      <c r="AE57" s="13">
        <v>0</v>
      </c>
      <c r="AF57" s="13">
        <v>0</v>
      </c>
      <c r="AG57" s="85" t="b">
        <f>AC57=(AD57+AE57+AF57)</f>
        <v>1</v>
      </c>
      <c r="AI57" s="84">
        <f>Y57</f>
        <v>0</v>
      </c>
      <c r="AJ57" s="13">
        <v>0</v>
      </c>
      <c r="AK57" s="13">
        <v>0</v>
      </c>
      <c r="AL57" s="85" t="b">
        <f>AI57=(AJ57+AK57)</f>
        <v>1</v>
      </c>
      <c r="AN57" s="66"/>
    </row>
    <row r="58" spans="2:40" ht="13" customHeight="1">
      <c r="B58" s="33"/>
      <c r="C58" s="23">
        <f t="shared" si="15"/>
        <v>2026091</v>
      </c>
      <c r="D58" s="216"/>
      <c r="E58" s="37"/>
      <c r="F58" s="81" t="e">
        <f>VLOOKUP(E58,'Códigos bancos'!$B$3:$D$29,2,0)</f>
        <v>#N/A</v>
      </c>
      <c r="G58" s="138" t="str">
        <f t="shared" si="16"/>
        <v/>
      </c>
      <c r="H58" s="81" t="e">
        <f>VLOOKUP(G58,'Códigos bancos'!$F$3:$G$14,2,0)</f>
        <v>#N/A</v>
      </c>
      <c r="I58" s="139" t="e">
        <f>VLOOKUP(E58,'Códigos bancos'!$B$3:$D$29,3,0)</f>
        <v>#N/A</v>
      </c>
      <c r="J58" s="174"/>
      <c r="K58" s="174"/>
      <c r="L58" s="56"/>
      <c r="M58" s="56"/>
      <c r="N58" s="56"/>
      <c r="O58" s="56"/>
      <c r="P58" s="56"/>
      <c r="Q58" s="56"/>
      <c r="R58" s="174"/>
      <c r="S58" s="174"/>
      <c r="T58" s="82">
        <f>J58+L58+N58+P58+R58</f>
        <v>0</v>
      </c>
      <c r="U58" s="83">
        <f>K58+M58+O58+Q58+S58</f>
        <v>0</v>
      </c>
      <c r="V58" s="36">
        <v>0</v>
      </c>
      <c r="W58" s="36">
        <v>0</v>
      </c>
      <c r="X58" s="69">
        <f>V58-T58</f>
        <v>0</v>
      </c>
      <c r="Y58" s="69">
        <f>W58-U58</f>
        <v>0</v>
      </c>
      <c r="AA58" s="66"/>
      <c r="AC58" s="84">
        <f>X58</f>
        <v>0</v>
      </c>
      <c r="AD58" s="13">
        <v>0</v>
      </c>
      <c r="AE58" s="13">
        <v>0</v>
      </c>
      <c r="AF58" s="13">
        <v>0</v>
      </c>
      <c r="AG58" s="85" t="b">
        <f>AC58=(AD58+AE58+AF58)</f>
        <v>1</v>
      </c>
      <c r="AI58" s="84">
        <f>Y58</f>
        <v>0</v>
      </c>
      <c r="AJ58" s="13">
        <v>0</v>
      </c>
      <c r="AK58" s="13">
        <v>0</v>
      </c>
      <c r="AL58" s="85" t="b">
        <f>AI58=(AJ58+AK58)</f>
        <v>1</v>
      </c>
      <c r="AN58" s="66"/>
    </row>
    <row r="59" spans="2:40" ht="13" customHeight="1">
      <c r="B59" s="33"/>
      <c r="C59" s="23">
        <f t="shared" si="15"/>
        <v>2026091</v>
      </c>
      <c r="D59" s="216"/>
      <c r="E59" s="37"/>
      <c r="F59" s="81" t="e">
        <f>VLOOKUP(E59,'Códigos bancos'!$B$3:$D$29,2,0)</f>
        <v>#N/A</v>
      </c>
      <c r="G59" s="138" t="str">
        <f t="shared" si="16"/>
        <v/>
      </c>
      <c r="H59" s="81" t="e">
        <f>VLOOKUP(G59,'Códigos bancos'!$F$3:$G$14,2,0)</f>
        <v>#N/A</v>
      </c>
      <c r="I59" s="139" t="e">
        <f>VLOOKUP(E59,'Códigos bancos'!$B$3:$D$29,3,0)</f>
        <v>#N/A</v>
      </c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82">
        <f t="shared" si="18"/>
        <v>0</v>
      </c>
      <c r="U59" s="83">
        <f t="shared" si="19"/>
        <v>0</v>
      </c>
      <c r="V59" s="36">
        <v>0</v>
      </c>
      <c r="W59" s="36">
        <v>0</v>
      </c>
      <c r="X59" s="69">
        <f t="shared" si="12"/>
        <v>0</v>
      </c>
      <c r="Y59" s="69">
        <f t="shared" si="13"/>
        <v>0</v>
      </c>
      <c r="AA59" s="66"/>
      <c r="AC59" s="84">
        <f t="shared" si="8"/>
        <v>0</v>
      </c>
      <c r="AD59" s="13">
        <v>0</v>
      </c>
      <c r="AE59" s="13">
        <v>0</v>
      </c>
      <c r="AF59" s="13">
        <v>0</v>
      </c>
      <c r="AG59" s="85" t="b">
        <f t="shared" si="9"/>
        <v>1</v>
      </c>
      <c r="AI59" s="84">
        <f t="shared" si="10"/>
        <v>0</v>
      </c>
      <c r="AJ59" s="13">
        <v>0</v>
      </c>
      <c r="AK59" s="13">
        <v>0</v>
      </c>
      <c r="AL59" s="85" t="b">
        <f t="shared" si="11"/>
        <v>1</v>
      </c>
      <c r="AN59" s="66"/>
    </row>
    <row r="60" spans="2:40" ht="13" customHeight="1">
      <c r="B60" s="33"/>
      <c r="C60" s="23">
        <f t="shared" si="15"/>
        <v>2026091</v>
      </c>
      <c r="D60" s="216"/>
      <c r="E60" s="138"/>
      <c r="F60" s="81" t="e">
        <f>VLOOKUP(E60,'Códigos bancos'!$B$3:$D$29,2,0)</f>
        <v>#N/A</v>
      </c>
      <c r="G60" s="138" t="str">
        <f t="shared" si="16"/>
        <v/>
      </c>
      <c r="H60" s="81" t="e">
        <f>VLOOKUP(G60,'Códigos bancos'!$F$3:$G$14,2,0)</f>
        <v>#N/A</v>
      </c>
      <c r="I60" s="139" t="e">
        <f>VLOOKUP(E60,'Códigos bancos'!$B$3:$D$29,3,0)</f>
        <v>#N/A</v>
      </c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82">
        <f t="shared" si="18"/>
        <v>0</v>
      </c>
      <c r="U60" s="83">
        <f t="shared" si="19"/>
        <v>0</v>
      </c>
      <c r="V60" s="36">
        <v>0</v>
      </c>
      <c r="W60" s="36">
        <v>0</v>
      </c>
      <c r="X60" s="69">
        <f t="shared" si="12"/>
        <v>0</v>
      </c>
      <c r="Y60" s="69">
        <f t="shared" si="13"/>
        <v>0</v>
      </c>
      <c r="AA60" s="66"/>
      <c r="AC60" s="84">
        <f t="shared" si="8"/>
        <v>0</v>
      </c>
      <c r="AD60" s="13">
        <v>0</v>
      </c>
      <c r="AE60" s="13">
        <v>0</v>
      </c>
      <c r="AF60" s="13">
        <v>0</v>
      </c>
      <c r="AG60" s="85" t="b">
        <f t="shared" si="9"/>
        <v>1</v>
      </c>
      <c r="AI60" s="84">
        <f t="shared" si="10"/>
        <v>0</v>
      </c>
      <c r="AJ60" s="13">
        <v>0</v>
      </c>
      <c r="AK60" s="13">
        <v>0</v>
      </c>
      <c r="AL60" s="85" t="b">
        <f t="shared" si="11"/>
        <v>1</v>
      </c>
      <c r="AN60" s="66"/>
    </row>
    <row r="61" spans="2:40" ht="13" customHeight="1">
      <c r="B61" s="33"/>
      <c r="C61" s="23">
        <f t="shared" si="15"/>
        <v>2026091</v>
      </c>
      <c r="D61" s="216"/>
      <c r="E61" s="37"/>
      <c r="F61" s="81" t="e">
        <f>VLOOKUP(E61,'Códigos bancos'!$B$3:$D$29,2,0)</f>
        <v>#N/A</v>
      </c>
      <c r="G61" s="138" t="str">
        <f t="shared" si="16"/>
        <v/>
      </c>
      <c r="H61" s="81" t="e">
        <f>VLOOKUP(G61,'Códigos bancos'!$F$3:$G$14,2,0)</f>
        <v>#N/A</v>
      </c>
      <c r="I61" s="139" t="e">
        <f>VLOOKUP(E61,'Códigos bancos'!$B$3:$D$29,3,0)</f>
        <v>#N/A</v>
      </c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82">
        <f t="shared" si="18"/>
        <v>0</v>
      </c>
      <c r="U61" s="83">
        <f t="shared" si="19"/>
        <v>0</v>
      </c>
      <c r="V61" s="36">
        <v>0</v>
      </c>
      <c r="W61" s="36">
        <v>0</v>
      </c>
      <c r="X61" s="69">
        <f t="shared" si="12"/>
        <v>0</v>
      </c>
      <c r="Y61" s="69">
        <f t="shared" si="13"/>
        <v>0</v>
      </c>
      <c r="AA61" s="66"/>
      <c r="AC61" s="84">
        <f t="shared" si="8"/>
        <v>0</v>
      </c>
      <c r="AD61" s="13">
        <v>0</v>
      </c>
      <c r="AE61" s="13">
        <v>0</v>
      </c>
      <c r="AF61" s="13">
        <v>0</v>
      </c>
      <c r="AG61" s="85" t="b">
        <f t="shared" si="9"/>
        <v>1</v>
      </c>
      <c r="AI61" s="84">
        <f t="shared" si="10"/>
        <v>0</v>
      </c>
      <c r="AJ61" s="13">
        <v>0</v>
      </c>
      <c r="AK61" s="13">
        <v>0</v>
      </c>
      <c r="AL61" s="85" t="b">
        <f t="shared" si="11"/>
        <v>1</v>
      </c>
      <c r="AN61" s="66"/>
    </row>
    <row r="62" spans="2:40" ht="13" customHeight="1">
      <c r="B62" s="33"/>
      <c r="C62" s="23">
        <f t="shared" si="15"/>
        <v>2026091</v>
      </c>
      <c r="D62" s="216"/>
      <c r="E62" s="37"/>
      <c r="F62" s="81" t="e">
        <f>VLOOKUP(E62,'Códigos bancos'!$B$3:$D$29,2,0)</f>
        <v>#N/A</v>
      </c>
      <c r="G62" s="138" t="str">
        <f t="shared" si="16"/>
        <v/>
      </c>
      <c r="H62" s="81" t="e">
        <f>VLOOKUP(G62,'Códigos bancos'!$F$3:$G$14,2,0)</f>
        <v>#N/A</v>
      </c>
      <c r="I62" s="139" t="e">
        <f>VLOOKUP(E62,'Códigos bancos'!$B$3:$D$29,3,0)</f>
        <v>#N/A</v>
      </c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82">
        <f t="shared" si="18"/>
        <v>0</v>
      </c>
      <c r="U62" s="83">
        <f t="shared" si="19"/>
        <v>0</v>
      </c>
      <c r="V62" s="36">
        <v>0</v>
      </c>
      <c r="W62" s="36">
        <v>0</v>
      </c>
      <c r="X62" s="69">
        <f t="shared" si="12"/>
        <v>0</v>
      </c>
      <c r="Y62" s="69">
        <f t="shared" si="13"/>
        <v>0</v>
      </c>
      <c r="AA62" s="66"/>
      <c r="AC62" s="84">
        <f t="shared" si="8"/>
        <v>0</v>
      </c>
      <c r="AD62" s="13">
        <v>0</v>
      </c>
      <c r="AE62" s="13">
        <v>0</v>
      </c>
      <c r="AF62" s="13">
        <v>0</v>
      </c>
      <c r="AG62" s="85" t="b">
        <f t="shared" si="9"/>
        <v>1</v>
      </c>
      <c r="AI62" s="84">
        <f t="shared" si="10"/>
        <v>0</v>
      </c>
      <c r="AJ62" s="13">
        <v>0</v>
      </c>
      <c r="AK62" s="13">
        <v>0</v>
      </c>
      <c r="AL62" s="85" t="b">
        <f t="shared" si="11"/>
        <v>1</v>
      </c>
      <c r="AN62" s="66"/>
    </row>
    <row r="63" spans="2:40" ht="13" customHeight="1">
      <c r="B63" s="33"/>
      <c r="C63" s="23">
        <f t="shared" si="15"/>
        <v>2026091</v>
      </c>
      <c r="D63" s="216"/>
      <c r="E63" s="37"/>
      <c r="F63" s="81" t="e">
        <f>VLOOKUP(E63,'Códigos bancos'!$B$3:$D$29,2,0)</f>
        <v>#N/A</v>
      </c>
      <c r="G63" s="138" t="str">
        <f t="shared" si="16"/>
        <v/>
      </c>
      <c r="H63" s="81" t="e">
        <f>VLOOKUP(G63,'Códigos bancos'!$F$3:$G$14,2,0)</f>
        <v>#N/A</v>
      </c>
      <c r="I63" s="139" t="e">
        <f>VLOOKUP(E63,'Códigos bancos'!$B$3:$D$29,3,0)</f>
        <v>#N/A</v>
      </c>
      <c r="J63" s="56"/>
      <c r="K63" s="56"/>
      <c r="L63" s="56"/>
      <c r="M63" s="56"/>
      <c r="N63" s="174"/>
      <c r="O63" s="174"/>
      <c r="P63" s="56"/>
      <c r="Q63" s="56"/>
      <c r="R63" s="56"/>
      <c r="S63" s="56"/>
      <c r="T63" s="82">
        <f t="shared" si="18"/>
        <v>0</v>
      </c>
      <c r="U63" s="83">
        <f t="shared" si="19"/>
        <v>0</v>
      </c>
      <c r="V63" s="36">
        <v>0</v>
      </c>
      <c r="W63" s="36">
        <v>0</v>
      </c>
      <c r="X63" s="69">
        <f t="shared" si="12"/>
        <v>0</v>
      </c>
      <c r="Y63" s="69">
        <f t="shared" si="13"/>
        <v>0</v>
      </c>
      <c r="AA63" s="66"/>
      <c r="AC63" s="84">
        <f t="shared" si="8"/>
        <v>0</v>
      </c>
      <c r="AD63" s="13">
        <v>0</v>
      </c>
      <c r="AE63" s="13">
        <v>0</v>
      </c>
      <c r="AF63" s="13">
        <v>0</v>
      </c>
      <c r="AG63" s="85" t="b">
        <f t="shared" si="9"/>
        <v>1</v>
      </c>
      <c r="AI63" s="84">
        <f t="shared" si="10"/>
        <v>0</v>
      </c>
      <c r="AJ63" s="13">
        <v>0</v>
      </c>
      <c r="AK63" s="13">
        <v>0</v>
      </c>
      <c r="AL63" s="85" t="b">
        <f t="shared" si="11"/>
        <v>1</v>
      </c>
      <c r="AN63" s="66"/>
    </row>
    <row r="64" spans="2:40" ht="13" customHeight="1">
      <c r="B64" s="33"/>
      <c r="C64" s="23">
        <f t="shared" si="15"/>
        <v>2026091</v>
      </c>
      <c r="D64" s="216"/>
      <c r="E64" s="37"/>
      <c r="F64" s="81" t="e">
        <f>VLOOKUP(E64,'Códigos bancos'!$B$3:$D$29,2,0)</f>
        <v>#N/A</v>
      </c>
      <c r="G64" s="138" t="str">
        <f t="shared" si="16"/>
        <v/>
      </c>
      <c r="H64" s="81" t="e">
        <f>VLOOKUP(G64,'Códigos bancos'!$F$3:$G$14,2,0)</f>
        <v>#N/A</v>
      </c>
      <c r="I64" s="139" t="e">
        <f>VLOOKUP(E64,'Códigos bancos'!$B$3:$D$29,3,0)</f>
        <v>#N/A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82">
        <f t="shared" si="18"/>
        <v>0</v>
      </c>
      <c r="U64" s="83">
        <f t="shared" si="19"/>
        <v>0</v>
      </c>
      <c r="V64" s="36">
        <v>0</v>
      </c>
      <c r="W64" s="36">
        <v>0</v>
      </c>
      <c r="X64" s="69">
        <f t="shared" si="12"/>
        <v>0</v>
      </c>
      <c r="Y64" s="69">
        <f t="shared" si="13"/>
        <v>0</v>
      </c>
      <c r="AA64" s="66"/>
      <c r="AC64" s="84">
        <f t="shared" si="8"/>
        <v>0</v>
      </c>
      <c r="AD64" s="13">
        <v>0</v>
      </c>
      <c r="AE64" s="13">
        <v>0</v>
      </c>
      <c r="AF64" s="13">
        <v>0</v>
      </c>
      <c r="AG64" s="85" t="b">
        <f t="shared" si="9"/>
        <v>1</v>
      </c>
      <c r="AI64" s="84">
        <f t="shared" si="10"/>
        <v>0</v>
      </c>
      <c r="AJ64" s="13">
        <v>0</v>
      </c>
      <c r="AK64" s="13">
        <v>0</v>
      </c>
      <c r="AL64" s="85" t="b">
        <f t="shared" si="11"/>
        <v>1</v>
      </c>
      <c r="AN64" s="66"/>
    </row>
    <row r="65" spans="2:40" ht="13" customHeight="1">
      <c r="B65" s="33"/>
      <c r="C65" s="23">
        <f t="shared" si="15"/>
        <v>2026091</v>
      </c>
      <c r="D65" s="216"/>
      <c r="E65" s="37"/>
      <c r="F65" s="81" t="e">
        <f>VLOOKUP(E65,'Códigos bancos'!$B$3:$D$29,2,0)</f>
        <v>#N/A</v>
      </c>
      <c r="G65" s="138" t="str">
        <f t="shared" si="16"/>
        <v/>
      </c>
      <c r="H65" s="81" t="e">
        <f>VLOOKUP(G65,'Códigos bancos'!$F$3:$G$14,2,0)</f>
        <v>#N/A</v>
      </c>
      <c r="I65" s="139" t="e">
        <f>VLOOKUP(E65,'Códigos bancos'!$B$3:$D$29,3,0)</f>
        <v>#N/A</v>
      </c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82">
        <f t="shared" si="18"/>
        <v>0</v>
      </c>
      <c r="U65" s="83">
        <f t="shared" si="19"/>
        <v>0</v>
      </c>
      <c r="V65" s="36">
        <v>0</v>
      </c>
      <c r="W65" s="36">
        <v>0</v>
      </c>
      <c r="X65" s="69">
        <f t="shared" si="12"/>
        <v>0</v>
      </c>
      <c r="Y65" s="69">
        <f t="shared" si="13"/>
        <v>0</v>
      </c>
      <c r="AA65" s="66"/>
      <c r="AC65" s="84">
        <f t="shared" si="8"/>
        <v>0</v>
      </c>
      <c r="AD65" s="13">
        <v>0</v>
      </c>
      <c r="AE65" s="13">
        <v>0</v>
      </c>
      <c r="AF65" s="13">
        <v>0</v>
      </c>
      <c r="AG65" s="85" t="b">
        <f t="shared" si="9"/>
        <v>1</v>
      </c>
      <c r="AI65" s="84">
        <f t="shared" si="10"/>
        <v>0</v>
      </c>
      <c r="AJ65" s="13">
        <v>0</v>
      </c>
      <c r="AK65" s="13">
        <v>0</v>
      </c>
      <c r="AL65" s="85" t="b">
        <f t="shared" si="11"/>
        <v>1</v>
      </c>
      <c r="AN65" s="66"/>
    </row>
    <row r="66" spans="2:40" ht="13" customHeight="1">
      <c r="B66" s="33"/>
      <c r="C66" s="23">
        <f t="shared" si="15"/>
        <v>2026091</v>
      </c>
      <c r="D66" s="216"/>
      <c r="E66" s="37"/>
      <c r="F66" s="81" t="e">
        <f>VLOOKUP(E66,'Códigos bancos'!$B$3:$D$29,2,0)</f>
        <v>#N/A</v>
      </c>
      <c r="G66" s="138" t="str">
        <f t="shared" si="16"/>
        <v/>
      </c>
      <c r="H66" s="81" t="e">
        <f>VLOOKUP(G66,'Códigos bancos'!$F$3:$G$14,2,0)</f>
        <v>#N/A</v>
      </c>
      <c r="I66" s="139" t="e">
        <f>VLOOKUP(E66,'Códigos bancos'!$B$3:$D$29,3,0)</f>
        <v>#N/A</v>
      </c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82">
        <f t="shared" si="18"/>
        <v>0</v>
      </c>
      <c r="U66" s="83">
        <f t="shared" si="19"/>
        <v>0</v>
      </c>
      <c r="V66" s="36">
        <v>0</v>
      </c>
      <c r="W66" s="36">
        <v>0</v>
      </c>
      <c r="X66" s="69">
        <f t="shared" si="12"/>
        <v>0</v>
      </c>
      <c r="Y66" s="69">
        <f t="shared" si="13"/>
        <v>0</v>
      </c>
      <c r="AA66" s="66"/>
      <c r="AC66" s="84">
        <f t="shared" si="8"/>
        <v>0</v>
      </c>
      <c r="AD66" s="13">
        <v>0</v>
      </c>
      <c r="AE66" s="13">
        <v>0</v>
      </c>
      <c r="AF66" s="13">
        <v>0</v>
      </c>
      <c r="AG66" s="85" t="b">
        <f t="shared" si="9"/>
        <v>1</v>
      </c>
      <c r="AI66" s="84">
        <f t="shared" si="10"/>
        <v>0</v>
      </c>
      <c r="AJ66" s="13">
        <v>0</v>
      </c>
      <c r="AK66" s="13">
        <v>0</v>
      </c>
      <c r="AL66" s="85" t="b">
        <f t="shared" si="11"/>
        <v>1</v>
      </c>
      <c r="AN66" s="66"/>
    </row>
    <row r="67" spans="2:40" ht="13" customHeight="1">
      <c r="B67" s="33"/>
      <c r="C67" s="23">
        <f t="shared" si="15"/>
        <v>2026091</v>
      </c>
      <c r="D67" s="216"/>
      <c r="E67" s="37"/>
      <c r="F67" s="81" t="e">
        <f>VLOOKUP(E67,'Códigos bancos'!$B$3:$D$29,2,0)</f>
        <v>#N/A</v>
      </c>
      <c r="G67" s="138" t="str">
        <f t="shared" si="16"/>
        <v/>
      </c>
      <c r="H67" s="81" t="e">
        <f>VLOOKUP(G67,'Códigos bancos'!$F$3:$G$14,2,0)</f>
        <v>#N/A</v>
      </c>
      <c r="I67" s="139" t="e">
        <f>VLOOKUP(E67,'Códigos bancos'!$B$3:$D$29,3,0)</f>
        <v>#N/A</v>
      </c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82">
        <f t="shared" si="18"/>
        <v>0</v>
      </c>
      <c r="U67" s="83">
        <f t="shared" si="19"/>
        <v>0</v>
      </c>
      <c r="V67" s="36">
        <v>0</v>
      </c>
      <c r="W67" s="36">
        <v>0</v>
      </c>
      <c r="X67" s="69">
        <f t="shared" si="12"/>
        <v>0</v>
      </c>
      <c r="Y67" s="69">
        <f t="shared" si="13"/>
        <v>0</v>
      </c>
      <c r="AA67" s="66"/>
      <c r="AC67" s="84">
        <f t="shared" si="8"/>
        <v>0</v>
      </c>
      <c r="AD67" s="13">
        <v>0</v>
      </c>
      <c r="AE67" s="13">
        <v>0</v>
      </c>
      <c r="AF67" s="13">
        <v>0</v>
      </c>
      <c r="AG67" s="85" t="b">
        <f t="shared" si="9"/>
        <v>1</v>
      </c>
      <c r="AI67" s="84">
        <f t="shared" si="10"/>
        <v>0</v>
      </c>
      <c r="AJ67" s="13">
        <v>0</v>
      </c>
      <c r="AK67" s="13">
        <v>0</v>
      </c>
      <c r="AL67" s="85" t="b">
        <f t="shared" si="11"/>
        <v>1</v>
      </c>
      <c r="AN67" s="66"/>
    </row>
    <row r="68" spans="2:40" ht="13" customHeight="1">
      <c r="B68" s="33"/>
      <c r="C68" s="23">
        <f t="shared" si="15"/>
        <v>2026091</v>
      </c>
      <c r="D68" s="216"/>
      <c r="E68" s="37"/>
      <c r="F68" s="81" t="e">
        <f>VLOOKUP(E68,'Códigos bancos'!$B$3:$D$29,2,0)</f>
        <v>#N/A</v>
      </c>
      <c r="G68" s="138" t="str">
        <f t="shared" si="16"/>
        <v/>
      </c>
      <c r="H68" s="81" t="e">
        <f>VLOOKUP(G68,'Códigos bancos'!$F$3:$G$14,2,0)</f>
        <v>#N/A</v>
      </c>
      <c r="I68" s="139" t="e">
        <f>VLOOKUP(E68,'Códigos bancos'!$B$3:$D$29,3,0)</f>
        <v>#N/A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82">
        <f t="shared" si="18"/>
        <v>0</v>
      </c>
      <c r="U68" s="83">
        <f t="shared" si="19"/>
        <v>0</v>
      </c>
      <c r="V68" s="36">
        <v>0</v>
      </c>
      <c r="W68" s="36">
        <v>0</v>
      </c>
      <c r="X68" s="69">
        <f t="shared" si="12"/>
        <v>0</v>
      </c>
      <c r="Y68" s="69">
        <f t="shared" si="13"/>
        <v>0</v>
      </c>
      <c r="AA68" s="66"/>
      <c r="AC68" s="84">
        <f t="shared" si="8"/>
        <v>0</v>
      </c>
      <c r="AD68" s="13">
        <v>0</v>
      </c>
      <c r="AE68" s="13">
        <v>0</v>
      </c>
      <c r="AF68" s="13">
        <v>0</v>
      </c>
      <c r="AG68" s="85" t="b">
        <f t="shared" si="9"/>
        <v>1</v>
      </c>
      <c r="AI68" s="84">
        <f t="shared" si="10"/>
        <v>0</v>
      </c>
      <c r="AJ68" s="13">
        <v>0</v>
      </c>
      <c r="AK68" s="13">
        <v>0</v>
      </c>
      <c r="AL68" s="85" t="b">
        <f t="shared" si="11"/>
        <v>1</v>
      </c>
      <c r="AN68" s="66"/>
    </row>
    <row r="69" spans="2:40" ht="13" customHeight="1">
      <c r="B69" s="33"/>
      <c r="C69" s="23">
        <f t="shared" si="15"/>
        <v>2026091</v>
      </c>
      <c r="D69" s="216"/>
      <c r="E69" s="37"/>
      <c r="F69" s="81" t="e">
        <f>VLOOKUP(E69,'Códigos bancos'!$B$3:$D$29,2,0)</f>
        <v>#N/A</v>
      </c>
      <c r="G69" s="138" t="str">
        <f t="shared" si="16"/>
        <v/>
      </c>
      <c r="H69" s="81" t="e">
        <f>VLOOKUP(G69,'Códigos bancos'!$F$3:$G$14,2,0)</f>
        <v>#N/A</v>
      </c>
      <c r="I69" s="139" t="e">
        <f>VLOOKUP(E69,'Códigos bancos'!$B$3:$D$29,3,0)</f>
        <v>#N/A</v>
      </c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82">
        <f t="shared" si="18"/>
        <v>0</v>
      </c>
      <c r="U69" s="83">
        <f t="shared" si="19"/>
        <v>0</v>
      </c>
      <c r="V69" s="36">
        <v>0</v>
      </c>
      <c r="W69" s="36">
        <v>0</v>
      </c>
      <c r="X69" s="69">
        <f t="shared" si="12"/>
        <v>0</v>
      </c>
      <c r="Y69" s="69">
        <f t="shared" si="13"/>
        <v>0</v>
      </c>
      <c r="AA69" s="66"/>
      <c r="AC69" s="84">
        <f t="shared" si="8"/>
        <v>0</v>
      </c>
      <c r="AD69" s="13">
        <v>0</v>
      </c>
      <c r="AE69" s="13">
        <v>0</v>
      </c>
      <c r="AF69" s="13">
        <v>0</v>
      </c>
      <c r="AG69" s="85" t="b">
        <f t="shared" si="9"/>
        <v>1</v>
      </c>
      <c r="AI69" s="84">
        <f t="shared" si="10"/>
        <v>0</v>
      </c>
      <c r="AJ69" s="13">
        <v>0</v>
      </c>
      <c r="AK69" s="13">
        <v>0</v>
      </c>
      <c r="AL69" s="85" t="b">
        <f t="shared" si="11"/>
        <v>1</v>
      </c>
      <c r="AN69" s="66"/>
    </row>
    <row r="70" spans="2:40" ht="13" customHeight="1">
      <c r="B70" s="33"/>
      <c r="C70" s="23">
        <f t="shared" si="15"/>
        <v>2026091</v>
      </c>
      <c r="D70" s="216"/>
      <c r="E70" s="37"/>
      <c r="F70" s="81" t="e">
        <f>VLOOKUP(E70,'Códigos bancos'!$B$3:$D$29,2,0)</f>
        <v>#N/A</v>
      </c>
      <c r="G70" s="138" t="str">
        <f t="shared" si="16"/>
        <v/>
      </c>
      <c r="H70" s="81" t="e">
        <f>VLOOKUP(G70,'Códigos bancos'!$F$3:$G$14,2,0)</f>
        <v>#N/A</v>
      </c>
      <c r="I70" s="139" t="e">
        <f>VLOOKUP(E70,'Códigos bancos'!$B$3:$D$29,3,0)</f>
        <v>#N/A</v>
      </c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82">
        <f t="shared" si="18"/>
        <v>0</v>
      </c>
      <c r="U70" s="83">
        <f t="shared" si="19"/>
        <v>0</v>
      </c>
      <c r="V70" s="36">
        <v>0</v>
      </c>
      <c r="W70" s="36">
        <v>0</v>
      </c>
      <c r="X70" s="69">
        <f t="shared" si="12"/>
        <v>0</v>
      </c>
      <c r="Y70" s="69">
        <f t="shared" si="13"/>
        <v>0</v>
      </c>
      <c r="AA70" s="66"/>
      <c r="AC70" s="84">
        <f t="shared" si="8"/>
        <v>0</v>
      </c>
      <c r="AD70" s="13">
        <v>0</v>
      </c>
      <c r="AE70" s="13">
        <v>0</v>
      </c>
      <c r="AF70" s="13">
        <v>0</v>
      </c>
      <c r="AG70" s="85" t="b">
        <f t="shared" si="9"/>
        <v>1</v>
      </c>
      <c r="AI70" s="84">
        <f t="shared" si="10"/>
        <v>0</v>
      </c>
      <c r="AJ70" s="13">
        <v>0</v>
      </c>
      <c r="AK70" s="13">
        <v>0</v>
      </c>
      <c r="AL70" s="85" t="b">
        <f t="shared" si="11"/>
        <v>1</v>
      </c>
      <c r="AN70" s="66"/>
    </row>
    <row r="71" spans="2:40" ht="13" customHeight="1">
      <c r="B71" s="33"/>
      <c r="C71" s="23">
        <f t="shared" si="15"/>
        <v>2026091</v>
      </c>
      <c r="D71" s="216"/>
      <c r="E71" s="37"/>
      <c r="F71" s="81" t="e">
        <f>VLOOKUP(E71,'Códigos bancos'!$B$3:$D$29,2,0)</f>
        <v>#N/A</v>
      </c>
      <c r="G71" s="138" t="str">
        <f t="shared" si="16"/>
        <v/>
      </c>
      <c r="H71" s="81" t="e">
        <f>VLOOKUP(G71,'Códigos bancos'!$F$3:$G$14,2,0)</f>
        <v>#N/A</v>
      </c>
      <c r="I71" s="139" t="e">
        <f>VLOOKUP(E71,'Códigos bancos'!$B$3:$D$29,3,0)</f>
        <v>#N/A</v>
      </c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82">
        <f t="shared" si="18"/>
        <v>0</v>
      </c>
      <c r="U71" s="83">
        <f t="shared" si="19"/>
        <v>0</v>
      </c>
      <c r="V71" s="36">
        <v>0</v>
      </c>
      <c r="W71" s="36">
        <v>0</v>
      </c>
      <c r="X71" s="69">
        <f t="shared" si="12"/>
        <v>0</v>
      </c>
      <c r="Y71" s="69">
        <f t="shared" si="13"/>
        <v>0</v>
      </c>
      <c r="AA71" s="66"/>
      <c r="AC71" s="84">
        <f t="shared" si="8"/>
        <v>0</v>
      </c>
      <c r="AD71" s="13">
        <v>0</v>
      </c>
      <c r="AE71" s="13">
        <v>0</v>
      </c>
      <c r="AF71" s="13">
        <v>0</v>
      </c>
      <c r="AG71" s="85" t="b">
        <f t="shared" si="9"/>
        <v>1</v>
      </c>
      <c r="AI71" s="84">
        <f t="shared" si="10"/>
        <v>0</v>
      </c>
      <c r="AJ71" s="13">
        <v>0</v>
      </c>
      <c r="AK71" s="13">
        <v>0</v>
      </c>
      <c r="AL71" s="85" t="b">
        <f t="shared" si="11"/>
        <v>1</v>
      </c>
      <c r="AN71" s="66"/>
    </row>
    <row r="72" spans="2:40" ht="13" customHeight="1">
      <c r="B72" s="33"/>
      <c r="C72" s="23">
        <f t="shared" si="15"/>
        <v>2026091</v>
      </c>
      <c r="D72" s="216"/>
      <c r="E72" s="37"/>
      <c r="F72" s="81" t="e">
        <f>VLOOKUP(E72,'Códigos bancos'!$B$3:$D$29,2,0)</f>
        <v>#N/A</v>
      </c>
      <c r="G72" s="138" t="str">
        <f t="shared" si="16"/>
        <v/>
      </c>
      <c r="H72" s="81" t="e">
        <f>VLOOKUP(G72,'Códigos bancos'!$F$3:$G$14,2,0)</f>
        <v>#N/A</v>
      </c>
      <c r="I72" s="139" t="e">
        <f>VLOOKUP(E72,'Códigos bancos'!$B$3:$D$29,3,0)</f>
        <v>#N/A</v>
      </c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82">
        <f t="shared" si="18"/>
        <v>0</v>
      </c>
      <c r="U72" s="83">
        <f t="shared" si="19"/>
        <v>0</v>
      </c>
      <c r="V72" s="36">
        <v>0</v>
      </c>
      <c r="W72" s="36">
        <v>0</v>
      </c>
      <c r="X72" s="69">
        <f t="shared" si="12"/>
        <v>0</v>
      </c>
      <c r="Y72" s="69">
        <f t="shared" si="13"/>
        <v>0</v>
      </c>
      <c r="AA72" s="66"/>
      <c r="AC72" s="84">
        <f t="shared" si="8"/>
        <v>0</v>
      </c>
      <c r="AD72" s="13">
        <v>0</v>
      </c>
      <c r="AE72" s="13">
        <v>0</v>
      </c>
      <c r="AF72" s="13">
        <v>0</v>
      </c>
      <c r="AG72" s="85" t="b">
        <f t="shared" si="9"/>
        <v>1</v>
      </c>
      <c r="AI72" s="84">
        <f t="shared" si="10"/>
        <v>0</v>
      </c>
      <c r="AJ72" s="13">
        <v>0</v>
      </c>
      <c r="AK72" s="13">
        <v>0</v>
      </c>
      <c r="AL72" s="85" t="b">
        <f t="shared" si="11"/>
        <v>1</v>
      </c>
      <c r="AN72" s="66"/>
    </row>
    <row r="73" spans="2:40" ht="13" customHeight="1">
      <c r="B73" s="33"/>
      <c r="C73" s="23">
        <f t="shared" si="15"/>
        <v>2026091</v>
      </c>
      <c r="D73" s="216"/>
      <c r="E73" s="37"/>
      <c r="F73" s="81" t="e">
        <f>VLOOKUP(E73,'Códigos bancos'!$B$3:$D$29,2,0)</f>
        <v>#N/A</v>
      </c>
      <c r="G73" s="138" t="str">
        <f t="shared" si="16"/>
        <v/>
      </c>
      <c r="H73" s="81" t="e">
        <f>VLOOKUP(G73,'Códigos bancos'!$F$3:$G$14,2,0)</f>
        <v>#N/A</v>
      </c>
      <c r="I73" s="139" t="e">
        <f>VLOOKUP(E73,'Códigos bancos'!$B$3:$D$29,3,0)</f>
        <v>#N/A</v>
      </c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82">
        <f t="shared" si="18"/>
        <v>0</v>
      </c>
      <c r="U73" s="83">
        <f t="shared" si="19"/>
        <v>0</v>
      </c>
      <c r="V73" s="36">
        <v>0</v>
      </c>
      <c r="W73" s="36">
        <v>0</v>
      </c>
      <c r="X73" s="69">
        <f t="shared" si="12"/>
        <v>0</v>
      </c>
      <c r="Y73" s="69">
        <f t="shared" si="13"/>
        <v>0</v>
      </c>
      <c r="AA73" s="66"/>
      <c r="AC73" s="84">
        <f t="shared" si="8"/>
        <v>0</v>
      </c>
      <c r="AD73" s="13">
        <v>0</v>
      </c>
      <c r="AE73" s="13">
        <v>0</v>
      </c>
      <c r="AF73" s="13">
        <v>0</v>
      </c>
      <c r="AG73" s="85" t="b">
        <f t="shared" si="9"/>
        <v>1</v>
      </c>
      <c r="AI73" s="84">
        <f t="shared" si="10"/>
        <v>0</v>
      </c>
      <c r="AJ73" s="13">
        <v>0</v>
      </c>
      <c r="AK73" s="13">
        <v>0</v>
      </c>
      <c r="AL73" s="85" t="b">
        <f t="shared" si="11"/>
        <v>1</v>
      </c>
      <c r="AN73" s="66"/>
    </row>
    <row r="74" spans="2:40" ht="13" customHeight="1">
      <c r="B74" s="33"/>
      <c r="C74" s="23">
        <f t="shared" si="15"/>
        <v>2026091</v>
      </c>
      <c r="D74" s="216"/>
      <c r="E74" s="37"/>
      <c r="F74" s="81" t="e">
        <f>VLOOKUP(E74,'Códigos bancos'!$B$3:$D$29,2,0)</f>
        <v>#N/A</v>
      </c>
      <c r="G74" s="138" t="str">
        <f t="shared" si="16"/>
        <v/>
      </c>
      <c r="H74" s="81" t="e">
        <f>VLOOKUP(G74,'Códigos bancos'!$F$3:$G$14,2,0)</f>
        <v>#N/A</v>
      </c>
      <c r="I74" s="139" t="e">
        <f>VLOOKUP(E74,'Códigos bancos'!$B$3:$D$29,3,0)</f>
        <v>#N/A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82">
        <f t="shared" si="18"/>
        <v>0</v>
      </c>
      <c r="U74" s="83">
        <f t="shared" si="19"/>
        <v>0</v>
      </c>
      <c r="V74" s="36">
        <v>0</v>
      </c>
      <c r="W74" s="36">
        <v>0</v>
      </c>
      <c r="X74" s="69">
        <f t="shared" si="12"/>
        <v>0</v>
      </c>
      <c r="Y74" s="69">
        <f t="shared" si="13"/>
        <v>0</v>
      </c>
      <c r="AA74" s="66"/>
      <c r="AC74" s="84">
        <f t="shared" si="8"/>
        <v>0</v>
      </c>
      <c r="AD74" s="13">
        <v>0</v>
      </c>
      <c r="AE74" s="13">
        <v>0</v>
      </c>
      <c r="AF74" s="13">
        <v>0</v>
      </c>
      <c r="AG74" s="85" t="b">
        <f t="shared" si="9"/>
        <v>1</v>
      </c>
      <c r="AI74" s="84">
        <f t="shared" si="10"/>
        <v>0</v>
      </c>
      <c r="AJ74" s="13">
        <v>0</v>
      </c>
      <c r="AK74" s="13">
        <v>0</v>
      </c>
      <c r="AL74" s="85" t="b">
        <f t="shared" si="11"/>
        <v>1</v>
      </c>
      <c r="AN74" s="66"/>
    </row>
    <row r="75" spans="2:40" ht="13" customHeight="1">
      <c r="B75" s="33"/>
      <c r="C75" s="23">
        <f t="shared" ref="C75:C110" si="26">$C$1</f>
        <v>2026091</v>
      </c>
      <c r="D75" s="216"/>
      <c r="E75" s="37"/>
      <c r="F75" s="81" t="e">
        <f>VLOOKUP(E75,'Códigos bancos'!$B$3:$D$29,2,0)</f>
        <v>#N/A</v>
      </c>
      <c r="G75" s="138" t="str">
        <f t="shared" si="16"/>
        <v/>
      </c>
      <c r="H75" s="81" t="e">
        <f>VLOOKUP(G75,'Códigos bancos'!$F$3:$G$14,2,0)</f>
        <v>#N/A</v>
      </c>
      <c r="I75" s="139" t="e">
        <f>VLOOKUP(E75,'Códigos bancos'!$B$3:$D$29,3,0)</f>
        <v>#N/A</v>
      </c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82">
        <f t="shared" si="18"/>
        <v>0</v>
      </c>
      <c r="U75" s="83">
        <f t="shared" si="19"/>
        <v>0</v>
      </c>
      <c r="V75" s="36">
        <v>0</v>
      </c>
      <c r="W75" s="36">
        <v>0</v>
      </c>
      <c r="X75" s="69">
        <f t="shared" si="12"/>
        <v>0</v>
      </c>
      <c r="Y75" s="69">
        <f t="shared" si="13"/>
        <v>0</v>
      </c>
      <c r="AA75" s="66"/>
      <c r="AC75" s="84">
        <f t="shared" si="8"/>
        <v>0</v>
      </c>
      <c r="AD75" s="13">
        <v>0</v>
      </c>
      <c r="AE75" s="13">
        <v>0</v>
      </c>
      <c r="AF75" s="13">
        <v>0</v>
      </c>
      <c r="AG75" s="85" t="b">
        <f t="shared" si="9"/>
        <v>1</v>
      </c>
      <c r="AI75" s="84">
        <f t="shared" si="10"/>
        <v>0</v>
      </c>
      <c r="AJ75" s="13">
        <v>0</v>
      </c>
      <c r="AK75" s="13">
        <v>0</v>
      </c>
      <c r="AL75" s="85" t="b">
        <f t="shared" si="11"/>
        <v>1</v>
      </c>
      <c r="AN75" s="66"/>
    </row>
    <row r="76" spans="2:40" ht="13" customHeight="1">
      <c r="B76" s="33"/>
      <c r="C76" s="23">
        <f t="shared" si="26"/>
        <v>2026091</v>
      </c>
      <c r="D76" s="216"/>
      <c r="E76" s="37"/>
      <c r="F76" s="81" t="e">
        <f>VLOOKUP(E76,'Códigos bancos'!$B$3:$D$29,2,0)</f>
        <v>#N/A</v>
      </c>
      <c r="G76" s="138" t="str">
        <f t="shared" ref="G76:G110" si="27">IFERROR(IF(T76&gt;0,1,""),"")</f>
        <v/>
      </c>
      <c r="H76" s="81" t="e">
        <f>VLOOKUP(G76,'Códigos bancos'!$F$3:$G$14,2,0)</f>
        <v>#N/A</v>
      </c>
      <c r="I76" s="139" t="e">
        <f>VLOOKUP(E76,'Códigos bancos'!$B$3:$D$29,3,0)</f>
        <v>#N/A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82">
        <f t="shared" si="18"/>
        <v>0</v>
      </c>
      <c r="U76" s="83">
        <f t="shared" si="19"/>
        <v>0</v>
      </c>
      <c r="V76" s="36">
        <v>0</v>
      </c>
      <c r="W76" s="36">
        <v>0</v>
      </c>
      <c r="X76" s="69">
        <f t="shared" si="12"/>
        <v>0</v>
      </c>
      <c r="Y76" s="69">
        <f t="shared" si="13"/>
        <v>0</v>
      </c>
      <c r="AA76" s="66"/>
      <c r="AC76" s="84">
        <f t="shared" ref="AC76:AC110" si="28">X76</f>
        <v>0</v>
      </c>
      <c r="AD76" s="13">
        <v>0</v>
      </c>
      <c r="AE76" s="13">
        <v>0</v>
      </c>
      <c r="AF76" s="13">
        <v>0</v>
      </c>
      <c r="AG76" s="85" t="b">
        <f t="shared" ref="AG76:AG110" si="29">AC76=(AD76+AE76+AF76)</f>
        <v>1</v>
      </c>
      <c r="AI76" s="84">
        <f t="shared" ref="AI76:AI110" si="30">Y76</f>
        <v>0</v>
      </c>
      <c r="AJ76" s="13">
        <v>0</v>
      </c>
      <c r="AK76" s="13">
        <v>0</v>
      </c>
      <c r="AL76" s="85" t="b">
        <f t="shared" ref="AL76:AL110" si="31">AI76=(AJ76+AK76)</f>
        <v>1</v>
      </c>
      <c r="AN76" s="66"/>
    </row>
    <row r="77" spans="2:40" ht="13" customHeight="1">
      <c r="B77" s="33"/>
      <c r="C77" s="23">
        <f t="shared" si="26"/>
        <v>2026091</v>
      </c>
      <c r="D77" s="216"/>
      <c r="E77" s="37"/>
      <c r="F77" s="81" t="e">
        <f>VLOOKUP(E77,'Códigos bancos'!$B$3:$D$29,2,0)</f>
        <v>#N/A</v>
      </c>
      <c r="G77" s="138" t="str">
        <f t="shared" si="27"/>
        <v/>
      </c>
      <c r="H77" s="81" t="e">
        <f>VLOOKUP(G77,'Códigos bancos'!$F$3:$G$14,2,0)</f>
        <v>#N/A</v>
      </c>
      <c r="I77" s="139" t="e">
        <f>VLOOKUP(E77,'Códigos bancos'!$B$3:$D$29,3,0)</f>
        <v>#N/A</v>
      </c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82">
        <f t="shared" ref="T77:T110" si="32">J77+L77+N77+P77+R77</f>
        <v>0</v>
      </c>
      <c r="U77" s="83">
        <f t="shared" ref="U77:U110" si="33">K77+M77+O77+Q77+S77</f>
        <v>0</v>
      </c>
      <c r="V77" s="36">
        <v>0</v>
      </c>
      <c r="W77" s="36">
        <v>0</v>
      </c>
      <c r="X77" s="69">
        <f t="shared" ref="X77:X110" si="34">V77-T77</f>
        <v>0</v>
      </c>
      <c r="Y77" s="69">
        <f t="shared" ref="Y77:Y110" si="35">W77-U77</f>
        <v>0</v>
      </c>
      <c r="AA77" s="66"/>
      <c r="AC77" s="84">
        <f t="shared" si="28"/>
        <v>0</v>
      </c>
      <c r="AD77" s="13">
        <v>0</v>
      </c>
      <c r="AE77" s="13">
        <v>0</v>
      </c>
      <c r="AF77" s="13">
        <v>0</v>
      </c>
      <c r="AG77" s="85" t="b">
        <f t="shared" si="29"/>
        <v>1</v>
      </c>
      <c r="AI77" s="84">
        <f t="shared" si="30"/>
        <v>0</v>
      </c>
      <c r="AJ77" s="13">
        <v>0</v>
      </c>
      <c r="AK77" s="13">
        <v>0</v>
      </c>
      <c r="AL77" s="85" t="b">
        <f t="shared" si="31"/>
        <v>1</v>
      </c>
      <c r="AN77" s="66"/>
    </row>
    <row r="78" spans="2:40" ht="13" customHeight="1">
      <c r="B78" s="33"/>
      <c r="C78" s="23">
        <f t="shared" si="26"/>
        <v>2026091</v>
      </c>
      <c r="D78" s="216"/>
      <c r="E78" s="37"/>
      <c r="F78" s="81" t="e">
        <f>VLOOKUP(E78,'Códigos bancos'!$B$3:$D$29,2,0)</f>
        <v>#N/A</v>
      </c>
      <c r="G78" s="138" t="str">
        <f t="shared" si="27"/>
        <v/>
      </c>
      <c r="H78" s="81" t="e">
        <f>VLOOKUP(G78,'Códigos bancos'!$F$3:$G$14,2,0)</f>
        <v>#N/A</v>
      </c>
      <c r="I78" s="139" t="e">
        <f>VLOOKUP(E78,'Códigos bancos'!$B$3:$D$29,3,0)</f>
        <v>#N/A</v>
      </c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82">
        <f t="shared" si="32"/>
        <v>0</v>
      </c>
      <c r="U78" s="83">
        <f t="shared" si="33"/>
        <v>0</v>
      </c>
      <c r="V78" s="36">
        <v>0</v>
      </c>
      <c r="W78" s="36">
        <v>0</v>
      </c>
      <c r="X78" s="69">
        <f t="shared" si="34"/>
        <v>0</v>
      </c>
      <c r="Y78" s="69">
        <f t="shared" si="35"/>
        <v>0</v>
      </c>
      <c r="AA78" s="66"/>
      <c r="AC78" s="84">
        <f t="shared" si="28"/>
        <v>0</v>
      </c>
      <c r="AD78" s="13">
        <v>0</v>
      </c>
      <c r="AE78" s="13">
        <v>0</v>
      </c>
      <c r="AF78" s="13">
        <v>0</v>
      </c>
      <c r="AG78" s="85" t="b">
        <f t="shared" si="29"/>
        <v>1</v>
      </c>
      <c r="AI78" s="84">
        <f t="shared" si="30"/>
        <v>0</v>
      </c>
      <c r="AJ78" s="13">
        <v>0</v>
      </c>
      <c r="AK78" s="13">
        <v>0</v>
      </c>
      <c r="AL78" s="85" t="b">
        <f t="shared" si="31"/>
        <v>1</v>
      </c>
      <c r="AN78" s="66"/>
    </row>
    <row r="79" spans="2:40" ht="13" customHeight="1">
      <c r="B79" s="33"/>
      <c r="C79" s="23">
        <f t="shared" si="26"/>
        <v>2026091</v>
      </c>
      <c r="D79" s="216"/>
      <c r="E79" s="37"/>
      <c r="F79" s="81" t="e">
        <f>VLOOKUP(E79,'Códigos bancos'!$B$3:$D$29,2,0)</f>
        <v>#N/A</v>
      </c>
      <c r="G79" s="138" t="str">
        <f t="shared" si="27"/>
        <v/>
      </c>
      <c r="H79" s="81" t="e">
        <f>VLOOKUP(G79,'Códigos bancos'!$F$3:$G$14,2,0)</f>
        <v>#N/A</v>
      </c>
      <c r="I79" s="139" t="e">
        <f>VLOOKUP(E79,'Códigos bancos'!$B$3:$D$29,3,0)</f>
        <v>#N/A</v>
      </c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82">
        <f t="shared" si="32"/>
        <v>0</v>
      </c>
      <c r="U79" s="83">
        <f t="shared" si="33"/>
        <v>0</v>
      </c>
      <c r="V79" s="36">
        <v>0</v>
      </c>
      <c r="W79" s="36">
        <v>0</v>
      </c>
      <c r="X79" s="69">
        <f t="shared" si="34"/>
        <v>0</v>
      </c>
      <c r="Y79" s="69">
        <f t="shared" si="35"/>
        <v>0</v>
      </c>
      <c r="AA79" s="66"/>
      <c r="AC79" s="84">
        <f t="shared" si="28"/>
        <v>0</v>
      </c>
      <c r="AD79" s="13">
        <v>0</v>
      </c>
      <c r="AE79" s="13">
        <v>0</v>
      </c>
      <c r="AF79" s="13">
        <v>0</v>
      </c>
      <c r="AG79" s="85" t="b">
        <f t="shared" si="29"/>
        <v>1</v>
      </c>
      <c r="AI79" s="84">
        <f t="shared" si="30"/>
        <v>0</v>
      </c>
      <c r="AJ79" s="13">
        <v>0</v>
      </c>
      <c r="AK79" s="13">
        <v>0</v>
      </c>
      <c r="AL79" s="85" t="b">
        <f t="shared" si="31"/>
        <v>1</v>
      </c>
      <c r="AN79" s="66"/>
    </row>
    <row r="80" spans="2:40" ht="13" customHeight="1">
      <c r="B80" s="33"/>
      <c r="C80" s="23">
        <f t="shared" si="26"/>
        <v>2026091</v>
      </c>
      <c r="D80" s="216"/>
      <c r="E80" s="37"/>
      <c r="F80" s="81" t="e">
        <f>VLOOKUP(E80,'Códigos bancos'!$B$3:$D$29,2,0)</f>
        <v>#N/A</v>
      </c>
      <c r="G80" s="138" t="str">
        <f t="shared" si="27"/>
        <v/>
      </c>
      <c r="H80" s="81" t="e">
        <f>VLOOKUP(G80,'Códigos bancos'!$F$3:$G$14,2,0)</f>
        <v>#N/A</v>
      </c>
      <c r="I80" s="139" t="e">
        <f>VLOOKUP(E80,'Códigos bancos'!$B$3:$D$29,3,0)</f>
        <v>#N/A</v>
      </c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82">
        <f t="shared" si="32"/>
        <v>0</v>
      </c>
      <c r="U80" s="83">
        <f t="shared" si="33"/>
        <v>0</v>
      </c>
      <c r="V80" s="36">
        <v>0</v>
      </c>
      <c r="W80" s="36">
        <v>0</v>
      </c>
      <c r="X80" s="69">
        <f t="shared" si="34"/>
        <v>0</v>
      </c>
      <c r="Y80" s="69">
        <f t="shared" si="35"/>
        <v>0</v>
      </c>
      <c r="AA80" s="66"/>
      <c r="AC80" s="84">
        <f t="shared" si="28"/>
        <v>0</v>
      </c>
      <c r="AD80" s="13">
        <v>0</v>
      </c>
      <c r="AE80" s="13">
        <v>0</v>
      </c>
      <c r="AF80" s="13">
        <v>0</v>
      </c>
      <c r="AG80" s="85" t="b">
        <f t="shared" si="29"/>
        <v>1</v>
      </c>
      <c r="AI80" s="84">
        <f t="shared" si="30"/>
        <v>0</v>
      </c>
      <c r="AJ80" s="13">
        <v>0</v>
      </c>
      <c r="AK80" s="13">
        <v>0</v>
      </c>
      <c r="AL80" s="85" t="b">
        <f t="shared" si="31"/>
        <v>1</v>
      </c>
      <c r="AN80" s="66"/>
    </row>
    <row r="81" spans="2:40" ht="13" customHeight="1">
      <c r="B81" s="33"/>
      <c r="C81" s="23">
        <f t="shared" si="26"/>
        <v>2026091</v>
      </c>
      <c r="D81" s="216"/>
      <c r="E81" s="37"/>
      <c r="F81" s="81" t="e">
        <f>VLOOKUP(E81,'Códigos bancos'!$B$3:$D$29,2,0)</f>
        <v>#N/A</v>
      </c>
      <c r="G81" s="138" t="str">
        <f t="shared" si="27"/>
        <v/>
      </c>
      <c r="H81" s="81" t="e">
        <f>VLOOKUP(G81,'Códigos bancos'!$F$3:$G$14,2,0)</f>
        <v>#N/A</v>
      </c>
      <c r="I81" s="139" t="e">
        <f>VLOOKUP(E81,'Códigos bancos'!$B$3:$D$29,3,0)</f>
        <v>#N/A</v>
      </c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82">
        <f t="shared" si="32"/>
        <v>0</v>
      </c>
      <c r="U81" s="83">
        <f t="shared" si="33"/>
        <v>0</v>
      </c>
      <c r="V81" s="36">
        <v>0</v>
      </c>
      <c r="W81" s="36">
        <v>0</v>
      </c>
      <c r="X81" s="69">
        <f t="shared" si="34"/>
        <v>0</v>
      </c>
      <c r="Y81" s="69">
        <f t="shared" si="35"/>
        <v>0</v>
      </c>
      <c r="AA81" s="66"/>
      <c r="AC81" s="84">
        <f t="shared" si="28"/>
        <v>0</v>
      </c>
      <c r="AD81" s="13">
        <v>0</v>
      </c>
      <c r="AE81" s="13">
        <v>0</v>
      </c>
      <c r="AF81" s="13">
        <v>0</v>
      </c>
      <c r="AG81" s="85" t="b">
        <f t="shared" si="29"/>
        <v>1</v>
      </c>
      <c r="AI81" s="84">
        <f t="shared" si="30"/>
        <v>0</v>
      </c>
      <c r="AJ81" s="13">
        <v>0</v>
      </c>
      <c r="AK81" s="13">
        <v>0</v>
      </c>
      <c r="AL81" s="85" t="b">
        <f t="shared" si="31"/>
        <v>1</v>
      </c>
      <c r="AN81" s="66"/>
    </row>
    <row r="82" spans="2:40" ht="13" customHeight="1">
      <c r="B82" s="33"/>
      <c r="C82" s="23">
        <f t="shared" si="26"/>
        <v>2026091</v>
      </c>
      <c r="D82" s="216"/>
      <c r="E82" s="37"/>
      <c r="F82" s="81" t="e">
        <f>VLOOKUP(E82,'Códigos bancos'!$B$3:$D$29,2,0)</f>
        <v>#N/A</v>
      </c>
      <c r="G82" s="138" t="str">
        <f t="shared" si="27"/>
        <v/>
      </c>
      <c r="H82" s="81" t="e">
        <f>VLOOKUP(G82,'Códigos bancos'!$F$3:$G$14,2,0)</f>
        <v>#N/A</v>
      </c>
      <c r="I82" s="139" t="e">
        <f>VLOOKUP(E82,'Códigos bancos'!$B$3:$D$29,3,0)</f>
        <v>#N/A</v>
      </c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82">
        <f t="shared" si="32"/>
        <v>0</v>
      </c>
      <c r="U82" s="83">
        <f t="shared" si="33"/>
        <v>0</v>
      </c>
      <c r="V82" s="36">
        <v>0</v>
      </c>
      <c r="W82" s="36">
        <v>0</v>
      </c>
      <c r="X82" s="69">
        <f t="shared" si="34"/>
        <v>0</v>
      </c>
      <c r="Y82" s="69">
        <f t="shared" si="35"/>
        <v>0</v>
      </c>
      <c r="AA82" s="66"/>
      <c r="AC82" s="84">
        <f t="shared" si="28"/>
        <v>0</v>
      </c>
      <c r="AD82" s="13">
        <v>0</v>
      </c>
      <c r="AE82" s="13">
        <v>0</v>
      </c>
      <c r="AF82" s="13">
        <v>0</v>
      </c>
      <c r="AG82" s="85" t="b">
        <f t="shared" si="29"/>
        <v>1</v>
      </c>
      <c r="AI82" s="84">
        <f t="shared" si="30"/>
        <v>0</v>
      </c>
      <c r="AJ82" s="13">
        <v>0</v>
      </c>
      <c r="AK82" s="13">
        <v>0</v>
      </c>
      <c r="AL82" s="85" t="b">
        <f t="shared" si="31"/>
        <v>1</v>
      </c>
      <c r="AN82" s="66"/>
    </row>
    <row r="83" spans="2:40" ht="13" customHeight="1">
      <c r="B83" s="33"/>
      <c r="C83" s="23">
        <f t="shared" si="26"/>
        <v>2026091</v>
      </c>
      <c r="D83" s="216"/>
      <c r="E83" s="37"/>
      <c r="F83" s="81" t="e">
        <f>VLOOKUP(E83,'Códigos bancos'!$B$3:$D$29,2,0)</f>
        <v>#N/A</v>
      </c>
      <c r="G83" s="138" t="str">
        <f t="shared" si="27"/>
        <v/>
      </c>
      <c r="H83" s="81" t="e">
        <f>VLOOKUP(G83,'Códigos bancos'!$F$3:$G$14,2,0)</f>
        <v>#N/A</v>
      </c>
      <c r="I83" s="139" t="e">
        <f>VLOOKUP(E83,'Códigos bancos'!$B$3:$D$29,3,0)</f>
        <v>#N/A</v>
      </c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82">
        <f t="shared" si="32"/>
        <v>0</v>
      </c>
      <c r="U83" s="83">
        <f t="shared" si="33"/>
        <v>0</v>
      </c>
      <c r="V83" s="36">
        <v>0</v>
      </c>
      <c r="W83" s="36">
        <v>0</v>
      </c>
      <c r="X83" s="69">
        <f t="shared" si="34"/>
        <v>0</v>
      </c>
      <c r="Y83" s="69">
        <f t="shared" si="35"/>
        <v>0</v>
      </c>
      <c r="AA83" s="66"/>
      <c r="AC83" s="84">
        <f t="shared" si="28"/>
        <v>0</v>
      </c>
      <c r="AD83" s="13">
        <v>0</v>
      </c>
      <c r="AE83" s="13">
        <v>0</v>
      </c>
      <c r="AF83" s="13">
        <v>0</v>
      </c>
      <c r="AG83" s="85" t="b">
        <f t="shared" si="29"/>
        <v>1</v>
      </c>
      <c r="AI83" s="84">
        <f t="shared" si="30"/>
        <v>0</v>
      </c>
      <c r="AJ83" s="13">
        <v>0</v>
      </c>
      <c r="AK83" s="13">
        <v>0</v>
      </c>
      <c r="AL83" s="85" t="b">
        <f t="shared" si="31"/>
        <v>1</v>
      </c>
      <c r="AN83" s="66"/>
    </row>
    <row r="84" spans="2:40" ht="13" customHeight="1">
      <c r="B84" s="33"/>
      <c r="C84" s="23">
        <f t="shared" si="26"/>
        <v>2026091</v>
      </c>
      <c r="D84" s="216"/>
      <c r="E84" s="37"/>
      <c r="F84" s="81" t="e">
        <f>VLOOKUP(E84,'Códigos bancos'!$B$3:$D$29,2,0)</f>
        <v>#N/A</v>
      </c>
      <c r="G84" s="138" t="str">
        <f t="shared" si="27"/>
        <v/>
      </c>
      <c r="H84" s="81" t="e">
        <f>VLOOKUP(G84,'Códigos bancos'!$F$3:$G$14,2,0)</f>
        <v>#N/A</v>
      </c>
      <c r="I84" s="139" t="e">
        <f>VLOOKUP(E84,'Códigos bancos'!$B$3:$D$29,3,0)</f>
        <v>#N/A</v>
      </c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82">
        <f t="shared" si="32"/>
        <v>0</v>
      </c>
      <c r="U84" s="83">
        <f t="shared" si="33"/>
        <v>0</v>
      </c>
      <c r="V84" s="36">
        <v>0</v>
      </c>
      <c r="W84" s="36">
        <v>0</v>
      </c>
      <c r="X84" s="69">
        <f t="shared" si="34"/>
        <v>0</v>
      </c>
      <c r="Y84" s="69">
        <f t="shared" si="35"/>
        <v>0</v>
      </c>
      <c r="AA84" s="66"/>
      <c r="AC84" s="84">
        <f t="shared" si="28"/>
        <v>0</v>
      </c>
      <c r="AD84" s="13">
        <v>0</v>
      </c>
      <c r="AE84" s="13">
        <v>0</v>
      </c>
      <c r="AF84" s="13">
        <v>0</v>
      </c>
      <c r="AG84" s="85" t="b">
        <f t="shared" si="29"/>
        <v>1</v>
      </c>
      <c r="AI84" s="84">
        <f t="shared" si="30"/>
        <v>0</v>
      </c>
      <c r="AJ84" s="13">
        <v>0</v>
      </c>
      <c r="AK84" s="13">
        <v>0</v>
      </c>
      <c r="AL84" s="85" t="b">
        <f t="shared" si="31"/>
        <v>1</v>
      </c>
      <c r="AN84" s="66"/>
    </row>
    <row r="85" spans="2:40" ht="13" customHeight="1">
      <c r="B85" s="33"/>
      <c r="C85" s="23">
        <f t="shared" si="26"/>
        <v>2026091</v>
      </c>
      <c r="D85" s="216"/>
      <c r="E85" s="37"/>
      <c r="F85" s="81" t="e">
        <f>VLOOKUP(E85,'Códigos bancos'!$B$3:$D$29,2,0)</f>
        <v>#N/A</v>
      </c>
      <c r="G85" s="138" t="str">
        <f t="shared" si="27"/>
        <v/>
      </c>
      <c r="H85" s="81" t="e">
        <f>VLOOKUP(G85,'Códigos bancos'!$F$3:$G$14,2,0)</f>
        <v>#N/A</v>
      </c>
      <c r="I85" s="139" t="e">
        <f>VLOOKUP(E85,'Códigos bancos'!$B$3:$D$29,3,0)</f>
        <v>#N/A</v>
      </c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82">
        <f t="shared" si="32"/>
        <v>0</v>
      </c>
      <c r="U85" s="83">
        <f t="shared" si="33"/>
        <v>0</v>
      </c>
      <c r="V85" s="36">
        <v>0</v>
      </c>
      <c r="W85" s="36">
        <v>0</v>
      </c>
      <c r="X85" s="69">
        <f t="shared" si="34"/>
        <v>0</v>
      </c>
      <c r="Y85" s="69">
        <f t="shared" si="35"/>
        <v>0</v>
      </c>
      <c r="AA85" s="66"/>
      <c r="AC85" s="84">
        <f t="shared" si="28"/>
        <v>0</v>
      </c>
      <c r="AD85" s="13">
        <v>0</v>
      </c>
      <c r="AE85" s="13">
        <v>0</v>
      </c>
      <c r="AF85" s="13">
        <v>0</v>
      </c>
      <c r="AG85" s="85" t="b">
        <f t="shared" si="29"/>
        <v>1</v>
      </c>
      <c r="AI85" s="84">
        <f t="shared" si="30"/>
        <v>0</v>
      </c>
      <c r="AJ85" s="13">
        <v>0</v>
      </c>
      <c r="AK85" s="13">
        <v>0</v>
      </c>
      <c r="AL85" s="85" t="b">
        <f t="shared" si="31"/>
        <v>1</v>
      </c>
      <c r="AN85" s="66"/>
    </row>
    <row r="86" spans="2:40" ht="13" customHeight="1">
      <c r="B86" s="33"/>
      <c r="C86" s="23">
        <f t="shared" si="26"/>
        <v>2026091</v>
      </c>
      <c r="D86" s="216"/>
      <c r="E86" s="37"/>
      <c r="F86" s="81" t="e">
        <f>VLOOKUP(E86,'Códigos bancos'!$B$3:$D$29,2,0)</f>
        <v>#N/A</v>
      </c>
      <c r="G86" s="138" t="str">
        <f t="shared" si="27"/>
        <v/>
      </c>
      <c r="H86" s="81" t="e">
        <f>VLOOKUP(G86,'Códigos bancos'!$F$3:$G$14,2,0)</f>
        <v>#N/A</v>
      </c>
      <c r="I86" s="139" t="e">
        <f>VLOOKUP(E86,'Códigos bancos'!$B$3:$D$29,3,0)</f>
        <v>#N/A</v>
      </c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82">
        <f t="shared" si="32"/>
        <v>0</v>
      </c>
      <c r="U86" s="83">
        <f t="shared" si="33"/>
        <v>0</v>
      </c>
      <c r="V86" s="36">
        <v>0</v>
      </c>
      <c r="W86" s="36">
        <v>0</v>
      </c>
      <c r="X86" s="69">
        <f t="shared" si="34"/>
        <v>0</v>
      </c>
      <c r="Y86" s="69">
        <f t="shared" si="35"/>
        <v>0</v>
      </c>
      <c r="AA86" s="66"/>
      <c r="AC86" s="84">
        <f t="shared" si="28"/>
        <v>0</v>
      </c>
      <c r="AD86" s="13">
        <v>0</v>
      </c>
      <c r="AE86" s="13">
        <v>0</v>
      </c>
      <c r="AF86" s="13">
        <v>0</v>
      </c>
      <c r="AG86" s="85" t="b">
        <f t="shared" si="29"/>
        <v>1</v>
      </c>
      <c r="AI86" s="84">
        <f t="shared" si="30"/>
        <v>0</v>
      </c>
      <c r="AJ86" s="13">
        <v>0</v>
      </c>
      <c r="AK86" s="13">
        <v>0</v>
      </c>
      <c r="AL86" s="85" t="b">
        <f t="shared" si="31"/>
        <v>1</v>
      </c>
      <c r="AN86" s="66"/>
    </row>
    <row r="87" spans="2:40" ht="13" customHeight="1">
      <c r="B87" s="33"/>
      <c r="C87" s="23">
        <f t="shared" si="26"/>
        <v>2026091</v>
      </c>
      <c r="D87" s="216"/>
      <c r="E87" s="37"/>
      <c r="F87" s="81" t="e">
        <f>VLOOKUP(E87,'Códigos bancos'!$B$3:$D$29,2,0)</f>
        <v>#N/A</v>
      </c>
      <c r="G87" s="138" t="str">
        <f t="shared" si="27"/>
        <v/>
      </c>
      <c r="H87" s="81" t="e">
        <f>VLOOKUP(G87,'Códigos bancos'!$F$3:$G$14,2,0)</f>
        <v>#N/A</v>
      </c>
      <c r="I87" s="139" t="e">
        <f>VLOOKUP(E87,'Códigos bancos'!$B$3:$D$29,3,0)</f>
        <v>#N/A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82">
        <f t="shared" si="32"/>
        <v>0</v>
      </c>
      <c r="U87" s="83">
        <f t="shared" si="33"/>
        <v>0</v>
      </c>
      <c r="V87" s="36">
        <v>0</v>
      </c>
      <c r="W87" s="36">
        <v>0</v>
      </c>
      <c r="X87" s="69">
        <f t="shared" si="34"/>
        <v>0</v>
      </c>
      <c r="Y87" s="69">
        <f t="shared" si="35"/>
        <v>0</v>
      </c>
      <c r="AA87" s="66"/>
      <c r="AC87" s="84">
        <f t="shared" si="28"/>
        <v>0</v>
      </c>
      <c r="AD87" s="13">
        <v>0</v>
      </c>
      <c r="AE87" s="13">
        <v>0</v>
      </c>
      <c r="AF87" s="13">
        <v>0</v>
      </c>
      <c r="AG87" s="85" t="b">
        <f t="shared" si="29"/>
        <v>1</v>
      </c>
      <c r="AI87" s="84">
        <f t="shared" si="30"/>
        <v>0</v>
      </c>
      <c r="AJ87" s="13">
        <v>0</v>
      </c>
      <c r="AK87" s="13">
        <v>0</v>
      </c>
      <c r="AL87" s="85" t="b">
        <f t="shared" si="31"/>
        <v>1</v>
      </c>
      <c r="AN87" s="66"/>
    </row>
    <row r="88" spans="2:40" ht="13" customHeight="1">
      <c r="B88" s="33"/>
      <c r="C88" s="23">
        <f t="shared" si="26"/>
        <v>2026091</v>
      </c>
      <c r="D88" s="216"/>
      <c r="E88" s="37"/>
      <c r="F88" s="81" t="e">
        <f>VLOOKUP(E88,'Códigos bancos'!$B$3:$D$29,2,0)</f>
        <v>#N/A</v>
      </c>
      <c r="G88" s="138" t="str">
        <f t="shared" si="27"/>
        <v/>
      </c>
      <c r="H88" s="81" t="e">
        <f>VLOOKUP(G88,'Códigos bancos'!$F$3:$G$14,2,0)</f>
        <v>#N/A</v>
      </c>
      <c r="I88" s="139" t="e">
        <f>VLOOKUP(E88,'Códigos bancos'!$B$3:$D$29,3,0)</f>
        <v>#N/A</v>
      </c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82">
        <f t="shared" si="32"/>
        <v>0</v>
      </c>
      <c r="U88" s="83">
        <f t="shared" si="33"/>
        <v>0</v>
      </c>
      <c r="V88" s="36">
        <v>0</v>
      </c>
      <c r="W88" s="36">
        <v>0</v>
      </c>
      <c r="X88" s="69">
        <f t="shared" si="34"/>
        <v>0</v>
      </c>
      <c r="Y88" s="69">
        <f t="shared" si="35"/>
        <v>0</v>
      </c>
      <c r="AA88" s="66"/>
      <c r="AC88" s="84">
        <f t="shared" si="28"/>
        <v>0</v>
      </c>
      <c r="AD88" s="13">
        <v>0</v>
      </c>
      <c r="AE88" s="13">
        <v>0</v>
      </c>
      <c r="AF88" s="13">
        <v>0</v>
      </c>
      <c r="AG88" s="85" t="b">
        <f t="shared" si="29"/>
        <v>1</v>
      </c>
      <c r="AI88" s="84">
        <f t="shared" si="30"/>
        <v>0</v>
      </c>
      <c r="AJ88" s="13">
        <v>0</v>
      </c>
      <c r="AK88" s="13">
        <v>0</v>
      </c>
      <c r="AL88" s="85" t="b">
        <f t="shared" si="31"/>
        <v>1</v>
      </c>
      <c r="AN88" s="66"/>
    </row>
    <row r="89" spans="2:40" ht="13" customHeight="1">
      <c r="B89" s="33"/>
      <c r="C89" s="23">
        <f t="shared" si="26"/>
        <v>2026091</v>
      </c>
      <c r="D89" s="216"/>
      <c r="E89" s="37"/>
      <c r="F89" s="81" t="e">
        <f>VLOOKUP(E89,'Códigos bancos'!$B$3:$D$29,2,0)</f>
        <v>#N/A</v>
      </c>
      <c r="G89" s="138" t="str">
        <f t="shared" si="27"/>
        <v/>
      </c>
      <c r="H89" s="81" t="e">
        <f>VLOOKUP(G89,'Códigos bancos'!$F$3:$G$14,2,0)</f>
        <v>#N/A</v>
      </c>
      <c r="I89" s="139" t="e">
        <f>VLOOKUP(E89,'Códigos bancos'!$B$3:$D$29,3,0)</f>
        <v>#N/A</v>
      </c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82">
        <f t="shared" si="32"/>
        <v>0</v>
      </c>
      <c r="U89" s="83">
        <f t="shared" si="33"/>
        <v>0</v>
      </c>
      <c r="V89" s="36">
        <v>0</v>
      </c>
      <c r="W89" s="36">
        <v>0</v>
      </c>
      <c r="X89" s="69">
        <f t="shared" si="34"/>
        <v>0</v>
      </c>
      <c r="Y89" s="69">
        <f t="shared" si="35"/>
        <v>0</v>
      </c>
      <c r="AA89" s="66"/>
      <c r="AC89" s="84">
        <f t="shared" si="28"/>
        <v>0</v>
      </c>
      <c r="AD89" s="13">
        <v>0</v>
      </c>
      <c r="AE89" s="13">
        <v>0</v>
      </c>
      <c r="AF89" s="13">
        <v>0</v>
      </c>
      <c r="AG89" s="85" t="b">
        <f t="shared" si="29"/>
        <v>1</v>
      </c>
      <c r="AI89" s="84">
        <f t="shared" si="30"/>
        <v>0</v>
      </c>
      <c r="AJ89" s="13">
        <v>0</v>
      </c>
      <c r="AK89" s="13">
        <v>0</v>
      </c>
      <c r="AL89" s="85" t="b">
        <f t="shared" si="31"/>
        <v>1</v>
      </c>
      <c r="AN89" s="66"/>
    </row>
    <row r="90" spans="2:40" ht="13" customHeight="1">
      <c r="B90" s="33"/>
      <c r="C90" s="23">
        <f t="shared" si="26"/>
        <v>2026091</v>
      </c>
      <c r="D90" s="216"/>
      <c r="E90" s="37"/>
      <c r="F90" s="81" t="e">
        <f>VLOOKUP(E90,'Códigos bancos'!$B$3:$D$29,2,0)</f>
        <v>#N/A</v>
      </c>
      <c r="G90" s="138" t="str">
        <f t="shared" si="27"/>
        <v/>
      </c>
      <c r="H90" s="81" t="e">
        <f>VLOOKUP(G90,'Códigos bancos'!$F$3:$G$14,2,0)</f>
        <v>#N/A</v>
      </c>
      <c r="I90" s="139" t="e">
        <f>VLOOKUP(E90,'Códigos bancos'!$B$3:$D$29,3,0)</f>
        <v>#N/A</v>
      </c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82">
        <f t="shared" si="32"/>
        <v>0</v>
      </c>
      <c r="U90" s="83">
        <f t="shared" si="33"/>
        <v>0</v>
      </c>
      <c r="V90" s="36">
        <v>0</v>
      </c>
      <c r="W90" s="36">
        <v>0</v>
      </c>
      <c r="X90" s="69">
        <f t="shared" si="34"/>
        <v>0</v>
      </c>
      <c r="Y90" s="69">
        <f t="shared" si="35"/>
        <v>0</v>
      </c>
      <c r="AA90" s="66"/>
      <c r="AC90" s="84">
        <f t="shared" si="28"/>
        <v>0</v>
      </c>
      <c r="AD90" s="13">
        <v>0</v>
      </c>
      <c r="AE90" s="13">
        <v>0</v>
      </c>
      <c r="AF90" s="13">
        <v>0</v>
      </c>
      <c r="AG90" s="85" t="b">
        <f t="shared" si="29"/>
        <v>1</v>
      </c>
      <c r="AI90" s="84">
        <f t="shared" si="30"/>
        <v>0</v>
      </c>
      <c r="AJ90" s="13">
        <v>0</v>
      </c>
      <c r="AK90" s="13">
        <v>0</v>
      </c>
      <c r="AL90" s="85" t="b">
        <f t="shared" si="31"/>
        <v>1</v>
      </c>
      <c r="AN90" s="66"/>
    </row>
    <row r="91" spans="2:40" ht="13" customHeight="1">
      <c r="B91" s="33"/>
      <c r="C91" s="23">
        <f t="shared" si="26"/>
        <v>2026091</v>
      </c>
      <c r="D91" s="216"/>
      <c r="E91" s="37"/>
      <c r="F91" s="81" t="e">
        <f>VLOOKUP(E91,'Códigos bancos'!$B$3:$D$29,2,0)</f>
        <v>#N/A</v>
      </c>
      <c r="G91" s="138" t="str">
        <f t="shared" si="27"/>
        <v/>
      </c>
      <c r="H91" s="81" t="e">
        <f>VLOOKUP(G91,'Códigos bancos'!$F$3:$G$14,2,0)</f>
        <v>#N/A</v>
      </c>
      <c r="I91" s="139" t="e">
        <f>VLOOKUP(E91,'Códigos bancos'!$B$3:$D$29,3,0)</f>
        <v>#N/A</v>
      </c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82">
        <f t="shared" si="32"/>
        <v>0</v>
      </c>
      <c r="U91" s="83">
        <f t="shared" si="33"/>
        <v>0</v>
      </c>
      <c r="V91" s="36">
        <v>0</v>
      </c>
      <c r="W91" s="36">
        <v>0</v>
      </c>
      <c r="X91" s="69">
        <f t="shared" si="34"/>
        <v>0</v>
      </c>
      <c r="Y91" s="69">
        <f t="shared" si="35"/>
        <v>0</v>
      </c>
      <c r="AA91" s="66"/>
      <c r="AC91" s="84">
        <f t="shared" si="28"/>
        <v>0</v>
      </c>
      <c r="AD91" s="13">
        <v>0</v>
      </c>
      <c r="AE91" s="13">
        <v>0</v>
      </c>
      <c r="AF91" s="13">
        <v>0</v>
      </c>
      <c r="AG91" s="85" t="b">
        <f t="shared" si="29"/>
        <v>1</v>
      </c>
      <c r="AI91" s="84">
        <f t="shared" si="30"/>
        <v>0</v>
      </c>
      <c r="AJ91" s="13">
        <v>0</v>
      </c>
      <c r="AK91" s="13">
        <v>0</v>
      </c>
      <c r="AL91" s="85" t="b">
        <f t="shared" si="31"/>
        <v>1</v>
      </c>
      <c r="AN91" s="66"/>
    </row>
    <row r="92" spans="2:40" ht="13" customHeight="1">
      <c r="B92" s="33"/>
      <c r="C92" s="23">
        <f t="shared" si="26"/>
        <v>2026091</v>
      </c>
      <c r="D92" s="216"/>
      <c r="E92" s="37"/>
      <c r="F92" s="81" t="e">
        <f>VLOOKUP(E92,'Códigos bancos'!$B$3:$D$29,2,0)</f>
        <v>#N/A</v>
      </c>
      <c r="G92" s="138" t="str">
        <f t="shared" si="27"/>
        <v/>
      </c>
      <c r="H92" s="81" t="e">
        <f>VLOOKUP(G92,'Códigos bancos'!$F$3:$G$14,2,0)</f>
        <v>#N/A</v>
      </c>
      <c r="I92" s="139" t="e">
        <f>VLOOKUP(E92,'Códigos bancos'!$B$3:$D$29,3,0)</f>
        <v>#N/A</v>
      </c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82">
        <f t="shared" si="32"/>
        <v>0</v>
      </c>
      <c r="U92" s="83">
        <f t="shared" si="33"/>
        <v>0</v>
      </c>
      <c r="V92" s="36">
        <v>0</v>
      </c>
      <c r="W92" s="36">
        <v>0</v>
      </c>
      <c r="X92" s="69">
        <f t="shared" si="34"/>
        <v>0</v>
      </c>
      <c r="Y92" s="69">
        <f t="shared" si="35"/>
        <v>0</v>
      </c>
      <c r="AA92" s="66"/>
      <c r="AC92" s="84">
        <f t="shared" si="28"/>
        <v>0</v>
      </c>
      <c r="AD92" s="13">
        <v>0</v>
      </c>
      <c r="AE92" s="13">
        <v>0</v>
      </c>
      <c r="AF92" s="13">
        <v>0</v>
      </c>
      <c r="AG92" s="85" t="b">
        <f t="shared" si="29"/>
        <v>1</v>
      </c>
      <c r="AI92" s="84">
        <f t="shared" si="30"/>
        <v>0</v>
      </c>
      <c r="AJ92" s="13">
        <v>0</v>
      </c>
      <c r="AK92" s="13">
        <v>0</v>
      </c>
      <c r="AL92" s="85" t="b">
        <f t="shared" si="31"/>
        <v>1</v>
      </c>
      <c r="AN92" s="66"/>
    </row>
    <row r="93" spans="2:40" ht="13" customHeight="1">
      <c r="B93" s="33"/>
      <c r="C93" s="23">
        <f t="shared" si="26"/>
        <v>2026091</v>
      </c>
      <c r="D93" s="216"/>
      <c r="E93" s="37"/>
      <c r="F93" s="81" t="e">
        <f>VLOOKUP(E93,'Códigos bancos'!$B$3:$D$29,2,0)</f>
        <v>#N/A</v>
      </c>
      <c r="G93" s="138" t="str">
        <f t="shared" si="27"/>
        <v/>
      </c>
      <c r="H93" s="81" t="e">
        <f>VLOOKUP(G93,'Códigos bancos'!$F$3:$G$14,2,0)</f>
        <v>#N/A</v>
      </c>
      <c r="I93" s="139" t="e">
        <f>VLOOKUP(E93,'Códigos bancos'!$B$3:$D$29,3,0)</f>
        <v>#N/A</v>
      </c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82">
        <f t="shared" si="32"/>
        <v>0</v>
      </c>
      <c r="U93" s="83">
        <f t="shared" si="33"/>
        <v>0</v>
      </c>
      <c r="V93" s="36">
        <v>0</v>
      </c>
      <c r="W93" s="36">
        <v>0</v>
      </c>
      <c r="X93" s="69">
        <f t="shared" si="34"/>
        <v>0</v>
      </c>
      <c r="Y93" s="69">
        <f t="shared" si="35"/>
        <v>0</v>
      </c>
      <c r="AA93" s="66"/>
      <c r="AC93" s="84">
        <f t="shared" si="28"/>
        <v>0</v>
      </c>
      <c r="AD93" s="13">
        <v>0</v>
      </c>
      <c r="AE93" s="13">
        <v>0</v>
      </c>
      <c r="AF93" s="13">
        <v>0</v>
      </c>
      <c r="AG93" s="85" t="b">
        <f t="shared" si="29"/>
        <v>1</v>
      </c>
      <c r="AI93" s="84">
        <f t="shared" si="30"/>
        <v>0</v>
      </c>
      <c r="AJ93" s="13">
        <v>0</v>
      </c>
      <c r="AK93" s="13">
        <v>0</v>
      </c>
      <c r="AL93" s="85" t="b">
        <f t="shared" si="31"/>
        <v>1</v>
      </c>
      <c r="AN93" s="66"/>
    </row>
    <row r="94" spans="2:40" ht="13" customHeight="1">
      <c r="B94" s="33"/>
      <c r="C94" s="23">
        <f t="shared" si="26"/>
        <v>2026091</v>
      </c>
      <c r="D94" s="216"/>
      <c r="E94" s="37"/>
      <c r="F94" s="81" t="e">
        <f>VLOOKUP(E94,'Códigos bancos'!$B$3:$D$29,2,0)</f>
        <v>#N/A</v>
      </c>
      <c r="G94" s="138" t="str">
        <f t="shared" si="27"/>
        <v/>
      </c>
      <c r="H94" s="81" t="e">
        <f>VLOOKUP(G94,'Códigos bancos'!$F$3:$G$14,2,0)</f>
        <v>#N/A</v>
      </c>
      <c r="I94" s="139" t="e">
        <f>VLOOKUP(E94,'Códigos bancos'!$B$3:$D$29,3,0)</f>
        <v>#N/A</v>
      </c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82">
        <f t="shared" si="32"/>
        <v>0</v>
      </c>
      <c r="U94" s="83">
        <f t="shared" si="33"/>
        <v>0</v>
      </c>
      <c r="V94" s="36">
        <v>0</v>
      </c>
      <c r="W94" s="36">
        <v>0</v>
      </c>
      <c r="X94" s="69">
        <f t="shared" si="34"/>
        <v>0</v>
      </c>
      <c r="Y94" s="69">
        <f t="shared" si="35"/>
        <v>0</v>
      </c>
      <c r="AA94" s="66"/>
      <c r="AC94" s="84">
        <f t="shared" si="28"/>
        <v>0</v>
      </c>
      <c r="AD94" s="13">
        <v>0</v>
      </c>
      <c r="AE94" s="13">
        <v>0</v>
      </c>
      <c r="AF94" s="13">
        <v>0</v>
      </c>
      <c r="AG94" s="85" t="b">
        <f t="shared" si="29"/>
        <v>1</v>
      </c>
      <c r="AI94" s="84">
        <f t="shared" si="30"/>
        <v>0</v>
      </c>
      <c r="AJ94" s="13">
        <v>0</v>
      </c>
      <c r="AK94" s="13">
        <v>0</v>
      </c>
      <c r="AL94" s="85" t="b">
        <f t="shared" si="31"/>
        <v>1</v>
      </c>
      <c r="AN94" s="66"/>
    </row>
    <row r="95" spans="2:40" ht="13" customHeight="1">
      <c r="B95" s="33"/>
      <c r="C95" s="23">
        <f t="shared" si="26"/>
        <v>2026091</v>
      </c>
      <c r="D95" s="216"/>
      <c r="E95" s="37"/>
      <c r="F95" s="81" t="e">
        <f>VLOOKUP(E95,'Códigos bancos'!$B$3:$D$29,2,0)</f>
        <v>#N/A</v>
      </c>
      <c r="G95" s="138" t="str">
        <f t="shared" si="27"/>
        <v/>
      </c>
      <c r="H95" s="81" t="e">
        <f>VLOOKUP(G95,'Códigos bancos'!$F$3:$G$14,2,0)</f>
        <v>#N/A</v>
      </c>
      <c r="I95" s="139" t="e">
        <f>VLOOKUP(E95,'Códigos bancos'!$B$3:$D$29,3,0)</f>
        <v>#N/A</v>
      </c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82">
        <f t="shared" si="32"/>
        <v>0</v>
      </c>
      <c r="U95" s="83">
        <f t="shared" si="33"/>
        <v>0</v>
      </c>
      <c r="V95" s="36">
        <v>0</v>
      </c>
      <c r="W95" s="36">
        <v>0</v>
      </c>
      <c r="X95" s="69">
        <f t="shared" si="34"/>
        <v>0</v>
      </c>
      <c r="Y95" s="69">
        <f t="shared" si="35"/>
        <v>0</v>
      </c>
      <c r="AA95" s="66"/>
      <c r="AC95" s="84">
        <f t="shared" si="28"/>
        <v>0</v>
      </c>
      <c r="AD95" s="13">
        <v>0</v>
      </c>
      <c r="AE95" s="13">
        <v>0</v>
      </c>
      <c r="AF95" s="13">
        <v>0</v>
      </c>
      <c r="AG95" s="85" t="b">
        <f t="shared" si="29"/>
        <v>1</v>
      </c>
      <c r="AI95" s="84">
        <f t="shared" si="30"/>
        <v>0</v>
      </c>
      <c r="AJ95" s="13">
        <v>0</v>
      </c>
      <c r="AK95" s="13">
        <v>0</v>
      </c>
      <c r="AL95" s="85" t="b">
        <f t="shared" si="31"/>
        <v>1</v>
      </c>
      <c r="AN95" s="66"/>
    </row>
    <row r="96" spans="2:40" ht="13" customHeight="1">
      <c r="B96" s="33"/>
      <c r="C96" s="23">
        <f t="shared" si="26"/>
        <v>2026091</v>
      </c>
      <c r="D96" s="216"/>
      <c r="E96" s="37"/>
      <c r="F96" s="81" t="e">
        <f>VLOOKUP(E96,'Códigos bancos'!$B$3:$D$29,2,0)</f>
        <v>#N/A</v>
      </c>
      <c r="G96" s="138" t="str">
        <f t="shared" si="27"/>
        <v/>
      </c>
      <c r="H96" s="81" t="e">
        <f>VLOOKUP(G96,'Códigos bancos'!$F$3:$G$14,2,0)</f>
        <v>#N/A</v>
      </c>
      <c r="I96" s="139" t="e">
        <f>VLOOKUP(E96,'Códigos bancos'!$B$3:$D$29,3,0)</f>
        <v>#N/A</v>
      </c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82">
        <f t="shared" si="32"/>
        <v>0</v>
      </c>
      <c r="U96" s="83">
        <f t="shared" si="33"/>
        <v>0</v>
      </c>
      <c r="V96" s="36">
        <v>0</v>
      </c>
      <c r="W96" s="36">
        <v>0</v>
      </c>
      <c r="X96" s="69">
        <f t="shared" si="34"/>
        <v>0</v>
      </c>
      <c r="Y96" s="69">
        <f t="shared" si="35"/>
        <v>0</v>
      </c>
      <c r="AA96" s="66"/>
      <c r="AC96" s="84">
        <f t="shared" si="28"/>
        <v>0</v>
      </c>
      <c r="AD96" s="13">
        <v>0</v>
      </c>
      <c r="AE96" s="13">
        <v>0</v>
      </c>
      <c r="AF96" s="13">
        <v>0</v>
      </c>
      <c r="AG96" s="85" t="b">
        <f t="shared" si="29"/>
        <v>1</v>
      </c>
      <c r="AI96" s="84">
        <f t="shared" si="30"/>
        <v>0</v>
      </c>
      <c r="AJ96" s="13">
        <v>0</v>
      </c>
      <c r="AK96" s="13">
        <v>0</v>
      </c>
      <c r="AL96" s="85" t="b">
        <f t="shared" si="31"/>
        <v>1</v>
      </c>
      <c r="AN96" s="66"/>
    </row>
    <row r="97" spans="1:40" ht="13" customHeight="1">
      <c r="B97" s="33"/>
      <c r="C97" s="23">
        <f t="shared" si="26"/>
        <v>2026091</v>
      </c>
      <c r="D97" s="216"/>
      <c r="E97" s="37"/>
      <c r="F97" s="81" t="e">
        <f>VLOOKUP(E97,'Códigos bancos'!$B$3:$D$29,2,0)</f>
        <v>#N/A</v>
      </c>
      <c r="G97" s="138" t="str">
        <f t="shared" si="27"/>
        <v/>
      </c>
      <c r="H97" s="81" t="e">
        <f>VLOOKUP(G97,'Códigos bancos'!$F$3:$G$14,2,0)</f>
        <v>#N/A</v>
      </c>
      <c r="I97" s="139" t="e">
        <f>VLOOKUP(E97,'Códigos bancos'!$B$3:$D$29,3,0)</f>
        <v>#N/A</v>
      </c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82">
        <f t="shared" si="32"/>
        <v>0</v>
      </c>
      <c r="U97" s="83">
        <f t="shared" si="33"/>
        <v>0</v>
      </c>
      <c r="V97" s="36">
        <v>0</v>
      </c>
      <c r="W97" s="36">
        <v>0</v>
      </c>
      <c r="X97" s="69">
        <f t="shared" si="34"/>
        <v>0</v>
      </c>
      <c r="Y97" s="69">
        <f t="shared" si="35"/>
        <v>0</v>
      </c>
      <c r="AA97" s="66"/>
      <c r="AC97" s="84">
        <f t="shared" si="28"/>
        <v>0</v>
      </c>
      <c r="AD97" s="13">
        <v>0</v>
      </c>
      <c r="AE97" s="13">
        <v>0</v>
      </c>
      <c r="AF97" s="13">
        <v>0</v>
      </c>
      <c r="AG97" s="85" t="b">
        <f t="shared" si="29"/>
        <v>1</v>
      </c>
      <c r="AI97" s="84">
        <f t="shared" si="30"/>
        <v>0</v>
      </c>
      <c r="AJ97" s="13">
        <v>0</v>
      </c>
      <c r="AK97" s="13">
        <v>0</v>
      </c>
      <c r="AL97" s="85" t="b">
        <f t="shared" si="31"/>
        <v>1</v>
      </c>
      <c r="AN97" s="66"/>
    </row>
    <row r="98" spans="1:40" ht="13" customHeight="1">
      <c r="B98" s="33"/>
      <c r="C98" s="23">
        <f t="shared" si="26"/>
        <v>2026091</v>
      </c>
      <c r="D98" s="216"/>
      <c r="E98" s="37"/>
      <c r="F98" s="81" t="e">
        <f>VLOOKUP(E98,'Códigos bancos'!$B$3:$D$29,2,0)</f>
        <v>#N/A</v>
      </c>
      <c r="G98" s="138" t="str">
        <f t="shared" si="27"/>
        <v/>
      </c>
      <c r="H98" s="81" t="e">
        <f>VLOOKUP(G98,'Códigos bancos'!$F$3:$G$14,2,0)</f>
        <v>#N/A</v>
      </c>
      <c r="I98" s="139" t="e">
        <f>VLOOKUP(E98,'Códigos bancos'!$B$3:$D$29,3,0)</f>
        <v>#N/A</v>
      </c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82">
        <f t="shared" si="32"/>
        <v>0</v>
      </c>
      <c r="U98" s="83">
        <f t="shared" si="33"/>
        <v>0</v>
      </c>
      <c r="V98" s="36">
        <v>0</v>
      </c>
      <c r="W98" s="36">
        <v>0</v>
      </c>
      <c r="X98" s="69">
        <f t="shared" si="34"/>
        <v>0</v>
      </c>
      <c r="Y98" s="69">
        <f t="shared" si="35"/>
        <v>0</v>
      </c>
      <c r="AA98" s="66"/>
      <c r="AC98" s="84">
        <f t="shared" si="28"/>
        <v>0</v>
      </c>
      <c r="AD98" s="13">
        <v>0</v>
      </c>
      <c r="AE98" s="13">
        <v>0</v>
      </c>
      <c r="AF98" s="13">
        <v>0</v>
      </c>
      <c r="AG98" s="85" t="b">
        <f t="shared" si="29"/>
        <v>1</v>
      </c>
      <c r="AI98" s="84">
        <f t="shared" si="30"/>
        <v>0</v>
      </c>
      <c r="AJ98" s="13">
        <v>0</v>
      </c>
      <c r="AK98" s="13">
        <v>0</v>
      </c>
      <c r="AL98" s="85" t="b">
        <f t="shared" si="31"/>
        <v>1</v>
      </c>
      <c r="AN98" s="66"/>
    </row>
    <row r="99" spans="1:40" ht="13" customHeight="1">
      <c r="B99" s="33"/>
      <c r="C99" s="23">
        <f t="shared" si="26"/>
        <v>2026091</v>
      </c>
      <c r="D99" s="216"/>
      <c r="E99" s="37"/>
      <c r="F99" s="81" t="e">
        <f>VLOOKUP(E99,'Códigos bancos'!$B$3:$D$29,2,0)</f>
        <v>#N/A</v>
      </c>
      <c r="G99" s="138" t="str">
        <f t="shared" si="27"/>
        <v/>
      </c>
      <c r="H99" s="81" t="e">
        <f>VLOOKUP(G99,'Códigos bancos'!$F$3:$G$14,2,0)</f>
        <v>#N/A</v>
      </c>
      <c r="I99" s="139" t="e">
        <f>VLOOKUP(E99,'Códigos bancos'!$B$3:$D$29,3,0)</f>
        <v>#N/A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82">
        <f t="shared" si="32"/>
        <v>0</v>
      </c>
      <c r="U99" s="83">
        <f t="shared" si="33"/>
        <v>0</v>
      </c>
      <c r="V99" s="36">
        <v>0</v>
      </c>
      <c r="W99" s="36">
        <v>0</v>
      </c>
      <c r="X99" s="69">
        <f t="shared" si="34"/>
        <v>0</v>
      </c>
      <c r="Y99" s="69">
        <f t="shared" si="35"/>
        <v>0</v>
      </c>
      <c r="AA99" s="66"/>
      <c r="AC99" s="84">
        <f t="shared" si="28"/>
        <v>0</v>
      </c>
      <c r="AD99" s="13">
        <v>0</v>
      </c>
      <c r="AE99" s="13">
        <v>0</v>
      </c>
      <c r="AF99" s="13">
        <v>0</v>
      </c>
      <c r="AG99" s="85" t="b">
        <f t="shared" si="29"/>
        <v>1</v>
      </c>
      <c r="AI99" s="84">
        <f t="shared" si="30"/>
        <v>0</v>
      </c>
      <c r="AJ99" s="13">
        <v>0</v>
      </c>
      <c r="AK99" s="13">
        <v>0</v>
      </c>
      <c r="AL99" s="85" t="b">
        <f t="shared" si="31"/>
        <v>1</v>
      </c>
      <c r="AN99" s="66"/>
    </row>
    <row r="100" spans="1:40" ht="13" customHeight="1">
      <c r="B100" s="33"/>
      <c r="C100" s="23">
        <f t="shared" si="26"/>
        <v>2026091</v>
      </c>
      <c r="D100" s="216"/>
      <c r="E100" s="37"/>
      <c r="F100" s="81" t="e">
        <f>VLOOKUP(E100,'Códigos bancos'!$B$3:$D$29,2,0)</f>
        <v>#N/A</v>
      </c>
      <c r="G100" s="138" t="str">
        <f t="shared" si="27"/>
        <v/>
      </c>
      <c r="H100" s="81" t="e">
        <f>VLOOKUP(G100,'Códigos bancos'!$F$3:$G$14,2,0)</f>
        <v>#N/A</v>
      </c>
      <c r="I100" s="139" t="e">
        <f>VLOOKUP(E100,'Códigos bancos'!$B$3:$D$29,3,0)</f>
        <v>#N/A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82">
        <f t="shared" si="32"/>
        <v>0</v>
      </c>
      <c r="U100" s="83">
        <f t="shared" si="33"/>
        <v>0</v>
      </c>
      <c r="V100" s="36">
        <v>0</v>
      </c>
      <c r="W100" s="36">
        <v>0</v>
      </c>
      <c r="X100" s="69">
        <f t="shared" si="34"/>
        <v>0</v>
      </c>
      <c r="Y100" s="69">
        <f t="shared" si="35"/>
        <v>0</v>
      </c>
      <c r="AA100" s="66"/>
      <c r="AC100" s="84">
        <f t="shared" si="28"/>
        <v>0</v>
      </c>
      <c r="AD100" s="13">
        <v>0</v>
      </c>
      <c r="AE100" s="13">
        <v>0</v>
      </c>
      <c r="AF100" s="13">
        <v>0</v>
      </c>
      <c r="AG100" s="85" t="b">
        <f t="shared" si="29"/>
        <v>1</v>
      </c>
      <c r="AI100" s="84">
        <f t="shared" si="30"/>
        <v>0</v>
      </c>
      <c r="AJ100" s="13">
        <v>0</v>
      </c>
      <c r="AK100" s="13">
        <v>0</v>
      </c>
      <c r="AL100" s="85" t="b">
        <f t="shared" si="31"/>
        <v>1</v>
      </c>
      <c r="AN100" s="66"/>
    </row>
    <row r="101" spans="1:40" ht="13" customHeight="1">
      <c r="B101" s="33"/>
      <c r="C101" s="23">
        <f t="shared" si="26"/>
        <v>2026091</v>
      </c>
      <c r="D101" s="216"/>
      <c r="E101" s="37"/>
      <c r="F101" s="81" t="e">
        <f>VLOOKUP(E101,'Códigos bancos'!$B$3:$D$29,2,0)</f>
        <v>#N/A</v>
      </c>
      <c r="G101" s="138" t="str">
        <f t="shared" si="27"/>
        <v/>
      </c>
      <c r="H101" s="81" t="e">
        <f>VLOOKUP(G101,'Códigos bancos'!$F$3:$G$14,2,0)</f>
        <v>#N/A</v>
      </c>
      <c r="I101" s="139" t="e">
        <f>VLOOKUP(E101,'Códigos bancos'!$B$3:$D$29,3,0)</f>
        <v>#N/A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82">
        <f t="shared" si="32"/>
        <v>0</v>
      </c>
      <c r="U101" s="83">
        <f t="shared" si="33"/>
        <v>0</v>
      </c>
      <c r="V101" s="36">
        <v>0</v>
      </c>
      <c r="W101" s="36">
        <v>0</v>
      </c>
      <c r="X101" s="69">
        <f t="shared" si="34"/>
        <v>0</v>
      </c>
      <c r="Y101" s="69">
        <f t="shared" si="35"/>
        <v>0</v>
      </c>
      <c r="AA101" s="66"/>
      <c r="AC101" s="84">
        <f t="shared" si="28"/>
        <v>0</v>
      </c>
      <c r="AD101" s="13">
        <v>0</v>
      </c>
      <c r="AE101" s="13">
        <v>0</v>
      </c>
      <c r="AF101" s="13">
        <v>0</v>
      </c>
      <c r="AG101" s="85" t="b">
        <f t="shared" si="29"/>
        <v>1</v>
      </c>
      <c r="AI101" s="84">
        <f t="shared" si="30"/>
        <v>0</v>
      </c>
      <c r="AJ101" s="13">
        <v>0</v>
      </c>
      <c r="AK101" s="13">
        <v>0</v>
      </c>
      <c r="AL101" s="85" t="b">
        <f t="shared" si="31"/>
        <v>1</v>
      </c>
      <c r="AN101" s="66"/>
    </row>
    <row r="102" spans="1:40" ht="13" customHeight="1">
      <c r="B102" s="33"/>
      <c r="C102" s="23">
        <f t="shared" si="26"/>
        <v>2026091</v>
      </c>
      <c r="D102" s="216"/>
      <c r="E102" s="37"/>
      <c r="F102" s="81" t="e">
        <f>VLOOKUP(E102,'Códigos bancos'!$B$3:$D$29,2,0)</f>
        <v>#N/A</v>
      </c>
      <c r="G102" s="138" t="str">
        <f t="shared" si="27"/>
        <v/>
      </c>
      <c r="H102" s="81" t="e">
        <f>VLOOKUP(G102,'Códigos bancos'!$F$3:$G$14,2,0)</f>
        <v>#N/A</v>
      </c>
      <c r="I102" s="139" t="e">
        <f>VLOOKUP(E102,'Códigos bancos'!$B$3:$D$29,3,0)</f>
        <v>#N/A</v>
      </c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82">
        <f t="shared" si="32"/>
        <v>0</v>
      </c>
      <c r="U102" s="83">
        <f t="shared" si="33"/>
        <v>0</v>
      </c>
      <c r="V102" s="36">
        <v>0</v>
      </c>
      <c r="W102" s="36">
        <v>0</v>
      </c>
      <c r="X102" s="69">
        <f t="shared" si="34"/>
        <v>0</v>
      </c>
      <c r="Y102" s="69">
        <f t="shared" si="35"/>
        <v>0</v>
      </c>
      <c r="AA102" s="66"/>
      <c r="AC102" s="84">
        <f t="shared" si="28"/>
        <v>0</v>
      </c>
      <c r="AD102" s="13">
        <v>0</v>
      </c>
      <c r="AE102" s="13">
        <v>0</v>
      </c>
      <c r="AF102" s="13">
        <v>0</v>
      </c>
      <c r="AG102" s="85" t="b">
        <f t="shared" si="29"/>
        <v>1</v>
      </c>
      <c r="AI102" s="84">
        <f t="shared" si="30"/>
        <v>0</v>
      </c>
      <c r="AJ102" s="13">
        <v>0</v>
      </c>
      <c r="AK102" s="13">
        <v>0</v>
      </c>
      <c r="AL102" s="85" t="b">
        <f t="shared" si="31"/>
        <v>1</v>
      </c>
      <c r="AN102" s="66"/>
    </row>
    <row r="103" spans="1:40" ht="13" customHeight="1">
      <c r="B103" s="33"/>
      <c r="C103" s="23">
        <f t="shared" si="26"/>
        <v>2026091</v>
      </c>
      <c r="D103" s="216"/>
      <c r="E103" s="37"/>
      <c r="F103" s="81" t="e">
        <f>VLOOKUP(E103,'Códigos bancos'!$B$3:$D$29,2,0)</f>
        <v>#N/A</v>
      </c>
      <c r="G103" s="138" t="str">
        <f t="shared" si="27"/>
        <v/>
      </c>
      <c r="H103" s="81" t="e">
        <f>VLOOKUP(G103,'Códigos bancos'!$F$3:$G$14,2,0)</f>
        <v>#N/A</v>
      </c>
      <c r="I103" s="139" t="e">
        <f>VLOOKUP(E103,'Códigos bancos'!$B$3:$D$29,3,0)</f>
        <v>#N/A</v>
      </c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82">
        <f t="shared" si="32"/>
        <v>0</v>
      </c>
      <c r="U103" s="83">
        <f t="shared" si="33"/>
        <v>0</v>
      </c>
      <c r="V103" s="36">
        <v>0</v>
      </c>
      <c r="W103" s="36">
        <v>0</v>
      </c>
      <c r="X103" s="69">
        <f t="shared" si="34"/>
        <v>0</v>
      </c>
      <c r="Y103" s="69">
        <f t="shared" si="35"/>
        <v>0</v>
      </c>
      <c r="AA103" s="66"/>
      <c r="AC103" s="84">
        <f t="shared" si="28"/>
        <v>0</v>
      </c>
      <c r="AD103" s="13">
        <v>0</v>
      </c>
      <c r="AE103" s="13">
        <v>0</v>
      </c>
      <c r="AF103" s="13">
        <v>0</v>
      </c>
      <c r="AG103" s="85" t="b">
        <f t="shared" si="29"/>
        <v>1</v>
      </c>
      <c r="AI103" s="84">
        <f t="shared" si="30"/>
        <v>0</v>
      </c>
      <c r="AJ103" s="13">
        <v>0</v>
      </c>
      <c r="AK103" s="13">
        <v>0</v>
      </c>
      <c r="AL103" s="85" t="b">
        <f t="shared" si="31"/>
        <v>1</v>
      </c>
      <c r="AN103" s="66"/>
    </row>
    <row r="104" spans="1:40" ht="13" customHeight="1">
      <c r="B104" s="33"/>
      <c r="C104" s="23">
        <f t="shared" si="26"/>
        <v>2026091</v>
      </c>
      <c r="D104" s="216"/>
      <c r="E104" s="37"/>
      <c r="F104" s="81" t="e">
        <f>VLOOKUP(E104,'Códigos bancos'!$B$3:$D$29,2,0)</f>
        <v>#N/A</v>
      </c>
      <c r="G104" s="138" t="str">
        <f t="shared" si="27"/>
        <v/>
      </c>
      <c r="H104" s="81" t="e">
        <f>VLOOKUP(G104,'Códigos bancos'!$F$3:$G$14,2,0)</f>
        <v>#N/A</v>
      </c>
      <c r="I104" s="139" t="e">
        <f>VLOOKUP(E104,'Códigos bancos'!$B$3:$D$29,3,0)</f>
        <v>#N/A</v>
      </c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82">
        <f t="shared" si="32"/>
        <v>0</v>
      </c>
      <c r="U104" s="83">
        <f t="shared" si="33"/>
        <v>0</v>
      </c>
      <c r="V104" s="36">
        <v>0</v>
      </c>
      <c r="W104" s="36">
        <v>0</v>
      </c>
      <c r="X104" s="69">
        <f t="shared" si="34"/>
        <v>0</v>
      </c>
      <c r="Y104" s="69">
        <f t="shared" si="35"/>
        <v>0</v>
      </c>
      <c r="AA104" s="66"/>
      <c r="AC104" s="84">
        <f t="shared" si="28"/>
        <v>0</v>
      </c>
      <c r="AD104" s="13">
        <v>0</v>
      </c>
      <c r="AE104" s="13">
        <v>0</v>
      </c>
      <c r="AF104" s="13">
        <v>0</v>
      </c>
      <c r="AG104" s="85" t="b">
        <f t="shared" si="29"/>
        <v>1</v>
      </c>
      <c r="AI104" s="84">
        <f t="shared" si="30"/>
        <v>0</v>
      </c>
      <c r="AJ104" s="13">
        <v>0</v>
      </c>
      <c r="AK104" s="13">
        <v>0</v>
      </c>
      <c r="AL104" s="85" t="b">
        <f t="shared" si="31"/>
        <v>1</v>
      </c>
      <c r="AN104" s="66"/>
    </row>
    <row r="105" spans="1:40" ht="13" customHeight="1">
      <c r="B105" s="33"/>
      <c r="C105" s="23">
        <f t="shared" si="26"/>
        <v>2026091</v>
      </c>
      <c r="D105" s="216"/>
      <c r="E105" s="37"/>
      <c r="F105" s="81" t="e">
        <f>VLOOKUP(E105,'Códigos bancos'!$B$3:$D$29,2,0)</f>
        <v>#N/A</v>
      </c>
      <c r="G105" s="138" t="str">
        <f t="shared" si="27"/>
        <v/>
      </c>
      <c r="H105" s="81" t="e">
        <f>VLOOKUP(G105,'Códigos bancos'!$F$3:$G$14,2,0)</f>
        <v>#N/A</v>
      </c>
      <c r="I105" s="139" t="e">
        <f>VLOOKUP(E105,'Códigos bancos'!$B$3:$D$29,3,0)</f>
        <v>#N/A</v>
      </c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82">
        <f t="shared" si="32"/>
        <v>0</v>
      </c>
      <c r="U105" s="83">
        <f t="shared" si="33"/>
        <v>0</v>
      </c>
      <c r="V105" s="36">
        <v>0</v>
      </c>
      <c r="W105" s="36">
        <v>0</v>
      </c>
      <c r="X105" s="69">
        <f t="shared" si="34"/>
        <v>0</v>
      </c>
      <c r="Y105" s="69">
        <f t="shared" si="35"/>
        <v>0</v>
      </c>
      <c r="AA105" s="66"/>
      <c r="AC105" s="84">
        <f t="shared" si="28"/>
        <v>0</v>
      </c>
      <c r="AD105" s="13">
        <v>0</v>
      </c>
      <c r="AE105" s="13">
        <v>0</v>
      </c>
      <c r="AF105" s="13">
        <v>0</v>
      </c>
      <c r="AG105" s="85" t="b">
        <f t="shared" si="29"/>
        <v>1</v>
      </c>
      <c r="AI105" s="84">
        <f t="shared" si="30"/>
        <v>0</v>
      </c>
      <c r="AJ105" s="13">
        <v>0</v>
      </c>
      <c r="AK105" s="13">
        <v>0</v>
      </c>
      <c r="AL105" s="85" t="b">
        <f t="shared" si="31"/>
        <v>1</v>
      </c>
      <c r="AN105" s="66"/>
    </row>
    <row r="106" spans="1:40" ht="13" customHeight="1">
      <c r="B106" s="33"/>
      <c r="C106" s="23">
        <f t="shared" si="26"/>
        <v>2026091</v>
      </c>
      <c r="D106" s="216"/>
      <c r="E106" s="37"/>
      <c r="F106" s="81" t="e">
        <f>VLOOKUP(E106,'Códigos bancos'!$B$3:$D$29,2,0)</f>
        <v>#N/A</v>
      </c>
      <c r="G106" s="138" t="str">
        <f t="shared" si="27"/>
        <v/>
      </c>
      <c r="H106" s="81" t="e">
        <f>VLOOKUP(G106,'Códigos bancos'!$F$3:$G$14,2,0)</f>
        <v>#N/A</v>
      </c>
      <c r="I106" s="139" t="e">
        <f>VLOOKUP(E106,'Códigos bancos'!$B$3:$D$29,3,0)</f>
        <v>#N/A</v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82">
        <f t="shared" si="32"/>
        <v>0</v>
      </c>
      <c r="U106" s="83">
        <f t="shared" si="33"/>
        <v>0</v>
      </c>
      <c r="V106" s="36">
        <v>0</v>
      </c>
      <c r="W106" s="36">
        <v>0</v>
      </c>
      <c r="X106" s="69">
        <f t="shared" si="34"/>
        <v>0</v>
      </c>
      <c r="Y106" s="69">
        <f t="shared" si="35"/>
        <v>0</v>
      </c>
      <c r="AA106" s="66"/>
      <c r="AC106" s="84">
        <f t="shared" si="28"/>
        <v>0</v>
      </c>
      <c r="AD106" s="13">
        <v>0</v>
      </c>
      <c r="AE106" s="13">
        <v>0</v>
      </c>
      <c r="AF106" s="13">
        <v>0</v>
      </c>
      <c r="AG106" s="85" t="b">
        <f t="shared" si="29"/>
        <v>1</v>
      </c>
      <c r="AI106" s="84">
        <f t="shared" si="30"/>
        <v>0</v>
      </c>
      <c r="AJ106" s="13">
        <v>0</v>
      </c>
      <c r="AK106" s="13">
        <v>0</v>
      </c>
      <c r="AL106" s="85" t="b">
        <f t="shared" si="31"/>
        <v>1</v>
      </c>
      <c r="AN106" s="66"/>
    </row>
    <row r="107" spans="1:40" ht="13" customHeight="1">
      <c r="B107" s="33"/>
      <c r="C107" s="23">
        <f t="shared" si="26"/>
        <v>2026091</v>
      </c>
      <c r="D107" s="216"/>
      <c r="E107" s="37"/>
      <c r="F107" s="81" t="e">
        <f>VLOOKUP(E107,'Códigos bancos'!$B$3:$D$29,2,0)</f>
        <v>#N/A</v>
      </c>
      <c r="G107" s="138" t="str">
        <f t="shared" si="27"/>
        <v/>
      </c>
      <c r="H107" s="81" t="e">
        <f>VLOOKUP(G107,'Códigos bancos'!$F$3:$G$14,2,0)</f>
        <v>#N/A</v>
      </c>
      <c r="I107" s="139" t="e">
        <f>VLOOKUP(E107,'Códigos bancos'!$B$3:$D$29,3,0)</f>
        <v>#N/A</v>
      </c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82">
        <f t="shared" si="32"/>
        <v>0</v>
      </c>
      <c r="U107" s="83">
        <f t="shared" si="33"/>
        <v>0</v>
      </c>
      <c r="V107" s="36">
        <v>0</v>
      </c>
      <c r="W107" s="36">
        <v>0</v>
      </c>
      <c r="X107" s="69">
        <f t="shared" si="34"/>
        <v>0</v>
      </c>
      <c r="Y107" s="69">
        <f t="shared" si="35"/>
        <v>0</v>
      </c>
      <c r="AA107" s="66"/>
      <c r="AC107" s="84">
        <f t="shared" si="28"/>
        <v>0</v>
      </c>
      <c r="AD107" s="13">
        <v>0</v>
      </c>
      <c r="AE107" s="13">
        <v>0</v>
      </c>
      <c r="AF107" s="13">
        <v>0</v>
      </c>
      <c r="AG107" s="85" t="b">
        <f t="shared" si="29"/>
        <v>1</v>
      </c>
      <c r="AI107" s="84">
        <f t="shared" si="30"/>
        <v>0</v>
      </c>
      <c r="AJ107" s="13">
        <v>0</v>
      </c>
      <c r="AK107" s="13">
        <v>0</v>
      </c>
      <c r="AL107" s="85" t="b">
        <f t="shared" si="31"/>
        <v>1</v>
      </c>
      <c r="AN107" s="66"/>
    </row>
    <row r="108" spans="1:40" ht="13" customHeight="1">
      <c r="B108" s="33"/>
      <c r="C108" s="23">
        <f t="shared" si="26"/>
        <v>2026091</v>
      </c>
      <c r="D108" s="216"/>
      <c r="E108" s="37"/>
      <c r="F108" s="81" t="e">
        <f>VLOOKUP(E108,'Códigos bancos'!$B$3:$D$29,2,0)</f>
        <v>#N/A</v>
      </c>
      <c r="G108" s="138" t="str">
        <f t="shared" si="27"/>
        <v/>
      </c>
      <c r="H108" s="81" t="e">
        <f>VLOOKUP(G108,'Códigos bancos'!$F$3:$G$14,2,0)</f>
        <v>#N/A</v>
      </c>
      <c r="I108" s="139" t="e">
        <f>VLOOKUP(E108,'Códigos bancos'!$B$3:$D$29,3,0)</f>
        <v>#N/A</v>
      </c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82">
        <f t="shared" si="32"/>
        <v>0</v>
      </c>
      <c r="U108" s="83">
        <f t="shared" si="33"/>
        <v>0</v>
      </c>
      <c r="V108" s="36">
        <v>0</v>
      </c>
      <c r="W108" s="36">
        <v>0</v>
      </c>
      <c r="X108" s="69">
        <f t="shared" si="34"/>
        <v>0</v>
      </c>
      <c r="Y108" s="69">
        <f t="shared" si="35"/>
        <v>0</v>
      </c>
      <c r="AA108" s="66"/>
      <c r="AC108" s="84">
        <f t="shared" si="28"/>
        <v>0</v>
      </c>
      <c r="AD108" s="13">
        <v>0</v>
      </c>
      <c r="AE108" s="13">
        <v>0</v>
      </c>
      <c r="AF108" s="13">
        <v>0</v>
      </c>
      <c r="AG108" s="85" t="b">
        <f t="shared" si="29"/>
        <v>1</v>
      </c>
      <c r="AI108" s="84">
        <f t="shared" si="30"/>
        <v>0</v>
      </c>
      <c r="AJ108" s="13">
        <v>0</v>
      </c>
      <c r="AK108" s="13">
        <v>0</v>
      </c>
      <c r="AL108" s="85" t="b">
        <f t="shared" si="31"/>
        <v>1</v>
      </c>
      <c r="AN108" s="66"/>
    </row>
    <row r="109" spans="1:40" ht="13" customHeight="1">
      <c r="B109" s="33"/>
      <c r="C109" s="23">
        <f t="shared" si="26"/>
        <v>2026091</v>
      </c>
      <c r="D109" s="216"/>
      <c r="E109" s="37"/>
      <c r="F109" s="81" t="e">
        <f>VLOOKUP(E109,'Códigos bancos'!$B$3:$D$29,2,0)</f>
        <v>#N/A</v>
      </c>
      <c r="G109" s="138" t="str">
        <f t="shared" si="27"/>
        <v/>
      </c>
      <c r="H109" s="81" t="e">
        <f>VLOOKUP(G109,'Códigos bancos'!$F$3:$G$14,2,0)</f>
        <v>#N/A</v>
      </c>
      <c r="I109" s="139" t="e">
        <f>VLOOKUP(E109,'Códigos bancos'!$B$3:$D$29,3,0)</f>
        <v>#N/A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82">
        <f t="shared" si="32"/>
        <v>0</v>
      </c>
      <c r="U109" s="83">
        <f t="shared" si="33"/>
        <v>0</v>
      </c>
      <c r="V109" s="36">
        <v>0</v>
      </c>
      <c r="W109" s="36">
        <v>0</v>
      </c>
      <c r="X109" s="69">
        <f t="shared" si="34"/>
        <v>0</v>
      </c>
      <c r="Y109" s="69">
        <f t="shared" si="35"/>
        <v>0</v>
      </c>
      <c r="AA109" s="66"/>
      <c r="AC109" s="84">
        <f t="shared" si="28"/>
        <v>0</v>
      </c>
      <c r="AD109" s="13">
        <v>0</v>
      </c>
      <c r="AE109" s="13">
        <v>0</v>
      </c>
      <c r="AF109" s="13">
        <v>0</v>
      </c>
      <c r="AG109" s="85" t="b">
        <f t="shared" si="29"/>
        <v>1</v>
      </c>
      <c r="AI109" s="84">
        <f t="shared" si="30"/>
        <v>0</v>
      </c>
      <c r="AJ109" s="13">
        <v>0</v>
      </c>
      <c r="AK109" s="13">
        <v>0</v>
      </c>
      <c r="AL109" s="85" t="b">
        <f t="shared" si="31"/>
        <v>1</v>
      </c>
      <c r="AN109" s="66"/>
    </row>
    <row r="110" spans="1:40" ht="13" customHeight="1">
      <c r="B110" s="33"/>
      <c r="C110" s="23">
        <f t="shared" si="26"/>
        <v>2026091</v>
      </c>
      <c r="D110" s="216"/>
      <c r="E110" s="37"/>
      <c r="F110" s="81" t="e">
        <f>VLOOKUP(E110,'Códigos bancos'!$B$3:$D$29,2,0)</f>
        <v>#N/A</v>
      </c>
      <c r="G110" s="138" t="str">
        <f t="shared" si="27"/>
        <v/>
      </c>
      <c r="H110" s="81" t="e">
        <f>VLOOKUP(G110,'Códigos bancos'!$F$3:$G$14,2,0)</f>
        <v>#N/A</v>
      </c>
      <c r="I110" s="139" t="e">
        <f>VLOOKUP(E110,'Códigos bancos'!$B$3:$D$29,3,0)</f>
        <v>#N/A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82">
        <f t="shared" si="32"/>
        <v>0</v>
      </c>
      <c r="U110" s="83">
        <f t="shared" si="33"/>
        <v>0</v>
      </c>
      <c r="V110" s="36">
        <v>0</v>
      </c>
      <c r="W110" s="36">
        <v>0</v>
      </c>
      <c r="X110" s="69">
        <f t="shared" si="34"/>
        <v>0</v>
      </c>
      <c r="Y110" s="69">
        <f t="shared" si="35"/>
        <v>0</v>
      </c>
      <c r="AA110" s="66"/>
      <c r="AC110" s="84">
        <f t="shared" si="28"/>
        <v>0</v>
      </c>
      <c r="AD110" s="13">
        <v>0</v>
      </c>
      <c r="AE110" s="13">
        <v>0</v>
      </c>
      <c r="AF110" s="13">
        <v>0</v>
      </c>
      <c r="AG110" s="85" t="b">
        <f t="shared" si="29"/>
        <v>1</v>
      </c>
      <c r="AI110" s="84">
        <f t="shared" si="30"/>
        <v>0</v>
      </c>
      <c r="AJ110" s="13">
        <v>0</v>
      </c>
      <c r="AK110" s="13">
        <v>0</v>
      </c>
      <c r="AL110" s="85" t="b">
        <f t="shared" si="31"/>
        <v>1</v>
      </c>
      <c r="AN110" s="66"/>
    </row>
    <row r="111" spans="1:40" ht="13" customHeight="1">
      <c r="B111" s="132"/>
      <c r="C111" s="20"/>
      <c r="D111" s="227"/>
      <c r="E111" s="133"/>
      <c r="F111" s="134"/>
      <c r="G111" s="133"/>
      <c r="H111" s="134"/>
      <c r="I111" s="134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6"/>
      <c r="U111" s="135"/>
      <c r="V111" s="135"/>
      <c r="W111" s="131"/>
      <c r="X111" s="131"/>
      <c r="Y111" s="131"/>
      <c r="AA111" s="66"/>
      <c r="AC111" s="135"/>
      <c r="AD111" s="135"/>
      <c r="AE111" s="135"/>
      <c r="AF111" s="135"/>
      <c r="AI111" s="135"/>
      <c r="AJ111" s="135"/>
      <c r="AK111" s="135"/>
      <c r="AN111" s="66"/>
    </row>
    <row r="112" spans="1:40" ht="15.75" customHeight="1">
      <c r="A112" s="72"/>
      <c r="B112" s="74"/>
      <c r="C112" s="75"/>
      <c r="D112" s="228"/>
      <c r="E112" s="76"/>
      <c r="F112" s="76"/>
      <c r="G112" s="76"/>
      <c r="H112" s="76"/>
      <c r="I112" s="77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9"/>
      <c r="X112" s="78"/>
      <c r="Y112" s="78"/>
      <c r="Z112" s="72"/>
      <c r="AA112" s="66"/>
      <c r="AB112" s="72"/>
      <c r="AC112" s="78"/>
      <c r="AD112" s="78"/>
      <c r="AE112" s="78"/>
      <c r="AF112" s="78"/>
      <c r="AG112" s="72"/>
      <c r="AH112" s="72"/>
      <c r="AI112" s="78"/>
      <c r="AJ112" s="78"/>
      <c r="AK112" s="78"/>
      <c r="AL112" s="72"/>
      <c r="AM112" s="72"/>
      <c r="AN112" s="66"/>
    </row>
    <row r="113" spans="2:40 16146:16147" ht="15.75" customHeight="1" thickBot="1">
      <c r="B113" s="132"/>
      <c r="C113" s="20"/>
      <c r="D113" s="227"/>
      <c r="E113" s="133"/>
      <c r="F113" s="134"/>
      <c r="G113" s="133"/>
      <c r="H113" s="133"/>
      <c r="I113" s="137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1"/>
      <c r="X113" s="135"/>
      <c r="Y113" s="135"/>
      <c r="AA113" s="66"/>
      <c r="AC113" s="135"/>
      <c r="AD113" s="135"/>
      <c r="AE113" s="135"/>
      <c r="AF113" s="135"/>
      <c r="AI113" s="135"/>
      <c r="AJ113" s="135"/>
      <c r="AK113" s="135"/>
      <c r="AN113" s="66"/>
    </row>
    <row r="114" spans="2:40 16146:16147" ht="35" thickBot="1">
      <c r="B114" s="112" t="s">
        <v>4</v>
      </c>
      <c r="C114" s="34" t="s">
        <v>6</v>
      </c>
      <c r="D114" s="34" t="s">
        <v>7</v>
      </c>
      <c r="E114" s="34" t="s">
        <v>49</v>
      </c>
      <c r="F114" s="34" t="s">
        <v>50</v>
      </c>
      <c r="G114" s="34" t="s">
        <v>51</v>
      </c>
      <c r="H114" s="34" t="s">
        <v>52</v>
      </c>
      <c r="I114" s="34" t="s">
        <v>13</v>
      </c>
      <c r="J114" s="12" t="s">
        <v>8</v>
      </c>
      <c r="K114" s="12" t="s">
        <v>36</v>
      </c>
      <c r="L114" s="12" t="s">
        <v>9</v>
      </c>
      <c r="M114" s="12" t="s">
        <v>37</v>
      </c>
      <c r="N114" s="87" t="s">
        <v>10</v>
      </c>
      <c r="O114" s="88" t="s">
        <v>38</v>
      </c>
      <c r="P114" s="87" t="s">
        <v>11</v>
      </c>
      <c r="Q114" s="88" t="s">
        <v>39</v>
      </c>
      <c r="R114" s="87" t="s">
        <v>12</v>
      </c>
      <c r="S114" s="88" t="s">
        <v>40</v>
      </c>
      <c r="T114" s="64" t="s">
        <v>41</v>
      </c>
      <c r="U114" s="64" t="s">
        <v>42</v>
      </c>
      <c r="V114" s="35" t="s">
        <v>32</v>
      </c>
      <c r="W114" s="67" t="s">
        <v>35</v>
      </c>
      <c r="X114" s="12" t="s">
        <v>34</v>
      </c>
      <c r="Y114" s="68" t="s">
        <v>33</v>
      </c>
      <c r="AA114" s="66"/>
      <c r="AC114" s="12" t="s">
        <v>34</v>
      </c>
      <c r="AD114" s="12" t="s">
        <v>45</v>
      </c>
      <c r="AE114" s="12" t="s">
        <v>43</v>
      </c>
      <c r="AF114" s="12" t="s">
        <v>44</v>
      </c>
      <c r="AG114" s="12" t="s">
        <v>46</v>
      </c>
      <c r="AI114" s="12" t="s">
        <v>33</v>
      </c>
      <c r="AJ114" s="12" t="s">
        <v>47</v>
      </c>
      <c r="AK114" s="12" t="s">
        <v>48</v>
      </c>
      <c r="AL114" s="12" t="s">
        <v>46</v>
      </c>
      <c r="AN114" s="66"/>
      <c r="WVZ114"/>
      <c r="WWA114"/>
    </row>
    <row r="115" spans="2:40 16146:16147" ht="13" customHeight="1">
      <c r="B115" s="119" t="s">
        <v>79</v>
      </c>
      <c r="C115" s="25">
        <f t="shared" ref="C115:C151" si="36">$C$2</f>
        <v>2026092</v>
      </c>
      <c r="D115" s="226">
        <v>46266</v>
      </c>
      <c r="E115" s="138">
        <v>20</v>
      </c>
      <c r="F115" s="139" t="str">
        <f>VLOOKUP(E115,'Códigos bancos'!$B$3:$D$29,2,0)</f>
        <v>Bancolombia ENERBIT</v>
      </c>
      <c r="G115" s="138">
        <f t="shared" ref="G115:G178" si="37">IFERROR(IF(T115&gt;0,1,""),"")</f>
        <v>1</v>
      </c>
      <c r="H115" s="139" t="str">
        <f>VLOOKUP(G115,'Códigos bancos'!$F$3:$G$14,2,0)</f>
        <v>Oficinas</v>
      </c>
      <c r="I115" s="139">
        <f>VLOOKUP(E115,'Códigos bancos'!$B$3:$D$29,3,0)</f>
        <v>0</v>
      </c>
      <c r="J115" s="212"/>
      <c r="K115" s="212"/>
      <c r="L115" s="212"/>
      <c r="M115" s="212"/>
      <c r="N115" s="212"/>
      <c r="O115" s="212"/>
      <c r="P115" s="212"/>
      <c r="Q115" s="212"/>
      <c r="R115" s="235">
        <v>17</v>
      </c>
      <c r="S115" s="235">
        <v>671920</v>
      </c>
      <c r="T115" s="141">
        <f>J115+L115+N115+P115+R115</f>
        <v>17</v>
      </c>
      <c r="U115" s="84">
        <f t="shared" ref="U115:U217" si="38">K115+M115+O115+Q115+S115</f>
        <v>671920</v>
      </c>
      <c r="V115" s="13">
        <v>17</v>
      </c>
      <c r="W115" s="13">
        <v>671920</v>
      </c>
      <c r="X115" s="113">
        <f>V115-T115</f>
        <v>0</v>
      </c>
      <c r="Y115" s="113">
        <f>W115-U115</f>
        <v>0</v>
      </c>
      <c r="AA115" s="66"/>
      <c r="AC115" s="84">
        <f>X115</f>
        <v>0</v>
      </c>
      <c r="AD115" s="13">
        <v>0</v>
      </c>
      <c r="AE115" s="13">
        <v>0</v>
      </c>
      <c r="AF115" s="13">
        <v>0</v>
      </c>
      <c r="AG115" s="85" t="b">
        <f>AC115=(AD115+AE115+AF115)</f>
        <v>1</v>
      </c>
      <c r="AI115" s="84">
        <f>Y115</f>
        <v>0</v>
      </c>
      <c r="AJ115" s="13">
        <v>0</v>
      </c>
      <c r="AK115" s="13">
        <v>0</v>
      </c>
      <c r="AL115" s="85" t="b">
        <f>AI115=(AJ115+AK115)</f>
        <v>1</v>
      </c>
      <c r="AN115" s="66"/>
    </row>
    <row r="116" spans="2:40 16146:16147" ht="13" customHeight="1">
      <c r="B116" s="119" t="s">
        <v>79</v>
      </c>
      <c r="C116" s="23">
        <f t="shared" si="36"/>
        <v>2026092</v>
      </c>
      <c r="D116" s="226">
        <v>46267</v>
      </c>
      <c r="E116" s="138">
        <v>20</v>
      </c>
      <c r="F116" s="139" t="str">
        <f>VLOOKUP(E116,'Códigos bancos'!$B$3:$D$29,2,0)</f>
        <v>Bancolombia ENERBIT</v>
      </c>
      <c r="G116" s="138">
        <f t="shared" si="37"/>
        <v>1</v>
      </c>
      <c r="H116" s="81" t="str">
        <f>VLOOKUP(G116,'Códigos bancos'!$F$3:$G$14,2,0)</f>
        <v>Oficinas</v>
      </c>
      <c r="I116" s="139">
        <f>VLOOKUP(E116,'Códigos bancos'!$B$3:$D$29,3,0)</f>
        <v>0</v>
      </c>
      <c r="J116" s="56"/>
      <c r="K116" s="56"/>
      <c r="L116" s="56"/>
      <c r="M116" s="56"/>
      <c r="N116" s="56"/>
      <c r="O116" s="56"/>
      <c r="P116" s="56"/>
      <c r="Q116" s="56"/>
      <c r="R116" s="57">
        <v>17</v>
      </c>
      <c r="S116" s="57">
        <v>683150</v>
      </c>
      <c r="T116" s="82">
        <f t="shared" ref="T116:T182" si="39">J116+L116+N116+P116+R116</f>
        <v>17</v>
      </c>
      <c r="U116" s="83">
        <f t="shared" si="38"/>
        <v>683150</v>
      </c>
      <c r="V116" s="56">
        <v>17</v>
      </c>
      <c r="W116" s="56">
        <v>683150</v>
      </c>
      <c r="X116" s="69">
        <f t="shared" ref="X116:X182" si="40">V116-T116</f>
        <v>0</v>
      </c>
      <c r="Y116" s="69">
        <f t="shared" ref="Y116:Y182" si="41">W116-U116</f>
        <v>0</v>
      </c>
      <c r="AA116" s="66"/>
      <c r="AC116" s="84">
        <f t="shared" ref="AC116:AC182" si="42">X116</f>
        <v>0</v>
      </c>
      <c r="AD116" s="13">
        <v>0</v>
      </c>
      <c r="AE116" s="13">
        <v>0</v>
      </c>
      <c r="AF116" s="13">
        <v>0</v>
      </c>
      <c r="AG116" s="85" t="b">
        <f t="shared" ref="AG116:AG182" si="43">AC116=(AD116+AE116+AF116)</f>
        <v>1</v>
      </c>
      <c r="AI116" s="84">
        <f t="shared" ref="AI116:AI182" si="44">Y116</f>
        <v>0</v>
      </c>
      <c r="AJ116" s="13">
        <v>0</v>
      </c>
      <c r="AK116" s="13">
        <v>0</v>
      </c>
      <c r="AL116" s="85" t="b">
        <f t="shared" ref="AL116:AL182" si="45">AI116=(AJ116+AK116)</f>
        <v>1</v>
      </c>
      <c r="AN116" s="66"/>
    </row>
    <row r="117" spans="2:40 16146:16147" ht="13" customHeight="1">
      <c r="B117" s="119" t="s">
        <v>79</v>
      </c>
      <c r="C117" s="23">
        <f t="shared" si="36"/>
        <v>2026092</v>
      </c>
      <c r="D117" s="226">
        <v>46268</v>
      </c>
      <c r="E117" s="138">
        <v>20</v>
      </c>
      <c r="F117" s="139" t="str">
        <f>VLOOKUP(E117,'Códigos bancos'!$B$3:$D$29,2,0)</f>
        <v>Bancolombia ENERBIT</v>
      </c>
      <c r="G117" s="138">
        <f t="shared" si="37"/>
        <v>1</v>
      </c>
      <c r="H117" s="81" t="str">
        <f>VLOOKUP(G117,'Códigos bancos'!$F$3:$G$14,2,0)</f>
        <v>Oficinas</v>
      </c>
      <c r="I117" s="139">
        <f>VLOOKUP(E117,'Códigos bancos'!$B$3:$D$29,3,0)</f>
        <v>0</v>
      </c>
      <c r="J117" s="56"/>
      <c r="K117" s="56"/>
      <c r="L117" s="56"/>
      <c r="M117" s="56"/>
      <c r="N117" s="56"/>
      <c r="O117" s="56"/>
      <c r="P117" s="56"/>
      <c r="Q117" s="56"/>
      <c r="R117" s="57">
        <v>6</v>
      </c>
      <c r="S117" s="57">
        <v>289600</v>
      </c>
      <c r="T117" s="82">
        <f t="shared" ref="T117:U119" si="46">J117+L117+N117+P117+R117</f>
        <v>6</v>
      </c>
      <c r="U117" s="83">
        <f t="shared" si="46"/>
        <v>289600</v>
      </c>
      <c r="V117" s="56">
        <v>6</v>
      </c>
      <c r="W117" s="56">
        <v>289600</v>
      </c>
      <c r="X117" s="69">
        <f t="shared" ref="X117:Y119" si="47">V117-T117</f>
        <v>0</v>
      </c>
      <c r="Y117" s="69">
        <f t="shared" si="47"/>
        <v>0</v>
      </c>
      <c r="AA117" s="66"/>
      <c r="AC117" s="84">
        <f>X117</f>
        <v>0</v>
      </c>
      <c r="AD117" s="13">
        <v>0</v>
      </c>
      <c r="AE117" s="13">
        <v>0</v>
      </c>
      <c r="AF117" s="13">
        <v>0</v>
      </c>
      <c r="AG117" s="85" t="b">
        <f>AC117=(AD117+AE117+AF117)</f>
        <v>1</v>
      </c>
      <c r="AI117" s="84">
        <f>Y117</f>
        <v>0</v>
      </c>
      <c r="AJ117" s="13">
        <v>0</v>
      </c>
      <c r="AK117" s="13">
        <v>0</v>
      </c>
      <c r="AL117" s="85" t="b">
        <f>AI117=(AJ117+AK117)</f>
        <v>1</v>
      </c>
      <c r="AN117" s="66"/>
    </row>
    <row r="118" spans="2:40 16146:16147" ht="13" customHeight="1">
      <c r="B118" s="119" t="s">
        <v>79</v>
      </c>
      <c r="C118" s="23">
        <f t="shared" si="36"/>
        <v>2026092</v>
      </c>
      <c r="D118" s="226">
        <v>46271</v>
      </c>
      <c r="E118" s="138">
        <v>20</v>
      </c>
      <c r="F118" s="139" t="str">
        <f>VLOOKUP(E118,'Códigos bancos'!$B$3:$D$29,2,0)</f>
        <v>Bancolombia ENERBIT</v>
      </c>
      <c r="G118" s="138">
        <f t="shared" si="37"/>
        <v>1</v>
      </c>
      <c r="H118" s="81" t="str">
        <f>VLOOKUP(G118,'Códigos bancos'!$F$3:$G$14,2,0)</f>
        <v>Oficinas</v>
      </c>
      <c r="I118" s="139">
        <f>VLOOKUP(E118,'Códigos bancos'!$B$3:$D$29,3,0)</f>
        <v>0</v>
      </c>
      <c r="J118" s="56"/>
      <c r="K118" s="56"/>
      <c r="L118" s="56"/>
      <c r="M118" s="56"/>
      <c r="N118" s="56"/>
      <c r="O118" s="56"/>
      <c r="P118" s="56"/>
      <c r="Q118" s="56"/>
      <c r="R118" s="57">
        <v>3</v>
      </c>
      <c r="S118" s="57">
        <v>130990</v>
      </c>
      <c r="T118" s="82">
        <f t="shared" si="46"/>
        <v>3</v>
      </c>
      <c r="U118" s="83">
        <f t="shared" si="46"/>
        <v>130990</v>
      </c>
      <c r="V118" s="56">
        <v>3</v>
      </c>
      <c r="W118" s="56">
        <v>130990</v>
      </c>
      <c r="X118" s="69">
        <f t="shared" si="47"/>
        <v>0</v>
      </c>
      <c r="Y118" s="69">
        <f t="shared" si="47"/>
        <v>0</v>
      </c>
      <c r="AA118" s="66"/>
      <c r="AC118" s="84">
        <f>X118</f>
        <v>0</v>
      </c>
      <c r="AD118" s="13">
        <v>0</v>
      </c>
      <c r="AE118" s="13">
        <v>0</v>
      </c>
      <c r="AF118" s="13">
        <v>0</v>
      </c>
      <c r="AG118" s="85" t="b">
        <f>AC118=(AD118+AE118+AF118)</f>
        <v>1</v>
      </c>
      <c r="AI118" s="84">
        <f>Y118</f>
        <v>0</v>
      </c>
      <c r="AJ118" s="13">
        <v>0</v>
      </c>
      <c r="AK118" s="13">
        <v>0</v>
      </c>
      <c r="AL118" s="85" t="b">
        <f>AI118=(AJ118+AK118)</f>
        <v>1</v>
      </c>
      <c r="AN118" s="66"/>
    </row>
    <row r="119" spans="2:40 16146:16147" ht="13" customHeight="1">
      <c r="B119" s="119" t="s">
        <v>79</v>
      </c>
      <c r="C119" s="23">
        <f t="shared" si="36"/>
        <v>2026092</v>
      </c>
      <c r="D119" s="226">
        <v>46272</v>
      </c>
      <c r="E119" s="138">
        <v>20</v>
      </c>
      <c r="F119" s="139" t="str">
        <f>VLOOKUP(E119,'Códigos bancos'!$B$3:$D$29,2,0)</f>
        <v>Bancolombia ENERBIT</v>
      </c>
      <c r="G119" s="138">
        <f t="shared" si="37"/>
        <v>1</v>
      </c>
      <c r="H119" s="81" t="str">
        <f>VLOOKUP(G119,'Códigos bancos'!$F$3:$G$14,2,0)</f>
        <v>Oficinas</v>
      </c>
      <c r="I119" s="139">
        <f>VLOOKUP(E119,'Códigos bancos'!$B$3:$D$29,3,0)</f>
        <v>0</v>
      </c>
      <c r="J119" s="56"/>
      <c r="K119" s="56"/>
      <c r="L119" s="56"/>
      <c r="M119" s="56"/>
      <c r="N119" s="56"/>
      <c r="O119" s="56"/>
      <c r="P119" s="56"/>
      <c r="Q119" s="56"/>
      <c r="R119" s="57">
        <v>18</v>
      </c>
      <c r="S119" s="57">
        <v>2462190</v>
      </c>
      <c r="T119" s="82">
        <f t="shared" si="46"/>
        <v>18</v>
      </c>
      <c r="U119" s="83">
        <f t="shared" si="46"/>
        <v>2462190</v>
      </c>
      <c r="V119" s="56">
        <v>18</v>
      </c>
      <c r="W119" s="56">
        <v>2462190</v>
      </c>
      <c r="X119" s="69">
        <f t="shared" si="47"/>
        <v>0</v>
      </c>
      <c r="Y119" s="69">
        <f t="shared" si="47"/>
        <v>0</v>
      </c>
      <c r="AA119" s="66"/>
      <c r="AC119" s="84">
        <f>X119</f>
        <v>0</v>
      </c>
      <c r="AD119" s="13">
        <v>0</v>
      </c>
      <c r="AE119" s="13">
        <v>0</v>
      </c>
      <c r="AF119" s="13">
        <v>0</v>
      </c>
      <c r="AG119" s="85" t="b">
        <f>AC119=(AD119+AE119+AF119)</f>
        <v>1</v>
      </c>
      <c r="AI119" s="84">
        <f>Y119</f>
        <v>0</v>
      </c>
      <c r="AJ119" s="13">
        <v>0</v>
      </c>
      <c r="AK119" s="13">
        <v>0</v>
      </c>
      <c r="AL119" s="85" t="b">
        <f>AI119=(AJ119+AK119)</f>
        <v>1</v>
      </c>
      <c r="AN119" s="66"/>
    </row>
    <row r="120" spans="2:40 16146:16147" ht="13" customHeight="1">
      <c r="B120" s="119" t="s">
        <v>79</v>
      </c>
      <c r="C120" s="23">
        <f t="shared" si="36"/>
        <v>2026092</v>
      </c>
      <c r="D120" s="226">
        <v>46274</v>
      </c>
      <c r="E120" s="138">
        <v>20</v>
      </c>
      <c r="F120" s="139" t="str">
        <f>VLOOKUP(E120,'Códigos bancos'!$B$3:$D$29,2,0)</f>
        <v>Bancolombia ENERBIT</v>
      </c>
      <c r="G120" s="138">
        <f t="shared" si="37"/>
        <v>1</v>
      </c>
      <c r="H120" s="81" t="str">
        <f>VLOOKUP(G120,'Códigos bancos'!$F$3:$G$14,2,0)</f>
        <v>Oficinas</v>
      </c>
      <c r="I120" s="139">
        <f>VLOOKUP(E120,'Códigos bancos'!$B$3:$D$29,3,0)</f>
        <v>0</v>
      </c>
      <c r="J120" s="56"/>
      <c r="K120" s="56"/>
      <c r="L120" s="56"/>
      <c r="M120" s="56"/>
      <c r="N120" s="56"/>
      <c r="O120" s="56"/>
      <c r="P120" s="56"/>
      <c r="Q120" s="56"/>
      <c r="R120" s="57">
        <v>5</v>
      </c>
      <c r="S120" s="57">
        <v>272630</v>
      </c>
      <c r="T120" s="82">
        <f t="shared" si="39"/>
        <v>5</v>
      </c>
      <c r="U120" s="83">
        <f t="shared" si="38"/>
        <v>272630</v>
      </c>
      <c r="V120" s="36">
        <v>5</v>
      </c>
      <c r="W120" s="36">
        <v>272630</v>
      </c>
      <c r="X120" s="69">
        <f t="shared" si="40"/>
        <v>0</v>
      </c>
      <c r="Y120" s="69">
        <f t="shared" si="41"/>
        <v>0</v>
      </c>
      <c r="AA120" s="66"/>
      <c r="AC120" s="84">
        <f t="shared" si="42"/>
        <v>0</v>
      </c>
      <c r="AD120" s="13">
        <v>0</v>
      </c>
      <c r="AE120" s="13">
        <v>0</v>
      </c>
      <c r="AF120" s="13">
        <v>0</v>
      </c>
      <c r="AG120" s="85" t="b">
        <f t="shared" si="43"/>
        <v>1</v>
      </c>
      <c r="AI120" s="84">
        <f t="shared" si="44"/>
        <v>0</v>
      </c>
      <c r="AJ120" s="13">
        <v>0</v>
      </c>
      <c r="AK120" s="13">
        <v>0</v>
      </c>
      <c r="AL120" s="85" t="b">
        <f t="shared" si="45"/>
        <v>1</v>
      </c>
      <c r="AN120" s="66"/>
    </row>
    <row r="121" spans="2:40 16146:16147" ht="13" customHeight="1">
      <c r="B121" s="119" t="s">
        <v>79</v>
      </c>
      <c r="C121" s="23">
        <f t="shared" si="36"/>
        <v>2026092</v>
      </c>
      <c r="D121" s="226">
        <v>46275</v>
      </c>
      <c r="E121" s="138">
        <v>20</v>
      </c>
      <c r="F121" s="139" t="str">
        <f>VLOOKUP(E121,'Códigos bancos'!$B$3:$D$29,2,0)</f>
        <v>Bancolombia ENERBIT</v>
      </c>
      <c r="G121" s="138">
        <f t="shared" si="37"/>
        <v>1</v>
      </c>
      <c r="H121" s="81" t="str">
        <f>VLOOKUP(G121,'Códigos bancos'!$F$3:$G$14,2,0)</f>
        <v>Oficinas</v>
      </c>
      <c r="I121" s="139">
        <f>VLOOKUP(E121,'Códigos bancos'!$B$3:$D$29,3,0)</f>
        <v>0</v>
      </c>
      <c r="J121" s="56"/>
      <c r="K121" s="56"/>
      <c r="L121" s="56"/>
      <c r="M121" s="56"/>
      <c r="N121" s="56"/>
      <c r="O121" s="56"/>
      <c r="P121" s="56"/>
      <c r="Q121" s="56"/>
      <c r="R121" s="57">
        <v>8</v>
      </c>
      <c r="S121" s="57">
        <v>670100</v>
      </c>
      <c r="T121" s="82">
        <f t="shared" si="39"/>
        <v>8</v>
      </c>
      <c r="U121" s="83">
        <f t="shared" si="38"/>
        <v>670100</v>
      </c>
      <c r="V121" s="36">
        <v>8</v>
      </c>
      <c r="W121" s="36">
        <v>670100</v>
      </c>
      <c r="X121" s="69">
        <f t="shared" si="40"/>
        <v>0</v>
      </c>
      <c r="Y121" s="69">
        <f t="shared" si="41"/>
        <v>0</v>
      </c>
      <c r="AA121" s="66"/>
      <c r="AC121" s="84">
        <f t="shared" si="42"/>
        <v>0</v>
      </c>
      <c r="AD121" s="13">
        <v>0</v>
      </c>
      <c r="AE121" s="13">
        <v>0</v>
      </c>
      <c r="AF121" s="13">
        <v>0</v>
      </c>
      <c r="AG121" s="85" t="b">
        <f t="shared" si="43"/>
        <v>1</v>
      </c>
      <c r="AI121" s="84">
        <f t="shared" si="44"/>
        <v>0</v>
      </c>
      <c r="AJ121" s="13">
        <v>0</v>
      </c>
      <c r="AK121" s="13">
        <v>0</v>
      </c>
      <c r="AL121" s="85" t="b">
        <f t="shared" si="45"/>
        <v>1</v>
      </c>
      <c r="AN121" s="66"/>
    </row>
    <row r="122" spans="2:40 16146:16147" ht="13" customHeight="1">
      <c r="B122" s="119" t="s">
        <v>79</v>
      </c>
      <c r="C122" s="23">
        <f t="shared" si="36"/>
        <v>2026092</v>
      </c>
      <c r="D122" s="226">
        <v>46279</v>
      </c>
      <c r="E122" s="138">
        <v>20</v>
      </c>
      <c r="F122" s="139" t="str">
        <f>VLOOKUP(E122,'Códigos bancos'!$B$3:$D$29,2,0)</f>
        <v>Bancolombia ENERBIT</v>
      </c>
      <c r="G122" s="138">
        <f t="shared" si="37"/>
        <v>1</v>
      </c>
      <c r="H122" s="81" t="str">
        <f>VLOOKUP(G122,'Códigos bancos'!$F$3:$G$14,2,0)</f>
        <v>Oficinas</v>
      </c>
      <c r="I122" s="139">
        <f>VLOOKUP(E122,'Códigos bancos'!$B$3:$D$29,3,0)</f>
        <v>0</v>
      </c>
      <c r="J122" s="56"/>
      <c r="K122" s="56"/>
      <c r="L122" s="56"/>
      <c r="M122" s="56"/>
      <c r="N122" s="56"/>
      <c r="O122" s="56"/>
      <c r="P122" s="56"/>
      <c r="Q122" s="56"/>
      <c r="R122" s="57">
        <v>2</v>
      </c>
      <c r="S122" s="57">
        <v>62102</v>
      </c>
      <c r="T122" s="82">
        <f>J122+L122+N122+P122+R122</f>
        <v>2</v>
      </c>
      <c r="U122" s="83">
        <f>K122+M122+O122+Q122+S122</f>
        <v>62102</v>
      </c>
      <c r="V122" s="36">
        <v>2</v>
      </c>
      <c r="W122" s="36">
        <v>62102</v>
      </c>
      <c r="X122" s="69">
        <f>V122-T122</f>
        <v>0</v>
      </c>
      <c r="Y122" s="69">
        <f>W122-U122</f>
        <v>0</v>
      </c>
      <c r="AA122" s="66"/>
      <c r="AC122" s="84">
        <f>X122</f>
        <v>0</v>
      </c>
      <c r="AD122" s="13">
        <v>0</v>
      </c>
      <c r="AE122" s="13">
        <v>0</v>
      </c>
      <c r="AF122" s="13">
        <v>0</v>
      </c>
      <c r="AG122" s="85" t="b">
        <f>AC122=(AD122+AE122+AF122)</f>
        <v>1</v>
      </c>
      <c r="AI122" s="84">
        <f>Y122</f>
        <v>0</v>
      </c>
      <c r="AJ122" s="13">
        <v>0</v>
      </c>
      <c r="AK122" s="13">
        <v>0</v>
      </c>
      <c r="AL122" s="85" t="b">
        <f>AI122=(AJ122+AK122)</f>
        <v>1</v>
      </c>
      <c r="AN122" s="66"/>
    </row>
    <row r="123" spans="2:40 16146:16147" ht="13" customHeight="1">
      <c r="B123" s="119"/>
      <c r="C123" s="23">
        <f t="shared" si="36"/>
        <v>2026092</v>
      </c>
      <c r="D123" s="226"/>
      <c r="E123" s="138"/>
      <c r="F123" s="139" t="e">
        <f>VLOOKUP(E123,'Códigos bancos'!$B$3:$D$29,2,0)</f>
        <v>#N/A</v>
      </c>
      <c r="G123" s="138" t="str">
        <f t="shared" si="37"/>
        <v/>
      </c>
      <c r="H123" s="81" t="e">
        <f>VLOOKUP(G123,'Códigos bancos'!$F$3:$G$14,2,0)</f>
        <v>#N/A</v>
      </c>
      <c r="I123" s="139" t="e">
        <f>VLOOKUP(E123,'Códigos bancos'!$B$3:$D$29,3,0)</f>
        <v>#N/A</v>
      </c>
      <c r="J123" s="56"/>
      <c r="K123" s="56"/>
      <c r="L123" s="56"/>
      <c r="M123" s="56"/>
      <c r="N123" s="56"/>
      <c r="O123" s="56"/>
      <c r="P123" s="56"/>
      <c r="Q123" s="56"/>
      <c r="R123" s="57"/>
      <c r="S123" s="57"/>
      <c r="T123" s="82">
        <f t="shared" si="39"/>
        <v>0</v>
      </c>
      <c r="U123" s="83">
        <f t="shared" si="38"/>
        <v>0</v>
      </c>
      <c r="V123" s="56">
        <v>0</v>
      </c>
      <c r="W123" s="36">
        <v>0</v>
      </c>
      <c r="X123" s="69">
        <f t="shared" si="40"/>
        <v>0</v>
      </c>
      <c r="Y123" s="69">
        <f t="shared" si="41"/>
        <v>0</v>
      </c>
      <c r="AA123" s="66"/>
      <c r="AC123" s="84">
        <f t="shared" si="42"/>
        <v>0</v>
      </c>
      <c r="AD123" s="13">
        <v>0</v>
      </c>
      <c r="AE123" s="13">
        <v>0</v>
      </c>
      <c r="AF123" s="13">
        <v>0</v>
      </c>
      <c r="AG123" s="85" t="b">
        <f t="shared" si="43"/>
        <v>1</v>
      </c>
      <c r="AI123" s="84">
        <f t="shared" si="44"/>
        <v>0</v>
      </c>
      <c r="AJ123" s="13">
        <v>0</v>
      </c>
      <c r="AK123" s="13">
        <v>0</v>
      </c>
      <c r="AL123" s="85" t="b">
        <f t="shared" si="45"/>
        <v>1</v>
      </c>
      <c r="AN123" s="66"/>
    </row>
    <row r="124" spans="2:40 16146:16147" ht="13" customHeight="1">
      <c r="B124" s="119"/>
      <c r="C124" s="23">
        <f t="shared" si="36"/>
        <v>2026092</v>
      </c>
      <c r="D124" s="226"/>
      <c r="E124" s="37"/>
      <c r="F124" s="139" t="e">
        <f>VLOOKUP(E124,'Códigos bancos'!$B$3:$D$29,2,0)</f>
        <v>#N/A</v>
      </c>
      <c r="G124" s="138" t="str">
        <f t="shared" si="37"/>
        <v/>
      </c>
      <c r="H124" s="81" t="e">
        <f>VLOOKUP(G124,'Códigos bancos'!$F$3:$G$14,2,0)</f>
        <v>#N/A</v>
      </c>
      <c r="I124" s="139" t="e">
        <f>VLOOKUP(E124,'Códigos bancos'!$B$3:$D$29,3,0)</f>
        <v>#N/A</v>
      </c>
      <c r="J124" s="56"/>
      <c r="K124" s="56"/>
      <c r="L124" s="56"/>
      <c r="M124" s="56"/>
      <c r="N124" s="56"/>
      <c r="O124" s="56"/>
      <c r="P124" s="56"/>
      <c r="Q124" s="56"/>
      <c r="R124" s="57"/>
      <c r="S124" s="57"/>
      <c r="T124" s="82">
        <f t="shared" si="39"/>
        <v>0</v>
      </c>
      <c r="U124" s="83">
        <f t="shared" si="38"/>
        <v>0</v>
      </c>
      <c r="V124" s="56">
        <v>0</v>
      </c>
      <c r="W124" s="36">
        <v>0</v>
      </c>
      <c r="X124" s="69">
        <f t="shared" si="40"/>
        <v>0</v>
      </c>
      <c r="Y124" s="69">
        <f t="shared" si="41"/>
        <v>0</v>
      </c>
      <c r="AA124" s="66"/>
      <c r="AC124" s="84">
        <f t="shared" si="42"/>
        <v>0</v>
      </c>
      <c r="AD124" s="13">
        <v>0</v>
      </c>
      <c r="AE124" s="13">
        <v>0</v>
      </c>
      <c r="AF124" s="13">
        <v>0</v>
      </c>
      <c r="AG124" s="85" t="b">
        <f t="shared" si="43"/>
        <v>1</v>
      </c>
      <c r="AI124" s="84">
        <f t="shared" si="44"/>
        <v>0</v>
      </c>
      <c r="AJ124" s="13">
        <v>0</v>
      </c>
      <c r="AK124" s="13">
        <v>0</v>
      </c>
      <c r="AL124" s="85" t="b">
        <f t="shared" si="45"/>
        <v>1</v>
      </c>
      <c r="AN124" s="66"/>
    </row>
    <row r="125" spans="2:40 16146:16147" ht="13" customHeight="1">
      <c r="B125" s="119"/>
      <c r="C125" s="23">
        <f t="shared" si="36"/>
        <v>2026092</v>
      </c>
      <c r="D125" s="226"/>
      <c r="E125" s="37"/>
      <c r="F125" s="139" t="e">
        <f>VLOOKUP(E125,'Códigos bancos'!$B$3:$D$29,2,0)</f>
        <v>#N/A</v>
      </c>
      <c r="G125" s="138" t="str">
        <f t="shared" si="37"/>
        <v/>
      </c>
      <c r="H125" s="81" t="e">
        <f>VLOOKUP(G125,'Códigos bancos'!$F$3:$G$14,2,0)</f>
        <v>#N/A</v>
      </c>
      <c r="I125" s="139" t="e">
        <f>VLOOKUP(E125,'Códigos bancos'!$B$3:$D$29,3,0)</f>
        <v>#N/A</v>
      </c>
      <c r="J125" s="56"/>
      <c r="K125" s="56"/>
      <c r="L125" s="56"/>
      <c r="M125" s="56"/>
      <c r="N125" s="56"/>
      <c r="O125" s="56"/>
      <c r="P125" s="56"/>
      <c r="Q125" s="56"/>
      <c r="R125" s="57"/>
      <c r="S125" s="57"/>
      <c r="T125" s="82">
        <f t="shared" si="39"/>
        <v>0</v>
      </c>
      <c r="U125" s="83">
        <f t="shared" si="38"/>
        <v>0</v>
      </c>
      <c r="V125" s="36">
        <v>0</v>
      </c>
      <c r="W125" s="36">
        <v>0</v>
      </c>
      <c r="X125" s="69">
        <f t="shared" si="40"/>
        <v>0</v>
      </c>
      <c r="Y125" s="69">
        <f t="shared" si="41"/>
        <v>0</v>
      </c>
      <c r="AA125" s="66"/>
      <c r="AC125" s="84">
        <f t="shared" si="42"/>
        <v>0</v>
      </c>
      <c r="AD125" s="13">
        <v>0</v>
      </c>
      <c r="AE125" s="13">
        <v>0</v>
      </c>
      <c r="AF125" s="13">
        <v>0</v>
      </c>
      <c r="AG125" s="85" t="b">
        <f t="shared" si="43"/>
        <v>1</v>
      </c>
      <c r="AI125" s="84">
        <f t="shared" si="44"/>
        <v>0</v>
      </c>
      <c r="AJ125" s="13">
        <v>0</v>
      </c>
      <c r="AK125" s="13">
        <v>0</v>
      </c>
      <c r="AL125" s="85" t="b">
        <f t="shared" si="45"/>
        <v>1</v>
      </c>
      <c r="AN125" s="66"/>
    </row>
    <row r="126" spans="2:40 16146:16147" ht="13" customHeight="1">
      <c r="B126" s="119"/>
      <c r="C126" s="23">
        <f t="shared" si="36"/>
        <v>2026092</v>
      </c>
      <c r="D126" s="216"/>
      <c r="E126" s="37"/>
      <c r="F126" s="139" t="e">
        <f>VLOOKUP(E126,'Códigos bancos'!$B$3:$D$29,2,0)</f>
        <v>#N/A</v>
      </c>
      <c r="G126" s="138" t="str">
        <f t="shared" si="37"/>
        <v/>
      </c>
      <c r="H126" s="81" t="e">
        <f>VLOOKUP(G126,'Códigos bancos'!$F$3:$G$14,2,0)</f>
        <v>#N/A</v>
      </c>
      <c r="I126" s="139" t="e">
        <f>VLOOKUP(E126,'Códigos bancos'!$B$3:$D$29,3,0)</f>
        <v>#N/A</v>
      </c>
      <c r="J126" s="56"/>
      <c r="K126" s="56"/>
      <c r="L126" s="56"/>
      <c r="M126" s="56"/>
      <c r="N126" s="56"/>
      <c r="O126" s="56"/>
      <c r="P126" s="56"/>
      <c r="Q126" s="56"/>
      <c r="R126" s="57"/>
      <c r="S126" s="57"/>
      <c r="T126" s="82">
        <f t="shared" si="39"/>
        <v>0</v>
      </c>
      <c r="U126" s="83">
        <f t="shared" si="38"/>
        <v>0</v>
      </c>
      <c r="V126" s="36">
        <v>0</v>
      </c>
      <c r="W126" s="36">
        <v>0</v>
      </c>
      <c r="X126" s="69">
        <f t="shared" si="40"/>
        <v>0</v>
      </c>
      <c r="Y126" s="69">
        <f t="shared" si="41"/>
        <v>0</v>
      </c>
      <c r="AA126" s="66"/>
      <c r="AC126" s="84">
        <f t="shared" si="42"/>
        <v>0</v>
      </c>
      <c r="AD126" s="13">
        <v>0</v>
      </c>
      <c r="AE126" s="13">
        <v>0</v>
      </c>
      <c r="AF126" s="13">
        <v>0</v>
      </c>
      <c r="AG126" s="85" t="b">
        <f t="shared" si="43"/>
        <v>1</v>
      </c>
      <c r="AI126" s="84">
        <f t="shared" si="44"/>
        <v>0</v>
      </c>
      <c r="AJ126" s="13">
        <v>0</v>
      </c>
      <c r="AK126" s="13">
        <v>0</v>
      </c>
      <c r="AL126" s="85" t="b">
        <f t="shared" si="45"/>
        <v>1</v>
      </c>
      <c r="AN126" s="66"/>
    </row>
    <row r="127" spans="2:40 16146:16147" ht="13" customHeight="1">
      <c r="B127" s="119"/>
      <c r="C127" s="23">
        <f t="shared" si="36"/>
        <v>2026092</v>
      </c>
      <c r="D127" s="216"/>
      <c r="E127" s="37"/>
      <c r="F127" s="139" t="e">
        <f>VLOOKUP(E127,'Códigos bancos'!$B$3:$D$29,2,0)</f>
        <v>#N/A</v>
      </c>
      <c r="G127" s="138" t="str">
        <f t="shared" si="37"/>
        <v/>
      </c>
      <c r="H127" s="81" t="e">
        <f>VLOOKUP(G127,'Códigos bancos'!$F$3:$G$14,2,0)</f>
        <v>#N/A</v>
      </c>
      <c r="I127" s="139" t="e">
        <f>VLOOKUP(E127,'Códigos bancos'!$B$3:$D$29,3,0)</f>
        <v>#N/A</v>
      </c>
      <c r="J127" s="56"/>
      <c r="K127" s="56"/>
      <c r="L127" s="56"/>
      <c r="M127" s="56"/>
      <c r="N127" s="56"/>
      <c r="O127" s="56"/>
      <c r="P127" s="56"/>
      <c r="Q127" s="56"/>
      <c r="R127" s="57"/>
      <c r="S127" s="57"/>
      <c r="T127" s="82">
        <f t="shared" si="39"/>
        <v>0</v>
      </c>
      <c r="U127" s="83">
        <f t="shared" si="38"/>
        <v>0</v>
      </c>
      <c r="V127" s="36">
        <v>0</v>
      </c>
      <c r="W127" s="36">
        <v>0</v>
      </c>
      <c r="X127" s="69">
        <f t="shared" si="40"/>
        <v>0</v>
      </c>
      <c r="Y127" s="69">
        <f t="shared" si="41"/>
        <v>0</v>
      </c>
      <c r="AA127" s="66"/>
      <c r="AC127" s="84">
        <f t="shared" si="42"/>
        <v>0</v>
      </c>
      <c r="AD127" s="13">
        <v>0</v>
      </c>
      <c r="AE127" s="13">
        <v>0</v>
      </c>
      <c r="AF127" s="13">
        <v>0</v>
      </c>
      <c r="AG127" s="85" t="b">
        <f t="shared" si="43"/>
        <v>1</v>
      </c>
      <c r="AI127" s="84">
        <f t="shared" si="44"/>
        <v>0</v>
      </c>
      <c r="AJ127" s="13">
        <v>0</v>
      </c>
      <c r="AK127" s="13">
        <v>0</v>
      </c>
      <c r="AL127" s="85" t="b">
        <f t="shared" si="45"/>
        <v>1</v>
      </c>
      <c r="AN127" s="66"/>
    </row>
    <row r="128" spans="2:40 16146:16147" ht="13" customHeight="1">
      <c r="B128" s="119"/>
      <c r="C128" s="23">
        <f t="shared" si="36"/>
        <v>2026092</v>
      </c>
      <c r="D128" s="216"/>
      <c r="E128" s="37"/>
      <c r="F128" s="139" t="e">
        <f>VLOOKUP(E128,'Códigos bancos'!$B$3:$D$29,2,0)</f>
        <v>#N/A</v>
      </c>
      <c r="G128" s="138" t="str">
        <f t="shared" si="37"/>
        <v/>
      </c>
      <c r="H128" s="81" t="e">
        <f>VLOOKUP(G128,'Códigos bancos'!$F$3:$G$14,2,0)</f>
        <v>#N/A</v>
      </c>
      <c r="I128" s="139" t="e">
        <f>VLOOKUP(E128,'Códigos bancos'!$B$3:$D$29,3,0)</f>
        <v>#N/A</v>
      </c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82">
        <f t="shared" si="39"/>
        <v>0</v>
      </c>
      <c r="U128" s="83">
        <f t="shared" si="38"/>
        <v>0</v>
      </c>
      <c r="V128" s="36">
        <v>0</v>
      </c>
      <c r="W128" s="7">
        <v>0</v>
      </c>
      <c r="X128" s="69">
        <f t="shared" si="40"/>
        <v>0</v>
      </c>
      <c r="Y128" s="69">
        <f t="shared" si="41"/>
        <v>0</v>
      </c>
      <c r="AA128" s="66"/>
      <c r="AC128" s="84">
        <f t="shared" si="42"/>
        <v>0</v>
      </c>
      <c r="AD128" s="13">
        <v>0</v>
      </c>
      <c r="AE128" s="13">
        <v>0</v>
      </c>
      <c r="AF128" s="13">
        <v>0</v>
      </c>
      <c r="AG128" s="85" t="b">
        <f t="shared" si="43"/>
        <v>1</v>
      </c>
      <c r="AI128" s="84">
        <f t="shared" si="44"/>
        <v>0</v>
      </c>
      <c r="AJ128" s="13">
        <v>0</v>
      </c>
      <c r="AK128" s="13">
        <v>0</v>
      </c>
      <c r="AL128" s="85" t="b">
        <f t="shared" si="45"/>
        <v>1</v>
      </c>
      <c r="AN128" s="66"/>
    </row>
    <row r="129" spans="2:40" ht="13" customHeight="1">
      <c r="B129" s="119"/>
      <c r="C129" s="23">
        <f t="shared" si="36"/>
        <v>2026092</v>
      </c>
      <c r="D129" s="216"/>
      <c r="E129" s="37"/>
      <c r="F129" s="139" t="e">
        <f>VLOOKUP(E129,'Códigos bancos'!$B$3:$D$29,2,0)</f>
        <v>#N/A</v>
      </c>
      <c r="G129" s="138" t="str">
        <f t="shared" si="37"/>
        <v/>
      </c>
      <c r="H129" s="81" t="e">
        <f>VLOOKUP(G129,'Códigos bancos'!$F$3:$G$14,2,0)</f>
        <v>#N/A</v>
      </c>
      <c r="I129" s="139" t="e">
        <f>VLOOKUP(E129,'Códigos bancos'!$B$3:$D$29,3,0)</f>
        <v>#N/A</v>
      </c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82">
        <f t="shared" si="39"/>
        <v>0</v>
      </c>
      <c r="U129" s="83">
        <f t="shared" si="38"/>
        <v>0</v>
      </c>
      <c r="V129" s="36">
        <v>0</v>
      </c>
      <c r="W129" s="7">
        <v>0</v>
      </c>
      <c r="X129" s="69">
        <f t="shared" si="40"/>
        <v>0</v>
      </c>
      <c r="Y129" s="69">
        <f t="shared" si="41"/>
        <v>0</v>
      </c>
      <c r="AA129" s="66"/>
      <c r="AC129" s="84">
        <f t="shared" si="42"/>
        <v>0</v>
      </c>
      <c r="AD129" s="13">
        <v>0</v>
      </c>
      <c r="AE129" s="13">
        <v>0</v>
      </c>
      <c r="AF129" s="13">
        <v>0</v>
      </c>
      <c r="AG129" s="85" t="b">
        <f t="shared" si="43"/>
        <v>1</v>
      </c>
      <c r="AI129" s="84">
        <f t="shared" si="44"/>
        <v>0</v>
      </c>
      <c r="AJ129" s="13">
        <v>0</v>
      </c>
      <c r="AK129" s="13">
        <v>0</v>
      </c>
      <c r="AL129" s="85" t="b">
        <f t="shared" si="45"/>
        <v>1</v>
      </c>
      <c r="AN129" s="66"/>
    </row>
    <row r="130" spans="2:40" ht="13" customHeight="1">
      <c r="B130" s="119"/>
      <c r="C130" s="23">
        <f t="shared" si="36"/>
        <v>2026092</v>
      </c>
      <c r="D130" s="216"/>
      <c r="E130" s="37"/>
      <c r="F130" s="139" t="e">
        <f>VLOOKUP(E130,'Códigos bancos'!$B$3:$D$29,2,0)</f>
        <v>#N/A</v>
      </c>
      <c r="G130" s="138" t="str">
        <f t="shared" si="37"/>
        <v/>
      </c>
      <c r="H130" s="81" t="e">
        <f>VLOOKUP(G130,'Códigos bancos'!$F$3:$G$14,2,0)</f>
        <v>#N/A</v>
      </c>
      <c r="I130" s="139" t="e">
        <f>VLOOKUP(E130,'Códigos bancos'!$B$3:$D$29,3,0)</f>
        <v>#N/A</v>
      </c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82">
        <f t="shared" si="39"/>
        <v>0</v>
      </c>
      <c r="U130" s="83">
        <f t="shared" si="38"/>
        <v>0</v>
      </c>
      <c r="V130" s="36">
        <v>0</v>
      </c>
      <c r="W130" s="7">
        <v>0</v>
      </c>
      <c r="X130" s="69">
        <f t="shared" si="40"/>
        <v>0</v>
      </c>
      <c r="Y130" s="69">
        <f t="shared" si="41"/>
        <v>0</v>
      </c>
      <c r="AA130" s="66"/>
      <c r="AC130" s="84">
        <f t="shared" si="42"/>
        <v>0</v>
      </c>
      <c r="AD130" s="13">
        <v>0</v>
      </c>
      <c r="AE130" s="13">
        <v>0</v>
      </c>
      <c r="AF130" s="13">
        <v>0</v>
      </c>
      <c r="AG130" s="85" t="b">
        <f t="shared" si="43"/>
        <v>1</v>
      </c>
      <c r="AI130" s="84">
        <f t="shared" si="44"/>
        <v>0</v>
      </c>
      <c r="AJ130" s="13">
        <v>0</v>
      </c>
      <c r="AK130" s="13">
        <v>0</v>
      </c>
      <c r="AL130" s="85" t="b">
        <f t="shared" si="45"/>
        <v>1</v>
      </c>
      <c r="AN130" s="66"/>
    </row>
    <row r="131" spans="2:40" ht="13" customHeight="1">
      <c r="B131" s="119"/>
      <c r="C131" s="23">
        <f t="shared" si="36"/>
        <v>2026092</v>
      </c>
      <c r="D131" s="216"/>
      <c r="E131" s="37"/>
      <c r="F131" s="139" t="e">
        <f>VLOOKUP(E131,'Códigos bancos'!$B$3:$D$29,2,0)</f>
        <v>#N/A</v>
      </c>
      <c r="G131" s="138" t="str">
        <f t="shared" si="37"/>
        <v/>
      </c>
      <c r="H131" s="81" t="e">
        <f>VLOOKUP(G131,'Códigos bancos'!$F$3:$G$14,2,0)</f>
        <v>#N/A</v>
      </c>
      <c r="I131" s="139" t="e">
        <f>VLOOKUP(E131,'Códigos bancos'!$B$3:$D$29,3,0)</f>
        <v>#N/A</v>
      </c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82">
        <f t="shared" si="39"/>
        <v>0</v>
      </c>
      <c r="U131" s="83">
        <f t="shared" si="38"/>
        <v>0</v>
      </c>
      <c r="V131" s="36">
        <v>0</v>
      </c>
      <c r="W131" s="7">
        <v>0</v>
      </c>
      <c r="X131" s="69">
        <f t="shared" si="40"/>
        <v>0</v>
      </c>
      <c r="Y131" s="69">
        <f t="shared" si="41"/>
        <v>0</v>
      </c>
      <c r="AA131" s="66"/>
      <c r="AC131" s="84">
        <f t="shared" si="42"/>
        <v>0</v>
      </c>
      <c r="AD131" s="13">
        <v>0</v>
      </c>
      <c r="AE131" s="13">
        <v>0</v>
      </c>
      <c r="AF131" s="13">
        <v>0</v>
      </c>
      <c r="AG131" s="85" t="b">
        <f t="shared" si="43"/>
        <v>1</v>
      </c>
      <c r="AI131" s="84">
        <f t="shared" si="44"/>
        <v>0</v>
      </c>
      <c r="AJ131" s="13">
        <v>0</v>
      </c>
      <c r="AK131" s="13">
        <v>0</v>
      </c>
      <c r="AL131" s="85" t="b">
        <f t="shared" si="45"/>
        <v>1</v>
      </c>
      <c r="AN131" s="66"/>
    </row>
    <row r="132" spans="2:40" ht="13" customHeight="1">
      <c r="B132" s="119"/>
      <c r="C132" s="23">
        <f t="shared" si="36"/>
        <v>2026092</v>
      </c>
      <c r="D132" s="216"/>
      <c r="E132" s="37"/>
      <c r="F132" s="139" t="e">
        <f>VLOOKUP(E132,'Códigos bancos'!$B$3:$D$29,2,0)</f>
        <v>#N/A</v>
      </c>
      <c r="G132" s="138" t="str">
        <f t="shared" si="37"/>
        <v/>
      </c>
      <c r="H132" s="81" t="e">
        <f>VLOOKUP(G132,'Códigos bancos'!$F$3:$G$14,2,0)</f>
        <v>#N/A</v>
      </c>
      <c r="I132" s="139" t="e">
        <f>VLOOKUP(E132,'Códigos bancos'!$B$3:$D$29,3,0)</f>
        <v>#N/A</v>
      </c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82">
        <f t="shared" si="39"/>
        <v>0</v>
      </c>
      <c r="U132" s="83">
        <f t="shared" si="38"/>
        <v>0</v>
      </c>
      <c r="V132" s="36">
        <v>0</v>
      </c>
      <c r="W132" s="7">
        <v>0</v>
      </c>
      <c r="X132" s="69">
        <f t="shared" si="40"/>
        <v>0</v>
      </c>
      <c r="Y132" s="69">
        <f t="shared" si="41"/>
        <v>0</v>
      </c>
      <c r="AA132" s="66"/>
      <c r="AC132" s="84">
        <f t="shared" si="42"/>
        <v>0</v>
      </c>
      <c r="AD132" s="13">
        <v>0</v>
      </c>
      <c r="AE132" s="13">
        <v>0</v>
      </c>
      <c r="AF132" s="13">
        <v>0</v>
      </c>
      <c r="AG132" s="85" t="b">
        <f t="shared" si="43"/>
        <v>1</v>
      </c>
      <c r="AI132" s="84">
        <f t="shared" si="44"/>
        <v>0</v>
      </c>
      <c r="AJ132" s="13">
        <v>0</v>
      </c>
      <c r="AK132" s="13">
        <v>0</v>
      </c>
      <c r="AL132" s="85" t="b">
        <f t="shared" si="45"/>
        <v>1</v>
      </c>
      <c r="AN132" s="66"/>
    </row>
    <row r="133" spans="2:40" ht="13" customHeight="1">
      <c r="B133" s="119"/>
      <c r="C133" s="23">
        <f t="shared" si="36"/>
        <v>2026092</v>
      </c>
      <c r="D133" s="216"/>
      <c r="E133" s="37"/>
      <c r="F133" s="139" t="e">
        <f>VLOOKUP(E133,'Códigos bancos'!$B$3:$D$29,2,0)</f>
        <v>#N/A</v>
      </c>
      <c r="G133" s="138" t="str">
        <f t="shared" si="37"/>
        <v/>
      </c>
      <c r="H133" s="81" t="e">
        <f>VLOOKUP(G133,'Códigos bancos'!$F$3:$G$14,2,0)</f>
        <v>#N/A</v>
      </c>
      <c r="I133" s="139" t="e">
        <f>VLOOKUP(E133,'Códigos bancos'!$B$3:$D$29,3,0)</f>
        <v>#N/A</v>
      </c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82">
        <f t="shared" si="39"/>
        <v>0</v>
      </c>
      <c r="U133" s="83">
        <f t="shared" si="38"/>
        <v>0</v>
      </c>
      <c r="V133" s="36">
        <v>0</v>
      </c>
      <c r="W133" s="7">
        <v>0</v>
      </c>
      <c r="X133" s="69">
        <f t="shared" si="40"/>
        <v>0</v>
      </c>
      <c r="Y133" s="69">
        <f t="shared" si="41"/>
        <v>0</v>
      </c>
      <c r="AA133" s="66"/>
      <c r="AC133" s="84">
        <f t="shared" si="42"/>
        <v>0</v>
      </c>
      <c r="AD133" s="13">
        <v>0</v>
      </c>
      <c r="AE133" s="13">
        <v>0</v>
      </c>
      <c r="AF133" s="13">
        <v>0</v>
      </c>
      <c r="AG133" s="85" t="b">
        <f t="shared" si="43"/>
        <v>1</v>
      </c>
      <c r="AI133" s="84">
        <f t="shared" si="44"/>
        <v>0</v>
      </c>
      <c r="AJ133" s="13">
        <v>0</v>
      </c>
      <c r="AK133" s="13">
        <v>0</v>
      </c>
      <c r="AL133" s="85" t="b">
        <f t="shared" si="45"/>
        <v>1</v>
      </c>
      <c r="AN133" s="66"/>
    </row>
    <row r="134" spans="2:40" ht="13" customHeight="1">
      <c r="B134" s="119"/>
      <c r="C134" s="23">
        <f t="shared" si="36"/>
        <v>2026092</v>
      </c>
      <c r="D134" s="216"/>
      <c r="E134" s="37"/>
      <c r="F134" s="139" t="e">
        <f>VLOOKUP(E134,'Códigos bancos'!$B$3:$D$29,2,0)</f>
        <v>#N/A</v>
      </c>
      <c r="G134" s="138" t="str">
        <f t="shared" si="37"/>
        <v/>
      </c>
      <c r="H134" s="81" t="e">
        <f>VLOOKUP(G134,'Códigos bancos'!$F$3:$G$14,2,0)</f>
        <v>#N/A</v>
      </c>
      <c r="I134" s="139" t="e">
        <f>VLOOKUP(E134,'Códigos bancos'!$B$3:$D$29,3,0)</f>
        <v>#N/A</v>
      </c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82">
        <f>J134+L134+N134+P134+R134</f>
        <v>0</v>
      </c>
      <c r="U134" s="83">
        <f>K134+M134+O134+Q134+S134</f>
        <v>0</v>
      </c>
      <c r="V134" s="36">
        <v>0</v>
      </c>
      <c r="W134" s="7">
        <v>0</v>
      </c>
      <c r="X134" s="69">
        <f>V134-T134</f>
        <v>0</v>
      </c>
      <c r="Y134" s="69">
        <f>W134-U134</f>
        <v>0</v>
      </c>
      <c r="AA134" s="66"/>
      <c r="AC134" s="84">
        <f>X134</f>
        <v>0</v>
      </c>
      <c r="AD134" s="13">
        <v>0</v>
      </c>
      <c r="AE134" s="13">
        <v>0</v>
      </c>
      <c r="AF134" s="13">
        <v>0</v>
      </c>
      <c r="AG134" s="85" t="b">
        <f>AC134=(AD134+AE134+AF134)</f>
        <v>1</v>
      </c>
      <c r="AI134" s="84">
        <f>Y134</f>
        <v>0</v>
      </c>
      <c r="AJ134" s="13">
        <v>0</v>
      </c>
      <c r="AK134" s="13">
        <v>0</v>
      </c>
      <c r="AL134" s="85" t="b">
        <f>AI134=(AJ134+AK134)</f>
        <v>1</v>
      </c>
      <c r="AN134" s="66"/>
    </row>
    <row r="135" spans="2:40" ht="13" customHeight="1">
      <c r="B135" s="119"/>
      <c r="C135" s="23">
        <f t="shared" si="36"/>
        <v>2026092</v>
      </c>
      <c r="D135" s="216"/>
      <c r="E135" s="37"/>
      <c r="F135" s="139" t="e">
        <f>VLOOKUP(E135,'Códigos bancos'!$B$3:$D$29,2,0)</f>
        <v>#N/A</v>
      </c>
      <c r="G135" s="138" t="str">
        <f t="shared" si="37"/>
        <v/>
      </c>
      <c r="H135" s="81" t="e">
        <f>VLOOKUP(G135,'Códigos bancos'!$F$3:$G$14,2,0)</f>
        <v>#N/A</v>
      </c>
      <c r="I135" s="139" t="e">
        <f>VLOOKUP(E135,'Códigos bancos'!$B$3:$D$29,3,0)</f>
        <v>#N/A</v>
      </c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82">
        <f t="shared" si="39"/>
        <v>0</v>
      </c>
      <c r="U135" s="83">
        <f t="shared" si="38"/>
        <v>0</v>
      </c>
      <c r="V135" s="36">
        <v>0</v>
      </c>
      <c r="W135" s="7">
        <v>0</v>
      </c>
      <c r="X135" s="69">
        <f t="shared" si="40"/>
        <v>0</v>
      </c>
      <c r="Y135" s="69">
        <f t="shared" si="41"/>
        <v>0</v>
      </c>
      <c r="AA135" s="66"/>
      <c r="AC135" s="84">
        <f t="shared" si="42"/>
        <v>0</v>
      </c>
      <c r="AD135" s="13">
        <v>0</v>
      </c>
      <c r="AE135" s="13">
        <v>0</v>
      </c>
      <c r="AF135" s="13">
        <v>0</v>
      </c>
      <c r="AG135" s="85" t="b">
        <f t="shared" si="43"/>
        <v>1</v>
      </c>
      <c r="AI135" s="84">
        <f t="shared" si="44"/>
        <v>0</v>
      </c>
      <c r="AJ135" s="13">
        <v>0</v>
      </c>
      <c r="AK135" s="13">
        <v>0</v>
      </c>
      <c r="AL135" s="85" t="b">
        <f t="shared" si="45"/>
        <v>1</v>
      </c>
      <c r="AN135" s="66"/>
    </row>
    <row r="136" spans="2:40" ht="13" customHeight="1">
      <c r="B136" s="119"/>
      <c r="C136" s="23">
        <f t="shared" si="36"/>
        <v>2026092</v>
      </c>
      <c r="D136" s="216"/>
      <c r="E136" s="37"/>
      <c r="F136" s="139" t="e">
        <f>VLOOKUP(E136,'Códigos bancos'!$B$3:$D$29,2,0)</f>
        <v>#N/A</v>
      </c>
      <c r="G136" s="138" t="str">
        <f t="shared" si="37"/>
        <v/>
      </c>
      <c r="H136" s="81" t="e">
        <f>VLOOKUP(G136,'Códigos bancos'!$F$3:$G$14,2,0)</f>
        <v>#N/A</v>
      </c>
      <c r="I136" s="139" t="e">
        <f>VLOOKUP(E136,'Códigos bancos'!$B$3:$D$29,3,0)</f>
        <v>#N/A</v>
      </c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82">
        <f t="shared" si="39"/>
        <v>0</v>
      </c>
      <c r="U136" s="83">
        <f t="shared" si="38"/>
        <v>0</v>
      </c>
      <c r="V136" s="36">
        <v>0</v>
      </c>
      <c r="W136" s="7">
        <v>0</v>
      </c>
      <c r="X136" s="69">
        <f t="shared" si="40"/>
        <v>0</v>
      </c>
      <c r="Y136" s="69">
        <f t="shared" si="41"/>
        <v>0</v>
      </c>
      <c r="AA136" s="66"/>
      <c r="AC136" s="84">
        <f t="shared" si="42"/>
        <v>0</v>
      </c>
      <c r="AD136" s="13">
        <v>0</v>
      </c>
      <c r="AE136" s="13">
        <v>0</v>
      </c>
      <c r="AF136" s="13">
        <v>0</v>
      </c>
      <c r="AG136" s="85" t="b">
        <f t="shared" si="43"/>
        <v>1</v>
      </c>
      <c r="AI136" s="84">
        <f t="shared" si="44"/>
        <v>0</v>
      </c>
      <c r="AJ136" s="13">
        <v>0</v>
      </c>
      <c r="AK136" s="13">
        <v>0</v>
      </c>
      <c r="AL136" s="85" t="b">
        <f t="shared" si="45"/>
        <v>1</v>
      </c>
      <c r="AN136" s="66"/>
    </row>
    <row r="137" spans="2:40" ht="13" customHeight="1">
      <c r="B137" s="119"/>
      <c r="C137" s="23">
        <f t="shared" si="36"/>
        <v>2026092</v>
      </c>
      <c r="D137" s="216"/>
      <c r="E137" s="37"/>
      <c r="F137" s="139" t="e">
        <f>VLOOKUP(E137,'Códigos bancos'!$B$3:$D$29,2,0)</f>
        <v>#N/A</v>
      </c>
      <c r="G137" s="138" t="str">
        <f t="shared" si="37"/>
        <v/>
      </c>
      <c r="H137" s="81" t="e">
        <f>VLOOKUP(G137,'Códigos bancos'!$F$3:$G$14,2,0)</f>
        <v>#N/A</v>
      </c>
      <c r="I137" s="139" t="e">
        <f>VLOOKUP(E137,'Códigos bancos'!$B$3:$D$29,3,0)</f>
        <v>#N/A</v>
      </c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82">
        <f t="shared" si="39"/>
        <v>0</v>
      </c>
      <c r="U137" s="83">
        <f t="shared" si="38"/>
        <v>0</v>
      </c>
      <c r="V137" s="36">
        <v>0</v>
      </c>
      <c r="W137" s="7">
        <v>0</v>
      </c>
      <c r="X137" s="69">
        <f t="shared" si="40"/>
        <v>0</v>
      </c>
      <c r="Y137" s="69">
        <f t="shared" si="41"/>
        <v>0</v>
      </c>
      <c r="AA137" s="66"/>
      <c r="AC137" s="84">
        <f t="shared" si="42"/>
        <v>0</v>
      </c>
      <c r="AD137" s="13">
        <v>0</v>
      </c>
      <c r="AE137" s="13">
        <v>0</v>
      </c>
      <c r="AF137" s="13">
        <v>0</v>
      </c>
      <c r="AG137" s="85" t="b">
        <f t="shared" si="43"/>
        <v>1</v>
      </c>
      <c r="AI137" s="84">
        <f t="shared" si="44"/>
        <v>0</v>
      </c>
      <c r="AJ137" s="13">
        <v>0</v>
      </c>
      <c r="AK137" s="13">
        <v>0</v>
      </c>
      <c r="AL137" s="85" t="b">
        <f t="shared" si="45"/>
        <v>1</v>
      </c>
      <c r="AN137" s="66"/>
    </row>
    <row r="138" spans="2:40" ht="13" customHeight="1">
      <c r="B138" s="119"/>
      <c r="C138" s="23">
        <f t="shared" si="36"/>
        <v>2026092</v>
      </c>
      <c r="D138" s="216"/>
      <c r="E138" s="37"/>
      <c r="F138" s="139" t="e">
        <f>VLOOKUP(E138,'Códigos bancos'!$B$3:$D$29,2,0)</f>
        <v>#N/A</v>
      </c>
      <c r="G138" s="138" t="str">
        <f t="shared" si="37"/>
        <v/>
      </c>
      <c r="H138" s="81" t="e">
        <f>VLOOKUP(G138,'Códigos bancos'!$F$3:$G$14,2,0)</f>
        <v>#N/A</v>
      </c>
      <c r="I138" s="139" t="e">
        <f>VLOOKUP(E138,'Códigos bancos'!$B$3:$D$29,3,0)</f>
        <v>#N/A</v>
      </c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82">
        <f t="shared" si="39"/>
        <v>0</v>
      </c>
      <c r="U138" s="83">
        <f t="shared" si="38"/>
        <v>0</v>
      </c>
      <c r="V138" s="36">
        <v>0</v>
      </c>
      <c r="W138" s="7">
        <v>0</v>
      </c>
      <c r="X138" s="69">
        <f t="shared" si="40"/>
        <v>0</v>
      </c>
      <c r="Y138" s="69">
        <f t="shared" si="41"/>
        <v>0</v>
      </c>
      <c r="AA138" s="66"/>
      <c r="AC138" s="84">
        <f t="shared" si="42"/>
        <v>0</v>
      </c>
      <c r="AD138" s="13">
        <v>0</v>
      </c>
      <c r="AE138" s="13">
        <v>0</v>
      </c>
      <c r="AF138" s="13">
        <v>0</v>
      </c>
      <c r="AG138" s="85" t="b">
        <f t="shared" si="43"/>
        <v>1</v>
      </c>
      <c r="AI138" s="84">
        <f t="shared" si="44"/>
        <v>0</v>
      </c>
      <c r="AJ138" s="13">
        <v>0</v>
      </c>
      <c r="AK138" s="13">
        <v>0</v>
      </c>
      <c r="AL138" s="85" t="b">
        <f t="shared" si="45"/>
        <v>1</v>
      </c>
      <c r="AN138" s="66"/>
    </row>
    <row r="139" spans="2:40" ht="13" customHeight="1">
      <c r="B139" s="119"/>
      <c r="C139" s="23">
        <f t="shared" si="36"/>
        <v>2026092</v>
      </c>
      <c r="D139" s="216"/>
      <c r="E139" s="37"/>
      <c r="F139" s="139" t="e">
        <f>VLOOKUP(E139,'Códigos bancos'!$B$3:$D$29,2,0)</f>
        <v>#N/A</v>
      </c>
      <c r="G139" s="138" t="str">
        <f t="shared" si="37"/>
        <v/>
      </c>
      <c r="H139" s="81" t="e">
        <f>VLOOKUP(G139,'Códigos bancos'!$F$3:$G$14,2,0)</f>
        <v>#N/A</v>
      </c>
      <c r="I139" s="139" t="e">
        <f>VLOOKUP(E139,'Códigos bancos'!$B$3:$D$29,3,0)</f>
        <v>#N/A</v>
      </c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82">
        <f t="shared" si="39"/>
        <v>0</v>
      </c>
      <c r="U139" s="83">
        <f t="shared" si="38"/>
        <v>0</v>
      </c>
      <c r="V139" s="36">
        <v>0</v>
      </c>
      <c r="W139" s="7">
        <v>0</v>
      </c>
      <c r="X139" s="69">
        <f t="shared" si="40"/>
        <v>0</v>
      </c>
      <c r="Y139" s="69">
        <f t="shared" si="41"/>
        <v>0</v>
      </c>
      <c r="AA139" s="66"/>
      <c r="AC139" s="84">
        <f t="shared" si="42"/>
        <v>0</v>
      </c>
      <c r="AD139" s="13">
        <v>0</v>
      </c>
      <c r="AE139" s="13">
        <v>0</v>
      </c>
      <c r="AF139" s="13">
        <v>0</v>
      </c>
      <c r="AG139" s="85" t="b">
        <f t="shared" si="43"/>
        <v>1</v>
      </c>
      <c r="AI139" s="84">
        <f t="shared" si="44"/>
        <v>0</v>
      </c>
      <c r="AJ139" s="13">
        <v>0</v>
      </c>
      <c r="AK139" s="13">
        <v>0</v>
      </c>
      <c r="AL139" s="85" t="b">
        <f t="shared" si="45"/>
        <v>1</v>
      </c>
      <c r="AN139" s="66"/>
    </row>
    <row r="140" spans="2:40" ht="13" customHeight="1">
      <c r="B140" s="119"/>
      <c r="C140" s="23">
        <f t="shared" si="36"/>
        <v>2026092</v>
      </c>
      <c r="D140" s="216"/>
      <c r="E140" s="37"/>
      <c r="F140" s="139" t="e">
        <f>VLOOKUP(E140,'Códigos bancos'!$B$3:$D$29,2,0)</f>
        <v>#N/A</v>
      </c>
      <c r="G140" s="138" t="str">
        <f t="shared" si="37"/>
        <v/>
      </c>
      <c r="H140" s="81" t="e">
        <f>VLOOKUP(G140,'Códigos bancos'!$F$3:$G$14,2,0)</f>
        <v>#N/A</v>
      </c>
      <c r="I140" s="139" t="e">
        <f>VLOOKUP(E140,'Códigos bancos'!$B$3:$D$29,3,0)</f>
        <v>#N/A</v>
      </c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82">
        <f t="shared" si="39"/>
        <v>0</v>
      </c>
      <c r="U140" s="83">
        <f t="shared" si="38"/>
        <v>0</v>
      </c>
      <c r="V140" s="36">
        <v>0</v>
      </c>
      <c r="W140" s="7">
        <v>0</v>
      </c>
      <c r="X140" s="69">
        <f t="shared" si="40"/>
        <v>0</v>
      </c>
      <c r="Y140" s="69">
        <f t="shared" si="41"/>
        <v>0</v>
      </c>
      <c r="AA140" s="66"/>
      <c r="AC140" s="84">
        <f t="shared" si="42"/>
        <v>0</v>
      </c>
      <c r="AD140" s="13">
        <v>0</v>
      </c>
      <c r="AE140" s="13">
        <v>0</v>
      </c>
      <c r="AF140" s="13">
        <v>0</v>
      </c>
      <c r="AG140" s="85" t="b">
        <f t="shared" si="43"/>
        <v>1</v>
      </c>
      <c r="AI140" s="84">
        <f t="shared" si="44"/>
        <v>0</v>
      </c>
      <c r="AJ140" s="13">
        <v>0</v>
      </c>
      <c r="AK140" s="13">
        <v>0</v>
      </c>
      <c r="AL140" s="85" t="b">
        <f t="shared" si="45"/>
        <v>1</v>
      </c>
      <c r="AN140" s="66"/>
    </row>
    <row r="141" spans="2:40" ht="13" customHeight="1">
      <c r="B141" s="119"/>
      <c r="C141" s="23">
        <f t="shared" si="36"/>
        <v>2026092</v>
      </c>
      <c r="D141" s="216"/>
      <c r="E141" s="37"/>
      <c r="F141" s="139" t="e">
        <f>VLOOKUP(E141,'Códigos bancos'!$B$3:$D$29,2,0)</f>
        <v>#N/A</v>
      </c>
      <c r="G141" s="138" t="str">
        <f t="shared" si="37"/>
        <v/>
      </c>
      <c r="H141" s="81" t="e">
        <f>VLOOKUP(G141,'Códigos bancos'!$F$3:$G$14,2,0)</f>
        <v>#N/A</v>
      </c>
      <c r="I141" s="139" t="e">
        <f>VLOOKUP(E141,'Códigos bancos'!$B$3:$D$29,3,0)</f>
        <v>#N/A</v>
      </c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82">
        <f t="shared" si="39"/>
        <v>0</v>
      </c>
      <c r="U141" s="83">
        <f t="shared" si="38"/>
        <v>0</v>
      </c>
      <c r="V141" s="36">
        <v>0</v>
      </c>
      <c r="W141" s="7">
        <v>0</v>
      </c>
      <c r="X141" s="69">
        <f t="shared" si="40"/>
        <v>0</v>
      </c>
      <c r="Y141" s="69">
        <f t="shared" si="41"/>
        <v>0</v>
      </c>
      <c r="AA141" s="66"/>
      <c r="AC141" s="84">
        <f t="shared" si="42"/>
        <v>0</v>
      </c>
      <c r="AD141" s="13">
        <v>0</v>
      </c>
      <c r="AE141" s="13">
        <v>0</v>
      </c>
      <c r="AF141" s="13">
        <v>0</v>
      </c>
      <c r="AG141" s="85" t="b">
        <f t="shared" si="43"/>
        <v>1</v>
      </c>
      <c r="AI141" s="84">
        <f t="shared" si="44"/>
        <v>0</v>
      </c>
      <c r="AJ141" s="13">
        <v>0</v>
      </c>
      <c r="AK141" s="13">
        <v>0</v>
      </c>
      <c r="AL141" s="85" t="b">
        <f t="shared" si="45"/>
        <v>1</v>
      </c>
      <c r="AN141" s="66"/>
    </row>
    <row r="142" spans="2:40" ht="13" customHeight="1">
      <c r="B142" s="33"/>
      <c r="C142" s="23">
        <f t="shared" si="36"/>
        <v>2026092</v>
      </c>
      <c r="D142" s="216"/>
      <c r="E142" s="37"/>
      <c r="F142" s="139" t="e">
        <f>VLOOKUP(E142,'Códigos bancos'!$B$3:$D$29,2,0)</f>
        <v>#N/A</v>
      </c>
      <c r="G142" s="138" t="str">
        <f t="shared" si="37"/>
        <v/>
      </c>
      <c r="H142" s="81" t="e">
        <f>VLOOKUP(G142,'Códigos bancos'!$F$3:$G$14,2,0)</f>
        <v>#N/A</v>
      </c>
      <c r="I142" s="139" t="e">
        <f>VLOOKUP(E142,'Códigos bancos'!$B$3:$D$29,3,0)</f>
        <v>#N/A</v>
      </c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82">
        <f t="shared" si="39"/>
        <v>0</v>
      </c>
      <c r="U142" s="83">
        <f t="shared" si="38"/>
        <v>0</v>
      </c>
      <c r="V142" s="36">
        <v>0</v>
      </c>
      <c r="W142" s="7">
        <v>0</v>
      </c>
      <c r="X142" s="69">
        <f t="shared" si="40"/>
        <v>0</v>
      </c>
      <c r="Y142" s="69">
        <f t="shared" si="41"/>
        <v>0</v>
      </c>
      <c r="AA142" s="66"/>
      <c r="AC142" s="84">
        <f t="shared" si="42"/>
        <v>0</v>
      </c>
      <c r="AD142" s="13">
        <v>0</v>
      </c>
      <c r="AE142" s="13">
        <v>0</v>
      </c>
      <c r="AF142" s="13">
        <v>0</v>
      </c>
      <c r="AG142" s="85" t="b">
        <f t="shared" si="43"/>
        <v>1</v>
      </c>
      <c r="AI142" s="84">
        <f t="shared" si="44"/>
        <v>0</v>
      </c>
      <c r="AJ142" s="13">
        <v>0</v>
      </c>
      <c r="AK142" s="13">
        <v>0</v>
      </c>
      <c r="AL142" s="85" t="b">
        <f t="shared" si="45"/>
        <v>1</v>
      </c>
      <c r="AN142" s="66"/>
    </row>
    <row r="143" spans="2:40" ht="13" customHeight="1">
      <c r="B143" s="33"/>
      <c r="C143" s="23">
        <f t="shared" si="36"/>
        <v>2026092</v>
      </c>
      <c r="D143" s="216"/>
      <c r="E143" s="37"/>
      <c r="F143" s="139" t="e">
        <f>VLOOKUP(E143,'Códigos bancos'!$B$3:$D$29,2,0)</f>
        <v>#N/A</v>
      </c>
      <c r="G143" s="138" t="str">
        <f t="shared" si="37"/>
        <v/>
      </c>
      <c r="H143" s="81" t="e">
        <f>VLOOKUP(G143,'Códigos bancos'!$F$3:$G$14,2,0)</f>
        <v>#N/A</v>
      </c>
      <c r="I143" s="139" t="e">
        <f>VLOOKUP(E143,'Códigos bancos'!$B$3:$D$29,3,0)</f>
        <v>#N/A</v>
      </c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82">
        <f t="shared" si="39"/>
        <v>0</v>
      </c>
      <c r="U143" s="83">
        <f t="shared" si="38"/>
        <v>0</v>
      </c>
      <c r="V143" s="36">
        <v>0</v>
      </c>
      <c r="W143" s="7">
        <v>0</v>
      </c>
      <c r="X143" s="69">
        <f t="shared" si="40"/>
        <v>0</v>
      </c>
      <c r="Y143" s="69">
        <f t="shared" si="41"/>
        <v>0</v>
      </c>
      <c r="AA143" s="66"/>
      <c r="AC143" s="84">
        <f t="shared" si="42"/>
        <v>0</v>
      </c>
      <c r="AD143" s="13">
        <v>0</v>
      </c>
      <c r="AE143" s="13">
        <v>0</v>
      </c>
      <c r="AF143" s="13">
        <v>0</v>
      </c>
      <c r="AG143" s="85" t="b">
        <f t="shared" si="43"/>
        <v>1</v>
      </c>
      <c r="AI143" s="84">
        <f t="shared" si="44"/>
        <v>0</v>
      </c>
      <c r="AJ143" s="13">
        <v>0</v>
      </c>
      <c r="AK143" s="13">
        <v>0</v>
      </c>
      <c r="AL143" s="85" t="b">
        <f t="shared" si="45"/>
        <v>1</v>
      </c>
      <c r="AN143" s="66"/>
    </row>
    <row r="144" spans="2:40" ht="13" customHeight="1">
      <c r="B144" s="119"/>
      <c r="C144" s="23">
        <f t="shared" si="36"/>
        <v>2026092</v>
      </c>
      <c r="D144" s="216"/>
      <c r="E144" s="37"/>
      <c r="F144" s="139" t="e">
        <f>VLOOKUP(E144,'Códigos bancos'!$B$3:$D$29,2,0)</f>
        <v>#N/A</v>
      </c>
      <c r="G144" s="138" t="str">
        <f t="shared" si="37"/>
        <v/>
      </c>
      <c r="H144" s="81" t="e">
        <f>VLOOKUP(G144,'Códigos bancos'!$F$3:$G$14,2,0)</f>
        <v>#N/A</v>
      </c>
      <c r="I144" s="139" t="e">
        <f>VLOOKUP(E144,'Códigos bancos'!$B$3:$D$29,3,0)</f>
        <v>#N/A</v>
      </c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82">
        <f t="shared" si="39"/>
        <v>0</v>
      </c>
      <c r="U144" s="83">
        <f t="shared" si="38"/>
        <v>0</v>
      </c>
      <c r="V144" s="36">
        <v>0</v>
      </c>
      <c r="W144" s="7">
        <v>0</v>
      </c>
      <c r="X144" s="69">
        <f t="shared" si="40"/>
        <v>0</v>
      </c>
      <c r="Y144" s="69">
        <f t="shared" si="41"/>
        <v>0</v>
      </c>
      <c r="AA144" s="66"/>
      <c r="AC144" s="84">
        <f t="shared" si="42"/>
        <v>0</v>
      </c>
      <c r="AD144" s="13">
        <v>0</v>
      </c>
      <c r="AE144" s="13">
        <v>0</v>
      </c>
      <c r="AF144" s="13">
        <v>0</v>
      </c>
      <c r="AG144" s="85" t="b">
        <f t="shared" si="43"/>
        <v>1</v>
      </c>
      <c r="AI144" s="84">
        <f t="shared" si="44"/>
        <v>0</v>
      </c>
      <c r="AJ144" s="13">
        <v>0</v>
      </c>
      <c r="AK144" s="13">
        <v>0</v>
      </c>
      <c r="AL144" s="85" t="b">
        <f t="shared" si="45"/>
        <v>1</v>
      </c>
      <c r="AN144" s="66"/>
    </row>
    <row r="145" spans="2:40" ht="13" customHeight="1">
      <c r="B145" s="119"/>
      <c r="C145" s="23">
        <f t="shared" si="36"/>
        <v>2026092</v>
      </c>
      <c r="D145" s="216"/>
      <c r="E145" s="37"/>
      <c r="F145" s="139" t="e">
        <f>VLOOKUP(E145,'Códigos bancos'!$B$3:$D$29,2,0)</f>
        <v>#N/A</v>
      </c>
      <c r="G145" s="138" t="str">
        <f t="shared" si="37"/>
        <v/>
      </c>
      <c r="H145" s="81" t="e">
        <f>VLOOKUP(G145,'Códigos bancos'!$F$3:$G$14,2,0)</f>
        <v>#N/A</v>
      </c>
      <c r="I145" s="139" t="e">
        <f>VLOOKUP(E145,'Códigos bancos'!$B$3:$D$29,3,0)</f>
        <v>#N/A</v>
      </c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82">
        <f t="shared" si="39"/>
        <v>0</v>
      </c>
      <c r="U145" s="83">
        <f t="shared" si="38"/>
        <v>0</v>
      </c>
      <c r="V145" s="36">
        <v>0</v>
      </c>
      <c r="W145" s="7">
        <v>0</v>
      </c>
      <c r="X145" s="69">
        <f t="shared" si="40"/>
        <v>0</v>
      </c>
      <c r="Y145" s="69">
        <f t="shared" si="41"/>
        <v>0</v>
      </c>
      <c r="AA145" s="66"/>
      <c r="AC145" s="84">
        <f t="shared" si="42"/>
        <v>0</v>
      </c>
      <c r="AD145" s="13">
        <v>0</v>
      </c>
      <c r="AE145" s="13">
        <v>0</v>
      </c>
      <c r="AF145" s="13">
        <v>0</v>
      </c>
      <c r="AG145" s="85" t="b">
        <f t="shared" si="43"/>
        <v>1</v>
      </c>
      <c r="AI145" s="84">
        <f t="shared" si="44"/>
        <v>0</v>
      </c>
      <c r="AJ145" s="13">
        <v>0</v>
      </c>
      <c r="AK145" s="13">
        <v>0</v>
      </c>
      <c r="AL145" s="85" t="b">
        <f t="shared" si="45"/>
        <v>1</v>
      </c>
      <c r="AN145" s="66"/>
    </row>
    <row r="146" spans="2:40" ht="13" customHeight="1">
      <c r="B146" s="119"/>
      <c r="C146" s="23">
        <f t="shared" si="36"/>
        <v>2026092</v>
      </c>
      <c r="D146" s="216"/>
      <c r="E146" s="37"/>
      <c r="F146" s="139" t="e">
        <f>VLOOKUP(E146,'Códigos bancos'!$B$3:$D$29,2,0)</f>
        <v>#N/A</v>
      </c>
      <c r="G146" s="138" t="str">
        <f t="shared" si="37"/>
        <v/>
      </c>
      <c r="H146" s="81" t="e">
        <f>VLOOKUP(G146,'Códigos bancos'!$F$3:$G$14,2,0)</f>
        <v>#N/A</v>
      </c>
      <c r="I146" s="139" t="e">
        <f>VLOOKUP(E146,'Códigos bancos'!$B$3:$D$29,3,0)</f>
        <v>#N/A</v>
      </c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82">
        <f t="shared" si="39"/>
        <v>0</v>
      </c>
      <c r="U146" s="83">
        <f t="shared" si="38"/>
        <v>0</v>
      </c>
      <c r="V146" s="36">
        <v>0</v>
      </c>
      <c r="W146" s="36">
        <v>0</v>
      </c>
      <c r="X146" s="69">
        <f t="shared" si="40"/>
        <v>0</v>
      </c>
      <c r="Y146" s="69">
        <f t="shared" si="41"/>
        <v>0</v>
      </c>
      <c r="AA146" s="66"/>
      <c r="AC146" s="84">
        <f t="shared" si="42"/>
        <v>0</v>
      </c>
      <c r="AD146" s="13">
        <v>0</v>
      </c>
      <c r="AE146" s="13">
        <v>0</v>
      </c>
      <c r="AF146" s="13">
        <v>0</v>
      </c>
      <c r="AG146" s="85" t="b">
        <f t="shared" si="43"/>
        <v>1</v>
      </c>
      <c r="AI146" s="84">
        <f t="shared" si="44"/>
        <v>0</v>
      </c>
      <c r="AJ146" s="13">
        <v>0</v>
      </c>
      <c r="AK146" s="13">
        <v>0</v>
      </c>
      <c r="AL146" s="85" t="b">
        <f t="shared" si="45"/>
        <v>1</v>
      </c>
      <c r="AN146" s="66"/>
    </row>
    <row r="147" spans="2:40" ht="13" customHeight="1">
      <c r="B147" s="119"/>
      <c r="C147" s="23">
        <f t="shared" si="36"/>
        <v>2026092</v>
      </c>
      <c r="D147" s="216"/>
      <c r="E147" s="37"/>
      <c r="F147" s="139" t="e">
        <f>VLOOKUP(E147,'Códigos bancos'!$B$3:$D$29,2,0)</f>
        <v>#N/A</v>
      </c>
      <c r="G147" s="138" t="str">
        <f t="shared" si="37"/>
        <v/>
      </c>
      <c r="H147" s="81" t="e">
        <f>VLOOKUP(G147,'Códigos bancos'!$F$3:$G$14,2,0)</f>
        <v>#N/A</v>
      </c>
      <c r="I147" s="139" t="e">
        <f>VLOOKUP(E147,'Códigos bancos'!$B$3:$D$29,3,0)</f>
        <v>#N/A</v>
      </c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82">
        <f t="shared" si="39"/>
        <v>0</v>
      </c>
      <c r="U147" s="83">
        <f t="shared" si="38"/>
        <v>0</v>
      </c>
      <c r="V147" s="36">
        <v>0</v>
      </c>
      <c r="W147" s="36">
        <v>0</v>
      </c>
      <c r="X147" s="69">
        <f t="shared" si="40"/>
        <v>0</v>
      </c>
      <c r="Y147" s="69">
        <f t="shared" si="41"/>
        <v>0</v>
      </c>
      <c r="AA147" s="66"/>
      <c r="AC147" s="84">
        <f t="shared" si="42"/>
        <v>0</v>
      </c>
      <c r="AD147" s="13">
        <v>0</v>
      </c>
      <c r="AE147" s="13">
        <v>0</v>
      </c>
      <c r="AF147" s="13">
        <v>0</v>
      </c>
      <c r="AG147" s="85" t="b">
        <f t="shared" si="43"/>
        <v>1</v>
      </c>
      <c r="AI147" s="84">
        <f t="shared" si="44"/>
        <v>0</v>
      </c>
      <c r="AJ147" s="13">
        <v>0</v>
      </c>
      <c r="AK147" s="13">
        <v>0</v>
      </c>
      <c r="AL147" s="85" t="b">
        <f t="shared" si="45"/>
        <v>1</v>
      </c>
      <c r="AN147" s="66"/>
    </row>
    <row r="148" spans="2:40" ht="13" customHeight="1">
      <c r="B148" s="119"/>
      <c r="C148" s="23">
        <f t="shared" si="36"/>
        <v>2026092</v>
      </c>
      <c r="D148" s="216"/>
      <c r="E148" s="37"/>
      <c r="F148" s="139" t="e">
        <f>VLOOKUP(E148,'Códigos bancos'!$B$3:$D$29,2,0)</f>
        <v>#N/A</v>
      </c>
      <c r="G148" s="138" t="str">
        <f t="shared" si="37"/>
        <v/>
      </c>
      <c r="H148" s="81" t="e">
        <f>VLOOKUP(G148,'Códigos bancos'!$F$3:$G$14,2,0)</f>
        <v>#N/A</v>
      </c>
      <c r="I148" s="139" t="e">
        <f>VLOOKUP(E148,'Códigos bancos'!$B$3:$D$29,3,0)</f>
        <v>#N/A</v>
      </c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82">
        <f t="shared" si="39"/>
        <v>0</v>
      </c>
      <c r="U148" s="83">
        <f t="shared" si="38"/>
        <v>0</v>
      </c>
      <c r="V148" s="36">
        <v>0</v>
      </c>
      <c r="W148" s="36">
        <v>0</v>
      </c>
      <c r="X148" s="69">
        <f t="shared" si="40"/>
        <v>0</v>
      </c>
      <c r="Y148" s="69">
        <f t="shared" si="41"/>
        <v>0</v>
      </c>
      <c r="AA148" s="66"/>
      <c r="AC148" s="84">
        <f t="shared" si="42"/>
        <v>0</v>
      </c>
      <c r="AD148" s="13">
        <v>0</v>
      </c>
      <c r="AE148" s="13">
        <v>0</v>
      </c>
      <c r="AF148" s="13">
        <v>0</v>
      </c>
      <c r="AG148" s="85" t="b">
        <f t="shared" si="43"/>
        <v>1</v>
      </c>
      <c r="AI148" s="84">
        <f t="shared" si="44"/>
        <v>0</v>
      </c>
      <c r="AJ148" s="13">
        <v>0</v>
      </c>
      <c r="AK148" s="13">
        <v>0</v>
      </c>
      <c r="AL148" s="85" t="b">
        <f t="shared" si="45"/>
        <v>1</v>
      </c>
      <c r="AN148" s="66"/>
    </row>
    <row r="149" spans="2:40" ht="13" customHeight="1">
      <c r="B149" s="119"/>
      <c r="C149" s="23">
        <f t="shared" si="36"/>
        <v>2026092</v>
      </c>
      <c r="D149" s="216"/>
      <c r="E149" s="37"/>
      <c r="F149" s="139" t="e">
        <f>VLOOKUP(E149,'Códigos bancos'!$B$3:$D$29,2,0)</f>
        <v>#N/A</v>
      </c>
      <c r="G149" s="138" t="str">
        <f t="shared" si="37"/>
        <v/>
      </c>
      <c r="H149" s="81" t="e">
        <f>VLOOKUP(G149,'Códigos bancos'!$F$3:$G$14,2,0)</f>
        <v>#N/A</v>
      </c>
      <c r="I149" s="139" t="e">
        <f>VLOOKUP(E149,'Códigos bancos'!$B$3:$D$29,3,0)</f>
        <v>#N/A</v>
      </c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82">
        <f t="shared" si="39"/>
        <v>0</v>
      </c>
      <c r="U149" s="83">
        <f t="shared" si="38"/>
        <v>0</v>
      </c>
      <c r="V149" s="36">
        <v>0</v>
      </c>
      <c r="W149" s="7">
        <v>0</v>
      </c>
      <c r="X149" s="69">
        <f t="shared" si="40"/>
        <v>0</v>
      </c>
      <c r="Y149" s="69">
        <f t="shared" si="41"/>
        <v>0</v>
      </c>
      <c r="AA149" s="66"/>
      <c r="AC149" s="84">
        <f t="shared" si="42"/>
        <v>0</v>
      </c>
      <c r="AD149" s="13">
        <v>0</v>
      </c>
      <c r="AE149" s="13">
        <v>0</v>
      </c>
      <c r="AF149" s="13">
        <v>0</v>
      </c>
      <c r="AG149" s="85" t="b">
        <f t="shared" si="43"/>
        <v>1</v>
      </c>
      <c r="AI149" s="84">
        <f t="shared" si="44"/>
        <v>0</v>
      </c>
      <c r="AJ149" s="13">
        <v>0</v>
      </c>
      <c r="AK149" s="13">
        <v>0</v>
      </c>
      <c r="AL149" s="85" t="b">
        <f t="shared" si="45"/>
        <v>1</v>
      </c>
      <c r="AN149" s="66"/>
    </row>
    <row r="150" spans="2:40" ht="13" customHeight="1">
      <c r="B150" s="119"/>
      <c r="C150" s="23">
        <f t="shared" si="36"/>
        <v>2026092</v>
      </c>
      <c r="D150" s="216"/>
      <c r="E150" s="37"/>
      <c r="F150" s="139" t="e">
        <f>VLOOKUP(E150,'Códigos bancos'!$B$3:$D$29,2,0)</f>
        <v>#N/A</v>
      </c>
      <c r="G150" s="138" t="str">
        <f t="shared" si="37"/>
        <v/>
      </c>
      <c r="H150" s="81" t="e">
        <f>VLOOKUP(G150,'Códigos bancos'!$F$3:$G$14,2,0)</f>
        <v>#N/A</v>
      </c>
      <c r="I150" s="139" t="e">
        <f>VLOOKUP(E150,'Códigos bancos'!$B$3:$D$29,3,0)</f>
        <v>#N/A</v>
      </c>
      <c r="J150" s="56"/>
      <c r="K150" s="56"/>
      <c r="L150" s="56"/>
      <c r="M150" s="56"/>
      <c r="N150" s="174"/>
      <c r="O150" s="174"/>
      <c r="P150" s="56"/>
      <c r="Q150" s="56"/>
      <c r="R150" s="56"/>
      <c r="S150" s="56"/>
      <c r="T150" s="82">
        <f t="shared" si="39"/>
        <v>0</v>
      </c>
      <c r="U150" s="83">
        <f t="shared" si="38"/>
        <v>0</v>
      </c>
      <c r="V150" s="36">
        <v>0</v>
      </c>
      <c r="W150" s="36">
        <v>0</v>
      </c>
      <c r="X150" s="69">
        <f t="shared" si="40"/>
        <v>0</v>
      </c>
      <c r="Y150" s="69">
        <f t="shared" si="41"/>
        <v>0</v>
      </c>
      <c r="AA150" s="66"/>
      <c r="AC150" s="84">
        <f t="shared" si="42"/>
        <v>0</v>
      </c>
      <c r="AD150" s="13">
        <v>0</v>
      </c>
      <c r="AE150" s="13">
        <v>0</v>
      </c>
      <c r="AF150" s="13">
        <v>0</v>
      </c>
      <c r="AG150" s="85" t="b">
        <f t="shared" si="43"/>
        <v>1</v>
      </c>
      <c r="AI150" s="84">
        <f t="shared" si="44"/>
        <v>0</v>
      </c>
      <c r="AJ150" s="13">
        <v>0</v>
      </c>
      <c r="AK150" s="13">
        <v>0</v>
      </c>
      <c r="AL150" s="85" t="b">
        <f t="shared" si="45"/>
        <v>1</v>
      </c>
      <c r="AN150" s="66"/>
    </row>
    <row r="151" spans="2:40" ht="13" customHeight="1">
      <c r="B151" s="119"/>
      <c r="C151" s="23">
        <f t="shared" si="36"/>
        <v>2026092</v>
      </c>
      <c r="D151" s="216"/>
      <c r="E151" s="37"/>
      <c r="F151" s="139" t="e">
        <f>VLOOKUP(E151,'Códigos bancos'!$B$3:$D$29,2,0)</f>
        <v>#N/A</v>
      </c>
      <c r="G151" s="138" t="str">
        <f t="shared" si="37"/>
        <v/>
      </c>
      <c r="H151" s="81" t="e">
        <f>VLOOKUP(G151,'Códigos bancos'!$F$3:$G$14,2,0)</f>
        <v>#N/A</v>
      </c>
      <c r="I151" s="139" t="e">
        <f>VLOOKUP(E151,'Códigos bancos'!$B$3:$D$29,3,0)</f>
        <v>#N/A</v>
      </c>
      <c r="J151" s="56"/>
      <c r="K151" s="56"/>
      <c r="L151" s="56"/>
      <c r="M151" s="56"/>
      <c r="N151" s="174"/>
      <c r="O151" s="174"/>
      <c r="P151" s="56"/>
      <c r="Q151" s="56"/>
      <c r="R151" s="56"/>
      <c r="S151" s="56"/>
      <c r="T151" s="82">
        <f t="shared" si="39"/>
        <v>0</v>
      </c>
      <c r="U151" s="83">
        <f t="shared" si="38"/>
        <v>0</v>
      </c>
      <c r="V151" s="36">
        <v>0</v>
      </c>
      <c r="W151" s="36">
        <v>0</v>
      </c>
      <c r="X151" s="69">
        <f t="shared" si="40"/>
        <v>0</v>
      </c>
      <c r="Y151" s="69">
        <f t="shared" si="41"/>
        <v>0</v>
      </c>
      <c r="AA151" s="66"/>
      <c r="AC151" s="84">
        <f t="shared" si="42"/>
        <v>0</v>
      </c>
      <c r="AD151" s="13">
        <v>0</v>
      </c>
      <c r="AE151" s="13">
        <v>0</v>
      </c>
      <c r="AF151" s="13">
        <v>0</v>
      </c>
      <c r="AG151" s="85" t="b">
        <f t="shared" si="43"/>
        <v>1</v>
      </c>
      <c r="AI151" s="84">
        <f t="shared" si="44"/>
        <v>0</v>
      </c>
      <c r="AJ151" s="13">
        <v>0</v>
      </c>
      <c r="AK151" s="13">
        <v>0</v>
      </c>
      <c r="AL151" s="85" t="b">
        <f t="shared" si="45"/>
        <v>1</v>
      </c>
      <c r="AN151" s="66"/>
    </row>
    <row r="152" spans="2:40" ht="13" customHeight="1">
      <c r="B152" s="119"/>
      <c r="C152" s="23">
        <f t="shared" ref="C152:C181" si="48">$C$2</f>
        <v>2026092</v>
      </c>
      <c r="D152" s="216"/>
      <c r="E152" s="37"/>
      <c r="F152" s="139" t="e">
        <f>VLOOKUP(E152,'Códigos bancos'!$B$3:$D$29,2,0)</f>
        <v>#N/A</v>
      </c>
      <c r="G152" s="138" t="str">
        <f t="shared" si="37"/>
        <v/>
      </c>
      <c r="H152" s="81" t="e">
        <f>VLOOKUP(G152,'Códigos bancos'!$F$3:$G$14,2,0)</f>
        <v>#N/A</v>
      </c>
      <c r="I152" s="139" t="e">
        <f>VLOOKUP(E152,'Códigos bancos'!$B$3:$D$29,3,0)</f>
        <v>#N/A</v>
      </c>
      <c r="J152" s="56"/>
      <c r="K152" s="56"/>
      <c r="L152" s="56"/>
      <c r="M152" s="56"/>
      <c r="N152" s="56"/>
      <c r="O152" s="56"/>
      <c r="P152" s="56"/>
      <c r="Q152" s="56"/>
      <c r="R152" s="174"/>
      <c r="S152" s="174"/>
      <c r="T152" s="82">
        <f t="shared" si="39"/>
        <v>0</v>
      </c>
      <c r="U152" s="83">
        <f t="shared" si="38"/>
        <v>0</v>
      </c>
      <c r="V152" s="7">
        <v>0</v>
      </c>
      <c r="W152" s="7">
        <v>0</v>
      </c>
      <c r="X152" s="69">
        <f t="shared" si="40"/>
        <v>0</v>
      </c>
      <c r="Y152" s="69">
        <f t="shared" si="41"/>
        <v>0</v>
      </c>
      <c r="AA152" s="66"/>
      <c r="AC152" s="84">
        <f t="shared" si="42"/>
        <v>0</v>
      </c>
      <c r="AD152" s="13">
        <v>0</v>
      </c>
      <c r="AE152" s="13">
        <v>0</v>
      </c>
      <c r="AF152" s="13">
        <v>0</v>
      </c>
      <c r="AG152" s="85" t="b">
        <f t="shared" si="43"/>
        <v>1</v>
      </c>
      <c r="AI152" s="84">
        <f t="shared" si="44"/>
        <v>0</v>
      </c>
      <c r="AJ152" s="13">
        <v>0</v>
      </c>
      <c r="AK152" s="13">
        <v>0</v>
      </c>
      <c r="AL152" s="85" t="b">
        <f t="shared" si="45"/>
        <v>1</v>
      </c>
      <c r="AN152" s="66"/>
    </row>
    <row r="153" spans="2:40" ht="13" customHeight="1">
      <c r="B153" s="119"/>
      <c r="C153" s="23">
        <f t="shared" si="48"/>
        <v>2026092</v>
      </c>
      <c r="D153" s="216"/>
      <c r="E153" s="37"/>
      <c r="F153" s="139" t="e">
        <f>VLOOKUP(E153,'Códigos bancos'!$B$3:$D$29,2,0)</f>
        <v>#N/A</v>
      </c>
      <c r="G153" s="138" t="str">
        <f t="shared" si="37"/>
        <v/>
      </c>
      <c r="H153" s="81" t="e">
        <f>VLOOKUP(G153,'Códigos bancos'!$F$3:$G$14,2,0)</f>
        <v>#N/A</v>
      </c>
      <c r="I153" s="139" t="e">
        <f>VLOOKUP(E153,'Códigos bancos'!$B$3:$D$29,3,0)</f>
        <v>#N/A</v>
      </c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82">
        <f t="shared" si="39"/>
        <v>0</v>
      </c>
      <c r="U153" s="83">
        <f t="shared" si="38"/>
        <v>0</v>
      </c>
      <c r="V153" s="36">
        <v>0</v>
      </c>
      <c r="W153" s="36">
        <v>0</v>
      </c>
      <c r="X153" s="69">
        <f t="shared" si="40"/>
        <v>0</v>
      </c>
      <c r="Y153" s="69">
        <f t="shared" si="41"/>
        <v>0</v>
      </c>
      <c r="AA153" s="66"/>
      <c r="AC153" s="84">
        <f t="shared" si="42"/>
        <v>0</v>
      </c>
      <c r="AD153" s="13">
        <v>0</v>
      </c>
      <c r="AE153" s="13">
        <v>0</v>
      </c>
      <c r="AF153" s="13">
        <v>0</v>
      </c>
      <c r="AG153" s="85" t="b">
        <f t="shared" si="43"/>
        <v>1</v>
      </c>
      <c r="AI153" s="84">
        <f t="shared" si="44"/>
        <v>0</v>
      </c>
      <c r="AJ153" s="13">
        <v>0</v>
      </c>
      <c r="AK153" s="13">
        <v>0</v>
      </c>
      <c r="AL153" s="85" t="b">
        <f t="shared" si="45"/>
        <v>1</v>
      </c>
      <c r="AN153" s="66"/>
    </row>
    <row r="154" spans="2:40" ht="13" customHeight="1">
      <c r="B154" s="119"/>
      <c r="C154" s="23">
        <f t="shared" si="48"/>
        <v>2026092</v>
      </c>
      <c r="D154" s="216"/>
      <c r="E154" s="37"/>
      <c r="F154" s="139" t="e">
        <f>VLOOKUP(E154,'Códigos bancos'!$B$3:$D$29,2,0)</f>
        <v>#N/A</v>
      </c>
      <c r="G154" s="138" t="str">
        <f t="shared" si="37"/>
        <v/>
      </c>
      <c r="H154" s="81" t="e">
        <f>VLOOKUP(G154,'Códigos bancos'!$F$3:$G$14,2,0)</f>
        <v>#N/A</v>
      </c>
      <c r="I154" s="139" t="e">
        <f>VLOOKUP(E154,'Códigos bancos'!$B$3:$D$29,3,0)</f>
        <v>#N/A</v>
      </c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82">
        <f t="shared" si="39"/>
        <v>0</v>
      </c>
      <c r="U154" s="83">
        <f t="shared" si="38"/>
        <v>0</v>
      </c>
      <c r="V154" s="36">
        <v>0</v>
      </c>
      <c r="W154" s="36">
        <v>0</v>
      </c>
      <c r="X154" s="69">
        <f t="shared" si="40"/>
        <v>0</v>
      </c>
      <c r="Y154" s="69">
        <f t="shared" si="41"/>
        <v>0</v>
      </c>
      <c r="AA154" s="66"/>
      <c r="AC154" s="84">
        <f t="shared" si="42"/>
        <v>0</v>
      </c>
      <c r="AD154" s="13">
        <v>0</v>
      </c>
      <c r="AE154" s="13">
        <v>0</v>
      </c>
      <c r="AF154" s="13">
        <v>0</v>
      </c>
      <c r="AG154" s="85" t="b">
        <f t="shared" si="43"/>
        <v>1</v>
      </c>
      <c r="AI154" s="84">
        <f t="shared" si="44"/>
        <v>0</v>
      </c>
      <c r="AJ154" s="13">
        <v>0</v>
      </c>
      <c r="AK154" s="13">
        <v>0</v>
      </c>
      <c r="AL154" s="85" t="b">
        <f t="shared" si="45"/>
        <v>1</v>
      </c>
      <c r="AN154" s="66"/>
    </row>
    <row r="155" spans="2:40" ht="13" customHeight="1">
      <c r="B155" s="119"/>
      <c r="C155" s="23">
        <f t="shared" si="48"/>
        <v>2026092</v>
      </c>
      <c r="D155" s="216"/>
      <c r="E155" s="37"/>
      <c r="F155" s="139" t="e">
        <f>VLOOKUP(E155,'Códigos bancos'!$B$3:$D$29,2,0)</f>
        <v>#N/A</v>
      </c>
      <c r="G155" s="138" t="str">
        <f t="shared" si="37"/>
        <v/>
      </c>
      <c r="H155" s="81" t="e">
        <f>VLOOKUP(G155,'Códigos bancos'!$F$3:$G$14,2,0)</f>
        <v>#N/A</v>
      </c>
      <c r="I155" s="139" t="e">
        <f>VLOOKUP(E155,'Códigos bancos'!$B$3:$D$29,3,0)</f>
        <v>#N/A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82">
        <f t="shared" si="39"/>
        <v>0</v>
      </c>
      <c r="U155" s="83">
        <f t="shared" si="38"/>
        <v>0</v>
      </c>
      <c r="V155" s="36">
        <v>0</v>
      </c>
      <c r="W155" s="36">
        <v>0</v>
      </c>
      <c r="X155" s="69">
        <f t="shared" si="40"/>
        <v>0</v>
      </c>
      <c r="Y155" s="69">
        <f t="shared" si="41"/>
        <v>0</v>
      </c>
      <c r="AA155" s="66"/>
      <c r="AC155" s="84">
        <f t="shared" si="42"/>
        <v>0</v>
      </c>
      <c r="AD155" s="13">
        <v>0</v>
      </c>
      <c r="AE155" s="13">
        <v>0</v>
      </c>
      <c r="AF155" s="13">
        <v>0</v>
      </c>
      <c r="AG155" s="85" t="b">
        <f t="shared" si="43"/>
        <v>1</v>
      </c>
      <c r="AI155" s="84">
        <f t="shared" si="44"/>
        <v>0</v>
      </c>
      <c r="AJ155" s="13">
        <v>0</v>
      </c>
      <c r="AK155" s="13">
        <v>0</v>
      </c>
      <c r="AL155" s="85" t="b">
        <f t="shared" si="45"/>
        <v>1</v>
      </c>
      <c r="AN155" s="66"/>
    </row>
    <row r="156" spans="2:40" ht="13" customHeight="1">
      <c r="B156" s="119"/>
      <c r="C156" s="23">
        <f t="shared" si="48"/>
        <v>2026092</v>
      </c>
      <c r="D156" s="216"/>
      <c r="E156" s="37"/>
      <c r="F156" s="139" t="e">
        <f>VLOOKUP(E156,'Códigos bancos'!$B$3:$D$29,2,0)</f>
        <v>#N/A</v>
      </c>
      <c r="G156" s="138" t="str">
        <f t="shared" si="37"/>
        <v/>
      </c>
      <c r="H156" s="81" t="e">
        <f>VLOOKUP(G156,'Códigos bancos'!$F$3:$G$14,2,0)</f>
        <v>#N/A</v>
      </c>
      <c r="I156" s="139" t="e">
        <f>VLOOKUP(E156,'Códigos bancos'!$B$3:$D$29,3,0)</f>
        <v>#N/A</v>
      </c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82">
        <f t="shared" si="39"/>
        <v>0</v>
      </c>
      <c r="U156" s="83">
        <f t="shared" si="38"/>
        <v>0</v>
      </c>
      <c r="V156" s="36">
        <v>0</v>
      </c>
      <c r="W156" s="36">
        <v>0</v>
      </c>
      <c r="X156" s="69">
        <f t="shared" si="40"/>
        <v>0</v>
      </c>
      <c r="Y156" s="69">
        <f t="shared" si="41"/>
        <v>0</v>
      </c>
      <c r="AA156" s="66"/>
      <c r="AC156" s="84">
        <f t="shared" si="42"/>
        <v>0</v>
      </c>
      <c r="AD156" s="13">
        <v>0</v>
      </c>
      <c r="AE156" s="13">
        <v>0</v>
      </c>
      <c r="AF156" s="13">
        <v>0</v>
      </c>
      <c r="AG156" s="85" t="b">
        <f t="shared" si="43"/>
        <v>1</v>
      </c>
      <c r="AI156" s="84">
        <f t="shared" si="44"/>
        <v>0</v>
      </c>
      <c r="AJ156" s="13">
        <v>0</v>
      </c>
      <c r="AK156" s="13">
        <v>0</v>
      </c>
      <c r="AL156" s="85" t="b">
        <f t="shared" si="45"/>
        <v>1</v>
      </c>
      <c r="AN156" s="66"/>
    </row>
    <row r="157" spans="2:40" ht="13" customHeight="1">
      <c r="B157" s="119"/>
      <c r="C157" s="23">
        <f t="shared" si="48"/>
        <v>2026092</v>
      </c>
      <c r="D157" s="216"/>
      <c r="E157" s="37"/>
      <c r="F157" s="139" t="e">
        <f>VLOOKUP(E157,'Códigos bancos'!$B$3:$D$29,2,0)</f>
        <v>#N/A</v>
      </c>
      <c r="G157" s="138" t="str">
        <f t="shared" si="37"/>
        <v/>
      </c>
      <c r="H157" s="81" t="e">
        <f>VLOOKUP(G157,'Códigos bancos'!$F$3:$G$14,2,0)</f>
        <v>#N/A</v>
      </c>
      <c r="I157" s="139" t="e">
        <f>VLOOKUP(E157,'Códigos bancos'!$B$3:$D$29,3,0)</f>
        <v>#N/A</v>
      </c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82">
        <f t="shared" si="39"/>
        <v>0</v>
      </c>
      <c r="U157" s="83">
        <f t="shared" si="38"/>
        <v>0</v>
      </c>
      <c r="V157" s="36">
        <v>0</v>
      </c>
      <c r="W157" s="36">
        <v>0</v>
      </c>
      <c r="X157" s="69">
        <f t="shared" si="40"/>
        <v>0</v>
      </c>
      <c r="Y157" s="69">
        <f t="shared" si="41"/>
        <v>0</v>
      </c>
      <c r="AA157" s="66"/>
      <c r="AC157" s="84">
        <f t="shared" si="42"/>
        <v>0</v>
      </c>
      <c r="AD157" s="13">
        <v>0</v>
      </c>
      <c r="AE157" s="13">
        <v>0</v>
      </c>
      <c r="AF157" s="13">
        <v>0</v>
      </c>
      <c r="AG157" s="85" t="b">
        <f t="shared" si="43"/>
        <v>1</v>
      </c>
      <c r="AI157" s="84">
        <f t="shared" si="44"/>
        <v>0</v>
      </c>
      <c r="AJ157" s="13">
        <v>0</v>
      </c>
      <c r="AK157" s="13">
        <v>0</v>
      </c>
      <c r="AL157" s="85" t="b">
        <f t="shared" si="45"/>
        <v>1</v>
      </c>
      <c r="AN157" s="66"/>
    </row>
    <row r="158" spans="2:40" ht="13" customHeight="1">
      <c r="B158" s="119"/>
      <c r="C158" s="23">
        <f t="shared" si="48"/>
        <v>2026092</v>
      </c>
      <c r="D158" s="216"/>
      <c r="E158" s="37"/>
      <c r="F158" s="139" t="e">
        <f>VLOOKUP(E158,'Códigos bancos'!$B$3:$D$29,2,0)</f>
        <v>#N/A</v>
      </c>
      <c r="G158" s="138" t="str">
        <f t="shared" si="37"/>
        <v/>
      </c>
      <c r="H158" s="81" t="e">
        <f>VLOOKUP(G158,'Códigos bancos'!$F$3:$G$14,2,0)</f>
        <v>#N/A</v>
      </c>
      <c r="I158" s="139" t="e">
        <f>VLOOKUP(E158,'Códigos bancos'!$B$3:$D$29,3,0)</f>
        <v>#N/A</v>
      </c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82">
        <f t="shared" si="39"/>
        <v>0</v>
      </c>
      <c r="U158" s="83">
        <f t="shared" si="38"/>
        <v>0</v>
      </c>
      <c r="V158" s="36">
        <v>0</v>
      </c>
      <c r="W158" s="36">
        <v>0</v>
      </c>
      <c r="X158" s="69">
        <f t="shared" si="40"/>
        <v>0</v>
      </c>
      <c r="Y158" s="69">
        <f t="shared" si="41"/>
        <v>0</v>
      </c>
      <c r="AA158" s="66"/>
      <c r="AC158" s="84">
        <f t="shared" si="42"/>
        <v>0</v>
      </c>
      <c r="AD158" s="13">
        <v>0</v>
      </c>
      <c r="AE158" s="13">
        <v>0</v>
      </c>
      <c r="AF158" s="13">
        <v>0</v>
      </c>
      <c r="AG158" s="85" t="b">
        <f t="shared" si="43"/>
        <v>1</v>
      </c>
      <c r="AI158" s="84">
        <f t="shared" si="44"/>
        <v>0</v>
      </c>
      <c r="AJ158" s="13">
        <v>0</v>
      </c>
      <c r="AK158" s="13">
        <v>0</v>
      </c>
      <c r="AL158" s="85" t="b">
        <f t="shared" si="45"/>
        <v>1</v>
      </c>
      <c r="AN158" s="66"/>
    </row>
    <row r="159" spans="2:40" ht="13" customHeight="1">
      <c r="B159" s="119"/>
      <c r="C159" s="23">
        <f t="shared" si="48"/>
        <v>2026092</v>
      </c>
      <c r="D159" s="216"/>
      <c r="E159" s="37"/>
      <c r="F159" s="139" t="e">
        <f>VLOOKUP(E159,'Códigos bancos'!$B$3:$D$29,2,0)</f>
        <v>#N/A</v>
      </c>
      <c r="G159" s="138" t="str">
        <f t="shared" si="37"/>
        <v/>
      </c>
      <c r="H159" s="81" t="e">
        <f>VLOOKUP(G159,'Códigos bancos'!$F$3:$G$14,2,0)</f>
        <v>#N/A</v>
      </c>
      <c r="I159" s="139" t="e">
        <f>VLOOKUP(E159,'Códigos bancos'!$B$3:$D$29,3,0)</f>
        <v>#N/A</v>
      </c>
      <c r="J159" s="56"/>
      <c r="K159" s="230"/>
      <c r="L159" s="56"/>
      <c r="M159" s="56"/>
      <c r="N159" s="56"/>
      <c r="O159" s="56"/>
      <c r="P159" s="56"/>
      <c r="Q159" s="56"/>
      <c r="R159" s="56"/>
      <c r="S159" s="56"/>
      <c r="T159" s="82">
        <f t="shared" si="39"/>
        <v>0</v>
      </c>
      <c r="U159" s="83">
        <f t="shared" si="38"/>
        <v>0</v>
      </c>
      <c r="V159" s="36">
        <v>0</v>
      </c>
      <c r="W159" s="36">
        <v>0</v>
      </c>
      <c r="X159" s="69">
        <f t="shared" si="40"/>
        <v>0</v>
      </c>
      <c r="Y159" s="69">
        <f t="shared" si="41"/>
        <v>0</v>
      </c>
      <c r="AA159" s="66"/>
      <c r="AC159" s="84">
        <f t="shared" si="42"/>
        <v>0</v>
      </c>
      <c r="AD159" s="13">
        <v>0</v>
      </c>
      <c r="AE159" s="13">
        <v>0</v>
      </c>
      <c r="AF159" s="13">
        <v>0</v>
      </c>
      <c r="AG159" s="85" t="b">
        <f t="shared" si="43"/>
        <v>1</v>
      </c>
      <c r="AI159" s="84">
        <f t="shared" si="44"/>
        <v>0</v>
      </c>
      <c r="AJ159" s="13">
        <v>0</v>
      </c>
      <c r="AK159" s="13">
        <v>0</v>
      </c>
      <c r="AL159" s="85" t="b">
        <f t="shared" si="45"/>
        <v>1</v>
      </c>
      <c r="AN159" s="66"/>
    </row>
    <row r="160" spans="2:40" ht="13" customHeight="1">
      <c r="B160" s="119"/>
      <c r="C160" s="23">
        <f t="shared" si="48"/>
        <v>2026092</v>
      </c>
      <c r="D160" s="216"/>
      <c r="E160" s="37"/>
      <c r="F160" s="139" t="e">
        <f>VLOOKUP(E160,'Códigos bancos'!$B$3:$D$29,2,0)</f>
        <v>#N/A</v>
      </c>
      <c r="G160" s="138" t="str">
        <f t="shared" si="37"/>
        <v/>
      </c>
      <c r="H160" s="81" t="e">
        <f>VLOOKUP(G160,'Códigos bancos'!$F$3:$G$14,2,0)</f>
        <v>#N/A</v>
      </c>
      <c r="I160" s="139" t="e">
        <f>VLOOKUP(E160,'Códigos bancos'!$B$3:$D$29,3,0)</f>
        <v>#N/A</v>
      </c>
      <c r="J160" s="56"/>
      <c r="K160" s="230"/>
      <c r="L160" s="56"/>
      <c r="M160" s="56"/>
      <c r="N160" s="56"/>
      <c r="O160" s="56"/>
      <c r="P160" s="56"/>
      <c r="Q160" s="56"/>
      <c r="R160" s="56"/>
      <c r="S160" s="56"/>
      <c r="T160" s="82">
        <f>J160+L160+N160+P160+R160</f>
        <v>0</v>
      </c>
      <c r="U160" s="83">
        <f>K160+M160+O160+Q160+S160</f>
        <v>0</v>
      </c>
      <c r="V160" s="36">
        <v>0</v>
      </c>
      <c r="W160" s="36">
        <v>0</v>
      </c>
      <c r="X160" s="69">
        <f>V160-T160</f>
        <v>0</v>
      </c>
      <c r="Y160" s="69">
        <f>W160-U160</f>
        <v>0</v>
      </c>
      <c r="AA160" s="66"/>
      <c r="AC160" s="84">
        <f>X160</f>
        <v>0</v>
      </c>
      <c r="AD160" s="13">
        <v>0</v>
      </c>
      <c r="AE160" s="13">
        <v>0</v>
      </c>
      <c r="AF160" s="13">
        <v>0</v>
      </c>
      <c r="AG160" s="85" t="b">
        <f>AC160=(AD160+AE160+AF160)</f>
        <v>1</v>
      </c>
      <c r="AI160" s="84">
        <f>Y160</f>
        <v>0</v>
      </c>
      <c r="AJ160" s="13">
        <v>0</v>
      </c>
      <c r="AK160" s="13">
        <v>0</v>
      </c>
      <c r="AL160" s="85" t="b">
        <f>AI160=(AJ160+AK160)</f>
        <v>1</v>
      </c>
      <c r="AN160" s="66"/>
    </row>
    <row r="161" spans="2:40" ht="13" customHeight="1">
      <c r="B161" s="119"/>
      <c r="C161" s="23">
        <f t="shared" si="48"/>
        <v>2026092</v>
      </c>
      <c r="D161" s="216"/>
      <c r="E161" s="37"/>
      <c r="F161" s="139" t="e">
        <f>VLOOKUP(E161,'Códigos bancos'!$B$3:$D$29,2,0)</f>
        <v>#N/A</v>
      </c>
      <c r="G161" s="138" t="str">
        <f t="shared" si="37"/>
        <v/>
      </c>
      <c r="H161" s="81" t="e">
        <f>VLOOKUP(G161,'Códigos bancos'!$F$3:$G$14,2,0)</f>
        <v>#N/A</v>
      </c>
      <c r="I161" s="139" t="e">
        <f>VLOOKUP(E161,'Códigos bancos'!$B$3:$D$29,3,0)</f>
        <v>#N/A</v>
      </c>
      <c r="J161" s="56"/>
      <c r="K161" s="56"/>
      <c r="L161" s="56"/>
      <c r="M161" s="56"/>
      <c r="N161" s="174"/>
      <c r="O161" s="174"/>
      <c r="P161" s="56"/>
      <c r="Q161" s="56"/>
      <c r="R161" s="56"/>
      <c r="S161" s="56"/>
      <c r="T161" s="82">
        <f t="shared" si="39"/>
        <v>0</v>
      </c>
      <c r="U161" s="83">
        <f t="shared" si="38"/>
        <v>0</v>
      </c>
      <c r="V161" s="36">
        <v>0</v>
      </c>
      <c r="W161" s="36">
        <v>0</v>
      </c>
      <c r="X161" s="69">
        <f t="shared" si="40"/>
        <v>0</v>
      </c>
      <c r="Y161" s="69">
        <f t="shared" si="41"/>
        <v>0</v>
      </c>
      <c r="AA161" s="66"/>
      <c r="AC161" s="84">
        <f t="shared" si="42"/>
        <v>0</v>
      </c>
      <c r="AD161" s="13">
        <v>0</v>
      </c>
      <c r="AE161" s="13">
        <v>0</v>
      </c>
      <c r="AF161" s="13">
        <v>0</v>
      </c>
      <c r="AG161" s="85" t="b">
        <f t="shared" si="43"/>
        <v>1</v>
      </c>
      <c r="AI161" s="84">
        <f t="shared" si="44"/>
        <v>0</v>
      </c>
      <c r="AJ161" s="13">
        <v>0</v>
      </c>
      <c r="AK161" s="13">
        <v>0</v>
      </c>
      <c r="AL161" s="85" t="b">
        <f t="shared" si="45"/>
        <v>1</v>
      </c>
      <c r="AN161" s="66"/>
    </row>
    <row r="162" spans="2:40" ht="13" customHeight="1">
      <c r="B162" s="119"/>
      <c r="C162" s="23">
        <f t="shared" si="48"/>
        <v>2026092</v>
      </c>
      <c r="D162" s="216"/>
      <c r="E162" s="37"/>
      <c r="F162" s="139" t="e">
        <f>VLOOKUP(E162,'Códigos bancos'!$B$3:$D$29,2,0)</f>
        <v>#N/A</v>
      </c>
      <c r="G162" s="138" t="str">
        <f t="shared" si="37"/>
        <v/>
      </c>
      <c r="H162" s="81" t="e">
        <f>VLOOKUP(G162,'Códigos bancos'!$F$3:$G$14,2,0)</f>
        <v>#N/A</v>
      </c>
      <c r="I162" s="139" t="e">
        <f>VLOOKUP(E162,'Códigos bancos'!$B$3:$D$29,3,0)</f>
        <v>#N/A</v>
      </c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82">
        <f t="shared" si="39"/>
        <v>0</v>
      </c>
      <c r="U162" s="83">
        <f t="shared" si="38"/>
        <v>0</v>
      </c>
      <c r="V162" s="36">
        <v>0</v>
      </c>
      <c r="W162" s="36">
        <v>0</v>
      </c>
      <c r="X162" s="69">
        <f t="shared" si="40"/>
        <v>0</v>
      </c>
      <c r="Y162" s="69">
        <f t="shared" si="41"/>
        <v>0</v>
      </c>
      <c r="AA162" s="66"/>
      <c r="AC162" s="84">
        <f t="shared" si="42"/>
        <v>0</v>
      </c>
      <c r="AD162" s="13">
        <v>0</v>
      </c>
      <c r="AE162" s="13">
        <v>0</v>
      </c>
      <c r="AF162" s="13">
        <v>0</v>
      </c>
      <c r="AG162" s="85" t="b">
        <f t="shared" si="43"/>
        <v>1</v>
      </c>
      <c r="AI162" s="84">
        <f t="shared" si="44"/>
        <v>0</v>
      </c>
      <c r="AJ162" s="13">
        <v>0</v>
      </c>
      <c r="AK162" s="13">
        <v>0</v>
      </c>
      <c r="AL162" s="85" t="b">
        <f t="shared" si="45"/>
        <v>1</v>
      </c>
      <c r="AN162" s="66"/>
    </row>
    <row r="163" spans="2:40" ht="13" customHeight="1">
      <c r="B163" s="119"/>
      <c r="C163" s="23">
        <f t="shared" si="48"/>
        <v>2026092</v>
      </c>
      <c r="D163" s="216"/>
      <c r="E163" s="37"/>
      <c r="F163" s="139" t="e">
        <f>VLOOKUP(E163,'Códigos bancos'!$B$3:$D$29,2,0)</f>
        <v>#N/A</v>
      </c>
      <c r="G163" s="138" t="str">
        <f t="shared" si="37"/>
        <v/>
      </c>
      <c r="H163" s="81" t="e">
        <f>VLOOKUP(G163,'Códigos bancos'!$F$3:$G$14,2,0)</f>
        <v>#N/A</v>
      </c>
      <c r="I163" s="139" t="e">
        <f>VLOOKUP(E163,'Códigos bancos'!$B$3:$D$29,3,0)</f>
        <v>#N/A</v>
      </c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82">
        <f t="shared" si="39"/>
        <v>0</v>
      </c>
      <c r="U163" s="83">
        <f t="shared" si="38"/>
        <v>0</v>
      </c>
      <c r="V163" s="36">
        <v>0</v>
      </c>
      <c r="W163" s="36">
        <v>0</v>
      </c>
      <c r="X163" s="69">
        <f t="shared" si="40"/>
        <v>0</v>
      </c>
      <c r="Y163" s="69">
        <f t="shared" si="41"/>
        <v>0</v>
      </c>
      <c r="AA163" s="66"/>
      <c r="AC163" s="84">
        <f t="shared" si="42"/>
        <v>0</v>
      </c>
      <c r="AD163" s="13">
        <v>0</v>
      </c>
      <c r="AE163" s="13">
        <v>0</v>
      </c>
      <c r="AF163" s="13">
        <v>0</v>
      </c>
      <c r="AG163" s="85" t="b">
        <f t="shared" si="43"/>
        <v>1</v>
      </c>
      <c r="AI163" s="84">
        <f t="shared" si="44"/>
        <v>0</v>
      </c>
      <c r="AJ163" s="13">
        <v>0</v>
      </c>
      <c r="AK163" s="13">
        <v>0</v>
      </c>
      <c r="AL163" s="85" t="b">
        <f t="shared" si="45"/>
        <v>1</v>
      </c>
      <c r="AN163" s="66"/>
    </row>
    <row r="164" spans="2:40" ht="13" customHeight="1">
      <c r="B164" s="119"/>
      <c r="C164" s="23">
        <f t="shared" si="48"/>
        <v>2026092</v>
      </c>
      <c r="D164" s="216"/>
      <c r="E164" s="37"/>
      <c r="F164" s="139" t="e">
        <f>VLOOKUP(E164,'Códigos bancos'!$B$3:$D$29,2,0)</f>
        <v>#N/A</v>
      </c>
      <c r="G164" s="138" t="str">
        <f t="shared" si="37"/>
        <v/>
      </c>
      <c r="H164" s="81" t="e">
        <f>VLOOKUP(G164,'Códigos bancos'!$F$3:$G$14,2,0)</f>
        <v>#N/A</v>
      </c>
      <c r="I164" s="139" t="e">
        <f>VLOOKUP(E164,'Códigos bancos'!$B$3:$D$29,3,0)</f>
        <v>#N/A</v>
      </c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82">
        <f t="shared" si="39"/>
        <v>0</v>
      </c>
      <c r="U164" s="83">
        <f t="shared" si="38"/>
        <v>0</v>
      </c>
      <c r="V164" s="36">
        <v>0</v>
      </c>
      <c r="W164" s="36">
        <v>0</v>
      </c>
      <c r="X164" s="69">
        <f t="shared" si="40"/>
        <v>0</v>
      </c>
      <c r="Y164" s="69">
        <f t="shared" si="41"/>
        <v>0</v>
      </c>
      <c r="AA164" s="66"/>
      <c r="AC164" s="84">
        <f t="shared" si="42"/>
        <v>0</v>
      </c>
      <c r="AD164" s="13">
        <v>0</v>
      </c>
      <c r="AE164" s="13">
        <v>0</v>
      </c>
      <c r="AF164" s="13">
        <v>0</v>
      </c>
      <c r="AG164" s="85" t="b">
        <f t="shared" si="43"/>
        <v>1</v>
      </c>
      <c r="AI164" s="84">
        <f t="shared" si="44"/>
        <v>0</v>
      </c>
      <c r="AJ164" s="13">
        <v>0</v>
      </c>
      <c r="AK164" s="13">
        <v>0</v>
      </c>
      <c r="AL164" s="85" t="b">
        <f t="shared" si="45"/>
        <v>1</v>
      </c>
      <c r="AN164" s="66"/>
    </row>
    <row r="165" spans="2:40" ht="13" customHeight="1">
      <c r="B165" s="119"/>
      <c r="C165" s="23">
        <f t="shared" si="48"/>
        <v>2026092</v>
      </c>
      <c r="D165" s="216"/>
      <c r="E165" s="37"/>
      <c r="F165" s="139" t="e">
        <f>VLOOKUP(E165,'Códigos bancos'!$B$3:$D$29,2,0)</f>
        <v>#N/A</v>
      </c>
      <c r="G165" s="138" t="str">
        <f t="shared" si="37"/>
        <v/>
      </c>
      <c r="H165" s="81" t="e">
        <f>VLOOKUP(G165,'Códigos bancos'!$F$3:$G$14,2,0)</f>
        <v>#N/A</v>
      </c>
      <c r="I165" s="139" t="e">
        <f>VLOOKUP(E165,'Códigos bancos'!$B$3:$D$29,3,0)</f>
        <v>#N/A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82">
        <f t="shared" si="39"/>
        <v>0</v>
      </c>
      <c r="U165" s="83">
        <f t="shared" si="38"/>
        <v>0</v>
      </c>
      <c r="V165" s="36">
        <v>0</v>
      </c>
      <c r="W165" s="36">
        <v>0</v>
      </c>
      <c r="X165" s="69">
        <f t="shared" si="40"/>
        <v>0</v>
      </c>
      <c r="Y165" s="69">
        <f t="shared" si="41"/>
        <v>0</v>
      </c>
      <c r="AA165" s="66"/>
      <c r="AC165" s="84">
        <f t="shared" si="42"/>
        <v>0</v>
      </c>
      <c r="AD165" s="13">
        <v>0</v>
      </c>
      <c r="AE165" s="13">
        <v>0</v>
      </c>
      <c r="AF165" s="13">
        <v>0</v>
      </c>
      <c r="AG165" s="85" t="b">
        <f t="shared" si="43"/>
        <v>1</v>
      </c>
      <c r="AI165" s="84">
        <f t="shared" si="44"/>
        <v>0</v>
      </c>
      <c r="AJ165" s="13">
        <v>0</v>
      </c>
      <c r="AK165" s="13">
        <v>0</v>
      </c>
      <c r="AL165" s="85" t="b">
        <f t="shared" si="45"/>
        <v>1</v>
      </c>
      <c r="AN165" s="66"/>
    </row>
    <row r="166" spans="2:40" ht="13" customHeight="1">
      <c r="B166" s="119"/>
      <c r="C166" s="23">
        <f t="shared" si="48"/>
        <v>2026092</v>
      </c>
      <c r="D166" s="216"/>
      <c r="E166" s="37"/>
      <c r="F166" s="139" t="e">
        <f>VLOOKUP(E166,'Códigos bancos'!$B$3:$D$29,2,0)</f>
        <v>#N/A</v>
      </c>
      <c r="G166" s="138" t="str">
        <f t="shared" si="37"/>
        <v/>
      </c>
      <c r="H166" s="81" t="e">
        <f>VLOOKUP(G166,'Códigos bancos'!$F$3:$G$14,2,0)</f>
        <v>#N/A</v>
      </c>
      <c r="I166" s="139" t="e">
        <f>VLOOKUP(E166,'Códigos bancos'!$B$3:$D$29,3,0)</f>
        <v>#N/A</v>
      </c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82">
        <f t="shared" si="39"/>
        <v>0</v>
      </c>
      <c r="U166" s="83">
        <f t="shared" si="38"/>
        <v>0</v>
      </c>
      <c r="V166" s="36">
        <v>0</v>
      </c>
      <c r="W166" s="36">
        <v>0</v>
      </c>
      <c r="X166" s="69">
        <f t="shared" si="40"/>
        <v>0</v>
      </c>
      <c r="Y166" s="69">
        <f t="shared" si="41"/>
        <v>0</v>
      </c>
      <c r="AA166" s="66"/>
      <c r="AC166" s="84">
        <f t="shared" si="42"/>
        <v>0</v>
      </c>
      <c r="AD166" s="13">
        <v>0</v>
      </c>
      <c r="AE166" s="13">
        <v>0</v>
      </c>
      <c r="AF166" s="13">
        <v>0</v>
      </c>
      <c r="AG166" s="85" t="b">
        <f t="shared" si="43"/>
        <v>1</v>
      </c>
      <c r="AI166" s="84">
        <f t="shared" si="44"/>
        <v>0</v>
      </c>
      <c r="AJ166" s="13">
        <v>0</v>
      </c>
      <c r="AK166" s="13">
        <v>0</v>
      </c>
      <c r="AL166" s="85" t="b">
        <f t="shared" si="45"/>
        <v>1</v>
      </c>
      <c r="AN166" s="66"/>
    </row>
    <row r="167" spans="2:40" ht="13" customHeight="1">
      <c r="B167" s="119"/>
      <c r="C167" s="23">
        <f t="shared" si="48"/>
        <v>2026092</v>
      </c>
      <c r="D167" s="216"/>
      <c r="E167" s="37"/>
      <c r="F167" s="139" t="e">
        <f>VLOOKUP(E167,'Códigos bancos'!$B$3:$D$29,2,0)</f>
        <v>#N/A</v>
      </c>
      <c r="G167" s="138" t="str">
        <f t="shared" si="37"/>
        <v/>
      </c>
      <c r="H167" s="81" t="e">
        <f>VLOOKUP(G167,'Códigos bancos'!$F$3:$G$14,2,0)</f>
        <v>#N/A</v>
      </c>
      <c r="I167" s="139" t="e">
        <f>VLOOKUP(E167,'Códigos bancos'!$B$3:$D$29,3,0)</f>
        <v>#N/A</v>
      </c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82">
        <f t="shared" si="39"/>
        <v>0</v>
      </c>
      <c r="U167" s="83">
        <f t="shared" si="38"/>
        <v>0</v>
      </c>
      <c r="V167" s="36">
        <v>0</v>
      </c>
      <c r="W167" s="36">
        <v>0</v>
      </c>
      <c r="X167" s="69">
        <f t="shared" si="40"/>
        <v>0</v>
      </c>
      <c r="Y167" s="69">
        <f t="shared" si="41"/>
        <v>0</v>
      </c>
      <c r="AA167" s="66"/>
      <c r="AC167" s="84">
        <f t="shared" si="42"/>
        <v>0</v>
      </c>
      <c r="AD167" s="13">
        <v>0</v>
      </c>
      <c r="AE167" s="13">
        <v>0</v>
      </c>
      <c r="AF167" s="13">
        <v>0</v>
      </c>
      <c r="AG167" s="85" t="b">
        <f t="shared" si="43"/>
        <v>1</v>
      </c>
      <c r="AI167" s="84">
        <f t="shared" si="44"/>
        <v>0</v>
      </c>
      <c r="AJ167" s="13">
        <v>0</v>
      </c>
      <c r="AK167" s="13">
        <v>0</v>
      </c>
      <c r="AL167" s="85" t="b">
        <f t="shared" si="45"/>
        <v>1</v>
      </c>
      <c r="AN167" s="66"/>
    </row>
    <row r="168" spans="2:40" ht="13" customHeight="1">
      <c r="B168" s="119"/>
      <c r="C168" s="23">
        <f t="shared" si="48"/>
        <v>2026092</v>
      </c>
      <c r="D168" s="216"/>
      <c r="E168" s="37"/>
      <c r="F168" s="139" t="e">
        <f>VLOOKUP(E168,'Códigos bancos'!$B$3:$D$29,2,0)</f>
        <v>#N/A</v>
      </c>
      <c r="G168" s="138" t="str">
        <f t="shared" si="37"/>
        <v/>
      </c>
      <c r="H168" s="81" t="e">
        <f>VLOOKUP(G168,'Códigos bancos'!$F$3:$G$14,2,0)</f>
        <v>#N/A</v>
      </c>
      <c r="I168" s="139" t="e">
        <f>VLOOKUP(E168,'Códigos bancos'!$B$3:$D$29,3,0)</f>
        <v>#N/A</v>
      </c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82">
        <f t="shared" si="39"/>
        <v>0</v>
      </c>
      <c r="U168" s="83">
        <f t="shared" si="38"/>
        <v>0</v>
      </c>
      <c r="V168" s="36">
        <v>0</v>
      </c>
      <c r="W168" s="36">
        <v>0</v>
      </c>
      <c r="X168" s="69">
        <f t="shared" si="40"/>
        <v>0</v>
      </c>
      <c r="Y168" s="69">
        <f t="shared" si="41"/>
        <v>0</v>
      </c>
      <c r="AA168" s="66"/>
      <c r="AC168" s="84">
        <f t="shared" si="42"/>
        <v>0</v>
      </c>
      <c r="AD168" s="13">
        <v>0</v>
      </c>
      <c r="AE168" s="13">
        <v>0</v>
      </c>
      <c r="AF168" s="13">
        <v>0</v>
      </c>
      <c r="AG168" s="85" t="b">
        <f t="shared" si="43"/>
        <v>1</v>
      </c>
      <c r="AI168" s="84">
        <f t="shared" si="44"/>
        <v>0</v>
      </c>
      <c r="AJ168" s="13">
        <v>0</v>
      </c>
      <c r="AK168" s="13">
        <v>0</v>
      </c>
      <c r="AL168" s="85" t="b">
        <f t="shared" si="45"/>
        <v>1</v>
      </c>
      <c r="AN168" s="66"/>
    </row>
    <row r="169" spans="2:40" ht="13" customHeight="1">
      <c r="B169" s="119"/>
      <c r="C169" s="23">
        <f t="shared" si="48"/>
        <v>2026092</v>
      </c>
      <c r="D169" s="216"/>
      <c r="E169" s="37"/>
      <c r="F169" s="139" t="e">
        <f>VLOOKUP(E169,'Códigos bancos'!$B$3:$D$29,2,0)</f>
        <v>#N/A</v>
      </c>
      <c r="G169" s="138" t="str">
        <f t="shared" si="37"/>
        <v/>
      </c>
      <c r="H169" s="81" t="e">
        <f>VLOOKUP(G169,'Códigos bancos'!$F$3:$G$14,2,0)</f>
        <v>#N/A</v>
      </c>
      <c r="I169" s="139" t="e">
        <f>VLOOKUP(E169,'Códigos bancos'!$B$3:$D$29,3,0)</f>
        <v>#N/A</v>
      </c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82">
        <f t="shared" si="39"/>
        <v>0</v>
      </c>
      <c r="U169" s="83">
        <f t="shared" si="38"/>
        <v>0</v>
      </c>
      <c r="V169" s="36">
        <v>0</v>
      </c>
      <c r="W169" s="36">
        <v>0</v>
      </c>
      <c r="X169" s="69">
        <f t="shared" si="40"/>
        <v>0</v>
      </c>
      <c r="Y169" s="69">
        <f t="shared" si="41"/>
        <v>0</v>
      </c>
      <c r="AA169" s="66"/>
      <c r="AC169" s="84">
        <f t="shared" si="42"/>
        <v>0</v>
      </c>
      <c r="AD169" s="13">
        <v>0</v>
      </c>
      <c r="AE169" s="13">
        <v>0</v>
      </c>
      <c r="AF169" s="13">
        <v>0</v>
      </c>
      <c r="AG169" s="85" t="b">
        <f t="shared" si="43"/>
        <v>1</v>
      </c>
      <c r="AI169" s="84">
        <f t="shared" si="44"/>
        <v>0</v>
      </c>
      <c r="AJ169" s="13">
        <v>0</v>
      </c>
      <c r="AK169" s="13">
        <v>0</v>
      </c>
      <c r="AL169" s="85" t="b">
        <f t="shared" si="45"/>
        <v>1</v>
      </c>
      <c r="AN169" s="66"/>
    </row>
    <row r="170" spans="2:40" ht="13" customHeight="1">
      <c r="B170" s="33"/>
      <c r="C170" s="23">
        <f t="shared" si="48"/>
        <v>2026092</v>
      </c>
      <c r="D170" s="216"/>
      <c r="E170" s="37"/>
      <c r="F170" s="139" t="e">
        <f>VLOOKUP(E170,'Códigos bancos'!$B$3:$D$29,2,0)</f>
        <v>#N/A</v>
      </c>
      <c r="G170" s="138" t="str">
        <f t="shared" si="37"/>
        <v/>
      </c>
      <c r="H170" s="81" t="e">
        <f>VLOOKUP(G170,'Códigos bancos'!$F$3:$G$14,2,0)</f>
        <v>#N/A</v>
      </c>
      <c r="I170" s="139" t="e">
        <f>VLOOKUP(E170,'Códigos bancos'!$B$3:$D$29,3,0)</f>
        <v>#N/A</v>
      </c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82">
        <f t="shared" si="39"/>
        <v>0</v>
      </c>
      <c r="U170" s="83">
        <f t="shared" si="38"/>
        <v>0</v>
      </c>
      <c r="V170" s="36">
        <v>0</v>
      </c>
      <c r="W170" s="36">
        <v>0</v>
      </c>
      <c r="X170" s="69">
        <f t="shared" si="40"/>
        <v>0</v>
      </c>
      <c r="Y170" s="69">
        <f t="shared" si="41"/>
        <v>0</v>
      </c>
      <c r="AA170" s="66"/>
      <c r="AC170" s="84">
        <f t="shared" si="42"/>
        <v>0</v>
      </c>
      <c r="AD170" s="13">
        <v>0</v>
      </c>
      <c r="AE170" s="13">
        <v>0</v>
      </c>
      <c r="AF170" s="13">
        <v>0</v>
      </c>
      <c r="AG170" s="85" t="b">
        <f t="shared" si="43"/>
        <v>1</v>
      </c>
      <c r="AI170" s="84">
        <f t="shared" si="44"/>
        <v>0</v>
      </c>
      <c r="AJ170" s="13">
        <v>0</v>
      </c>
      <c r="AK170" s="13">
        <v>0</v>
      </c>
      <c r="AL170" s="85" t="b">
        <f t="shared" si="45"/>
        <v>1</v>
      </c>
      <c r="AN170" s="66"/>
    </row>
    <row r="171" spans="2:40" ht="13" customHeight="1">
      <c r="B171" s="33"/>
      <c r="C171" s="23">
        <f t="shared" si="48"/>
        <v>2026092</v>
      </c>
      <c r="D171" s="216"/>
      <c r="E171" s="37"/>
      <c r="F171" s="139" t="e">
        <f>VLOOKUP(E171,'Códigos bancos'!$B$3:$D$29,2,0)</f>
        <v>#N/A</v>
      </c>
      <c r="G171" s="138" t="str">
        <f t="shared" si="37"/>
        <v/>
      </c>
      <c r="H171" s="81" t="e">
        <f>VLOOKUP(G171,'Códigos bancos'!$F$3:$G$14,2,0)</f>
        <v>#N/A</v>
      </c>
      <c r="I171" s="139" t="e">
        <f>VLOOKUP(E171,'Códigos bancos'!$B$3:$D$29,3,0)</f>
        <v>#N/A</v>
      </c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82">
        <f t="shared" si="39"/>
        <v>0</v>
      </c>
      <c r="U171" s="83">
        <f t="shared" si="38"/>
        <v>0</v>
      </c>
      <c r="V171" s="36">
        <v>0</v>
      </c>
      <c r="W171" s="36">
        <v>0</v>
      </c>
      <c r="X171" s="69">
        <f t="shared" si="40"/>
        <v>0</v>
      </c>
      <c r="Y171" s="69">
        <f t="shared" si="41"/>
        <v>0</v>
      </c>
      <c r="AA171" s="66"/>
      <c r="AC171" s="84">
        <f t="shared" si="42"/>
        <v>0</v>
      </c>
      <c r="AD171" s="13">
        <v>0</v>
      </c>
      <c r="AE171" s="13">
        <v>0</v>
      </c>
      <c r="AF171" s="13">
        <v>0</v>
      </c>
      <c r="AG171" s="85" t="b">
        <f t="shared" si="43"/>
        <v>1</v>
      </c>
      <c r="AI171" s="84">
        <f t="shared" si="44"/>
        <v>0</v>
      </c>
      <c r="AJ171" s="13">
        <v>0</v>
      </c>
      <c r="AK171" s="13">
        <v>0</v>
      </c>
      <c r="AL171" s="85" t="b">
        <f t="shared" si="45"/>
        <v>1</v>
      </c>
      <c r="AN171" s="66"/>
    </row>
    <row r="172" spans="2:40" ht="13" customHeight="1">
      <c r="B172" s="33"/>
      <c r="C172" s="23">
        <f t="shared" si="48"/>
        <v>2026092</v>
      </c>
      <c r="D172" s="216"/>
      <c r="E172" s="37"/>
      <c r="F172" s="139" t="e">
        <f>VLOOKUP(E172,'Códigos bancos'!$B$3:$D$29,2,0)</f>
        <v>#N/A</v>
      </c>
      <c r="G172" s="138" t="str">
        <f t="shared" si="37"/>
        <v/>
      </c>
      <c r="H172" s="81" t="e">
        <f>VLOOKUP(G172,'Códigos bancos'!$F$3:$G$14,2,0)</f>
        <v>#N/A</v>
      </c>
      <c r="I172" s="139" t="e">
        <f>VLOOKUP(E172,'Códigos bancos'!$B$3:$D$29,3,0)</f>
        <v>#N/A</v>
      </c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82">
        <f t="shared" si="39"/>
        <v>0</v>
      </c>
      <c r="U172" s="83">
        <f t="shared" si="38"/>
        <v>0</v>
      </c>
      <c r="V172" s="36">
        <v>0</v>
      </c>
      <c r="W172" s="36">
        <v>0</v>
      </c>
      <c r="X172" s="69">
        <f t="shared" si="40"/>
        <v>0</v>
      </c>
      <c r="Y172" s="69">
        <f t="shared" si="41"/>
        <v>0</v>
      </c>
      <c r="AA172" s="66"/>
      <c r="AC172" s="84">
        <f t="shared" si="42"/>
        <v>0</v>
      </c>
      <c r="AD172" s="13">
        <v>0</v>
      </c>
      <c r="AE172" s="13">
        <v>0</v>
      </c>
      <c r="AF172" s="13">
        <v>0</v>
      </c>
      <c r="AG172" s="85" t="b">
        <f t="shared" si="43"/>
        <v>1</v>
      </c>
      <c r="AI172" s="84">
        <f t="shared" si="44"/>
        <v>0</v>
      </c>
      <c r="AJ172" s="13">
        <v>0</v>
      </c>
      <c r="AK172" s="13">
        <v>0</v>
      </c>
      <c r="AL172" s="85" t="b">
        <f t="shared" si="45"/>
        <v>1</v>
      </c>
      <c r="AN172" s="66"/>
    </row>
    <row r="173" spans="2:40" ht="13" customHeight="1">
      <c r="B173" s="33"/>
      <c r="C173" s="23">
        <f t="shared" si="48"/>
        <v>2026092</v>
      </c>
      <c r="D173" s="216"/>
      <c r="E173" s="37"/>
      <c r="F173" s="139" t="e">
        <f>VLOOKUP(E173,'Códigos bancos'!$B$3:$D$29,2,0)</f>
        <v>#N/A</v>
      </c>
      <c r="G173" s="138" t="str">
        <f t="shared" si="37"/>
        <v/>
      </c>
      <c r="H173" s="81" t="e">
        <f>VLOOKUP(G173,'Códigos bancos'!$F$3:$G$14,2,0)</f>
        <v>#N/A</v>
      </c>
      <c r="I173" s="139" t="e">
        <f>VLOOKUP(E173,'Códigos bancos'!$B$3:$D$29,3,0)</f>
        <v>#N/A</v>
      </c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82">
        <f t="shared" si="39"/>
        <v>0</v>
      </c>
      <c r="U173" s="83">
        <f t="shared" si="38"/>
        <v>0</v>
      </c>
      <c r="V173" s="36">
        <v>0</v>
      </c>
      <c r="W173" s="36">
        <v>0</v>
      </c>
      <c r="X173" s="69">
        <f t="shared" si="40"/>
        <v>0</v>
      </c>
      <c r="Y173" s="69">
        <f t="shared" si="41"/>
        <v>0</v>
      </c>
      <c r="AA173" s="66"/>
      <c r="AC173" s="84">
        <f t="shared" si="42"/>
        <v>0</v>
      </c>
      <c r="AD173" s="13">
        <v>0</v>
      </c>
      <c r="AE173" s="13">
        <v>0</v>
      </c>
      <c r="AF173" s="13">
        <v>0</v>
      </c>
      <c r="AG173" s="85" t="b">
        <f t="shared" si="43"/>
        <v>1</v>
      </c>
      <c r="AI173" s="84">
        <f t="shared" si="44"/>
        <v>0</v>
      </c>
      <c r="AJ173" s="13">
        <v>0</v>
      </c>
      <c r="AK173" s="13">
        <v>0</v>
      </c>
      <c r="AL173" s="85" t="b">
        <f t="shared" si="45"/>
        <v>1</v>
      </c>
      <c r="AN173" s="66"/>
    </row>
    <row r="174" spans="2:40" ht="13" customHeight="1">
      <c r="B174" s="33"/>
      <c r="C174" s="23">
        <f t="shared" si="48"/>
        <v>2026092</v>
      </c>
      <c r="D174" s="216"/>
      <c r="E174" s="37"/>
      <c r="F174" s="139" t="e">
        <f>VLOOKUP(E174,'Códigos bancos'!$B$3:$D$29,2,0)</f>
        <v>#N/A</v>
      </c>
      <c r="G174" s="138" t="str">
        <f t="shared" si="37"/>
        <v/>
      </c>
      <c r="H174" s="81" t="e">
        <f>VLOOKUP(G174,'Códigos bancos'!$F$3:$G$14,2,0)</f>
        <v>#N/A</v>
      </c>
      <c r="I174" s="139" t="e">
        <f>VLOOKUP(E174,'Códigos bancos'!$B$3:$D$29,3,0)</f>
        <v>#N/A</v>
      </c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82">
        <f t="shared" si="39"/>
        <v>0</v>
      </c>
      <c r="U174" s="83">
        <f t="shared" si="38"/>
        <v>0</v>
      </c>
      <c r="V174" s="36">
        <v>0</v>
      </c>
      <c r="W174" s="36">
        <v>0</v>
      </c>
      <c r="X174" s="69">
        <f t="shared" si="40"/>
        <v>0</v>
      </c>
      <c r="Y174" s="69">
        <f t="shared" si="41"/>
        <v>0</v>
      </c>
      <c r="AA174" s="66"/>
      <c r="AC174" s="84">
        <f t="shared" si="42"/>
        <v>0</v>
      </c>
      <c r="AD174" s="13">
        <v>0</v>
      </c>
      <c r="AE174" s="13">
        <v>0</v>
      </c>
      <c r="AF174" s="13">
        <v>0</v>
      </c>
      <c r="AG174" s="85" t="b">
        <f t="shared" si="43"/>
        <v>1</v>
      </c>
      <c r="AI174" s="84">
        <f t="shared" si="44"/>
        <v>0</v>
      </c>
      <c r="AJ174" s="13">
        <v>0</v>
      </c>
      <c r="AK174" s="13">
        <v>0</v>
      </c>
      <c r="AL174" s="85" t="b">
        <f t="shared" si="45"/>
        <v>1</v>
      </c>
      <c r="AN174" s="66"/>
    </row>
    <row r="175" spans="2:40" ht="13" customHeight="1">
      <c r="B175" s="33"/>
      <c r="C175" s="23">
        <f t="shared" si="48"/>
        <v>2026092</v>
      </c>
      <c r="D175" s="216"/>
      <c r="E175" s="37"/>
      <c r="F175" s="139" t="e">
        <f>VLOOKUP(E175,'Códigos bancos'!$B$3:$D$29,2,0)</f>
        <v>#N/A</v>
      </c>
      <c r="G175" s="138" t="str">
        <f t="shared" si="37"/>
        <v/>
      </c>
      <c r="H175" s="81" t="e">
        <f>VLOOKUP(G175,'Códigos bancos'!$F$3:$G$14,2,0)</f>
        <v>#N/A</v>
      </c>
      <c r="I175" s="139" t="e">
        <f>VLOOKUP(E175,'Códigos bancos'!$B$3:$D$29,3,0)</f>
        <v>#N/A</v>
      </c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82">
        <f t="shared" si="39"/>
        <v>0</v>
      </c>
      <c r="U175" s="83">
        <f t="shared" si="38"/>
        <v>0</v>
      </c>
      <c r="V175" s="36">
        <v>0</v>
      </c>
      <c r="W175" s="36">
        <v>0</v>
      </c>
      <c r="X175" s="69">
        <f t="shared" si="40"/>
        <v>0</v>
      </c>
      <c r="Y175" s="69">
        <f t="shared" si="41"/>
        <v>0</v>
      </c>
      <c r="AA175" s="66"/>
      <c r="AC175" s="84">
        <f t="shared" si="42"/>
        <v>0</v>
      </c>
      <c r="AD175" s="13">
        <v>0</v>
      </c>
      <c r="AE175" s="13">
        <v>0</v>
      </c>
      <c r="AF175" s="13">
        <v>0</v>
      </c>
      <c r="AG175" s="85" t="b">
        <f t="shared" si="43"/>
        <v>1</v>
      </c>
      <c r="AI175" s="84">
        <f t="shared" si="44"/>
        <v>0</v>
      </c>
      <c r="AJ175" s="13">
        <v>0</v>
      </c>
      <c r="AK175" s="13">
        <v>0</v>
      </c>
      <c r="AL175" s="85" t="b">
        <f t="shared" si="45"/>
        <v>1</v>
      </c>
      <c r="AN175" s="66"/>
    </row>
    <row r="176" spans="2:40" ht="13" customHeight="1">
      <c r="B176" s="33"/>
      <c r="C176" s="23">
        <f t="shared" si="48"/>
        <v>2026092</v>
      </c>
      <c r="D176" s="216"/>
      <c r="E176" s="37"/>
      <c r="F176" s="139" t="e">
        <f>VLOOKUP(E176,'Códigos bancos'!$B$3:$D$29,2,0)</f>
        <v>#N/A</v>
      </c>
      <c r="G176" s="138" t="str">
        <f t="shared" si="37"/>
        <v/>
      </c>
      <c r="H176" s="81" t="e">
        <f>VLOOKUP(G176,'Códigos bancos'!$F$3:$G$14,2,0)</f>
        <v>#N/A</v>
      </c>
      <c r="I176" s="139" t="e">
        <f>VLOOKUP(E176,'Códigos bancos'!$B$3:$D$29,3,0)</f>
        <v>#N/A</v>
      </c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82">
        <f t="shared" si="39"/>
        <v>0</v>
      </c>
      <c r="U176" s="83">
        <f t="shared" si="38"/>
        <v>0</v>
      </c>
      <c r="V176" s="36">
        <v>0</v>
      </c>
      <c r="W176" s="36">
        <v>0</v>
      </c>
      <c r="X176" s="69">
        <f t="shared" si="40"/>
        <v>0</v>
      </c>
      <c r="Y176" s="69">
        <f t="shared" si="41"/>
        <v>0</v>
      </c>
      <c r="AA176" s="66"/>
      <c r="AC176" s="84">
        <f t="shared" si="42"/>
        <v>0</v>
      </c>
      <c r="AD176" s="13">
        <v>0</v>
      </c>
      <c r="AE176" s="13">
        <v>0</v>
      </c>
      <c r="AF176" s="13">
        <v>0</v>
      </c>
      <c r="AG176" s="85" t="b">
        <f t="shared" si="43"/>
        <v>1</v>
      </c>
      <c r="AI176" s="84">
        <f t="shared" si="44"/>
        <v>0</v>
      </c>
      <c r="AJ176" s="13">
        <v>0</v>
      </c>
      <c r="AK176" s="13">
        <v>0</v>
      </c>
      <c r="AL176" s="85" t="b">
        <f t="shared" si="45"/>
        <v>1</v>
      </c>
      <c r="AN176" s="66"/>
    </row>
    <row r="177" spans="2:40" ht="13" customHeight="1">
      <c r="B177" s="33"/>
      <c r="C177" s="23">
        <f t="shared" si="48"/>
        <v>2026092</v>
      </c>
      <c r="D177" s="216"/>
      <c r="E177" s="37"/>
      <c r="F177" s="139" t="e">
        <f>VLOOKUP(E177,'Códigos bancos'!$B$3:$D$29,2,0)</f>
        <v>#N/A</v>
      </c>
      <c r="G177" s="138" t="str">
        <f t="shared" si="37"/>
        <v/>
      </c>
      <c r="H177" s="81" t="e">
        <f>VLOOKUP(G177,'Códigos bancos'!$F$3:$G$14,2,0)</f>
        <v>#N/A</v>
      </c>
      <c r="I177" s="139" t="e">
        <f>VLOOKUP(E177,'Códigos bancos'!$B$3:$D$29,3,0)</f>
        <v>#N/A</v>
      </c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82">
        <f t="shared" si="39"/>
        <v>0</v>
      </c>
      <c r="U177" s="83">
        <f t="shared" si="38"/>
        <v>0</v>
      </c>
      <c r="V177" s="36">
        <v>0</v>
      </c>
      <c r="W177" s="36">
        <v>0</v>
      </c>
      <c r="X177" s="69">
        <f t="shared" si="40"/>
        <v>0</v>
      </c>
      <c r="Y177" s="69">
        <f t="shared" si="41"/>
        <v>0</v>
      </c>
      <c r="AA177" s="66"/>
      <c r="AC177" s="84">
        <f t="shared" si="42"/>
        <v>0</v>
      </c>
      <c r="AD177" s="13">
        <v>0</v>
      </c>
      <c r="AE177" s="13">
        <v>0</v>
      </c>
      <c r="AF177" s="13">
        <v>0</v>
      </c>
      <c r="AG177" s="85" t="b">
        <f t="shared" si="43"/>
        <v>1</v>
      </c>
      <c r="AI177" s="84">
        <f t="shared" si="44"/>
        <v>0</v>
      </c>
      <c r="AJ177" s="13">
        <v>0</v>
      </c>
      <c r="AK177" s="13">
        <v>0</v>
      </c>
      <c r="AL177" s="85" t="b">
        <f t="shared" si="45"/>
        <v>1</v>
      </c>
      <c r="AN177" s="66"/>
    </row>
    <row r="178" spans="2:40" ht="13" customHeight="1">
      <c r="B178" s="33"/>
      <c r="C178" s="23">
        <f t="shared" si="48"/>
        <v>2026092</v>
      </c>
      <c r="D178" s="216"/>
      <c r="E178" s="37"/>
      <c r="F178" s="139" t="e">
        <f>VLOOKUP(E178,'Códigos bancos'!$B$3:$D$29,2,0)</f>
        <v>#N/A</v>
      </c>
      <c r="G178" s="138" t="str">
        <f t="shared" si="37"/>
        <v/>
      </c>
      <c r="H178" s="81" t="e">
        <f>VLOOKUP(G178,'Códigos bancos'!$F$3:$G$14,2,0)</f>
        <v>#N/A</v>
      </c>
      <c r="I178" s="139" t="e">
        <f>VLOOKUP(E178,'Códigos bancos'!$B$3:$D$29,3,0)</f>
        <v>#N/A</v>
      </c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82">
        <f t="shared" si="39"/>
        <v>0</v>
      </c>
      <c r="U178" s="83">
        <f t="shared" si="38"/>
        <v>0</v>
      </c>
      <c r="V178" s="36">
        <v>0</v>
      </c>
      <c r="W178" s="36">
        <v>0</v>
      </c>
      <c r="X178" s="69">
        <f t="shared" si="40"/>
        <v>0</v>
      </c>
      <c r="Y178" s="69">
        <f t="shared" si="41"/>
        <v>0</v>
      </c>
      <c r="AA178" s="66"/>
      <c r="AC178" s="84">
        <f t="shared" si="42"/>
        <v>0</v>
      </c>
      <c r="AD178" s="13">
        <v>0</v>
      </c>
      <c r="AE178" s="13">
        <v>0</v>
      </c>
      <c r="AF178" s="13">
        <v>0</v>
      </c>
      <c r="AG178" s="85" t="b">
        <f t="shared" si="43"/>
        <v>1</v>
      </c>
      <c r="AI178" s="84">
        <f t="shared" si="44"/>
        <v>0</v>
      </c>
      <c r="AJ178" s="13">
        <v>0</v>
      </c>
      <c r="AK178" s="13">
        <v>0</v>
      </c>
      <c r="AL178" s="85" t="b">
        <f t="shared" si="45"/>
        <v>1</v>
      </c>
      <c r="AN178" s="66"/>
    </row>
    <row r="179" spans="2:40" ht="13" customHeight="1">
      <c r="B179" s="33"/>
      <c r="C179" s="23">
        <f t="shared" si="48"/>
        <v>2026092</v>
      </c>
      <c r="D179" s="216"/>
      <c r="E179" s="37"/>
      <c r="F179" s="139" t="e">
        <f>VLOOKUP(E179,'Códigos bancos'!$B$3:$D$29,2,0)</f>
        <v>#N/A</v>
      </c>
      <c r="G179" s="138" t="str">
        <f t="shared" ref="G179:G217" si="49">IFERROR(IF(T179&gt;0,1,""),"")</f>
        <v/>
      </c>
      <c r="H179" s="81" t="e">
        <f>VLOOKUP(G179,'Códigos bancos'!$F$3:$G$14,2,0)</f>
        <v>#N/A</v>
      </c>
      <c r="I179" s="139" t="e">
        <f>VLOOKUP(E179,'Códigos bancos'!$B$3:$D$29,3,0)</f>
        <v>#N/A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82">
        <f t="shared" si="39"/>
        <v>0</v>
      </c>
      <c r="U179" s="83">
        <f t="shared" si="38"/>
        <v>0</v>
      </c>
      <c r="V179" s="36">
        <v>0</v>
      </c>
      <c r="W179" s="36">
        <v>0</v>
      </c>
      <c r="X179" s="69">
        <f t="shared" si="40"/>
        <v>0</v>
      </c>
      <c r="Y179" s="69">
        <f t="shared" si="41"/>
        <v>0</v>
      </c>
      <c r="AA179" s="66"/>
      <c r="AC179" s="84">
        <f t="shared" si="42"/>
        <v>0</v>
      </c>
      <c r="AD179" s="13">
        <v>0</v>
      </c>
      <c r="AE179" s="13">
        <v>0</v>
      </c>
      <c r="AF179" s="13">
        <v>0</v>
      </c>
      <c r="AG179" s="85" t="b">
        <f t="shared" si="43"/>
        <v>1</v>
      </c>
      <c r="AI179" s="84">
        <f t="shared" si="44"/>
        <v>0</v>
      </c>
      <c r="AJ179" s="13">
        <v>0</v>
      </c>
      <c r="AK179" s="13">
        <v>0</v>
      </c>
      <c r="AL179" s="85" t="b">
        <f t="shared" si="45"/>
        <v>1</v>
      </c>
      <c r="AN179" s="66"/>
    </row>
    <row r="180" spans="2:40" ht="13" customHeight="1">
      <c r="B180" s="33"/>
      <c r="C180" s="23">
        <f t="shared" si="48"/>
        <v>2026092</v>
      </c>
      <c r="D180" s="216"/>
      <c r="E180" s="37"/>
      <c r="F180" s="139" t="e">
        <f>VLOOKUP(E180,'Códigos bancos'!$B$3:$D$29,2,0)</f>
        <v>#N/A</v>
      </c>
      <c r="G180" s="138" t="str">
        <f t="shared" si="49"/>
        <v/>
      </c>
      <c r="H180" s="81" t="e">
        <f>VLOOKUP(G180,'Códigos bancos'!$F$3:$G$14,2,0)</f>
        <v>#N/A</v>
      </c>
      <c r="I180" s="139" t="e">
        <f>VLOOKUP(E180,'Códigos bancos'!$B$3:$D$29,3,0)</f>
        <v>#N/A</v>
      </c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82">
        <f t="shared" si="39"/>
        <v>0</v>
      </c>
      <c r="U180" s="83">
        <f t="shared" si="38"/>
        <v>0</v>
      </c>
      <c r="V180" s="36">
        <v>0</v>
      </c>
      <c r="W180" s="36">
        <v>0</v>
      </c>
      <c r="X180" s="69">
        <f t="shared" si="40"/>
        <v>0</v>
      </c>
      <c r="Y180" s="69">
        <f t="shared" si="41"/>
        <v>0</v>
      </c>
      <c r="AA180" s="66"/>
      <c r="AC180" s="84">
        <f t="shared" si="42"/>
        <v>0</v>
      </c>
      <c r="AD180" s="13">
        <v>0</v>
      </c>
      <c r="AE180" s="13">
        <v>0</v>
      </c>
      <c r="AF180" s="13">
        <v>0</v>
      </c>
      <c r="AG180" s="85" t="b">
        <f t="shared" si="43"/>
        <v>1</v>
      </c>
      <c r="AI180" s="84">
        <f t="shared" si="44"/>
        <v>0</v>
      </c>
      <c r="AJ180" s="13">
        <v>0</v>
      </c>
      <c r="AK180" s="13">
        <v>0</v>
      </c>
      <c r="AL180" s="85" t="b">
        <f t="shared" si="45"/>
        <v>1</v>
      </c>
      <c r="AN180" s="66"/>
    </row>
    <row r="181" spans="2:40" ht="13" customHeight="1">
      <c r="B181" s="33"/>
      <c r="C181" s="23">
        <f t="shared" si="48"/>
        <v>2026092</v>
      </c>
      <c r="D181" s="216"/>
      <c r="E181" s="37"/>
      <c r="F181" s="139" t="e">
        <f>VLOOKUP(E181,'Códigos bancos'!$B$3:$D$29,2,0)</f>
        <v>#N/A</v>
      </c>
      <c r="G181" s="138" t="str">
        <f t="shared" si="49"/>
        <v/>
      </c>
      <c r="H181" s="81" t="e">
        <f>VLOOKUP(G181,'Códigos bancos'!$F$3:$G$14,2,0)</f>
        <v>#N/A</v>
      </c>
      <c r="I181" s="139" t="e">
        <f>VLOOKUP(E181,'Códigos bancos'!$B$3:$D$29,3,0)</f>
        <v>#N/A</v>
      </c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82">
        <f t="shared" si="39"/>
        <v>0</v>
      </c>
      <c r="U181" s="83">
        <f t="shared" si="38"/>
        <v>0</v>
      </c>
      <c r="V181" s="36">
        <v>0</v>
      </c>
      <c r="W181" s="36">
        <v>0</v>
      </c>
      <c r="X181" s="69">
        <f t="shared" si="40"/>
        <v>0</v>
      </c>
      <c r="Y181" s="69">
        <f t="shared" si="41"/>
        <v>0</v>
      </c>
      <c r="AA181" s="66"/>
      <c r="AC181" s="84">
        <f t="shared" si="42"/>
        <v>0</v>
      </c>
      <c r="AD181" s="13">
        <v>0</v>
      </c>
      <c r="AE181" s="13">
        <v>0</v>
      </c>
      <c r="AF181" s="13">
        <v>0</v>
      </c>
      <c r="AG181" s="85" t="b">
        <f t="shared" si="43"/>
        <v>1</v>
      </c>
      <c r="AI181" s="84">
        <f t="shared" si="44"/>
        <v>0</v>
      </c>
      <c r="AJ181" s="13">
        <v>0</v>
      </c>
      <c r="AK181" s="13">
        <v>0</v>
      </c>
      <c r="AL181" s="85" t="b">
        <f t="shared" si="45"/>
        <v>1</v>
      </c>
      <c r="AN181" s="66"/>
    </row>
    <row r="182" spans="2:40" ht="13" customHeight="1">
      <c r="B182" s="33"/>
      <c r="C182" s="23">
        <f t="shared" ref="C182:C217" si="50">$C$2</f>
        <v>2026092</v>
      </c>
      <c r="D182" s="216"/>
      <c r="E182" s="37"/>
      <c r="F182" s="139" t="e">
        <f>VLOOKUP(E182,'Códigos bancos'!$B$3:$D$29,2,0)</f>
        <v>#N/A</v>
      </c>
      <c r="G182" s="138" t="str">
        <f t="shared" si="49"/>
        <v/>
      </c>
      <c r="H182" s="81" t="e">
        <f>VLOOKUP(G182,'Códigos bancos'!$F$3:$G$14,2,0)</f>
        <v>#N/A</v>
      </c>
      <c r="I182" s="139" t="e">
        <f>VLOOKUP(E182,'Códigos bancos'!$B$3:$D$29,3,0)</f>
        <v>#N/A</v>
      </c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82">
        <f t="shared" si="39"/>
        <v>0</v>
      </c>
      <c r="U182" s="83">
        <f t="shared" si="38"/>
        <v>0</v>
      </c>
      <c r="V182" s="36">
        <v>0</v>
      </c>
      <c r="W182" s="36">
        <v>0</v>
      </c>
      <c r="X182" s="69">
        <f t="shared" si="40"/>
        <v>0</v>
      </c>
      <c r="Y182" s="69">
        <f t="shared" si="41"/>
        <v>0</v>
      </c>
      <c r="AA182" s="66"/>
      <c r="AC182" s="84">
        <f t="shared" si="42"/>
        <v>0</v>
      </c>
      <c r="AD182" s="13">
        <v>0</v>
      </c>
      <c r="AE182" s="13">
        <v>0</v>
      </c>
      <c r="AF182" s="13">
        <v>0</v>
      </c>
      <c r="AG182" s="85" t="b">
        <f t="shared" si="43"/>
        <v>1</v>
      </c>
      <c r="AI182" s="84">
        <f t="shared" si="44"/>
        <v>0</v>
      </c>
      <c r="AJ182" s="13">
        <v>0</v>
      </c>
      <c r="AK182" s="13">
        <v>0</v>
      </c>
      <c r="AL182" s="85" t="b">
        <f t="shared" si="45"/>
        <v>1</v>
      </c>
      <c r="AN182" s="66"/>
    </row>
    <row r="183" spans="2:40" ht="13" customHeight="1">
      <c r="B183" s="33"/>
      <c r="C183" s="23">
        <f t="shared" si="50"/>
        <v>2026092</v>
      </c>
      <c r="D183" s="216"/>
      <c r="E183" s="37"/>
      <c r="F183" s="139" t="e">
        <f>VLOOKUP(E183,'Códigos bancos'!$B$3:$D$29,2,0)</f>
        <v>#N/A</v>
      </c>
      <c r="G183" s="138" t="str">
        <f t="shared" si="49"/>
        <v/>
      </c>
      <c r="H183" s="81" t="e">
        <f>VLOOKUP(G183,'Códigos bancos'!$F$3:$G$14,2,0)</f>
        <v>#N/A</v>
      </c>
      <c r="I183" s="139" t="e">
        <f>VLOOKUP(E183,'Códigos bancos'!$B$3:$D$29,3,0)</f>
        <v>#N/A</v>
      </c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82">
        <f t="shared" ref="T183:T217" si="51">J183+L183+N183+P183+R183</f>
        <v>0</v>
      </c>
      <c r="U183" s="83">
        <f t="shared" si="38"/>
        <v>0</v>
      </c>
      <c r="V183" s="36">
        <v>0</v>
      </c>
      <c r="W183" s="36">
        <v>0</v>
      </c>
      <c r="X183" s="69">
        <f t="shared" ref="X183:X217" si="52">V183-T183</f>
        <v>0</v>
      </c>
      <c r="Y183" s="69">
        <f t="shared" ref="Y183:Y217" si="53">W183-U183</f>
        <v>0</v>
      </c>
      <c r="AA183" s="66"/>
      <c r="AC183" s="84">
        <f t="shared" ref="AC183:AC217" si="54">X183</f>
        <v>0</v>
      </c>
      <c r="AD183" s="13">
        <v>0</v>
      </c>
      <c r="AE183" s="13">
        <v>0</v>
      </c>
      <c r="AF183" s="13">
        <v>0</v>
      </c>
      <c r="AG183" s="85" t="b">
        <f t="shared" ref="AG183:AG217" si="55">AC183=(AD183+AE183+AF183)</f>
        <v>1</v>
      </c>
      <c r="AI183" s="84">
        <f t="shared" ref="AI183:AI217" si="56">Y183</f>
        <v>0</v>
      </c>
      <c r="AJ183" s="13">
        <v>0</v>
      </c>
      <c r="AK183" s="13">
        <v>0</v>
      </c>
      <c r="AL183" s="85" t="b">
        <f t="shared" ref="AL183:AL217" si="57">AI183=(AJ183+AK183)</f>
        <v>1</v>
      </c>
      <c r="AN183" s="66"/>
    </row>
    <row r="184" spans="2:40" ht="13" customHeight="1">
      <c r="B184" s="33"/>
      <c r="C184" s="23">
        <f t="shared" si="50"/>
        <v>2026092</v>
      </c>
      <c r="D184" s="216"/>
      <c r="E184" s="37"/>
      <c r="F184" s="139" t="e">
        <f>VLOOKUP(E184,'Códigos bancos'!$B$3:$D$29,2,0)</f>
        <v>#N/A</v>
      </c>
      <c r="G184" s="138" t="str">
        <f t="shared" si="49"/>
        <v/>
      </c>
      <c r="H184" s="81" t="e">
        <f>VLOOKUP(G184,'Códigos bancos'!$F$3:$G$14,2,0)</f>
        <v>#N/A</v>
      </c>
      <c r="I184" s="139" t="e">
        <f>VLOOKUP(E184,'Códigos bancos'!$B$3:$D$29,3,0)</f>
        <v>#N/A</v>
      </c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82">
        <f t="shared" si="51"/>
        <v>0</v>
      </c>
      <c r="U184" s="83">
        <f t="shared" si="38"/>
        <v>0</v>
      </c>
      <c r="V184" s="36">
        <v>0</v>
      </c>
      <c r="W184" s="36">
        <v>0</v>
      </c>
      <c r="X184" s="69">
        <f t="shared" si="52"/>
        <v>0</v>
      </c>
      <c r="Y184" s="69">
        <f t="shared" si="53"/>
        <v>0</v>
      </c>
      <c r="AA184" s="66"/>
      <c r="AC184" s="84">
        <f t="shared" si="54"/>
        <v>0</v>
      </c>
      <c r="AD184" s="13">
        <v>0</v>
      </c>
      <c r="AE184" s="13">
        <v>0</v>
      </c>
      <c r="AF184" s="13">
        <v>0</v>
      </c>
      <c r="AG184" s="85" t="b">
        <f t="shared" si="55"/>
        <v>1</v>
      </c>
      <c r="AI184" s="84">
        <f t="shared" si="56"/>
        <v>0</v>
      </c>
      <c r="AJ184" s="13">
        <v>0</v>
      </c>
      <c r="AK184" s="13">
        <v>0</v>
      </c>
      <c r="AL184" s="85" t="b">
        <f t="shared" si="57"/>
        <v>1</v>
      </c>
      <c r="AN184" s="66"/>
    </row>
    <row r="185" spans="2:40" ht="13" customHeight="1">
      <c r="B185" s="33"/>
      <c r="C185" s="23">
        <f t="shared" si="50"/>
        <v>2026092</v>
      </c>
      <c r="D185" s="216"/>
      <c r="E185" s="37"/>
      <c r="F185" s="139" t="e">
        <f>VLOOKUP(E185,'Códigos bancos'!$B$3:$D$29,2,0)</f>
        <v>#N/A</v>
      </c>
      <c r="G185" s="138" t="str">
        <f t="shared" si="49"/>
        <v/>
      </c>
      <c r="H185" s="81" t="e">
        <f>VLOOKUP(G185,'Códigos bancos'!$F$3:$G$14,2,0)</f>
        <v>#N/A</v>
      </c>
      <c r="I185" s="139" t="e">
        <f>VLOOKUP(E185,'Códigos bancos'!$B$3:$D$29,3,0)</f>
        <v>#N/A</v>
      </c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82">
        <f t="shared" si="51"/>
        <v>0</v>
      </c>
      <c r="U185" s="83">
        <f t="shared" si="38"/>
        <v>0</v>
      </c>
      <c r="V185" s="36">
        <v>0</v>
      </c>
      <c r="W185" s="36">
        <v>0</v>
      </c>
      <c r="X185" s="69">
        <f t="shared" si="52"/>
        <v>0</v>
      </c>
      <c r="Y185" s="69">
        <f t="shared" si="53"/>
        <v>0</v>
      </c>
      <c r="AA185" s="66"/>
      <c r="AC185" s="84">
        <f t="shared" si="54"/>
        <v>0</v>
      </c>
      <c r="AD185" s="13">
        <v>0</v>
      </c>
      <c r="AE185" s="13">
        <v>0</v>
      </c>
      <c r="AF185" s="13">
        <v>0</v>
      </c>
      <c r="AG185" s="85" t="b">
        <f t="shared" si="55"/>
        <v>1</v>
      </c>
      <c r="AI185" s="84">
        <f t="shared" si="56"/>
        <v>0</v>
      </c>
      <c r="AJ185" s="13">
        <v>0</v>
      </c>
      <c r="AK185" s="13">
        <v>0</v>
      </c>
      <c r="AL185" s="85" t="b">
        <f t="shared" si="57"/>
        <v>1</v>
      </c>
      <c r="AN185" s="66"/>
    </row>
    <row r="186" spans="2:40" ht="13" customHeight="1">
      <c r="B186" s="33"/>
      <c r="C186" s="23">
        <f t="shared" si="50"/>
        <v>2026092</v>
      </c>
      <c r="D186" s="216"/>
      <c r="E186" s="37"/>
      <c r="F186" s="139" t="e">
        <f>VLOOKUP(E186,'Códigos bancos'!$B$3:$D$29,2,0)</f>
        <v>#N/A</v>
      </c>
      <c r="G186" s="138" t="str">
        <f t="shared" si="49"/>
        <v/>
      </c>
      <c r="H186" s="81" t="e">
        <f>VLOOKUP(G186,'Códigos bancos'!$F$3:$G$14,2,0)</f>
        <v>#N/A</v>
      </c>
      <c r="I186" s="139" t="e">
        <f>VLOOKUP(E186,'Códigos bancos'!$B$3:$D$29,3,0)</f>
        <v>#N/A</v>
      </c>
      <c r="J186" s="36"/>
      <c r="K186" s="36"/>
      <c r="L186" s="36"/>
      <c r="M186" s="36"/>
      <c r="N186" s="36"/>
      <c r="O186" s="36"/>
      <c r="P186" s="36"/>
      <c r="Q186" s="36"/>
      <c r="R186" s="56"/>
      <c r="S186" s="56"/>
      <c r="T186" s="82">
        <f t="shared" si="51"/>
        <v>0</v>
      </c>
      <c r="U186" s="83">
        <f t="shared" si="38"/>
        <v>0</v>
      </c>
      <c r="V186" s="36">
        <v>0</v>
      </c>
      <c r="W186" s="36">
        <v>0</v>
      </c>
      <c r="X186" s="69">
        <f t="shared" si="52"/>
        <v>0</v>
      </c>
      <c r="Y186" s="69">
        <f t="shared" si="53"/>
        <v>0</v>
      </c>
      <c r="AA186" s="66"/>
      <c r="AC186" s="84">
        <f t="shared" si="54"/>
        <v>0</v>
      </c>
      <c r="AD186" s="13">
        <v>0</v>
      </c>
      <c r="AE186" s="13">
        <v>0</v>
      </c>
      <c r="AF186" s="13">
        <v>0</v>
      </c>
      <c r="AG186" s="85" t="b">
        <f t="shared" si="55"/>
        <v>1</v>
      </c>
      <c r="AI186" s="84">
        <f t="shared" si="56"/>
        <v>0</v>
      </c>
      <c r="AJ186" s="13">
        <v>0</v>
      </c>
      <c r="AK186" s="13">
        <v>0</v>
      </c>
      <c r="AL186" s="85" t="b">
        <f t="shared" si="57"/>
        <v>1</v>
      </c>
      <c r="AN186" s="66"/>
    </row>
    <row r="187" spans="2:40" ht="13" customHeight="1">
      <c r="B187" s="33"/>
      <c r="C187" s="23">
        <f t="shared" si="50"/>
        <v>2026092</v>
      </c>
      <c r="D187" s="216"/>
      <c r="E187" s="37"/>
      <c r="F187" s="139" t="e">
        <f>VLOOKUP(E187,'Códigos bancos'!$B$3:$D$29,2,0)</f>
        <v>#N/A</v>
      </c>
      <c r="G187" s="138" t="str">
        <f t="shared" si="49"/>
        <v/>
      </c>
      <c r="H187" s="81" t="e">
        <f>VLOOKUP(G187,'Códigos bancos'!$F$3:$G$14,2,0)</f>
        <v>#N/A</v>
      </c>
      <c r="I187" s="139" t="e">
        <f>VLOOKUP(E187,'Códigos bancos'!$B$3:$D$29,3,0)</f>
        <v>#N/A</v>
      </c>
      <c r="J187" s="36"/>
      <c r="K187" s="36"/>
      <c r="L187" s="36"/>
      <c r="M187" s="36"/>
      <c r="N187" s="36"/>
      <c r="O187" s="36"/>
      <c r="P187" s="36"/>
      <c r="Q187" s="36"/>
      <c r="R187" s="56"/>
      <c r="S187" s="56"/>
      <c r="T187" s="82">
        <f t="shared" si="51"/>
        <v>0</v>
      </c>
      <c r="U187" s="83">
        <f t="shared" si="38"/>
        <v>0</v>
      </c>
      <c r="V187" s="36">
        <v>0</v>
      </c>
      <c r="W187" s="36">
        <v>0</v>
      </c>
      <c r="X187" s="69">
        <f t="shared" si="52"/>
        <v>0</v>
      </c>
      <c r="Y187" s="69">
        <f t="shared" si="53"/>
        <v>0</v>
      </c>
      <c r="AA187" s="66"/>
      <c r="AC187" s="84">
        <f t="shared" si="54"/>
        <v>0</v>
      </c>
      <c r="AD187" s="13">
        <v>0</v>
      </c>
      <c r="AE187" s="13">
        <v>0</v>
      </c>
      <c r="AF187" s="13">
        <v>0</v>
      </c>
      <c r="AG187" s="85" t="b">
        <f t="shared" si="55"/>
        <v>1</v>
      </c>
      <c r="AI187" s="84">
        <f t="shared" si="56"/>
        <v>0</v>
      </c>
      <c r="AJ187" s="13">
        <v>0</v>
      </c>
      <c r="AK187" s="13">
        <v>0</v>
      </c>
      <c r="AL187" s="85" t="b">
        <f t="shared" si="57"/>
        <v>1</v>
      </c>
      <c r="AN187" s="66"/>
    </row>
    <row r="188" spans="2:40" ht="13" customHeight="1">
      <c r="B188" s="33"/>
      <c r="C188" s="23">
        <f t="shared" si="50"/>
        <v>2026092</v>
      </c>
      <c r="D188" s="216"/>
      <c r="E188" s="37"/>
      <c r="F188" s="139" t="e">
        <f>VLOOKUP(E188,'Códigos bancos'!$B$3:$D$29,2,0)</f>
        <v>#N/A</v>
      </c>
      <c r="G188" s="138" t="str">
        <f t="shared" si="49"/>
        <v/>
      </c>
      <c r="H188" s="81" t="e">
        <f>VLOOKUP(G188,'Códigos bancos'!$F$3:$G$14,2,0)</f>
        <v>#N/A</v>
      </c>
      <c r="I188" s="139" t="e">
        <f>VLOOKUP(E188,'Códigos bancos'!$B$3:$D$29,3,0)</f>
        <v>#N/A</v>
      </c>
      <c r="J188" s="36"/>
      <c r="K188" s="36"/>
      <c r="L188" s="36"/>
      <c r="M188" s="36"/>
      <c r="N188" s="36"/>
      <c r="O188" s="36"/>
      <c r="P188" s="36"/>
      <c r="Q188" s="36"/>
      <c r="R188" s="56"/>
      <c r="S188" s="56"/>
      <c r="T188" s="82">
        <f t="shared" si="51"/>
        <v>0</v>
      </c>
      <c r="U188" s="83">
        <f t="shared" si="38"/>
        <v>0</v>
      </c>
      <c r="V188" s="36">
        <v>0</v>
      </c>
      <c r="W188" s="36">
        <v>0</v>
      </c>
      <c r="X188" s="69">
        <f t="shared" si="52"/>
        <v>0</v>
      </c>
      <c r="Y188" s="69">
        <f t="shared" si="53"/>
        <v>0</v>
      </c>
      <c r="AA188" s="66"/>
      <c r="AC188" s="84">
        <f t="shared" si="54"/>
        <v>0</v>
      </c>
      <c r="AD188" s="13">
        <v>0</v>
      </c>
      <c r="AE188" s="13">
        <v>0</v>
      </c>
      <c r="AF188" s="13">
        <v>0</v>
      </c>
      <c r="AG188" s="85" t="b">
        <f t="shared" si="55"/>
        <v>1</v>
      </c>
      <c r="AI188" s="84">
        <f t="shared" si="56"/>
        <v>0</v>
      </c>
      <c r="AJ188" s="13">
        <v>0</v>
      </c>
      <c r="AK188" s="13">
        <v>0</v>
      </c>
      <c r="AL188" s="85" t="b">
        <f t="shared" si="57"/>
        <v>1</v>
      </c>
      <c r="AN188" s="66"/>
    </row>
    <row r="189" spans="2:40" ht="13" customHeight="1">
      <c r="B189" s="33"/>
      <c r="C189" s="23">
        <f t="shared" si="50"/>
        <v>2026092</v>
      </c>
      <c r="D189" s="216"/>
      <c r="E189" s="37"/>
      <c r="F189" s="139" t="e">
        <f>VLOOKUP(E189,'Códigos bancos'!$B$3:$D$29,2,0)</f>
        <v>#N/A</v>
      </c>
      <c r="G189" s="138" t="str">
        <f t="shared" si="49"/>
        <v/>
      </c>
      <c r="H189" s="81" t="e">
        <f>VLOOKUP(G189,'Códigos bancos'!$F$3:$G$14,2,0)</f>
        <v>#N/A</v>
      </c>
      <c r="I189" s="139" t="e">
        <f>VLOOKUP(E189,'Códigos bancos'!$B$3:$D$29,3,0)</f>
        <v>#N/A</v>
      </c>
      <c r="J189" s="36"/>
      <c r="K189" s="36"/>
      <c r="L189" s="36"/>
      <c r="M189" s="36"/>
      <c r="N189" s="36"/>
      <c r="O189" s="36"/>
      <c r="P189" s="36"/>
      <c r="Q189" s="36"/>
      <c r="R189" s="56"/>
      <c r="S189" s="56"/>
      <c r="T189" s="82">
        <f t="shared" si="51"/>
        <v>0</v>
      </c>
      <c r="U189" s="83">
        <f t="shared" si="38"/>
        <v>0</v>
      </c>
      <c r="V189" s="36">
        <v>0</v>
      </c>
      <c r="W189" s="36">
        <v>0</v>
      </c>
      <c r="X189" s="69">
        <f t="shared" si="52"/>
        <v>0</v>
      </c>
      <c r="Y189" s="69">
        <f t="shared" si="53"/>
        <v>0</v>
      </c>
      <c r="AA189" s="66"/>
      <c r="AC189" s="84">
        <f t="shared" si="54"/>
        <v>0</v>
      </c>
      <c r="AD189" s="13">
        <v>0</v>
      </c>
      <c r="AE189" s="13">
        <v>0</v>
      </c>
      <c r="AF189" s="13">
        <v>0</v>
      </c>
      <c r="AG189" s="85" t="b">
        <f t="shared" si="55"/>
        <v>1</v>
      </c>
      <c r="AI189" s="84">
        <f t="shared" si="56"/>
        <v>0</v>
      </c>
      <c r="AJ189" s="13">
        <v>0</v>
      </c>
      <c r="AK189" s="13">
        <v>0</v>
      </c>
      <c r="AL189" s="85" t="b">
        <f t="shared" si="57"/>
        <v>1</v>
      </c>
      <c r="AN189" s="66"/>
    </row>
    <row r="190" spans="2:40" ht="13" customHeight="1">
      <c r="B190" s="33"/>
      <c r="C190" s="23">
        <f t="shared" si="50"/>
        <v>2026092</v>
      </c>
      <c r="D190" s="216"/>
      <c r="E190" s="37"/>
      <c r="F190" s="139" t="e">
        <f>VLOOKUP(E190,'Códigos bancos'!$B$3:$D$29,2,0)</f>
        <v>#N/A</v>
      </c>
      <c r="G190" s="138" t="str">
        <f t="shared" si="49"/>
        <v/>
      </c>
      <c r="H190" s="81" t="e">
        <f>VLOOKUP(G190,'Códigos bancos'!$F$3:$G$14,2,0)</f>
        <v>#N/A</v>
      </c>
      <c r="I190" s="139" t="e">
        <f>VLOOKUP(E190,'Códigos bancos'!$B$3:$D$29,3,0)</f>
        <v>#N/A</v>
      </c>
      <c r="J190" s="36"/>
      <c r="K190" s="36"/>
      <c r="L190" s="36"/>
      <c r="M190" s="36"/>
      <c r="N190" s="36"/>
      <c r="O190" s="36"/>
      <c r="P190" s="36"/>
      <c r="Q190" s="36"/>
      <c r="R190" s="56"/>
      <c r="S190" s="56"/>
      <c r="T190" s="82">
        <f t="shared" si="51"/>
        <v>0</v>
      </c>
      <c r="U190" s="83">
        <f t="shared" si="38"/>
        <v>0</v>
      </c>
      <c r="V190" s="36">
        <v>0</v>
      </c>
      <c r="W190" s="36">
        <v>0</v>
      </c>
      <c r="X190" s="69">
        <f t="shared" si="52"/>
        <v>0</v>
      </c>
      <c r="Y190" s="69">
        <f t="shared" si="53"/>
        <v>0</v>
      </c>
      <c r="AA190" s="66"/>
      <c r="AC190" s="84">
        <f t="shared" si="54"/>
        <v>0</v>
      </c>
      <c r="AD190" s="13">
        <v>0</v>
      </c>
      <c r="AE190" s="13">
        <v>0</v>
      </c>
      <c r="AF190" s="13">
        <v>0</v>
      </c>
      <c r="AG190" s="85" t="b">
        <f t="shared" si="55"/>
        <v>1</v>
      </c>
      <c r="AI190" s="84">
        <f t="shared" si="56"/>
        <v>0</v>
      </c>
      <c r="AJ190" s="13">
        <v>0</v>
      </c>
      <c r="AK190" s="13">
        <v>0</v>
      </c>
      <c r="AL190" s="85" t="b">
        <f t="shared" si="57"/>
        <v>1</v>
      </c>
      <c r="AN190" s="66"/>
    </row>
    <row r="191" spans="2:40" ht="13" customHeight="1">
      <c r="B191" s="33"/>
      <c r="C191" s="23">
        <f t="shared" si="50"/>
        <v>2026092</v>
      </c>
      <c r="D191" s="216"/>
      <c r="E191" s="37"/>
      <c r="F191" s="139" t="e">
        <f>VLOOKUP(E191,'Códigos bancos'!$B$3:$D$29,2,0)</f>
        <v>#N/A</v>
      </c>
      <c r="G191" s="138" t="str">
        <f t="shared" si="49"/>
        <v/>
      </c>
      <c r="H191" s="81" t="e">
        <f>VLOOKUP(G191,'Códigos bancos'!$F$3:$G$14,2,0)</f>
        <v>#N/A</v>
      </c>
      <c r="I191" s="139" t="e">
        <f>VLOOKUP(E191,'Códigos bancos'!$B$3:$D$29,3,0)</f>
        <v>#N/A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82">
        <f t="shared" si="51"/>
        <v>0</v>
      </c>
      <c r="U191" s="83">
        <f t="shared" si="38"/>
        <v>0</v>
      </c>
      <c r="V191" s="36">
        <v>0</v>
      </c>
      <c r="W191" s="36">
        <v>0</v>
      </c>
      <c r="X191" s="69">
        <f t="shared" si="52"/>
        <v>0</v>
      </c>
      <c r="Y191" s="69">
        <f t="shared" si="53"/>
        <v>0</v>
      </c>
      <c r="AA191" s="66"/>
      <c r="AC191" s="84">
        <f t="shared" si="54"/>
        <v>0</v>
      </c>
      <c r="AD191" s="13">
        <v>0</v>
      </c>
      <c r="AE191" s="13">
        <v>0</v>
      </c>
      <c r="AF191" s="13">
        <v>0</v>
      </c>
      <c r="AG191" s="85" t="b">
        <f t="shared" si="55"/>
        <v>1</v>
      </c>
      <c r="AI191" s="84">
        <f t="shared" si="56"/>
        <v>0</v>
      </c>
      <c r="AJ191" s="13">
        <v>0</v>
      </c>
      <c r="AK191" s="13">
        <v>0</v>
      </c>
      <c r="AL191" s="85" t="b">
        <f t="shared" si="57"/>
        <v>1</v>
      </c>
      <c r="AN191" s="66"/>
    </row>
    <row r="192" spans="2:40" ht="13" customHeight="1">
      <c r="B192" s="33"/>
      <c r="C192" s="23">
        <f t="shared" si="50"/>
        <v>2026092</v>
      </c>
      <c r="D192" s="216"/>
      <c r="E192" s="37"/>
      <c r="F192" s="139" t="e">
        <f>VLOOKUP(E192,'Códigos bancos'!$B$3:$D$29,2,0)</f>
        <v>#N/A</v>
      </c>
      <c r="G192" s="138" t="str">
        <f t="shared" si="49"/>
        <v/>
      </c>
      <c r="H192" s="81" t="e">
        <f>VLOOKUP(G192,'Códigos bancos'!$F$3:$G$14,2,0)</f>
        <v>#N/A</v>
      </c>
      <c r="I192" s="139" t="e">
        <f>VLOOKUP(E192,'Códigos bancos'!$B$3:$D$29,3,0)</f>
        <v>#N/A</v>
      </c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82">
        <f t="shared" si="51"/>
        <v>0</v>
      </c>
      <c r="U192" s="83">
        <f t="shared" si="38"/>
        <v>0</v>
      </c>
      <c r="V192" s="36">
        <v>0</v>
      </c>
      <c r="W192" s="36">
        <v>0</v>
      </c>
      <c r="X192" s="69">
        <f t="shared" si="52"/>
        <v>0</v>
      </c>
      <c r="Y192" s="69">
        <f t="shared" si="53"/>
        <v>0</v>
      </c>
      <c r="AA192" s="66"/>
      <c r="AC192" s="84">
        <f t="shared" si="54"/>
        <v>0</v>
      </c>
      <c r="AD192" s="13">
        <v>0</v>
      </c>
      <c r="AE192" s="13">
        <v>0</v>
      </c>
      <c r="AF192" s="13">
        <v>0</v>
      </c>
      <c r="AG192" s="85" t="b">
        <f t="shared" si="55"/>
        <v>1</v>
      </c>
      <c r="AI192" s="84">
        <f t="shared" si="56"/>
        <v>0</v>
      </c>
      <c r="AJ192" s="13">
        <v>0</v>
      </c>
      <c r="AK192" s="13">
        <v>0</v>
      </c>
      <c r="AL192" s="85" t="b">
        <f t="shared" si="57"/>
        <v>1</v>
      </c>
      <c r="AN192" s="66"/>
    </row>
    <row r="193" spans="2:40" ht="13" customHeight="1">
      <c r="B193" s="33"/>
      <c r="C193" s="23">
        <f t="shared" si="50"/>
        <v>2026092</v>
      </c>
      <c r="D193" s="216"/>
      <c r="E193" s="37"/>
      <c r="F193" s="139" t="e">
        <f>VLOOKUP(E193,'Códigos bancos'!$B$3:$D$29,2,0)</f>
        <v>#N/A</v>
      </c>
      <c r="G193" s="138" t="str">
        <f t="shared" si="49"/>
        <v/>
      </c>
      <c r="H193" s="81" t="e">
        <f>VLOOKUP(G193,'Códigos bancos'!$F$3:$G$14,2,0)</f>
        <v>#N/A</v>
      </c>
      <c r="I193" s="139" t="e">
        <f>VLOOKUP(E193,'Códigos bancos'!$B$3:$D$29,3,0)</f>
        <v>#N/A</v>
      </c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82">
        <f t="shared" si="51"/>
        <v>0</v>
      </c>
      <c r="U193" s="83">
        <f t="shared" si="38"/>
        <v>0</v>
      </c>
      <c r="V193" s="36">
        <v>0</v>
      </c>
      <c r="W193" s="36">
        <v>0</v>
      </c>
      <c r="X193" s="69">
        <f t="shared" si="52"/>
        <v>0</v>
      </c>
      <c r="Y193" s="69">
        <f t="shared" si="53"/>
        <v>0</v>
      </c>
      <c r="AA193" s="66"/>
      <c r="AC193" s="84">
        <f t="shared" si="54"/>
        <v>0</v>
      </c>
      <c r="AD193" s="13">
        <v>0</v>
      </c>
      <c r="AE193" s="13">
        <v>0</v>
      </c>
      <c r="AF193" s="13">
        <v>0</v>
      </c>
      <c r="AG193" s="85" t="b">
        <f t="shared" si="55"/>
        <v>1</v>
      </c>
      <c r="AI193" s="84">
        <f t="shared" si="56"/>
        <v>0</v>
      </c>
      <c r="AJ193" s="13">
        <v>0</v>
      </c>
      <c r="AK193" s="13">
        <v>0</v>
      </c>
      <c r="AL193" s="85" t="b">
        <f t="shared" si="57"/>
        <v>1</v>
      </c>
      <c r="AN193" s="66"/>
    </row>
    <row r="194" spans="2:40" ht="13" customHeight="1">
      <c r="B194" s="33"/>
      <c r="C194" s="23">
        <f t="shared" si="50"/>
        <v>2026092</v>
      </c>
      <c r="D194" s="216"/>
      <c r="E194" s="37"/>
      <c r="F194" s="139" t="e">
        <f>VLOOKUP(E194,'Códigos bancos'!$B$3:$D$29,2,0)</f>
        <v>#N/A</v>
      </c>
      <c r="G194" s="138" t="str">
        <f t="shared" si="49"/>
        <v/>
      </c>
      <c r="H194" s="81" t="e">
        <f>VLOOKUP(G194,'Códigos bancos'!$F$3:$G$14,2,0)</f>
        <v>#N/A</v>
      </c>
      <c r="I194" s="139" t="e">
        <f>VLOOKUP(E194,'Códigos bancos'!$B$3:$D$29,3,0)</f>
        <v>#N/A</v>
      </c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82">
        <f t="shared" si="51"/>
        <v>0</v>
      </c>
      <c r="U194" s="83">
        <f t="shared" si="38"/>
        <v>0</v>
      </c>
      <c r="V194" s="36">
        <v>0</v>
      </c>
      <c r="W194" s="36">
        <v>0</v>
      </c>
      <c r="X194" s="69">
        <f t="shared" si="52"/>
        <v>0</v>
      </c>
      <c r="Y194" s="69">
        <f t="shared" si="53"/>
        <v>0</v>
      </c>
      <c r="AA194" s="66"/>
      <c r="AC194" s="84">
        <f t="shared" si="54"/>
        <v>0</v>
      </c>
      <c r="AD194" s="13">
        <v>0</v>
      </c>
      <c r="AE194" s="13">
        <v>0</v>
      </c>
      <c r="AF194" s="13">
        <v>0</v>
      </c>
      <c r="AG194" s="85" t="b">
        <f t="shared" si="55"/>
        <v>1</v>
      </c>
      <c r="AI194" s="84">
        <f t="shared" si="56"/>
        <v>0</v>
      </c>
      <c r="AJ194" s="13">
        <v>0</v>
      </c>
      <c r="AK194" s="13">
        <v>0</v>
      </c>
      <c r="AL194" s="85" t="b">
        <f t="shared" si="57"/>
        <v>1</v>
      </c>
      <c r="AN194" s="66"/>
    </row>
    <row r="195" spans="2:40" ht="13" customHeight="1">
      <c r="B195" s="33"/>
      <c r="C195" s="23">
        <f t="shared" si="50"/>
        <v>2026092</v>
      </c>
      <c r="D195" s="216"/>
      <c r="E195" s="37"/>
      <c r="F195" s="139" t="e">
        <f>VLOOKUP(E195,'Códigos bancos'!$B$3:$D$29,2,0)</f>
        <v>#N/A</v>
      </c>
      <c r="G195" s="138" t="str">
        <f t="shared" si="49"/>
        <v/>
      </c>
      <c r="H195" s="81" t="e">
        <f>VLOOKUP(G195,'Códigos bancos'!$F$3:$G$14,2,0)</f>
        <v>#N/A</v>
      </c>
      <c r="I195" s="139" t="e">
        <f>VLOOKUP(E195,'Códigos bancos'!$B$3:$D$29,3,0)</f>
        <v>#N/A</v>
      </c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82">
        <f t="shared" si="51"/>
        <v>0</v>
      </c>
      <c r="U195" s="83">
        <f t="shared" si="38"/>
        <v>0</v>
      </c>
      <c r="V195" s="36">
        <v>0</v>
      </c>
      <c r="W195" s="36">
        <v>0</v>
      </c>
      <c r="X195" s="69">
        <f t="shared" si="52"/>
        <v>0</v>
      </c>
      <c r="Y195" s="69">
        <f t="shared" si="53"/>
        <v>0</v>
      </c>
      <c r="AA195" s="66"/>
      <c r="AC195" s="84">
        <f t="shared" si="54"/>
        <v>0</v>
      </c>
      <c r="AD195" s="13">
        <v>0</v>
      </c>
      <c r="AE195" s="13">
        <v>0</v>
      </c>
      <c r="AF195" s="13">
        <v>0</v>
      </c>
      <c r="AG195" s="85" t="b">
        <f t="shared" si="55"/>
        <v>1</v>
      </c>
      <c r="AI195" s="84">
        <f t="shared" si="56"/>
        <v>0</v>
      </c>
      <c r="AJ195" s="13">
        <v>0</v>
      </c>
      <c r="AK195" s="13">
        <v>0</v>
      </c>
      <c r="AL195" s="85" t="b">
        <f t="shared" si="57"/>
        <v>1</v>
      </c>
      <c r="AN195" s="66"/>
    </row>
    <row r="196" spans="2:40" ht="13" customHeight="1">
      <c r="B196" s="33"/>
      <c r="C196" s="23">
        <f t="shared" si="50"/>
        <v>2026092</v>
      </c>
      <c r="D196" s="216"/>
      <c r="E196" s="37"/>
      <c r="F196" s="139" t="e">
        <f>VLOOKUP(E196,'Códigos bancos'!$B$3:$D$29,2,0)</f>
        <v>#N/A</v>
      </c>
      <c r="G196" s="138" t="str">
        <f t="shared" si="49"/>
        <v/>
      </c>
      <c r="H196" s="81" t="e">
        <f>VLOOKUP(G196,'Códigos bancos'!$F$3:$G$14,2,0)</f>
        <v>#N/A</v>
      </c>
      <c r="I196" s="139" t="e">
        <f>VLOOKUP(E196,'Códigos bancos'!$B$3:$D$29,3,0)</f>
        <v>#N/A</v>
      </c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82">
        <f t="shared" si="51"/>
        <v>0</v>
      </c>
      <c r="U196" s="83">
        <f t="shared" si="38"/>
        <v>0</v>
      </c>
      <c r="V196" s="36">
        <v>0</v>
      </c>
      <c r="W196" s="36">
        <v>0</v>
      </c>
      <c r="X196" s="69">
        <f t="shared" si="52"/>
        <v>0</v>
      </c>
      <c r="Y196" s="69">
        <f t="shared" si="53"/>
        <v>0</v>
      </c>
      <c r="AA196" s="66"/>
      <c r="AC196" s="84">
        <f t="shared" si="54"/>
        <v>0</v>
      </c>
      <c r="AD196" s="13">
        <v>0</v>
      </c>
      <c r="AE196" s="13">
        <v>0</v>
      </c>
      <c r="AF196" s="13">
        <v>0</v>
      </c>
      <c r="AG196" s="85" t="b">
        <f t="shared" si="55"/>
        <v>1</v>
      </c>
      <c r="AI196" s="84">
        <f t="shared" si="56"/>
        <v>0</v>
      </c>
      <c r="AJ196" s="13">
        <v>0</v>
      </c>
      <c r="AK196" s="13">
        <v>0</v>
      </c>
      <c r="AL196" s="85" t="b">
        <f t="shared" si="57"/>
        <v>1</v>
      </c>
      <c r="AN196" s="66"/>
    </row>
    <row r="197" spans="2:40" ht="13" customHeight="1">
      <c r="B197" s="33"/>
      <c r="C197" s="23">
        <f t="shared" si="50"/>
        <v>2026092</v>
      </c>
      <c r="D197" s="216"/>
      <c r="E197" s="37"/>
      <c r="F197" s="139" t="e">
        <f>VLOOKUP(E197,'Códigos bancos'!$B$3:$D$29,2,0)</f>
        <v>#N/A</v>
      </c>
      <c r="G197" s="138" t="str">
        <f t="shared" si="49"/>
        <v/>
      </c>
      <c r="H197" s="81" t="e">
        <f>VLOOKUP(G197,'Códigos bancos'!$F$3:$G$14,2,0)</f>
        <v>#N/A</v>
      </c>
      <c r="I197" s="139" t="e">
        <f>VLOOKUP(E197,'Códigos bancos'!$B$3:$D$29,3,0)</f>
        <v>#N/A</v>
      </c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82">
        <f t="shared" si="51"/>
        <v>0</v>
      </c>
      <c r="U197" s="83">
        <f t="shared" si="38"/>
        <v>0</v>
      </c>
      <c r="V197" s="36">
        <v>0</v>
      </c>
      <c r="W197" s="36">
        <v>0</v>
      </c>
      <c r="X197" s="69">
        <f t="shared" si="52"/>
        <v>0</v>
      </c>
      <c r="Y197" s="69">
        <f t="shared" si="53"/>
        <v>0</v>
      </c>
      <c r="AA197" s="66"/>
      <c r="AC197" s="84">
        <f t="shared" si="54"/>
        <v>0</v>
      </c>
      <c r="AD197" s="13">
        <v>0</v>
      </c>
      <c r="AE197" s="13">
        <v>0</v>
      </c>
      <c r="AF197" s="13">
        <v>0</v>
      </c>
      <c r="AG197" s="85" t="b">
        <f t="shared" si="55"/>
        <v>1</v>
      </c>
      <c r="AI197" s="84">
        <f t="shared" si="56"/>
        <v>0</v>
      </c>
      <c r="AJ197" s="13">
        <v>0</v>
      </c>
      <c r="AK197" s="13">
        <v>0</v>
      </c>
      <c r="AL197" s="85" t="b">
        <f t="shared" si="57"/>
        <v>1</v>
      </c>
      <c r="AN197" s="66"/>
    </row>
    <row r="198" spans="2:40" ht="13" customHeight="1">
      <c r="B198" s="33"/>
      <c r="C198" s="23">
        <f t="shared" si="50"/>
        <v>2026092</v>
      </c>
      <c r="D198" s="216"/>
      <c r="E198" s="37"/>
      <c r="F198" s="139" t="e">
        <f>VLOOKUP(E198,'Códigos bancos'!$B$3:$D$29,2,0)</f>
        <v>#N/A</v>
      </c>
      <c r="G198" s="138" t="str">
        <f t="shared" si="49"/>
        <v/>
      </c>
      <c r="H198" s="81" t="e">
        <f>VLOOKUP(G198,'Códigos bancos'!$F$3:$G$14,2,0)</f>
        <v>#N/A</v>
      </c>
      <c r="I198" s="139" t="e">
        <f>VLOOKUP(E198,'Códigos bancos'!$B$3:$D$29,3,0)</f>
        <v>#N/A</v>
      </c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82">
        <f t="shared" si="51"/>
        <v>0</v>
      </c>
      <c r="U198" s="83">
        <f t="shared" si="38"/>
        <v>0</v>
      </c>
      <c r="V198" s="36">
        <v>0</v>
      </c>
      <c r="W198" s="36">
        <v>0</v>
      </c>
      <c r="X198" s="69">
        <f t="shared" si="52"/>
        <v>0</v>
      </c>
      <c r="Y198" s="69">
        <f t="shared" si="53"/>
        <v>0</v>
      </c>
      <c r="AA198" s="66"/>
      <c r="AC198" s="84">
        <f t="shared" si="54"/>
        <v>0</v>
      </c>
      <c r="AD198" s="13">
        <v>0</v>
      </c>
      <c r="AE198" s="13">
        <v>0</v>
      </c>
      <c r="AF198" s="13">
        <v>0</v>
      </c>
      <c r="AG198" s="85" t="b">
        <f t="shared" si="55"/>
        <v>1</v>
      </c>
      <c r="AI198" s="84">
        <f t="shared" si="56"/>
        <v>0</v>
      </c>
      <c r="AJ198" s="13">
        <v>0</v>
      </c>
      <c r="AK198" s="13">
        <v>0</v>
      </c>
      <c r="AL198" s="85" t="b">
        <f t="shared" si="57"/>
        <v>1</v>
      </c>
      <c r="AN198" s="66"/>
    </row>
    <row r="199" spans="2:40" ht="13" customHeight="1">
      <c r="B199" s="33"/>
      <c r="C199" s="23">
        <f t="shared" si="50"/>
        <v>2026092</v>
      </c>
      <c r="D199" s="216"/>
      <c r="E199" s="37"/>
      <c r="F199" s="139" t="e">
        <f>VLOOKUP(E199,'Códigos bancos'!$B$3:$D$29,2,0)</f>
        <v>#N/A</v>
      </c>
      <c r="G199" s="138" t="str">
        <f t="shared" si="49"/>
        <v/>
      </c>
      <c r="H199" s="81" t="e">
        <f>VLOOKUP(G199,'Códigos bancos'!$F$3:$G$14,2,0)</f>
        <v>#N/A</v>
      </c>
      <c r="I199" s="139" t="e">
        <f>VLOOKUP(E199,'Códigos bancos'!$B$3:$D$29,3,0)</f>
        <v>#N/A</v>
      </c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82">
        <f t="shared" si="51"/>
        <v>0</v>
      </c>
      <c r="U199" s="83">
        <f t="shared" si="38"/>
        <v>0</v>
      </c>
      <c r="V199" s="36">
        <v>0</v>
      </c>
      <c r="W199" s="36">
        <v>0</v>
      </c>
      <c r="X199" s="69">
        <f t="shared" si="52"/>
        <v>0</v>
      </c>
      <c r="Y199" s="69">
        <f t="shared" si="53"/>
        <v>0</v>
      </c>
      <c r="AA199" s="66"/>
      <c r="AC199" s="84">
        <f t="shared" si="54"/>
        <v>0</v>
      </c>
      <c r="AD199" s="13">
        <v>0</v>
      </c>
      <c r="AE199" s="13">
        <v>0</v>
      </c>
      <c r="AF199" s="13">
        <v>0</v>
      </c>
      <c r="AG199" s="85" t="b">
        <f t="shared" si="55"/>
        <v>1</v>
      </c>
      <c r="AI199" s="84">
        <f t="shared" si="56"/>
        <v>0</v>
      </c>
      <c r="AJ199" s="13">
        <v>0</v>
      </c>
      <c r="AK199" s="13">
        <v>0</v>
      </c>
      <c r="AL199" s="85" t="b">
        <f t="shared" si="57"/>
        <v>1</v>
      </c>
      <c r="AN199" s="66"/>
    </row>
    <row r="200" spans="2:40" ht="13" customHeight="1">
      <c r="B200" s="33"/>
      <c r="C200" s="23">
        <f t="shared" si="50"/>
        <v>2026092</v>
      </c>
      <c r="D200" s="216"/>
      <c r="E200" s="37"/>
      <c r="F200" s="139" t="e">
        <f>VLOOKUP(E200,'Códigos bancos'!$B$3:$D$29,2,0)</f>
        <v>#N/A</v>
      </c>
      <c r="G200" s="138" t="str">
        <f t="shared" si="49"/>
        <v/>
      </c>
      <c r="H200" s="81" t="e">
        <f>VLOOKUP(G200,'Códigos bancos'!$F$3:$G$14,2,0)</f>
        <v>#N/A</v>
      </c>
      <c r="I200" s="139" t="e">
        <f>VLOOKUP(E200,'Códigos bancos'!$B$3:$D$29,3,0)</f>
        <v>#N/A</v>
      </c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82">
        <f t="shared" si="51"/>
        <v>0</v>
      </c>
      <c r="U200" s="83">
        <f t="shared" si="38"/>
        <v>0</v>
      </c>
      <c r="V200" s="36">
        <v>0</v>
      </c>
      <c r="W200" s="36">
        <v>0</v>
      </c>
      <c r="X200" s="69">
        <f t="shared" si="52"/>
        <v>0</v>
      </c>
      <c r="Y200" s="69">
        <f t="shared" si="53"/>
        <v>0</v>
      </c>
      <c r="AA200" s="66"/>
      <c r="AC200" s="84">
        <f t="shared" si="54"/>
        <v>0</v>
      </c>
      <c r="AD200" s="13">
        <v>0</v>
      </c>
      <c r="AE200" s="13">
        <v>0</v>
      </c>
      <c r="AF200" s="13">
        <v>0</v>
      </c>
      <c r="AG200" s="85" t="b">
        <f t="shared" si="55"/>
        <v>1</v>
      </c>
      <c r="AI200" s="84">
        <f t="shared" si="56"/>
        <v>0</v>
      </c>
      <c r="AJ200" s="13">
        <v>0</v>
      </c>
      <c r="AK200" s="13">
        <v>0</v>
      </c>
      <c r="AL200" s="85" t="b">
        <f t="shared" si="57"/>
        <v>1</v>
      </c>
      <c r="AN200" s="66"/>
    </row>
    <row r="201" spans="2:40" ht="13" customHeight="1">
      <c r="B201" s="33"/>
      <c r="C201" s="23">
        <f t="shared" si="50"/>
        <v>2026092</v>
      </c>
      <c r="D201" s="216"/>
      <c r="E201" s="37"/>
      <c r="F201" s="139" t="e">
        <f>VLOOKUP(E201,'Códigos bancos'!$B$3:$D$29,2,0)</f>
        <v>#N/A</v>
      </c>
      <c r="G201" s="138" t="str">
        <f t="shared" si="49"/>
        <v/>
      </c>
      <c r="H201" s="81" t="e">
        <f>VLOOKUP(G201,'Códigos bancos'!$F$3:$G$14,2,0)</f>
        <v>#N/A</v>
      </c>
      <c r="I201" s="139" t="e">
        <f>VLOOKUP(E201,'Códigos bancos'!$B$3:$D$29,3,0)</f>
        <v>#N/A</v>
      </c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82">
        <f t="shared" si="51"/>
        <v>0</v>
      </c>
      <c r="U201" s="83">
        <f t="shared" si="38"/>
        <v>0</v>
      </c>
      <c r="V201" s="36">
        <v>0</v>
      </c>
      <c r="W201" s="36">
        <v>0</v>
      </c>
      <c r="X201" s="69">
        <f t="shared" si="52"/>
        <v>0</v>
      </c>
      <c r="Y201" s="69">
        <f t="shared" si="53"/>
        <v>0</v>
      </c>
      <c r="AA201" s="66"/>
      <c r="AC201" s="84">
        <f t="shared" si="54"/>
        <v>0</v>
      </c>
      <c r="AD201" s="13">
        <v>0</v>
      </c>
      <c r="AE201" s="13">
        <v>0</v>
      </c>
      <c r="AF201" s="13">
        <v>0</v>
      </c>
      <c r="AG201" s="85" t="b">
        <f t="shared" si="55"/>
        <v>1</v>
      </c>
      <c r="AI201" s="84">
        <f t="shared" si="56"/>
        <v>0</v>
      </c>
      <c r="AJ201" s="13">
        <v>0</v>
      </c>
      <c r="AK201" s="13">
        <v>0</v>
      </c>
      <c r="AL201" s="85" t="b">
        <f t="shared" si="57"/>
        <v>1</v>
      </c>
      <c r="AN201" s="66"/>
    </row>
    <row r="202" spans="2:40" ht="13" customHeight="1">
      <c r="B202" s="33"/>
      <c r="C202" s="23">
        <f t="shared" si="50"/>
        <v>2026092</v>
      </c>
      <c r="D202" s="216"/>
      <c r="E202" s="37"/>
      <c r="F202" s="139" t="e">
        <f>VLOOKUP(E202,'Códigos bancos'!$B$3:$D$29,2,0)</f>
        <v>#N/A</v>
      </c>
      <c r="G202" s="138" t="str">
        <f t="shared" si="49"/>
        <v/>
      </c>
      <c r="H202" s="81" t="e">
        <f>VLOOKUP(G202,'Códigos bancos'!$F$3:$G$14,2,0)</f>
        <v>#N/A</v>
      </c>
      <c r="I202" s="139" t="e">
        <f>VLOOKUP(E202,'Códigos bancos'!$B$3:$D$29,3,0)</f>
        <v>#N/A</v>
      </c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82">
        <f t="shared" si="51"/>
        <v>0</v>
      </c>
      <c r="U202" s="83">
        <f t="shared" si="38"/>
        <v>0</v>
      </c>
      <c r="V202" s="36">
        <v>0</v>
      </c>
      <c r="W202" s="36">
        <v>0</v>
      </c>
      <c r="X202" s="69">
        <f t="shared" si="52"/>
        <v>0</v>
      </c>
      <c r="Y202" s="69">
        <f t="shared" si="53"/>
        <v>0</v>
      </c>
      <c r="AA202" s="66"/>
      <c r="AC202" s="84">
        <f t="shared" si="54"/>
        <v>0</v>
      </c>
      <c r="AD202" s="13">
        <v>0</v>
      </c>
      <c r="AE202" s="13">
        <v>0</v>
      </c>
      <c r="AF202" s="13">
        <v>0</v>
      </c>
      <c r="AG202" s="85" t="b">
        <f t="shared" si="55"/>
        <v>1</v>
      </c>
      <c r="AI202" s="84">
        <f t="shared" si="56"/>
        <v>0</v>
      </c>
      <c r="AJ202" s="13">
        <v>0</v>
      </c>
      <c r="AK202" s="13">
        <v>0</v>
      </c>
      <c r="AL202" s="85" t="b">
        <f t="shared" si="57"/>
        <v>1</v>
      </c>
      <c r="AN202" s="66"/>
    </row>
    <row r="203" spans="2:40" ht="13" customHeight="1">
      <c r="B203" s="33"/>
      <c r="C203" s="23">
        <f t="shared" si="50"/>
        <v>2026092</v>
      </c>
      <c r="D203" s="216"/>
      <c r="E203" s="37"/>
      <c r="F203" s="139" t="e">
        <f>VLOOKUP(E203,'Códigos bancos'!$B$3:$D$29,2,0)</f>
        <v>#N/A</v>
      </c>
      <c r="G203" s="138" t="str">
        <f t="shared" si="49"/>
        <v/>
      </c>
      <c r="H203" s="81" t="e">
        <f>VLOOKUP(G203,'Códigos bancos'!$F$3:$G$14,2,0)</f>
        <v>#N/A</v>
      </c>
      <c r="I203" s="139" t="e">
        <f>VLOOKUP(E203,'Códigos bancos'!$B$3:$D$29,3,0)</f>
        <v>#N/A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82">
        <f t="shared" si="51"/>
        <v>0</v>
      </c>
      <c r="U203" s="83">
        <f t="shared" si="38"/>
        <v>0</v>
      </c>
      <c r="V203" s="36">
        <v>0</v>
      </c>
      <c r="W203" s="36">
        <v>0</v>
      </c>
      <c r="X203" s="69">
        <f t="shared" si="52"/>
        <v>0</v>
      </c>
      <c r="Y203" s="69">
        <f t="shared" si="53"/>
        <v>0</v>
      </c>
      <c r="AA203" s="66"/>
      <c r="AC203" s="84">
        <f t="shared" si="54"/>
        <v>0</v>
      </c>
      <c r="AD203" s="13">
        <v>0</v>
      </c>
      <c r="AE203" s="13">
        <v>0</v>
      </c>
      <c r="AF203" s="13">
        <v>0</v>
      </c>
      <c r="AG203" s="85" t="b">
        <f t="shared" si="55"/>
        <v>1</v>
      </c>
      <c r="AI203" s="84">
        <f t="shared" si="56"/>
        <v>0</v>
      </c>
      <c r="AJ203" s="13">
        <v>0</v>
      </c>
      <c r="AK203" s="13">
        <v>0</v>
      </c>
      <c r="AL203" s="85" t="b">
        <f t="shared" si="57"/>
        <v>1</v>
      </c>
      <c r="AN203" s="66"/>
    </row>
    <row r="204" spans="2:40" ht="13" customHeight="1">
      <c r="B204" s="33"/>
      <c r="C204" s="23">
        <f t="shared" si="50"/>
        <v>2026092</v>
      </c>
      <c r="D204" s="216"/>
      <c r="E204" s="37"/>
      <c r="F204" s="139" t="e">
        <f>VLOOKUP(E204,'Códigos bancos'!$B$3:$D$29,2,0)</f>
        <v>#N/A</v>
      </c>
      <c r="G204" s="138" t="str">
        <f t="shared" si="49"/>
        <v/>
      </c>
      <c r="H204" s="81" t="e">
        <f>VLOOKUP(G204,'Códigos bancos'!$F$3:$G$14,2,0)</f>
        <v>#N/A</v>
      </c>
      <c r="I204" s="139" t="e">
        <f>VLOOKUP(E204,'Códigos bancos'!$B$3:$D$29,3,0)</f>
        <v>#N/A</v>
      </c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82">
        <f t="shared" si="51"/>
        <v>0</v>
      </c>
      <c r="U204" s="83">
        <f t="shared" si="38"/>
        <v>0</v>
      </c>
      <c r="V204" s="36">
        <v>0</v>
      </c>
      <c r="W204" s="36">
        <v>0</v>
      </c>
      <c r="X204" s="69">
        <f t="shared" si="52"/>
        <v>0</v>
      </c>
      <c r="Y204" s="69">
        <f t="shared" si="53"/>
        <v>0</v>
      </c>
      <c r="AA204" s="66"/>
      <c r="AC204" s="84">
        <f t="shared" si="54"/>
        <v>0</v>
      </c>
      <c r="AD204" s="13">
        <v>0</v>
      </c>
      <c r="AE204" s="13">
        <v>0</v>
      </c>
      <c r="AF204" s="13">
        <v>0</v>
      </c>
      <c r="AG204" s="85" t="b">
        <f t="shared" si="55"/>
        <v>1</v>
      </c>
      <c r="AI204" s="84">
        <f t="shared" si="56"/>
        <v>0</v>
      </c>
      <c r="AJ204" s="13">
        <v>0</v>
      </c>
      <c r="AK204" s="13">
        <v>0</v>
      </c>
      <c r="AL204" s="85" t="b">
        <f t="shared" si="57"/>
        <v>1</v>
      </c>
      <c r="AN204" s="66"/>
    </row>
    <row r="205" spans="2:40" ht="13" customHeight="1">
      <c r="B205" s="33"/>
      <c r="C205" s="23">
        <f t="shared" si="50"/>
        <v>2026092</v>
      </c>
      <c r="D205" s="216"/>
      <c r="E205" s="37"/>
      <c r="F205" s="139" t="e">
        <f>VLOOKUP(E205,'Códigos bancos'!$B$3:$D$29,2,0)</f>
        <v>#N/A</v>
      </c>
      <c r="G205" s="138" t="str">
        <f t="shared" si="49"/>
        <v/>
      </c>
      <c r="H205" s="81" t="e">
        <f>VLOOKUP(G205,'Códigos bancos'!$F$3:$G$14,2,0)</f>
        <v>#N/A</v>
      </c>
      <c r="I205" s="139" t="e">
        <f>VLOOKUP(E205,'Códigos bancos'!$B$3:$D$29,3,0)</f>
        <v>#N/A</v>
      </c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82">
        <f t="shared" si="51"/>
        <v>0</v>
      </c>
      <c r="U205" s="83">
        <f t="shared" si="38"/>
        <v>0</v>
      </c>
      <c r="V205" s="36">
        <v>0</v>
      </c>
      <c r="W205" s="36">
        <v>0</v>
      </c>
      <c r="X205" s="69">
        <f t="shared" si="52"/>
        <v>0</v>
      </c>
      <c r="Y205" s="69">
        <f t="shared" si="53"/>
        <v>0</v>
      </c>
      <c r="AA205" s="66"/>
      <c r="AC205" s="84">
        <f t="shared" si="54"/>
        <v>0</v>
      </c>
      <c r="AD205" s="13">
        <v>0</v>
      </c>
      <c r="AE205" s="13">
        <v>0</v>
      </c>
      <c r="AF205" s="13">
        <v>0</v>
      </c>
      <c r="AG205" s="85" t="b">
        <f t="shared" si="55"/>
        <v>1</v>
      </c>
      <c r="AI205" s="84">
        <f t="shared" si="56"/>
        <v>0</v>
      </c>
      <c r="AJ205" s="13">
        <v>0</v>
      </c>
      <c r="AK205" s="13">
        <v>0</v>
      </c>
      <c r="AL205" s="85" t="b">
        <f t="shared" si="57"/>
        <v>1</v>
      </c>
      <c r="AN205" s="66"/>
    </row>
    <row r="206" spans="2:40" ht="13" customHeight="1">
      <c r="B206" s="33"/>
      <c r="C206" s="23">
        <f t="shared" si="50"/>
        <v>2026092</v>
      </c>
      <c r="D206" s="216"/>
      <c r="E206" s="37"/>
      <c r="F206" s="139" t="e">
        <f>VLOOKUP(E206,'Códigos bancos'!$B$3:$D$29,2,0)</f>
        <v>#N/A</v>
      </c>
      <c r="G206" s="138" t="str">
        <f t="shared" si="49"/>
        <v/>
      </c>
      <c r="H206" s="81" t="e">
        <f>VLOOKUP(G206,'Códigos bancos'!$F$3:$G$14,2,0)</f>
        <v>#N/A</v>
      </c>
      <c r="I206" s="139" t="e">
        <f>VLOOKUP(E206,'Códigos bancos'!$B$3:$D$29,3,0)</f>
        <v>#N/A</v>
      </c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82">
        <f t="shared" si="51"/>
        <v>0</v>
      </c>
      <c r="U206" s="83">
        <f t="shared" si="38"/>
        <v>0</v>
      </c>
      <c r="V206" s="36">
        <v>0</v>
      </c>
      <c r="W206" s="36">
        <v>0</v>
      </c>
      <c r="X206" s="69">
        <f t="shared" si="52"/>
        <v>0</v>
      </c>
      <c r="Y206" s="69">
        <f t="shared" si="53"/>
        <v>0</v>
      </c>
      <c r="AA206" s="66"/>
      <c r="AC206" s="84">
        <f t="shared" si="54"/>
        <v>0</v>
      </c>
      <c r="AD206" s="13">
        <v>0</v>
      </c>
      <c r="AE206" s="13">
        <v>0</v>
      </c>
      <c r="AF206" s="13">
        <v>0</v>
      </c>
      <c r="AG206" s="85" t="b">
        <f t="shared" si="55"/>
        <v>1</v>
      </c>
      <c r="AI206" s="84">
        <f t="shared" si="56"/>
        <v>0</v>
      </c>
      <c r="AJ206" s="13">
        <v>0</v>
      </c>
      <c r="AK206" s="13">
        <v>0</v>
      </c>
      <c r="AL206" s="85" t="b">
        <f t="shared" si="57"/>
        <v>1</v>
      </c>
      <c r="AN206" s="66"/>
    </row>
    <row r="207" spans="2:40" ht="13" customHeight="1">
      <c r="B207" s="33"/>
      <c r="C207" s="23">
        <f t="shared" si="50"/>
        <v>2026092</v>
      </c>
      <c r="D207" s="216"/>
      <c r="E207" s="37"/>
      <c r="F207" s="139" t="e">
        <f>VLOOKUP(E207,'Códigos bancos'!$B$3:$D$29,2,0)</f>
        <v>#N/A</v>
      </c>
      <c r="G207" s="138" t="str">
        <f t="shared" si="49"/>
        <v/>
      </c>
      <c r="H207" s="81" t="e">
        <f>VLOOKUP(G207,'Códigos bancos'!$F$3:$G$14,2,0)</f>
        <v>#N/A</v>
      </c>
      <c r="I207" s="139" t="e">
        <f>VLOOKUP(E207,'Códigos bancos'!$B$3:$D$29,3,0)</f>
        <v>#N/A</v>
      </c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82">
        <f t="shared" si="51"/>
        <v>0</v>
      </c>
      <c r="U207" s="83">
        <f t="shared" si="38"/>
        <v>0</v>
      </c>
      <c r="V207" s="36">
        <v>0</v>
      </c>
      <c r="W207" s="36">
        <v>0</v>
      </c>
      <c r="X207" s="69">
        <f t="shared" si="52"/>
        <v>0</v>
      </c>
      <c r="Y207" s="69">
        <f t="shared" si="53"/>
        <v>0</v>
      </c>
      <c r="AA207" s="66"/>
      <c r="AC207" s="84">
        <f t="shared" si="54"/>
        <v>0</v>
      </c>
      <c r="AD207" s="13">
        <v>0</v>
      </c>
      <c r="AE207" s="13">
        <v>0</v>
      </c>
      <c r="AF207" s="13">
        <v>0</v>
      </c>
      <c r="AG207" s="85" t="b">
        <f t="shared" si="55"/>
        <v>1</v>
      </c>
      <c r="AI207" s="84">
        <f t="shared" si="56"/>
        <v>0</v>
      </c>
      <c r="AJ207" s="13">
        <v>0</v>
      </c>
      <c r="AK207" s="13">
        <v>0</v>
      </c>
      <c r="AL207" s="85" t="b">
        <f t="shared" si="57"/>
        <v>1</v>
      </c>
      <c r="AN207" s="66"/>
    </row>
    <row r="208" spans="2:40" ht="13" customHeight="1">
      <c r="B208" s="33"/>
      <c r="C208" s="23">
        <f t="shared" si="50"/>
        <v>2026092</v>
      </c>
      <c r="D208" s="216"/>
      <c r="E208" s="37"/>
      <c r="F208" s="139" t="e">
        <f>VLOOKUP(E208,'Códigos bancos'!$B$3:$D$29,2,0)</f>
        <v>#N/A</v>
      </c>
      <c r="G208" s="138" t="str">
        <f t="shared" si="49"/>
        <v/>
      </c>
      <c r="H208" s="81" t="e">
        <f>VLOOKUP(G208,'Códigos bancos'!$F$3:$G$14,2,0)</f>
        <v>#N/A</v>
      </c>
      <c r="I208" s="139" t="e">
        <f>VLOOKUP(E208,'Códigos bancos'!$B$3:$D$29,3,0)</f>
        <v>#N/A</v>
      </c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82">
        <f t="shared" si="51"/>
        <v>0</v>
      </c>
      <c r="U208" s="83">
        <f t="shared" si="38"/>
        <v>0</v>
      </c>
      <c r="V208" s="36"/>
      <c r="W208" s="36"/>
      <c r="X208" s="69">
        <f t="shared" si="52"/>
        <v>0</v>
      </c>
      <c r="Y208" s="69">
        <f t="shared" si="53"/>
        <v>0</v>
      </c>
      <c r="AA208" s="66"/>
      <c r="AC208" s="84">
        <f t="shared" si="54"/>
        <v>0</v>
      </c>
      <c r="AD208" s="13">
        <v>0</v>
      </c>
      <c r="AE208" s="13">
        <v>0</v>
      </c>
      <c r="AF208" s="13">
        <v>0</v>
      </c>
      <c r="AG208" s="85" t="b">
        <f t="shared" si="55"/>
        <v>1</v>
      </c>
      <c r="AI208" s="84">
        <f t="shared" si="56"/>
        <v>0</v>
      </c>
      <c r="AJ208" s="13">
        <v>0</v>
      </c>
      <c r="AK208" s="13">
        <v>0</v>
      </c>
      <c r="AL208" s="85" t="b">
        <f t="shared" si="57"/>
        <v>1</v>
      </c>
      <c r="AN208" s="66"/>
    </row>
    <row r="209" spans="1:40" ht="13" customHeight="1">
      <c r="B209" s="33"/>
      <c r="C209" s="23">
        <f t="shared" si="50"/>
        <v>2026092</v>
      </c>
      <c r="D209" s="216"/>
      <c r="E209" s="37"/>
      <c r="F209" s="139" t="e">
        <f>VLOOKUP(E209,'Códigos bancos'!$B$3:$D$29,2,0)</f>
        <v>#N/A</v>
      </c>
      <c r="G209" s="138" t="str">
        <f t="shared" si="49"/>
        <v/>
      </c>
      <c r="H209" s="81" t="e">
        <f>VLOOKUP(G209,'Códigos bancos'!$F$3:$G$14,2,0)</f>
        <v>#N/A</v>
      </c>
      <c r="I209" s="139" t="e">
        <f>VLOOKUP(E209,'Códigos bancos'!$B$3:$D$29,3,0)</f>
        <v>#N/A</v>
      </c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82">
        <f t="shared" si="51"/>
        <v>0</v>
      </c>
      <c r="U209" s="83">
        <f t="shared" si="38"/>
        <v>0</v>
      </c>
      <c r="V209" s="36"/>
      <c r="W209" s="36"/>
      <c r="X209" s="69">
        <f t="shared" si="52"/>
        <v>0</v>
      </c>
      <c r="Y209" s="69">
        <f t="shared" si="53"/>
        <v>0</v>
      </c>
      <c r="AA209" s="66"/>
      <c r="AC209" s="84">
        <f t="shared" si="54"/>
        <v>0</v>
      </c>
      <c r="AD209" s="13">
        <v>0</v>
      </c>
      <c r="AE209" s="13">
        <v>0</v>
      </c>
      <c r="AF209" s="13">
        <v>0</v>
      </c>
      <c r="AG209" s="85" t="b">
        <f t="shared" si="55"/>
        <v>1</v>
      </c>
      <c r="AI209" s="84">
        <f t="shared" si="56"/>
        <v>0</v>
      </c>
      <c r="AJ209" s="13">
        <v>0</v>
      </c>
      <c r="AK209" s="13">
        <v>0</v>
      </c>
      <c r="AL209" s="85" t="b">
        <f t="shared" si="57"/>
        <v>1</v>
      </c>
      <c r="AN209" s="66"/>
    </row>
    <row r="210" spans="1:40" ht="13" customHeight="1">
      <c r="B210" s="33"/>
      <c r="C210" s="23">
        <f t="shared" si="50"/>
        <v>2026092</v>
      </c>
      <c r="D210" s="216"/>
      <c r="E210" s="37"/>
      <c r="F210" s="139" t="e">
        <f>VLOOKUP(E210,'Códigos bancos'!$B$3:$D$29,2,0)</f>
        <v>#N/A</v>
      </c>
      <c r="G210" s="138" t="str">
        <f t="shared" si="49"/>
        <v/>
      </c>
      <c r="H210" s="81" t="e">
        <f>VLOOKUP(G210,'Códigos bancos'!$F$3:$G$14,2,0)</f>
        <v>#N/A</v>
      </c>
      <c r="I210" s="139" t="e">
        <f>VLOOKUP(E210,'Códigos bancos'!$B$3:$D$29,3,0)</f>
        <v>#N/A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82">
        <f t="shared" si="51"/>
        <v>0</v>
      </c>
      <c r="U210" s="83">
        <f t="shared" si="38"/>
        <v>0</v>
      </c>
      <c r="V210" s="36"/>
      <c r="W210" s="36"/>
      <c r="X210" s="69">
        <f t="shared" si="52"/>
        <v>0</v>
      </c>
      <c r="Y210" s="69">
        <f t="shared" si="53"/>
        <v>0</v>
      </c>
      <c r="AA210" s="66"/>
      <c r="AC210" s="84">
        <f t="shared" si="54"/>
        <v>0</v>
      </c>
      <c r="AD210" s="13">
        <v>0</v>
      </c>
      <c r="AE210" s="13">
        <v>0</v>
      </c>
      <c r="AF210" s="13">
        <v>0</v>
      </c>
      <c r="AG210" s="85" t="b">
        <f t="shared" si="55"/>
        <v>1</v>
      </c>
      <c r="AI210" s="84">
        <f t="shared" si="56"/>
        <v>0</v>
      </c>
      <c r="AJ210" s="13">
        <v>0</v>
      </c>
      <c r="AK210" s="13">
        <v>0</v>
      </c>
      <c r="AL210" s="85" t="b">
        <f t="shared" si="57"/>
        <v>1</v>
      </c>
      <c r="AN210" s="66"/>
    </row>
    <row r="211" spans="1:40" ht="13" customHeight="1">
      <c r="B211" s="33"/>
      <c r="C211" s="23">
        <f t="shared" si="50"/>
        <v>2026092</v>
      </c>
      <c r="D211" s="216"/>
      <c r="E211" s="37"/>
      <c r="F211" s="139" t="e">
        <f>VLOOKUP(E211,'Códigos bancos'!$B$3:$D$29,2,0)</f>
        <v>#N/A</v>
      </c>
      <c r="G211" s="138" t="str">
        <f t="shared" si="49"/>
        <v/>
      </c>
      <c r="H211" s="81" t="e">
        <f>VLOOKUP(G211,'Códigos bancos'!$F$3:$G$14,2,0)</f>
        <v>#N/A</v>
      </c>
      <c r="I211" s="139" t="e">
        <f>VLOOKUP(E211,'Códigos bancos'!$B$3:$D$29,3,0)</f>
        <v>#N/A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82">
        <f t="shared" si="51"/>
        <v>0</v>
      </c>
      <c r="U211" s="83">
        <f t="shared" si="38"/>
        <v>0</v>
      </c>
      <c r="V211" s="36"/>
      <c r="W211" s="36"/>
      <c r="X211" s="69">
        <f t="shared" si="52"/>
        <v>0</v>
      </c>
      <c r="Y211" s="69">
        <f t="shared" si="53"/>
        <v>0</v>
      </c>
      <c r="AA211" s="66"/>
      <c r="AC211" s="84">
        <f t="shared" si="54"/>
        <v>0</v>
      </c>
      <c r="AD211" s="13">
        <v>0</v>
      </c>
      <c r="AE211" s="13">
        <v>0</v>
      </c>
      <c r="AF211" s="13">
        <v>0</v>
      </c>
      <c r="AG211" s="85" t="b">
        <f t="shared" si="55"/>
        <v>1</v>
      </c>
      <c r="AI211" s="84">
        <f t="shared" si="56"/>
        <v>0</v>
      </c>
      <c r="AJ211" s="13">
        <v>0</v>
      </c>
      <c r="AK211" s="13">
        <v>0</v>
      </c>
      <c r="AL211" s="85" t="b">
        <f t="shared" si="57"/>
        <v>1</v>
      </c>
      <c r="AN211" s="66"/>
    </row>
    <row r="212" spans="1:40" ht="13" customHeight="1">
      <c r="B212" s="33"/>
      <c r="C212" s="23">
        <f t="shared" si="50"/>
        <v>2026092</v>
      </c>
      <c r="D212" s="216"/>
      <c r="E212" s="37"/>
      <c r="F212" s="139" t="e">
        <f>VLOOKUP(E212,'Códigos bancos'!$B$3:$D$29,2,0)</f>
        <v>#N/A</v>
      </c>
      <c r="G212" s="138" t="str">
        <f t="shared" si="49"/>
        <v/>
      </c>
      <c r="H212" s="81" t="e">
        <f>VLOOKUP(G212,'Códigos bancos'!$F$3:$G$14,2,0)</f>
        <v>#N/A</v>
      </c>
      <c r="I212" s="139" t="e">
        <f>VLOOKUP(E212,'Códigos bancos'!$B$3:$D$29,3,0)</f>
        <v>#N/A</v>
      </c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82">
        <f t="shared" si="51"/>
        <v>0</v>
      </c>
      <c r="U212" s="83">
        <f t="shared" si="38"/>
        <v>0</v>
      </c>
      <c r="V212" s="36"/>
      <c r="W212" s="36"/>
      <c r="X212" s="69">
        <f t="shared" si="52"/>
        <v>0</v>
      </c>
      <c r="Y212" s="69">
        <f t="shared" si="53"/>
        <v>0</v>
      </c>
      <c r="AA212" s="66"/>
      <c r="AC212" s="84">
        <f t="shared" si="54"/>
        <v>0</v>
      </c>
      <c r="AD212" s="13">
        <v>0</v>
      </c>
      <c r="AE212" s="13">
        <v>0</v>
      </c>
      <c r="AF212" s="13">
        <v>0</v>
      </c>
      <c r="AG212" s="85" t="b">
        <f t="shared" si="55"/>
        <v>1</v>
      </c>
      <c r="AI212" s="84">
        <f t="shared" si="56"/>
        <v>0</v>
      </c>
      <c r="AJ212" s="13">
        <v>0</v>
      </c>
      <c r="AK212" s="13">
        <v>0</v>
      </c>
      <c r="AL212" s="85" t="b">
        <f t="shared" si="57"/>
        <v>1</v>
      </c>
      <c r="AN212" s="66"/>
    </row>
    <row r="213" spans="1:40" ht="13" customHeight="1">
      <c r="B213" s="33"/>
      <c r="C213" s="23">
        <f t="shared" si="50"/>
        <v>2026092</v>
      </c>
      <c r="D213" s="216"/>
      <c r="E213" s="37"/>
      <c r="F213" s="139" t="e">
        <f>VLOOKUP(E213,'Códigos bancos'!$B$3:$D$29,2,0)</f>
        <v>#N/A</v>
      </c>
      <c r="G213" s="138" t="str">
        <f t="shared" si="49"/>
        <v/>
      </c>
      <c r="H213" s="81" t="e">
        <f>VLOOKUP(G213,'Códigos bancos'!$F$3:$G$14,2,0)</f>
        <v>#N/A</v>
      </c>
      <c r="I213" s="139" t="e">
        <f>VLOOKUP(E213,'Códigos bancos'!$B$3:$D$29,3,0)</f>
        <v>#N/A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82">
        <f t="shared" si="51"/>
        <v>0</v>
      </c>
      <c r="U213" s="83">
        <f t="shared" si="38"/>
        <v>0</v>
      </c>
      <c r="V213" s="36"/>
      <c r="W213" s="36"/>
      <c r="X213" s="69">
        <f t="shared" si="52"/>
        <v>0</v>
      </c>
      <c r="Y213" s="69">
        <f t="shared" si="53"/>
        <v>0</v>
      </c>
      <c r="AA213" s="66"/>
      <c r="AC213" s="84">
        <f t="shared" si="54"/>
        <v>0</v>
      </c>
      <c r="AD213" s="13">
        <v>0</v>
      </c>
      <c r="AE213" s="13">
        <v>0</v>
      </c>
      <c r="AF213" s="13">
        <v>0</v>
      </c>
      <c r="AG213" s="85" t="b">
        <f t="shared" si="55"/>
        <v>1</v>
      </c>
      <c r="AI213" s="84">
        <f t="shared" si="56"/>
        <v>0</v>
      </c>
      <c r="AJ213" s="13">
        <v>0</v>
      </c>
      <c r="AK213" s="13">
        <v>0</v>
      </c>
      <c r="AL213" s="85" t="b">
        <f t="shared" si="57"/>
        <v>1</v>
      </c>
      <c r="AN213" s="66"/>
    </row>
    <row r="214" spans="1:40" ht="13" customHeight="1">
      <c r="B214" s="33"/>
      <c r="C214" s="23">
        <f t="shared" si="50"/>
        <v>2026092</v>
      </c>
      <c r="D214" s="216"/>
      <c r="E214" s="37"/>
      <c r="F214" s="139" t="e">
        <f>VLOOKUP(E214,'Códigos bancos'!$B$3:$D$29,2,0)</f>
        <v>#N/A</v>
      </c>
      <c r="G214" s="138" t="str">
        <f t="shared" si="49"/>
        <v/>
      </c>
      <c r="H214" s="81" t="e">
        <f>VLOOKUP(G214,'Códigos bancos'!$F$3:$G$14,2,0)</f>
        <v>#N/A</v>
      </c>
      <c r="I214" s="139" t="e">
        <f>VLOOKUP(E214,'Códigos bancos'!$B$3:$D$29,3,0)</f>
        <v>#N/A</v>
      </c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82">
        <f t="shared" si="51"/>
        <v>0</v>
      </c>
      <c r="U214" s="83">
        <f t="shared" si="38"/>
        <v>0</v>
      </c>
      <c r="V214" s="36"/>
      <c r="W214" s="36"/>
      <c r="X214" s="69">
        <f t="shared" si="52"/>
        <v>0</v>
      </c>
      <c r="Y214" s="69">
        <f t="shared" si="53"/>
        <v>0</v>
      </c>
      <c r="AA214" s="66"/>
      <c r="AC214" s="84">
        <f t="shared" si="54"/>
        <v>0</v>
      </c>
      <c r="AD214" s="13">
        <v>0</v>
      </c>
      <c r="AE214" s="13">
        <v>0</v>
      </c>
      <c r="AF214" s="13">
        <v>0</v>
      </c>
      <c r="AG214" s="85" t="b">
        <f t="shared" si="55"/>
        <v>1</v>
      </c>
      <c r="AI214" s="84">
        <f t="shared" si="56"/>
        <v>0</v>
      </c>
      <c r="AJ214" s="13">
        <v>0</v>
      </c>
      <c r="AK214" s="13">
        <v>0</v>
      </c>
      <c r="AL214" s="85" t="b">
        <f t="shared" si="57"/>
        <v>1</v>
      </c>
      <c r="AN214" s="66"/>
    </row>
    <row r="215" spans="1:40" ht="13" customHeight="1">
      <c r="B215" s="33"/>
      <c r="C215" s="23">
        <f t="shared" si="50"/>
        <v>2026092</v>
      </c>
      <c r="D215" s="216"/>
      <c r="E215" s="37"/>
      <c r="F215" s="139" t="e">
        <f>VLOOKUP(E215,'Códigos bancos'!$B$3:$D$29,2,0)</f>
        <v>#N/A</v>
      </c>
      <c r="G215" s="138" t="str">
        <f t="shared" si="49"/>
        <v/>
      </c>
      <c r="H215" s="81" t="e">
        <f>VLOOKUP(G215,'Códigos bancos'!$F$3:$G$14,2,0)</f>
        <v>#N/A</v>
      </c>
      <c r="I215" s="139" t="e">
        <f>VLOOKUP(E215,'Códigos bancos'!$B$3:$D$29,3,0)</f>
        <v>#N/A</v>
      </c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82">
        <f t="shared" si="51"/>
        <v>0</v>
      </c>
      <c r="U215" s="83">
        <f t="shared" si="38"/>
        <v>0</v>
      </c>
      <c r="V215" s="36"/>
      <c r="W215" s="36"/>
      <c r="X215" s="69">
        <f t="shared" si="52"/>
        <v>0</v>
      </c>
      <c r="Y215" s="69">
        <f t="shared" si="53"/>
        <v>0</v>
      </c>
      <c r="AA215" s="66"/>
      <c r="AC215" s="84">
        <f t="shared" si="54"/>
        <v>0</v>
      </c>
      <c r="AD215" s="13">
        <v>0</v>
      </c>
      <c r="AE215" s="13">
        <v>0</v>
      </c>
      <c r="AF215" s="13">
        <v>0</v>
      </c>
      <c r="AG215" s="85" t="b">
        <f t="shared" si="55"/>
        <v>1</v>
      </c>
      <c r="AI215" s="84">
        <f t="shared" si="56"/>
        <v>0</v>
      </c>
      <c r="AJ215" s="13">
        <v>0</v>
      </c>
      <c r="AK215" s="13">
        <v>0</v>
      </c>
      <c r="AL215" s="85" t="b">
        <f t="shared" si="57"/>
        <v>1</v>
      </c>
      <c r="AN215" s="66"/>
    </row>
    <row r="216" spans="1:40" ht="13" customHeight="1">
      <c r="B216" s="33"/>
      <c r="C216" s="23">
        <f t="shared" si="50"/>
        <v>2026092</v>
      </c>
      <c r="D216" s="216"/>
      <c r="E216" s="37"/>
      <c r="F216" s="139" t="e">
        <f>VLOOKUP(E216,'Códigos bancos'!$B$3:$D$29,2,0)</f>
        <v>#N/A</v>
      </c>
      <c r="G216" s="138" t="str">
        <f t="shared" si="49"/>
        <v/>
      </c>
      <c r="H216" s="81" t="e">
        <f>VLOOKUP(G216,'Códigos bancos'!$F$3:$G$14,2,0)</f>
        <v>#N/A</v>
      </c>
      <c r="I216" s="139" t="e">
        <f>VLOOKUP(E216,'Códigos bancos'!$B$3:$D$29,3,0)</f>
        <v>#N/A</v>
      </c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82">
        <f t="shared" si="51"/>
        <v>0</v>
      </c>
      <c r="U216" s="83">
        <f t="shared" si="38"/>
        <v>0</v>
      </c>
      <c r="V216" s="36"/>
      <c r="W216" s="36"/>
      <c r="X216" s="69">
        <f t="shared" si="52"/>
        <v>0</v>
      </c>
      <c r="Y216" s="69">
        <f t="shared" si="53"/>
        <v>0</v>
      </c>
      <c r="AA216" s="66"/>
      <c r="AC216" s="84">
        <f t="shared" si="54"/>
        <v>0</v>
      </c>
      <c r="AD216" s="13">
        <v>0</v>
      </c>
      <c r="AE216" s="13">
        <v>0</v>
      </c>
      <c r="AF216" s="13">
        <v>0</v>
      </c>
      <c r="AG216" s="85" t="b">
        <f t="shared" si="55"/>
        <v>1</v>
      </c>
      <c r="AI216" s="84">
        <f t="shared" si="56"/>
        <v>0</v>
      </c>
      <c r="AJ216" s="13">
        <v>0</v>
      </c>
      <c r="AK216" s="13">
        <v>0</v>
      </c>
      <c r="AL216" s="85" t="b">
        <f t="shared" si="57"/>
        <v>1</v>
      </c>
      <c r="AN216" s="66"/>
    </row>
    <row r="217" spans="1:40" ht="13" customHeight="1">
      <c r="B217" s="33"/>
      <c r="C217" s="23">
        <f t="shared" si="50"/>
        <v>2026092</v>
      </c>
      <c r="D217" s="216"/>
      <c r="E217" s="37"/>
      <c r="F217" s="139" t="e">
        <f>VLOOKUP(E217,'Códigos bancos'!$B$3:$D$29,2,0)</f>
        <v>#N/A</v>
      </c>
      <c r="G217" s="138" t="str">
        <f t="shared" si="49"/>
        <v/>
      </c>
      <c r="H217" s="81" t="e">
        <f>VLOOKUP(G217,'Códigos bancos'!$F$3:$G$14,2,0)</f>
        <v>#N/A</v>
      </c>
      <c r="I217" s="139" t="e">
        <f>VLOOKUP(E217,'Códigos bancos'!$B$3:$D$29,3,0)</f>
        <v>#N/A</v>
      </c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82">
        <f t="shared" si="51"/>
        <v>0</v>
      </c>
      <c r="U217" s="83">
        <f t="shared" si="38"/>
        <v>0</v>
      </c>
      <c r="V217" s="36"/>
      <c r="W217" s="36"/>
      <c r="X217" s="69">
        <f t="shared" si="52"/>
        <v>0</v>
      </c>
      <c r="Y217" s="69">
        <f t="shared" si="53"/>
        <v>0</v>
      </c>
      <c r="AA217" s="66"/>
      <c r="AC217" s="84">
        <f t="shared" si="54"/>
        <v>0</v>
      </c>
      <c r="AD217" s="13">
        <v>0</v>
      </c>
      <c r="AE217" s="13">
        <v>0</v>
      </c>
      <c r="AF217" s="13">
        <v>0</v>
      </c>
      <c r="AG217" s="85" t="b">
        <f t="shared" si="55"/>
        <v>1</v>
      </c>
      <c r="AI217" s="84">
        <f t="shared" si="56"/>
        <v>0</v>
      </c>
      <c r="AJ217" s="13">
        <v>0</v>
      </c>
      <c r="AK217" s="13">
        <v>0</v>
      </c>
      <c r="AL217" s="85" t="b">
        <f t="shared" si="57"/>
        <v>1</v>
      </c>
      <c r="AN217" s="66"/>
    </row>
    <row r="218" spans="1:40" ht="13" customHeight="1">
      <c r="B218" s="132"/>
      <c r="C218" s="20"/>
      <c r="D218" s="227"/>
      <c r="E218" s="133"/>
      <c r="F218" s="134"/>
      <c r="G218" s="133"/>
      <c r="H218" s="134"/>
      <c r="I218" s="134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6"/>
      <c r="U218" s="135"/>
      <c r="V218" s="135"/>
      <c r="W218" s="131"/>
      <c r="X218" s="131"/>
      <c r="Y218" s="131"/>
      <c r="AA218" s="66"/>
      <c r="AC218" s="135"/>
      <c r="AD218" s="135"/>
      <c r="AE218" s="135"/>
      <c r="AF218" s="135"/>
      <c r="AI218" s="135"/>
      <c r="AJ218" s="135"/>
      <c r="AK218" s="135"/>
      <c r="AN218" s="66"/>
    </row>
    <row r="219" spans="1:40">
      <c r="A219" s="66"/>
      <c r="B219" s="66"/>
      <c r="C219" s="66"/>
      <c r="D219" s="229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5"/>
      <c r="AE219" s="65"/>
      <c r="AF219" s="65"/>
      <c r="AG219" s="66"/>
      <c r="AH219" s="66"/>
      <c r="AI219" s="66"/>
      <c r="AJ219" s="65"/>
      <c r="AK219" s="65"/>
      <c r="AL219" s="66"/>
      <c r="AM219" s="66"/>
      <c r="AN219" s="66"/>
    </row>
  </sheetData>
  <sortState xmlns:xlrd2="http://schemas.microsoft.com/office/spreadsheetml/2017/richdata2" ref="B13:W34">
    <sortCondition ref="D13:D34"/>
  </sortState>
  <phoneticPr fontId="2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J27"/>
  <sheetViews>
    <sheetView tabSelected="1" zoomScaleNormal="100" workbookViewId="0">
      <selection activeCell="F27" sqref="F27"/>
    </sheetView>
  </sheetViews>
  <sheetFormatPr baseColWidth="10" defaultRowHeight="12.5"/>
  <cols>
    <col min="1" max="1" width="2.1796875" customWidth="1"/>
    <col min="2" max="2" width="12.54296875" bestFit="1" customWidth="1"/>
    <col min="3" max="3" width="7.1796875" customWidth="1"/>
    <col min="4" max="4" width="16" style="42" bestFit="1" customWidth="1"/>
    <col min="5" max="5" width="20.453125" style="42" customWidth="1"/>
    <col min="6" max="6" width="16" style="42" bestFit="1" customWidth="1"/>
    <col min="7" max="7" width="20.453125" style="42" customWidth="1"/>
    <col min="8" max="8" width="3.81640625" style="42" customWidth="1"/>
    <col min="9" max="10" width="26.54296875" style="42" bestFit="1" customWidth="1"/>
  </cols>
  <sheetData>
    <row r="1" spans="2:10" ht="13" thickBot="1"/>
    <row r="2" spans="2:10" s="40" customFormat="1" ht="13.5" thickBot="1">
      <c r="B2" s="40" t="s">
        <v>14</v>
      </c>
      <c r="C2" s="150" t="s">
        <v>20</v>
      </c>
      <c r="D2" s="151" t="s">
        <v>15</v>
      </c>
      <c r="E2" s="152" t="s">
        <v>16</v>
      </c>
      <c r="F2" s="152" t="s">
        <v>17</v>
      </c>
      <c r="G2" s="153" t="s">
        <v>18</v>
      </c>
      <c r="H2" s="41"/>
      <c r="I2" s="41"/>
      <c r="J2" s="41"/>
    </row>
    <row r="3" spans="2:10">
      <c r="C3" s="154">
        <v>1</v>
      </c>
      <c r="D3" s="48">
        <f>Oportuno!K1</f>
        <v>0</v>
      </c>
      <c r="E3" s="149">
        <f>Oportuno!J1</f>
        <v>0</v>
      </c>
      <c r="F3" s="149">
        <f>Oportuno!K2</f>
        <v>0</v>
      </c>
      <c r="G3" s="49">
        <f>Oportuno!J2</f>
        <v>0</v>
      </c>
    </row>
    <row r="4" spans="2:10">
      <c r="C4" s="155">
        <v>2</v>
      </c>
      <c r="D4" s="47">
        <f>Oportuno!M1</f>
        <v>0</v>
      </c>
      <c r="E4" s="14">
        <f>Oportuno!L1</f>
        <v>0</v>
      </c>
      <c r="F4" s="14">
        <f>Oportuno!M2</f>
        <v>0</v>
      </c>
      <c r="G4" s="17">
        <f>Oportuno!L2</f>
        <v>0</v>
      </c>
    </row>
    <row r="5" spans="2:10">
      <c r="C5" s="155">
        <v>3</v>
      </c>
      <c r="D5" s="47">
        <f>Oportuno!O1</f>
        <v>0</v>
      </c>
      <c r="E5" s="14">
        <f>Oportuno!N1</f>
        <v>0</v>
      </c>
      <c r="F5" s="14">
        <f>Oportuno!O2</f>
        <v>0</v>
      </c>
      <c r="G5" s="17">
        <f>Oportuno!N2</f>
        <v>0</v>
      </c>
    </row>
    <row r="6" spans="2:10">
      <c r="C6" s="155">
        <v>4</v>
      </c>
      <c r="D6" s="47">
        <f>Oportuno!Q1</f>
        <v>0</v>
      </c>
      <c r="E6" s="14">
        <f>Oportuno!P1</f>
        <v>0</v>
      </c>
      <c r="F6" s="14">
        <f>Oportuno!Q2</f>
        <v>0</v>
      </c>
      <c r="G6" s="17">
        <f>Oportuno!P2</f>
        <v>0</v>
      </c>
    </row>
    <row r="7" spans="2:10">
      <c r="C7" s="155">
        <v>5</v>
      </c>
      <c r="D7" s="47">
        <f>Oportuno!S1</f>
        <v>137371512</v>
      </c>
      <c r="E7" s="14">
        <f>Oportuno!R1</f>
        <v>3020</v>
      </c>
      <c r="F7" s="14">
        <f>Oportuno!S2</f>
        <v>33627704</v>
      </c>
      <c r="G7" s="17">
        <f>Oportuno!R2</f>
        <v>521</v>
      </c>
    </row>
    <row r="8" spans="2:10" ht="13" thickBot="1">
      <c r="C8" s="156" t="s">
        <v>21</v>
      </c>
      <c r="D8" s="146"/>
      <c r="E8" s="147"/>
      <c r="F8" s="147"/>
      <c r="G8" s="148"/>
    </row>
    <row r="9" spans="2:10" ht="13.5" thickBot="1">
      <c r="D9" s="145">
        <f>SUM(D3:D8)</f>
        <v>137371512</v>
      </c>
      <c r="E9" s="145">
        <f>SUM(E3:E8)</f>
        <v>3020</v>
      </c>
      <c r="F9" s="145">
        <f>SUM(F3:F8)</f>
        <v>33627704</v>
      </c>
      <c r="G9" s="145">
        <f>SUM(G3:G8)</f>
        <v>521</v>
      </c>
    </row>
    <row r="10" spans="2:10" ht="13" thickBot="1"/>
    <row r="11" spans="2:10" s="40" customFormat="1" ht="13.5" thickBot="1">
      <c r="C11" s="150" t="s">
        <v>20</v>
      </c>
      <c r="D11" s="151" t="s">
        <v>15</v>
      </c>
      <c r="E11" s="152" t="s">
        <v>16</v>
      </c>
      <c r="F11" s="152" t="s">
        <v>17</v>
      </c>
      <c r="G11" s="153" t="s">
        <v>18</v>
      </c>
      <c r="H11" s="41"/>
      <c r="I11" s="41"/>
      <c r="J11" s="41"/>
    </row>
    <row r="12" spans="2:10" ht="13">
      <c r="B12" s="43" t="s">
        <v>19</v>
      </c>
      <c r="C12" s="154">
        <v>1</v>
      </c>
      <c r="D12" s="48">
        <f>EXTEMPORANEO!K1</f>
        <v>0</v>
      </c>
      <c r="E12" s="149">
        <f>EXTEMPORANEO!J1</f>
        <v>0</v>
      </c>
      <c r="F12" s="149">
        <f>EXTEMPORANEO!K2</f>
        <v>0</v>
      </c>
      <c r="G12" s="49">
        <f>EXTEMPORANEO!J2</f>
        <v>0</v>
      </c>
    </row>
    <row r="13" spans="2:10">
      <c r="C13" s="155">
        <v>2</v>
      </c>
      <c r="D13" s="47">
        <f>EXTEMPORANEO!M1</f>
        <v>0</v>
      </c>
      <c r="E13" s="14">
        <f>EXTEMPORANEO!L1</f>
        <v>0</v>
      </c>
      <c r="F13" s="14">
        <f>EXTEMPORANEO!M2</f>
        <v>0</v>
      </c>
      <c r="G13" s="17">
        <f>EXTEMPORANEO!L2</f>
        <v>0</v>
      </c>
    </row>
    <row r="14" spans="2:10">
      <c r="C14" s="155">
        <v>3</v>
      </c>
      <c r="D14" s="47">
        <f>EXTEMPORANEO!O1</f>
        <v>0</v>
      </c>
      <c r="E14" s="14">
        <f>EXTEMPORANEO!N1</f>
        <v>0</v>
      </c>
      <c r="F14" s="14">
        <f>EXTEMPORANEO!O2</f>
        <v>0</v>
      </c>
      <c r="G14" s="17">
        <f>EXTEMPORANEO!N2</f>
        <v>0</v>
      </c>
      <c r="J14" s="234"/>
    </row>
    <row r="15" spans="2:10">
      <c r="C15" s="155">
        <v>4</v>
      </c>
      <c r="D15" s="47">
        <f>EXTEMPORANEO!Q1</f>
        <v>0</v>
      </c>
      <c r="E15" s="14">
        <f>EXTEMPORANEO!P1</f>
        <v>0</v>
      </c>
      <c r="F15" s="14">
        <f>EXTEMPORANEO!Q2</f>
        <v>0</v>
      </c>
      <c r="G15" s="17">
        <f>EXTEMPORANEO!P2</f>
        <v>0</v>
      </c>
    </row>
    <row r="16" spans="2:10">
      <c r="C16" s="155">
        <v>5</v>
      </c>
      <c r="D16" s="47">
        <f>EXTEMPORANEO!S1</f>
        <v>1179300</v>
      </c>
      <c r="E16" s="14">
        <f>EXTEMPORANEO!R1</f>
        <v>6</v>
      </c>
      <c r="F16" s="14">
        <f>EXTEMPORANEO!S2</f>
        <v>5242682</v>
      </c>
      <c r="G16" s="17">
        <f>EXTEMPORANEO!R2</f>
        <v>76</v>
      </c>
    </row>
    <row r="17" spans="2:10" ht="13" thickBot="1">
      <c r="C17" s="156" t="s">
        <v>21</v>
      </c>
      <c r="D17" s="146"/>
      <c r="E17" s="147"/>
      <c r="F17" s="147"/>
      <c r="G17" s="148"/>
    </row>
    <row r="18" spans="2:10" ht="13.5" thickBot="1">
      <c r="D18" s="145">
        <f>SUM(D12:D17)</f>
        <v>1179300</v>
      </c>
      <c r="E18" s="145">
        <f>SUM(E12:E17)</f>
        <v>6</v>
      </c>
      <c r="F18" s="145">
        <f>SUM(F12:F17)</f>
        <v>5242682</v>
      </c>
      <c r="G18" s="145">
        <f>SUM(G12:G17)</f>
        <v>76</v>
      </c>
    </row>
    <row r="19" spans="2:10" ht="13" thickBot="1"/>
    <row r="20" spans="2:10" ht="13.5" thickBot="1">
      <c r="C20" s="150" t="s">
        <v>20</v>
      </c>
      <c r="D20" s="151" t="s">
        <v>15</v>
      </c>
      <c r="E20" s="152" t="s">
        <v>16</v>
      </c>
      <c r="F20" s="152" t="s">
        <v>17</v>
      </c>
      <c r="G20" s="153" t="s">
        <v>18</v>
      </c>
      <c r="I20" s="50" t="s">
        <v>22</v>
      </c>
      <c r="J20" s="51" t="s">
        <v>23</v>
      </c>
    </row>
    <row r="21" spans="2:10" s="42" customFormat="1" ht="14.25" customHeight="1">
      <c r="B21" s="44" t="s">
        <v>1</v>
      </c>
      <c r="C21" s="154">
        <v>1</v>
      </c>
      <c r="D21" s="48">
        <f>D3+D12</f>
        <v>0</v>
      </c>
      <c r="E21" s="149">
        <f>E3+E12</f>
        <v>0</v>
      </c>
      <c r="F21" s="149">
        <f>F3+F12</f>
        <v>0</v>
      </c>
      <c r="G21" s="49">
        <f>G3+G12</f>
        <v>0</v>
      </c>
      <c r="I21" s="48">
        <f t="shared" ref="I21:J26" si="0">D21+F21</f>
        <v>0</v>
      </c>
      <c r="J21" s="49">
        <f t="shared" si="0"/>
        <v>0</v>
      </c>
    </row>
    <row r="22" spans="2:10" s="42" customFormat="1">
      <c r="B22"/>
      <c r="C22" s="155">
        <v>2</v>
      </c>
      <c r="D22" s="47">
        <f>D4+D13</f>
        <v>0</v>
      </c>
      <c r="E22" s="14">
        <f t="shared" ref="E22:G25" si="1">E4+E13</f>
        <v>0</v>
      </c>
      <c r="F22" s="14">
        <f t="shared" si="1"/>
        <v>0</v>
      </c>
      <c r="G22" s="17">
        <f t="shared" si="1"/>
        <v>0</v>
      </c>
      <c r="I22" s="47">
        <f t="shared" si="0"/>
        <v>0</v>
      </c>
      <c r="J22" s="17">
        <f t="shared" si="0"/>
        <v>0</v>
      </c>
    </row>
    <row r="23" spans="2:10" s="42" customFormat="1">
      <c r="B23"/>
      <c r="C23" s="155">
        <v>3</v>
      </c>
      <c r="D23" s="47">
        <f>D5+D14</f>
        <v>0</v>
      </c>
      <c r="E23" s="14">
        <f t="shared" si="1"/>
        <v>0</v>
      </c>
      <c r="F23" s="14">
        <f t="shared" si="1"/>
        <v>0</v>
      </c>
      <c r="G23" s="17">
        <f t="shared" si="1"/>
        <v>0</v>
      </c>
      <c r="I23" s="47">
        <f t="shared" si="0"/>
        <v>0</v>
      </c>
      <c r="J23" s="17">
        <f t="shared" si="0"/>
        <v>0</v>
      </c>
    </row>
    <row r="24" spans="2:10" s="42" customFormat="1">
      <c r="B24"/>
      <c r="C24" s="155">
        <v>4</v>
      </c>
      <c r="D24" s="47">
        <f>D6+D15</f>
        <v>0</v>
      </c>
      <c r="E24" s="14">
        <f t="shared" si="1"/>
        <v>0</v>
      </c>
      <c r="F24" s="14">
        <f t="shared" si="1"/>
        <v>0</v>
      </c>
      <c r="G24" s="17">
        <f t="shared" si="1"/>
        <v>0</v>
      </c>
      <c r="I24" s="47">
        <f t="shared" si="0"/>
        <v>0</v>
      </c>
      <c r="J24" s="17">
        <f t="shared" si="0"/>
        <v>0</v>
      </c>
    </row>
    <row r="25" spans="2:10" s="42" customFormat="1">
      <c r="B25"/>
      <c r="C25" s="155">
        <v>5</v>
      </c>
      <c r="D25" s="47">
        <f>D7+D16</f>
        <v>138550812</v>
      </c>
      <c r="E25" s="14">
        <f t="shared" si="1"/>
        <v>3026</v>
      </c>
      <c r="F25" s="14">
        <f>F7+F16</f>
        <v>38870386</v>
      </c>
      <c r="G25" s="17">
        <f t="shared" si="1"/>
        <v>597</v>
      </c>
      <c r="I25" s="47">
        <f t="shared" si="0"/>
        <v>177421198</v>
      </c>
      <c r="J25" s="17">
        <f t="shared" si="0"/>
        <v>3623</v>
      </c>
    </row>
    <row r="26" spans="2:10" ht="13" thickBot="1">
      <c r="C26" s="156" t="s">
        <v>21</v>
      </c>
      <c r="D26" s="146"/>
      <c r="E26" s="147"/>
      <c r="F26" s="147"/>
      <c r="G26" s="148"/>
      <c r="I26" s="52">
        <f t="shared" si="0"/>
        <v>0</v>
      </c>
      <c r="J26" s="53">
        <f t="shared" si="0"/>
        <v>0</v>
      </c>
    </row>
    <row r="27" spans="2:10" ht="13.5" thickBot="1">
      <c r="D27" s="145">
        <f>SUM(D21:D26)</f>
        <v>138550812</v>
      </c>
      <c r="E27" s="145">
        <f>SUM(E21:E26)</f>
        <v>3026</v>
      </c>
      <c r="F27" s="145">
        <f>SUM(F21:F26)</f>
        <v>38870386</v>
      </c>
      <c r="G27" s="145">
        <f>SUM(G21:G26)</f>
        <v>597</v>
      </c>
      <c r="I27" s="54">
        <f>SUM(I21:I26)</f>
        <v>177421198</v>
      </c>
      <c r="J27" s="55">
        <f>SUM(J21:J26)</f>
        <v>3623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B2:G29"/>
  <sheetViews>
    <sheetView workbookViewId="0">
      <pane ySplit="3" topLeftCell="A4" activePane="bottomLeft" state="frozen"/>
      <selection pane="bottomLeft" activeCell="B5" sqref="B5:B29"/>
    </sheetView>
  </sheetViews>
  <sheetFormatPr baseColWidth="10" defaultRowHeight="12.5"/>
  <cols>
    <col min="1" max="1" width="5.54296875" customWidth="1"/>
    <col min="2" max="2" width="9.54296875" bestFit="1" customWidth="1"/>
    <col min="3" max="3" width="29.81640625" bestFit="1" customWidth="1"/>
    <col min="4" max="4" width="15.54296875" style="63" customWidth="1"/>
    <col min="5" max="5" width="8" customWidth="1"/>
    <col min="6" max="6" width="9.54296875" bestFit="1" customWidth="1"/>
    <col min="7" max="7" width="30.54296875" bestFit="1" customWidth="1"/>
    <col min="8" max="8" width="4.453125" customWidth="1"/>
  </cols>
  <sheetData>
    <row r="2" spans="2:7" ht="13" thickBot="1"/>
    <row r="3" spans="2:7" s="43" customFormat="1" ht="23.5" thickBot="1">
      <c r="B3" s="169" t="s">
        <v>30</v>
      </c>
      <c r="C3" s="170" t="s">
        <v>3</v>
      </c>
      <c r="D3" s="171" t="s">
        <v>31</v>
      </c>
      <c r="F3" s="172" t="s">
        <v>29</v>
      </c>
      <c r="G3" s="173" t="s">
        <v>27</v>
      </c>
    </row>
    <row r="4" spans="2:7">
      <c r="B4" s="167">
        <v>20</v>
      </c>
      <c r="C4" s="242" t="s">
        <v>70</v>
      </c>
      <c r="D4" s="168"/>
      <c r="F4" s="11">
        <v>1</v>
      </c>
      <c r="G4" s="58" t="s">
        <v>28</v>
      </c>
    </row>
    <row r="5" spans="2:7">
      <c r="B5" s="162"/>
      <c r="C5" s="58"/>
      <c r="D5" s="163"/>
      <c r="F5" s="11"/>
      <c r="G5" s="58"/>
    </row>
    <row r="6" spans="2:7">
      <c r="B6" s="162"/>
      <c r="C6" s="58"/>
      <c r="D6" s="163"/>
      <c r="F6" s="11"/>
      <c r="G6" s="58"/>
    </row>
    <row r="7" spans="2:7">
      <c r="B7" s="162"/>
      <c r="C7" s="58"/>
      <c r="D7" s="163"/>
      <c r="F7" s="11"/>
      <c r="G7" s="58"/>
    </row>
    <row r="8" spans="2:7">
      <c r="B8" s="162"/>
      <c r="C8" s="58"/>
      <c r="D8" s="163"/>
      <c r="F8" s="11"/>
      <c r="G8" s="58"/>
    </row>
    <row r="9" spans="2:7">
      <c r="B9" s="162"/>
      <c r="C9" s="58"/>
      <c r="D9" s="163"/>
      <c r="F9" s="11"/>
      <c r="G9" s="58"/>
    </row>
    <row r="10" spans="2:7">
      <c r="B10" s="162"/>
      <c r="C10" s="58"/>
      <c r="D10" s="163"/>
      <c r="F10" s="11"/>
      <c r="G10" s="58"/>
    </row>
    <row r="11" spans="2:7">
      <c r="B11" s="162"/>
      <c r="C11" s="58"/>
      <c r="D11" s="163"/>
      <c r="F11" s="11"/>
      <c r="G11" s="58"/>
    </row>
    <row r="12" spans="2:7">
      <c r="B12" s="162"/>
      <c r="C12" s="58"/>
      <c r="D12" s="163"/>
      <c r="F12" s="11"/>
      <c r="G12" s="58"/>
    </row>
    <row r="13" spans="2:7">
      <c r="B13" s="162"/>
      <c r="C13" s="58"/>
      <c r="D13" s="163"/>
      <c r="F13" s="11"/>
      <c r="G13" s="58"/>
    </row>
    <row r="14" spans="2:7">
      <c r="B14" s="162"/>
      <c r="C14" s="58"/>
      <c r="D14" s="163"/>
      <c r="F14" s="11"/>
      <c r="G14" s="58"/>
    </row>
    <row r="15" spans="2:7">
      <c r="B15" s="160"/>
      <c r="C15" s="58"/>
      <c r="D15" s="163"/>
      <c r="F15" s="11"/>
      <c r="G15" s="86"/>
    </row>
    <row r="16" spans="2:7">
      <c r="B16" s="160"/>
      <c r="C16" s="58"/>
      <c r="D16" s="163"/>
      <c r="F16" s="11"/>
      <c r="G16" s="86"/>
    </row>
    <row r="17" spans="2:7">
      <c r="B17" s="160"/>
      <c r="C17" s="86"/>
      <c r="D17" s="163"/>
      <c r="F17" s="11"/>
      <c r="G17" s="86"/>
    </row>
    <row r="18" spans="2:7">
      <c r="B18" s="160"/>
      <c r="C18" s="86"/>
      <c r="D18" s="163"/>
      <c r="F18" s="11"/>
      <c r="G18" s="86"/>
    </row>
    <row r="19" spans="2:7">
      <c r="B19" s="162"/>
      <c r="C19" s="58"/>
      <c r="D19" s="163"/>
      <c r="F19" s="11"/>
      <c r="G19" s="58"/>
    </row>
    <row r="20" spans="2:7">
      <c r="B20" s="160"/>
      <c r="C20" s="58"/>
      <c r="D20" s="163"/>
    </row>
    <row r="21" spans="2:7">
      <c r="B21" s="160"/>
      <c r="C21" s="58"/>
      <c r="D21" s="164"/>
    </row>
    <row r="22" spans="2:7">
      <c r="B22" s="160"/>
      <c r="C22" s="58"/>
      <c r="D22" s="164"/>
    </row>
    <row r="23" spans="2:7">
      <c r="B23" s="160"/>
      <c r="C23" s="58"/>
      <c r="D23" s="164"/>
    </row>
    <row r="24" spans="2:7">
      <c r="B24" s="162"/>
      <c r="C24" s="58"/>
      <c r="D24" s="164"/>
    </row>
    <row r="25" spans="2:7">
      <c r="B25" s="165"/>
      <c r="C25" s="86"/>
      <c r="D25" s="163"/>
    </row>
    <row r="26" spans="2:7">
      <c r="B26" s="161"/>
      <c r="C26" s="58"/>
      <c r="D26" s="163"/>
    </row>
    <row r="27" spans="2:7">
      <c r="B27" s="47"/>
      <c r="C27" s="86"/>
      <c r="D27" s="164"/>
    </row>
    <row r="28" spans="2:7">
      <c r="B28" s="47"/>
      <c r="C28" s="86"/>
      <c r="D28" s="164"/>
    </row>
    <row r="29" spans="2:7" ht="13" thickBot="1">
      <c r="B29" s="240"/>
      <c r="C29" s="236"/>
      <c r="D29" s="16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ignoredErrors>
    <ignoredError sqref="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O104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14" sqref="C14"/>
    </sheetView>
  </sheetViews>
  <sheetFormatPr baseColWidth="10" defaultColWidth="11.453125" defaultRowHeight="11.5"/>
  <cols>
    <col min="1" max="1" width="3" style="1" customWidth="1"/>
    <col min="2" max="2" width="14.1796875" style="199" customWidth="1"/>
    <col min="3" max="3" width="13" style="199" customWidth="1"/>
    <col min="4" max="4" width="19.81640625" style="1" bestFit="1" customWidth="1"/>
    <col min="5" max="5" width="13.453125" style="1" customWidth="1"/>
    <col min="6" max="6" width="15.54296875" style="1" bestFit="1" customWidth="1"/>
    <col min="7" max="7" width="14.453125" style="1" bestFit="1" customWidth="1"/>
    <col min="8" max="8" width="16.1796875" style="1" bestFit="1" customWidth="1"/>
    <col min="9" max="9" width="14.453125" style="1" bestFit="1" customWidth="1"/>
    <col min="10" max="10" width="16.453125" style="1" bestFit="1" customWidth="1"/>
    <col min="11" max="11" width="16.453125" style="201" bestFit="1" customWidth="1"/>
    <col min="12" max="12" width="0.81640625" style="175" customWidth="1"/>
    <col min="13" max="13" width="18" style="98" customWidth="1"/>
    <col min="14" max="14" width="16" style="98" customWidth="1"/>
    <col min="15" max="15" width="13.453125" style="1" bestFit="1" customWidth="1"/>
    <col min="16" max="16384" width="11.453125" style="1"/>
  </cols>
  <sheetData>
    <row r="1" spans="2:15" ht="12" thickBot="1">
      <c r="B1" s="1"/>
      <c r="C1" s="1"/>
      <c r="K1" s="1"/>
    </row>
    <row r="2" spans="2:15">
      <c r="B2" s="176"/>
      <c r="C2" s="3" t="s">
        <v>0</v>
      </c>
      <c r="D2" s="3"/>
      <c r="E2" s="4" t="s">
        <v>0</v>
      </c>
      <c r="F2" s="3"/>
      <c r="G2" s="3"/>
      <c r="H2" s="3"/>
      <c r="I2" s="3"/>
      <c r="J2" s="27"/>
      <c r="K2" s="2"/>
    </row>
    <row r="3" spans="2:15" ht="15.5">
      <c r="B3" s="177"/>
      <c r="C3" s="1"/>
      <c r="E3" s="101" t="s">
        <v>54</v>
      </c>
      <c r="J3" s="5"/>
      <c r="K3" s="1"/>
    </row>
    <row r="4" spans="2:15" ht="15.5">
      <c r="B4" s="177"/>
      <c r="C4" s="1"/>
      <c r="E4" s="103" t="s">
        <v>55</v>
      </c>
      <c r="J4" s="5"/>
      <c r="K4" s="1"/>
    </row>
    <row r="5" spans="2:15">
      <c r="B5" s="177"/>
      <c r="C5" s="1"/>
      <c r="J5" s="5"/>
      <c r="K5" s="1"/>
    </row>
    <row r="6" spans="2:15">
      <c r="B6" s="237"/>
      <c r="D6" s="1" t="s">
        <v>2</v>
      </c>
      <c r="E6" s="107" t="s">
        <v>0</v>
      </c>
      <c r="J6" s="5"/>
      <c r="K6" s="2"/>
    </row>
    <row r="7" spans="2:15" ht="15.5">
      <c r="B7" s="97"/>
      <c r="C7" s="1"/>
      <c r="E7" s="110" t="str">
        <f>Oportuno!H10</f>
        <v>SEPTIEMBRE_2026</v>
      </c>
      <c r="F7" s="178"/>
      <c r="G7" s="178"/>
      <c r="J7" s="5"/>
      <c r="K7" s="2"/>
    </row>
    <row r="8" spans="2:15" ht="16" thickBot="1">
      <c r="B8" s="238" t="s">
        <v>69</v>
      </c>
      <c r="C8" s="6"/>
      <c r="D8" s="6"/>
      <c r="E8" s="6"/>
      <c r="F8" s="6"/>
      <c r="G8" s="6"/>
      <c r="H8" s="6"/>
      <c r="I8" s="6"/>
      <c r="J8" s="239"/>
      <c r="K8" s="2"/>
    </row>
    <row r="9" spans="2:15" ht="23.5" thickBot="1">
      <c r="B9" s="87" t="s">
        <v>56</v>
      </c>
      <c r="C9" s="179" t="s">
        <v>57</v>
      </c>
      <c r="D9" s="179" t="s">
        <v>58</v>
      </c>
      <c r="E9" s="179" t="s">
        <v>59</v>
      </c>
      <c r="F9" s="179" t="s">
        <v>60</v>
      </c>
      <c r="G9" s="179" t="s">
        <v>61</v>
      </c>
      <c r="H9" s="179" t="s">
        <v>62</v>
      </c>
      <c r="I9" s="179" t="s">
        <v>63</v>
      </c>
      <c r="J9" s="179" t="s">
        <v>64</v>
      </c>
      <c r="K9" s="88" t="s">
        <v>65</v>
      </c>
      <c r="M9" s="180" t="s">
        <v>66</v>
      </c>
      <c r="N9" s="181" t="s">
        <v>67</v>
      </c>
    </row>
    <row r="10" spans="2:15">
      <c r="B10" s="182"/>
      <c r="C10" s="183"/>
      <c r="D10" s="73"/>
      <c r="E10" s="184"/>
      <c r="F10" s="184"/>
      <c r="G10" s="184"/>
      <c r="H10" s="184"/>
      <c r="I10" s="184"/>
      <c r="J10" s="184">
        <f t="shared" ref="J10:J73" si="0">SUM(E10:I10)</f>
        <v>0</v>
      </c>
      <c r="K10" s="185"/>
      <c r="M10" s="208"/>
      <c r="N10" s="203"/>
      <c r="O10" s="20"/>
    </row>
    <row r="11" spans="2:15">
      <c r="B11" s="182"/>
      <c r="C11" s="38"/>
      <c r="D11" s="73"/>
      <c r="E11" s="174"/>
      <c r="F11" s="174"/>
      <c r="G11" s="174"/>
      <c r="H11" s="174"/>
      <c r="I11" s="174"/>
      <c r="J11" s="184">
        <f t="shared" si="0"/>
        <v>0</v>
      </c>
      <c r="K11" s="187"/>
      <c r="M11" s="209"/>
      <c r="N11" s="203"/>
      <c r="O11" s="20"/>
    </row>
    <row r="12" spans="2:15">
      <c r="B12" s="186"/>
      <c r="C12" s="38"/>
      <c r="D12" s="33"/>
      <c r="E12" s="174"/>
      <c r="F12" s="174"/>
      <c r="G12" s="174"/>
      <c r="H12" s="174"/>
      <c r="I12" s="174"/>
      <c r="J12" s="184">
        <f t="shared" si="0"/>
        <v>0</v>
      </c>
      <c r="K12" s="187"/>
      <c r="M12" s="210"/>
      <c r="N12" s="204"/>
      <c r="O12" s="20"/>
    </row>
    <row r="13" spans="2:15">
      <c r="B13" s="186"/>
      <c r="C13" s="38"/>
      <c r="D13" s="33"/>
      <c r="E13" s="174"/>
      <c r="F13" s="174"/>
      <c r="G13" s="174"/>
      <c r="H13" s="174"/>
      <c r="I13" s="174"/>
      <c r="J13" s="184">
        <f t="shared" si="0"/>
        <v>0</v>
      </c>
      <c r="K13" s="187"/>
      <c r="M13" s="210"/>
      <c r="N13" s="204"/>
      <c r="O13" s="20"/>
    </row>
    <row r="14" spans="2:15">
      <c r="B14" s="186"/>
      <c r="C14" s="38"/>
      <c r="D14" s="33"/>
      <c r="E14" s="174"/>
      <c r="F14" s="174"/>
      <c r="G14" s="174"/>
      <c r="H14" s="174"/>
      <c r="I14" s="174"/>
      <c r="J14" s="184">
        <f t="shared" si="0"/>
        <v>0</v>
      </c>
      <c r="K14" s="187"/>
      <c r="M14" s="210"/>
      <c r="N14" s="204"/>
      <c r="O14" s="20"/>
    </row>
    <row r="15" spans="2:15">
      <c r="B15" s="186"/>
      <c r="C15" s="38"/>
      <c r="D15" s="33"/>
      <c r="E15" s="174"/>
      <c r="F15" s="174"/>
      <c r="G15" s="174"/>
      <c r="H15" s="174"/>
      <c r="I15" s="174"/>
      <c r="J15" s="184">
        <f t="shared" si="0"/>
        <v>0</v>
      </c>
      <c r="K15" s="187"/>
      <c r="M15" s="210"/>
      <c r="N15" s="204"/>
      <c r="O15" s="20"/>
    </row>
    <row r="16" spans="2:15">
      <c r="B16" s="186"/>
      <c r="C16" s="38"/>
      <c r="D16" s="33"/>
      <c r="E16" s="174"/>
      <c r="F16" s="174"/>
      <c r="G16" s="174"/>
      <c r="H16" s="174"/>
      <c r="I16" s="174"/>
      <c r="J16" s="184">
        <f t="shared" si="0"/>
        <v>0</v>
      </c>
      <c r="K16" s="187"/>
      <c r="M16" s="210"/>
      <c r="N16" s="204"/>
      <c r="O16" s="20"/>
    </row>
    <row r="17" spans="2:15">
      <c r="B17" s="186"/>
      <c r="C17" s="38"/>
      <c r="D17" s="33"/>
      <c r="E17" s="174"/>
      <c r="F17" s="174"/>
      <c r="G17" s="174"/>
      <c r="H17" s="174"/>
      <c r="I17" s="174"/>
      <c r="J17" s="184">
        <f t="shared" si="0"/>
        <v>0</v>
      </c>
      <c r="K17" s="187"/>
      <c r="M17" s="210"/>
      <c r="N17" s="204"/>
      <c r="O17" s="20"/>
    </row>
    <row r="18" spans="2:15">
      <c r="B18" s="186"/>
      <c r="C18" s="38"/>
      <c r="D18" s="33"/>
      <c r="E18" s="174"/>
      <c r="F18" s="174"/>
      <c r="G18" s="174"/>
      <c r="H18" s="174"/>
      <c r="I18" s="174"/>
      <c r="J18" s="184">
        <f t="shared" si="0"/>
        <v>0</v>
      </c>
      <c r="K18" s="187"/>
      <c r="M18" s="210"/>
      <c r="N18" s="204"/>
      <c r="O18" s="20"/>
    </row>
    <row r="19" spans="2:15">
      <c r="B19" s="186"/>
      <c r="C19" s="38"/>
      <c r="D19" s="33"/>
      <c r="E19" s="174"/>
      <c r="F19" s="174"/>
      <c r="G19" s="174"/>
      <c r="H19" s="174"/>
      <c r="I19" s="174"/>
      <c r="J19" s="184">
        <f t="shared" si="0"/>
        <v>0</v>
      </c>
      <c r="K19" s="187"/>
      <c r="M19" s="210"/>
      <c r="N19" s="204"/>
      <c r="O19" s="20"/>
    </row>
    <row r="20" spans="2:15">
      <c r="B20" s="186"/>
      <c r="C20" s="38"/>
      <c r="D20" s="33"/>
      <c r="E20" s="174"/>
      <c r="F20" s="174"/>
      <c r="G20" s="174"/>
      <c r="H20" s="174"/>
      <c r="I20" s="174"/>
      <c r="J20" s="184">
        <f t="shared" si="0"/>
        <v>0</v>
      </c>
      <c r="K20" s="187"/>
      <c r="M20" s="210"/>
      <c r="N20" s="204"/>
      <c r="O20" s="20"/>
    </row>
    <row r="21" spans="2:15">
      <c r="B21" s="186"/>
      <c r="C21" s="38"/>
      <c r="D21" s="33"/>
      <c r="E21" s="174"/>
      <c r="F21" s="174"/>
      <c r="G21" s="174"/>
      <c r="H21" s="174"/>
      <c r="I21" s="174"/>
      <c r="J21" s="184">
        <f t="shared" si="0"/>
        <v>0</v>
      </c>
      <c r="K21" s="187"/>
      <c r="M21" s="210"/>
      <c r="N21" s="204"/>
      <c r="O21" s="20"/>
    </row>
    <row r="22" spans="2:15">
      <c r="B22" s="186"/>
      <c r="C22" s="38"/>
      <c r="D22" s="33"/>
      <c r="E22" s="174"/>
      <c r="F22" s="174"/>
      <c r="G22" s="174"/>
      <c r="H22" s="174"/>
      <c r="I22" s="174"/>
      <c r="J22" s="184">
        <f t="shared" si="0"/>
        <v>0</v>
      </c>
      <c r="K22" s="187"/>
      <c r="M22" s="210"/>
      <c r="N22" s="204"/>
      <c r="O22" s="20"/>
    </row>
    <row r="23" spans="2:15">
      <c r="B23" s="186"/>
      <c r="C23" s="38"/>
      <c r="D23" s="33"/>
      <c r="E23" s="174"/>
      <c r="F23" s="174"/>
      <c r="G23" s="174"/>
      <c r="H23" s="174"/>
      <c r="I23" s="174"/>
      <c r="J23" s="184">
        <f t="shared" si="0"/>
        <v>0</v>
      </c>
      <c r="K23" s="187"/>
      <c r="M23" s="210"/>
      <c r="N23" s="204"/>
      <c r="O23" s="20"/>
    </row>
    <row r="24" spans="2:15">
      <c r="B24" s="186"/>
      <c r="C24" s="38"/>
      <c r="D24" s="33"/>
      <c r="E24" s="174"/>
      <c r="F24" s="174"/>
      <c r="G24" s="174"/>
      <c r="H24" s="174"/>
      <c r="I24" s="174"/>
      <c r="J24" s="184">
        <f t="shared" si="0"/>
        <v>0</v>
      </c>
      <c r="K24" s="187"/>
      <c r="M24" s="210"/>
      <c r="N24" s="204"/>
      <c r="O24" s="20"/>
    </row>
    <row r="25" spans="2:15">
      <c r="B25" s="186"/>
      <c r="C25" s="38"/>
      <c r="D25" s="33"/>
      <c r="E25" s="174"/>
      <c r="F25" s="174"/>
      <c r="G25" s="174"/>
      <c r="H25" s="174"/>
      <c r="I25" s="174"/>
      <c r="J25" s="184">
        <f t="shared" si="0"/>
        <v>0</v>
      </c>
      <c r="K25" s="187"/>
      <c r="M25" s="210"/>
      <c r="N25" s="204"/>
      <c r="O25" s="20"/>
    </row>
    <row r="26" spans="2:15">
      <c r="B26" s="186"/>
      <c r="C26" s="38"/>
      <c r="D26" s="33"/>
      <c r="E26" s="174"/>
      <c r="F26" s="174"/>
      <c r="G26" s="174"/>
      <c r="H26" s="174"/>
      <c r="I26" s="174"/>
      <c r="J26" s="184">
        <f t="shared" si="0"/>
        <v>0</v>
      </c>
      <c r="K26" s="187"/>
      <c r="M26" s="210"/>
      <c r="N26" s="204"/>
      <c r="O26" s="20"/>
    </row>
    <row r="27" spans="2:15">
      <c r="B27" s="186"/>
      <c r="C27" s="38"/>
      <c r="D27" s="33"/>
      <c r="E27" s="174"/>
      <c r="F27" s="174"/>
      <c r="G27" s="174"/>
      <c r="H27" s="174"/>
      <c r="I27" s="174"/>
      <c r="J27" s="184">
        <f t="shared" si="0"/>
        <v>0</v>
      </c>
      <c r="K27" s="187"/>
      <c r="M27" s="210"/>
      <c r="N27" s="204"/>
      <c r="O27" s="20"/>
    </row>
    <row r="28" spans="2:15">
      <c r="B28" s="186"/>
      <c r="C28" s="38"/>
      <c r="D28" s="33"/>
      <c r="E28" s="174"/>
      <c r="F28" s="174"/>
      <c r="G28" s="174"/>
      <c r="H28" s="174"/>
      <c r="I28" s="174"/>
      <c r="J28" s="184">
        <f t="shared" si="0"/>
        <v>0</v>
      </c>
      <c r="K28" s="187"/>
      <c r="M28" s="210"/>
      <c r="N28" s="204"/>
      <c r="O28" s="20"/>
    </row>
    <row r="29" spans="2:15">
      <c r="B29" s="186"/>
      <c r="C29" s="38"/>
      <c r="D29" s="33"/>
      <c r="E29" s="174"/>
      <c r="F29" s="174"/>
      <c r="G29" s="174"/>
      <c r="H29" s="174"/>
      <c r="I29" s="174"/>
      <c r="J29" s="184">
        <f t="shared" si="0"/>
        <v>0</v>
      </c>
      <c r="K29" s="187"/>
      <c r="M29" s="210"/>
      <c r="N29" s="204"/>
      <c r="O29" s="20"/>
    </row>
    <row r="30" spans="2:15">
      <c r="B30" s="186"/>
      <c r="C30" s="38"/>
      <c r="D30" s="33"/>
      <c r="E30" s="174"/>
      <c r="F30" s="174"/>
      <c r="G30" s="174"/>
      <c r="H30" s="174"/>
      <c r="I30" s="174"/>
      <c r="J30" s="184">
        <f t="shared" si="0"/>
        <v>0</v>
      </c>
      <c r="K30" s="187"/>
      <c r="M30" s="210"/>
      <c r="N30" s="204"/>
      <c r="O30" s="20"/>
    </row>
    <row r="31" spans="2:15">
      <c r="B31" s="186"/>
      <c r="C31" s="38"/>
      <c r="D31" s="33"/>
      <c r="E31" s="174"/>
      <c r="F31" s="174"/>
      <c r="G31" s="174"/>
      <c r="H31" s="174"/>
      <c r="I31" s="174"/>
      <c r="J31" s="184">
        <f t="shared" si="0"/>
        <v>0</v>
      </c>
      <c r="K31" s="187"/>
      <c r="M31" s="210"/>
      <c r="N31" s="204"/>
      <c r="O31" s="20"/>
    </row>
    <row r="32" spans="2:15">
      <c r="B32" s="186"/>
      <c r="C32" s="38"/>
      <c r="D32" s="33"/>
      <c r="E32" s="174"/>
      <c r="F32" s="174"/>
      <c r="G32" s="174"/>
      <c r="H32" s="174"/>
      <c r="I32" s="174"/>
      <c r="J32" s="184">
        <f t="shared" si="0"/>
        <v>0</v>
      </c>
      <c r="K32" s="187"/>
      <c r="M32" s="210"/>
      <c r="N32" s="204"/>
      <c r="O32" s="20"/>
    </row>
    <row r="33" spans="2:15">
      <c r="B33" s="186"/>
      <c r="C33" s="38"/>
      <c r="D33" s="33"/>
      <c r="E33" s="174"/>
      <c r="F33" s="174"/>
      <c r="G33" s="174"/>
      <c r="H33" s="174"/>
      <c r="I33" s="174"/>
      <c r="J33" s="184">
        <f t="shared" si="0"/>
        <v>0</v>
      </c>
      <c r="K33" s="187"/>
      <c r="M33" s="210"/>
      <c r="N33" s="204"/>
      <c r="O33" s="20"/>
    </row>
    <row r="34" spans="2:15">
      <c r="B34" s="186"/>
      <c r="C34" s="38"/>
      <c r="D34" s="33"/>
      <c r="E34" s="174"/>
      <c r="F34" s="174"/>
      <c r="G34" s="174"/>
      <c r="H34" s="174"/>
      <c r="I34" s="174"/>
      <c r="J34" s="184">
        <f t="shared" si="0"/>
        <v>0</v>
      </c>
      <c r="K34" s="187"/>
      <c r="M34" s="210"/>
      <c r="N34" s="204"/>
      <c r="O34" s="20"/>
    </row>
    <row r="35" spans="2:15">
      <c r="B35" s="186"/>
      <c r="C35" s="38"/>
      <c r="D35" s="33"/>
      <c r="E35" s="174"/>
      <c r="F35" s="174"/>
      <c r="G35" s="174"/>
      <c r="H35" s="174"/>
      <c r="I35" s="174"/>
      <c r="J35" s="184">
        <f t="shared" si="0"/>
        <v>0</v>
      </c>
      <c r="K35" s="187"/>
      <c r="M35" s="210"/>
      <c r="N35" s="204"/>
      <c r="O35" s="20"/>
    </row>
    <row r="36" spans="2:15">
      <c r="B36" s="186"/>
      <c r="C36" s="38"/>
      <c r="D36" s="33"/>
      <c r="E36" s="174"/>
      <c r="F36" s="174"/>
      <c r="G36" s="174"/>
      <c r="H36" s="174"/>
      <c r="I36" s="174"/>
      <c r="J36" s="184">
        <f t="shared" si="0"/>
        <v>0</v>
      </c>
      <c r="K36" s="187"/>
      <c r="M36" s="210"/>
      <c r="N36" s="204"/>
      <c r="O36" s="20"/>
    </row>
    <row r="37" spans="2:15">
      <c r="B37" s="186"/>
      <c r="C37" s="38"/>
      <c r="D37" s="33"/>
      <c r="E37" s="174"/>
      <c r="F37" s="174"/>
      <c r="G37" s="174"/>
      <c r="H37" s="174"/>
      <c r="I37" s="174"/>
      <c r="J37" s="184">
        <f t="shared" si="0"/>
        <v>0</v>
      </c>
      <c r="K37" s="187"/>
      <c r="M37" s="210"/>
      <c r="N37" s="204"/>
      <c r="O37" s="20"/>
    </row>
    <row r="38" spans="2:15">
      <c r="B38" s="186"/>
      <c r="C38" s="38"/>
      <c r="D38" s="33"/>
      <c r="E38" s="174"/>
      <c r="F38" s="174"/>
      <c r="G38" s="174"/>
      <c r="H38" s="174"/>
      <c r="I38" s="174"/>
      <c r="J38" s="184">
        <f t="shared" si="0"/>
        <v>0</v>
      </c>
      <c r="K38" s="187"/>
      <c r="M38" s="210"/>
      <c r="N38" s="204"/>
      <c r="O38" s="20"/>
    </row>
    <row r="39" spans="2:15">
      <c r="B39" s="186"/>
      <c r="C39" s="38"/>
      <c r="D39" s="33"/>
      <c r="E39" s="174"/>
      <c r="F39" s="174"/>
      <c r="G39" s="174"/>
      <c r="H39" s="174"/>
      <c r="I39" s="174"/>
      <c r="J39" s="184">
        <f t="shared" si="0"/>
        <v>0</v>
      </c>
      <c r="K39" s="187"/>
      <c r="M39" s="210"/>
      <c r="N39" s="204"/>
      <c r="O39" s="20"/>
    </row>
    <row r="40" spans="2:15">
      <c r="B40" s="186"/>
      <c r="C40" s="38"/>
      <c r="D40" s="33"/>
      <c r="E40" s="174"/>
      <c r="F40" s="174"/>
      <c r="G40" s="174"/>
      <c r="H40" s="174"/>
      <c r="I40" s="174"/>
      <c r="J40" s="184">
        <f t="shared" si="0"/>
        <v>0</v>
      </c>
      <c r="K40" s="187"/>
      <c r="M40" s="210"/>
      <c r="N40" s="204"/>
      <c r="O40" s="20"/>
    </row>
    <row r="41" spans="2:15">
      <c r="B41" s="186"/>
      <c r="C41" s="38"/>
      <c r="D41" s="33"/>
      <c r="E41" s="174"/>
      <c r="F41" s="174"/>
      <c r="G41" s="174"/>
      <c r="H41" s="174"/>
      <c r="I41" s="174"/>
      <c r="J41" s="184">
        <f t="shared" si="0"/>
        <v>0</v>
      </c>
      <c r="K41" s="187"/>
      <c r="M41" s="210"/>
      <c r="N41" s="204"/>
      <c r="O41" s="20"/>
    </row>
    <row r="42" spans="2:15">
      <c r="B42" s="186"/>
      <c r="C42" s="38"/>
      <c r="D42" s="33"/>
      <c r="E42" s="174"/>
      <c r="F42" s="174"/>
      <c r="G42" s="174"/>
      <c r="H42" s="174"/>
      <c r="I42" s="174"/>
      <c r="J42" s="184">
        <f t="shared" si="0"/>
        <v>0</v>
      </c>
      <c r="K42" s="187"/>
      <c r="M42" s="210"/>
      <c r="N42" s="204"/>
      <c r="O42" s="20"/>
    </row>
    <row r="43" spans="2:15">
      <c r="B43" s="186"/>
      <c r="C43" s="38"/>
      <c r="D43" s="33"/>
      <c r="E43" s="174"/>
      <c r="F43" s="174"/>
      <c r="G43" s="174"/>
      <c r="H43" s="174"/>
      <c r="I43" s="174"/>
      <c r="J43" s="184">
        <f t="shared" si="0"/>
        <v>0</v>
      </c>
      <c r="K43" s="187"/>
      <c r="M43" s="210"/>
      <c r="N43" s="204"/>
      <c r="O43" s="20"/>
    </row>
    <row r="44" spans="2:15">
      <c r="B44" s="186"/>
      <c r="C44" s="38"/>
      <c r="D44" s="33"/>
      <c r="E44" s="174"/>
      <c r="F44" s="174"/>
      <c r="G44" s="174"/>
      <c r="H44" s="174"/>
      <c r="I44" s="174"/>
      <c r="J44" s="184">
        <f t="shared" si="0"/>
        <v>0</v>
      </c>
      <c r="K44" s="187"/>
      <c r="M44" s="210"/>
      <c r="N44" s="204"/>
      <c r="O44" s="20"/>
    </row>
    <row r="45" spans="2:15">
      <c r="B45" s="186"/>
      <c r="C45" s="38"/>
      <c r="D45" s="33"/>
      <c r="E45" s="174"/>
      <c r="F45" s="174"/>
      <c r="G45" s="174"/>
      <c r="H45" s="174"/>
      <c r="I45" s="174"/>
      <c r="J45" s="184">
        <f t="shared" si="0"/>
        <v>0</v>
      </c>
      <c r="K45" s="187"/>
      <c r="M45" s="210"/>
      <c r="N45" s="204"/>
      <c r="O45" s="20"/>
    </row>
    <row r="46" spans="2:15">
      <c r="B46" s="186"/>
      <c r="C46" s="38"/>
      <c r="D46" s="33"/>
      <c r="E46" s="174"/>
      <c r="F46" s="174"/>
      <c r="G46" s="174"/>
      <c r="H46" s="174"/>
      <c r="I46" s="174"/>
      <c r="J46" s="184">
        <f t="shared" si="0"/>
        <v>0</v>
      </c>
      <c r="K46" s="187"/>
      <c r="M46" s="210"/>
      <c r="N46" s="204"/>
      <c r="O46" s="20"/>
    </row>
    <row r="47" spans="2:15">
      <c r="B47" s="186"/>
      <c r="C47" s="38"/>
      <c r="D47" s="33"/>
      <c r="E47" s="174"/>
      <c r="F47" s="174"/>
      <c r="G47" s="174"/>
      <c r="H47" s="174"/>
      <c r="I47" s="174"/>
      <c r="J47" s="184">
        <f t="shared" si="0"/>
        <v>0</v>
      </c>
      <c r="K47" s="187"/>
      <c r="M47" s="210"/>
      <c r="N47" s="204"/>
      <c r="O47" s="20"/>
    </row>
    <row r="48" spans="2:15">
      <c r="B48" s="186"/>
      <c r="C48" s="38"/>
      <c r="D48" s="33"/>
      <c r="E48" s="174"/>
      <c r="F48" s="174"/>
      <c r="G48" s="174"/>
      <c r="H48" s="174"/>
      <c r="I48" s="174"/>
      <c r="J48" s="184">
        <f t="shared" si="0"/>
        <v>0</v>
      </c>
      <c r="K48" s="187"/>
      <c r="M48" s="210"/>
      <c r="N48" s="204"/>
      <c r="O48" s="20"/>
    </row>
    <row r="49" spans="2:15">
      <c r="B49" s="186"/>
      <c r="C49" s="38"/>
      <c r="D49" s="33"/>
      <c r="E49" s="174"/>
      <c r="F49" s="174"/>
      <c r="G49" s="174"/>
      <c r="H49" s="174"/>
      <c r="I49" s="174"/>
      <c r="J49" s="184">
        <f t="shared" si="0"/>
        <v>0</v>
      </c>
      <c r="K49" s="187"/>
      <c r="M49" s="210"/>
      <c r="N49" s="204"/>
      <c r="O49" s="20"/>
    </row>
    <row r="50" spans="2:15">
      <c r="B50" s="186"/>
      <c r="C50" s="38"/>
      <c r="D50" s="33"/>
      <c r="E50" s="174"/>
      <c r="F50" s="174"/>
      <c r="G50" s="174"/>
      <c r="H50" s="174"/>
      <c r="I50" s="174"/>
      <c r="J50" s="184">
        <f t="shared" si="0"/>
        <v>0</v>
      </c>
      <c r="K50" s="187"/>
      <c r="M50" s="210"/>
      <c r="N50" s="204"/>
      <c r="O50" s="20"/>
    </row>
    <row r="51" spans="2:15">
      <c r="B51" s="186"/>
      <c r="C51" s="38"/>
      <c r="D51" s="33"/>
      <c r="E51" s="174"/>
      <c r="F51" s="174"/>
      <c r="G51" s="174"/>
      <c r="H51" s="174"/>
      <c r="I51" s="174"/>
      <c r="J51" s="184">
        <f t="shared" si="0"/>
        <v>0</v>
      </c>
      <c r="K51" s="187"/>
      <c r="M51" s="210"/>
      <c r="N51" s="204"/>
      <c r="O51" s="20"/>
    </row>
    <row r="52" spans="2:15">
      <c r="B52" s="186"/>
      <c r="C52" s="38"/>
      <c r="D52" s="33"/>
      <c r="E52" s="174"/>
      <c r="F52" s="174"/>
      <c r="G52" s="174"/>
      <c r="H52" s="174"/>
      <c r="I52" s="174"/>
      <c r="J52" s="184">
        <f t="shared" si="0"/>
        <v>0</v>
      </c>
      <c r="K52" s="187"/>
      <c r="M52" s="210"/>
      <c r="N52" s="204"/>
      <c r="O52" s="20"/>
    </row>
    <row r="53" spans="2:15">
      <c r="B53" s="186"/>
      <c r="C53" s="38"/>
      <c r="D53" s="33"/>
      <c r="E53" s="174"/>
      <c r="F53" s="174"/>
      <c r="G53" s="174"/>
      <c r="H53" s="174"/>
      <c r="I53" s="174"/>
      <c r="J53" s="184">
        <f t="shared" si="0"/>
        <v>0</v>
      </c>
      <c r="K53" s="187"/>
      <c r="M53" s="210"/>
      <c r="N53" s="204"/>
      <c r="O53" s="20"/>
    </row>
    <row r="54" spans="2:15">
      <c r="B54" s="186"/>
      <c r="C54" s="38"/>
      <c r="D54" s="33"/>
      <c r="E54" s="174"/>
      <c r="F54" s="174"/>
      <c r="G54" s="174"/>
      <c r="H54" s="174"/>
      <c r="I54" s="174"/>
      <c r="J54" s="184">
        <f t="shared" si="0"/>
        <v>0</v>
      </c>
      <c r="K54" s="187"/>
      <c r="M54" s="210"/>
      <c r="N54" s="204"/>
      <c r="O54" s="20"/>
    </row>
    <row r="55" spans="2:15">
      <c r="B55" s="186"/>
      <c r="C55" s="38"/>
      <c r="D55" s="33"/>
      <c r="E55" s="174"/>
      <c r="F55" s="174"/>
      <c r="G55" s="174"/>
      <c r="H55" s="174"/>
      <c r="I55" s="174"/>
      <c r="J55" s="184">
        <f t="shared" si="0"/>
        <v>0</v>
      </c>
      <c r="K55" s="187"/>
      <c r="M55" s="210"/>
      <c r="N55" s="204"/>
      <c r="O55" s="20"/>
    </row>
    <row r="56" spans="2:15">
      <c r="B56" s="186"/>
      <c r="C56" s="38"/>
      <c r="D56" s="33"/>
      <c r="E56" s="174"/>
      <c r="F56" s="174"/>
      <c r="G56" s="174"/>
      <c r="H56" s="174"/>
      <c r="I56" s="174"/>
      <c r="J56" s="184">
        <f t="shared" si="0"/>
        <v>0</v>
      </c>
      <c r="K56" s="187"/>
      <c r="M56" s="210"/>
      <c r="N56" s="204"/>
      <c r="O56" s="20"/>
    </row>
    <row r="57" spans="2:15">
      <c r="B57" s="186"/>
      <c r="C57" s="38"/>
      <c r="D57" s="33"/>
      <c r="E57" s="174"/>
      <c r="F57" s="174"/>
      <c r="G57" s="174"/>
      <c r="H57" s="174"/>
      <c r="I57" s="174"/>
      <c r="J57" s="184">
        <f t="shared" si="0"/>
        <v>0</v>
      </c>
      <c r="K57" s="187"/>
      <c r="M57" s="210"/>
      <c r="N57" s="204"/>
      <c r="O57" s="20"/>
    </row>
    <row r="58" spans="2:15">
      <c r="B58" s="186"/>
      <c r="C58" s="38"/>
      <c r="D58" s="33"/>
      <c r="E58" s="174"/>
      <c r="F58" s="174"/>
      <c r="G58" s="174"/>
      <c r="H58" s="174"/>
      <c r="I58" s="174"/>
      <c r="J58" s="184">
        <f t="shared" si="0"/>
        <v>0</v>
      </c>
      <c r="K58" s="187"/>
      <c r="M58" s="210"/>
      <c r="N58" s="204"/>
      <c r="O58" s="20"/>
    </row>
    <row r="59" spans="2:15">
      <c r="B59" s="186"/>
      <c r="C59" s="38"/>
      <c r="D59" s="33"/>
      <c r="E59" s="174"/>
      <c r="F59" s="174"/>
      <c r="G59" s="174"/>
      <c r="H59" s="174"/>
      <c r="I59" s="174"/>
      <c r="J59" s="184">
        <f t="shared" si="0"/>
        <v>0</v>
      </c>
      <c r="K59" s="187"/>
      <c r="M59" s="210"/>
      <c r="N59" s="204"/>
      <c r="O59" s="20"/>
    </row>
    <row r="60" spans="2:15">
      <c r="B60" s="186"/>
      <c r="C60" s="38"/>
      <c r="D60" s="33"/>
      <c r="E60" s="174"/>
      <c r="F60" s="174"/>
      <c r="G60" s="174"/>
      <c r="H60" s="174"/>
      <c r="I60" s="174"/>
      <c r="J60" s="184">
        <f t="shared" si="0"/>
        <v>0</v>
      </c>
      <c r="K60" s="187"/>
      <c r="M60" s="210"/>
      <c r="N60" s="204"/>
      <c r="O60" s="20"/>
    </row>
    <row r="61" spans="2:15">
      <c r="B61" s="186"/>
      <c r="C61" s="38"/>
      <c r="D61" s="33"/>
      <c r="E61" s="174"/>
      <c r="F61" s="174"/>
      <c r="G61" s="174"/>
      <c r="H61" s="174"/>
      <c r="I61" s="174"/>
      <c r="J61" s="184">
        <f t="shared" si="0"/>
        <v>0</v>
      </c>
      <c r="K61" s="187"/>
      <c r="M61" s="210"/>
      <c r="N61" s="204"/>
      <c r="O61" s="20"/>
    </row>
    <row r="62" spans="2:15">
      <c r="B62" s="186"/>
      <c r="C62" s="38"/>
      <c r="D62" s="33"/>
      <c r="E62" s="174"/>
      <c r="F62" s="174"/>
      <c r="G62" s="174"/>
      <c r="H62" s="174"/>
      <c r="I62" s="174"/>
      <c r="J62" s="184">
        <f t="shared" si="0"/>
        <v>0</v>
      </c>
      <c r="K62" s="187"/>
      <c r="M62" s="210"/>
      <c r="N62" s="204"/>
      <c r="O62" s="20"/>
    </row>
    <row r="63" spans="2:15">
      <c r="B63" s="186"/>
      <c r="C63" s="38"/>
      <c r="D63" s="33"/>
      <c r="E63" s="174"/>
      <c r="F63" s="174"/>
      <c r="G63" s="174"/>
      <c r="H63" s="174"/>
      <c r="I63" s="174"/>
      <c r="J63" s="184">
        <f t="shared" si="0"/>
        <v>0</v>
      </c>
      <c r="K63" s="187"/>
      <c r="M63" s="210"/>
      <c r="N63" s="204"/>
      <c r="O63" s="20"/>
    </row>
    <row r="64" spans="2:15">
      <c r="B64" s="186"/>
      <c r="C64" s="38"/>
      <c r="D64" s="33"/>
      <c r="E64" s="174"/>
      <c r="F64" s="174"/>
      <c r="G64" s="174"/>
      <c r="H64" s="174"/>
      <c r="I64" s="174"/>
      <c r="J64" s="184">
        <f t="shared" si="0"/>
        <v>0</v>
      </c>
      <c r="K64" s="187"/>
      <c r="M64" s="210"/>
      <c r="N64" s="204"/>
      <c r="O64" s="20"/>
    </row>
    <row r="65" spans="2:15">
      <c r="B65" s="186"/>
      <c r="C65" s="38"/>
      <c r="D65" s="33"/>
      <c r="E65" s="174"/>
      <c r="F65" s="174"/>
      <c r="G65" s="174"/>
      <c r="H65" s="174"/>
      <c r="I65" s="174"/>
      <c r="J65" s="184">
        <f t="shared" si="0"/>
        <v>0</v>
      </c>
      <c r="K65" s="187"/>
      <c r="M65" s="210"/>
      <c r="N65" s="204"/>
      <c r="O65" s="20"/>
    </row>
    <row r="66" spans="2:15">
      <c r="B66" s="186"/>
      <c r="C66" s="38"/>
      <c r="D66" s="33"/>
      <c r="E66" s="174"/>
      <c r="F66" s="174"/>
      <c r="G66" s="174"/>
      <c r="H66" s="174"/>
      <c r="I66" s="174"/>
      <c r="J66" s="184">
        <f t="shared" si="0"/>
        <v>0</v>
      </c>
      <c r="K66" s="187"/>
      <c r="M66" s="210"/>
      <c r="N66" s="204"/>
      <c r="O66" s="20"/>
    </row>
    <row r="67" spans="2:15">
      <c r="B67" s="186"/>
      <c r="C67" s="38"/>
      <c r="D67" s="33"/>
      <c r="E67" s="174"/>
      <c r="F67" s="174"/>
      <c r="G67" s="174"/>
      <c r="H67" s="174"/>
      <c r="I67" s="174"/>
      <c r="J67" s="174">
        <f t="shared" si="0"/>
        <v>0</v>
      </c>
      <c r="K67" s="187"/>
      <c r="M67" s="210"/>
      <c r="N67" s="204"/>
    </row>
    <row r="68" spans="2:15">
      <c r="B68" s="186"/>
      <c r="C68" s="38"/>
      <c r="D68" s="33"/>
      <c r="E68" s="174"/>
      <c r="F68" s="174"/>
      <c r="G68" s="174"/>
      <c r="H68" s="174"/>
      <c r="I68" s="174"/>
      <c r="J68" s="174">
        <f t="shared" si="0"/>
        <v>0</v>
      </c>
      <c r="K68" s="187"/>
      <c r="M68" s="210"/>
      <c r="N68" s="204"/>
    </row>
    <row r="69" spans="2:15">
      <c r="B69" s="186"/>
      <c r="C69" s="38"/>
      <c r="D69" s="33"/>
      <c r="E69" s="174"/>
      <c r="F69" s="174"/>
      <c r="G69" s="174"/>
      <c r="H69" s="174"/>
      <c r="I69" s="174"/>
      <c r="J69" s="174">
        <f t="shared" si="0"/>
        <v>0</v>
      </c>
      <c r="K69" s="187"/>
      <c r="M69" s="210"/>
      <c r="N69" s="205"/>
    </row>
    <row r="70" spans="2:15">
      <c r="B70" s="186"/>
      <c r="C70" s="38"/>
      <c r="D70" s="33"/>
      <c r="E70" s="174"/>
      <c r="F70" s="174"/>
      <c r="G70" s="174"/>
      <c r="H70" s="174"/>
      <c r="I70" s="174"/>
      <c r="J70" s="174"/>
      <c r="K70" s="187"/>
      <c r="M70" s="210"/>
      <c r="N70" s="206"/>
    </row>
    <row r="71" spans="2:15">
      <c r="B71" s="186"/>
      <c r="C71" s="38"/>
      <c r="D71" s="33"/>
      <c r="E71" s="174"/>
      <c r="F71" s="174"/>
      <c r="G71" s="174"/>
      <c r="H71" s="174"/>
      <c r="I71" s="174"/>
      <c r="J71" s="174">
        <f t="shared" si="0"/>
        <v>0</v>
      </c>
      <c r="K71" s="187"/>
      <c r="M71" s="210"/>
      <c r="N71" s="206"/>
    </row>
    <row r="72" spans="2:15">
      <c r="B72" s="186"/>
      <c r="C72" s="38"/>
      <c r="D72" s="33"/>
      <c r="E72" s="174"/>
      <c r="F72" s="174"/>
      <c r="G72" s="174"/>
      <c r="H72" s="174"/>
      <c r="I72" s="174"/>
      <c r="J72" s="174">
        <f t="shared" si="0"/>
        <v>0</v>
      </c>
      <c r="K72" s="187"/>
      <c r="M72" s="210"/>
      <c r="N72" s="205"/>
      <c r="O72" s="188"/>
    </row>
    <row r="73" spans="2:15">
      <c r="B73" s="186"/>
      <c r="C73" s="38"/>
      <c r="D73" s="33"/>
      <c r="E73" s="174"/>
      <c r="F73" s="174"/>
      <c r="G73" s="174"/>
      <c r="H73" s="174"/>
      <c r="I73" s="174"/>
      <c r="J73" s="174">
        <f t="shared" si="0"/>
        <v>0</v>
      </c>
      <c r="K73" s="187"/>
      <c r="M73" s="210"/>
      <c r="N73" s="205"/>
    </row>
    <row r="74" spans="2:15">
      <c r="B74" s="186"/>
      <c r="C74" s="38"/>
      <c r="D74" s="33"/>
      <c r="E74" s="174"/>
      <c r="F74" s="174"/>
      <c r="G74" s="174"/>
      <c r="H74" s="174"/>
      <c r="I74" s="174"/>
      <c r="J74" s="174">
        <f t="shared" ref="J74:J99" si="1">SUM(E74:I74)</f>
        <v>0</v>
      </c>
      <c r="K74" s="187"/>
      <c r="M74" s="210"/>
      <c r="N74" s="205"/>
    </row>
    <row r="75" spans="2:15">
      <c r="B75" s="186"/>
      <c r="C75" s="38"/>
      <c r="D75" s="33"/>
      <c r="E75" s="174"/>
      <c r="F75" s="174"/>
      <c r="G75" s="174"/>
      <c r="H75" s="174"/>
      <c r="I75" s="174"/>
      <c r="J75" s="174">
        <f t="shared" si="1"/>
        <v>0</v>
      </c>
      <c r="K75" s="187"/>
      <c r="M75" s="210"/>
      <c r="N75" s="205"/>
    </row>
    <row r="76" spans="2:15">
      <c r="B76" s="186"/>
      <c r="C76" s="38"/>
      <c r="D76" s="33"/>
      <c r="E76" s="174"/>
      <c r="F76" s="174"/>
      <c r="G76" s="174"/>
      <c r="H76" s="174"/>
      <c r="I76" s="174"/>
      <c r="J76" s="174">
        <f t="shared" si="1"/>
        <v>0</v>
      </c>
      <c r="K76" s="187"/>
      <c r="M76" s="210"/>
      <c r="N76" s="205"/>
    </row>
    <row r="77" spans="2:15">
      <c r="B77" s="186"/>
      <c r="C77" s="38"/>
      <c r="D77" s="33"/>
      <c r="E77" s="174"/>
      <c r="F77" s="174"/>
      <c r="G77" s="174"/>
      <c r="H77" s="174"/>
      <c r="I77" s="174"/>
      <c r="J77" s="174">
        <f t="shared" si="1"/>
        <v>0</v>
      </c>
      <c r="K77" s="187"/>
      <c r="M77" s="210"/>
      <c r="N77" s="205"/>
    </row>
    <row r="78" spans="2:15">
      <c r="B78" s="186"/>
      <c r="C78" s="38"/>
      <c r="D78" s="33"/>
      <c r="E78" s="174"/>
      <c r="F78" s="174"/>
      <c r="G78" s="174"/>
      <c r="H78" s="174"/>
      <c r="I78" s="174"/>
      <c r="J78" s="174">
        <f t="shared" si="1"/>
        <v>0</v>
      </c>
      <c r="K78" s="187"/>
      <c r="M78" s="210"/>
      <c r="N78" s="205"/>
    </row>
    <row r="79" spans="2:15">
      <c r="B79" s="186"/>
      <c r="C79" s="38"/>
      <c r="D79" s="33"/>
      <c r="E79" s="174"/>
      <c r="F79" s="174"/>
      <c r="G79" s="174"/>
      <c r="H79" s="174"/>
      <c r="I79" s="174"/>
      <c r="J79" s="174">
        <f t="shared" si="1"/>
        <v>0</v>
      </c>
      <c r="K79" s="187"/>
      <c r="M79" s="210"/>
      <c r="N79" s="205"/>
    </row>
    <row r="80" spans="2:15">
      <c r="B80" s="186"/>
      <c r="C80" s="38"/>
      <c r="D80" s="33"/>
      <c r="E80" s="174"/>
      <c r="F80" s="174"/>
      <c r="G80" s="174"/>
      <c r="H80" s="174"/>
      <c r="I80" s="174"/>
      <c r="J80" s="174">
        <f t="shared" si="1"/>
        <v>0</v>
      </c>
      <c r="K80" s="187"/>
      <c r="M80" s="210"/>
      <c r="N80" s="205"/>
    </row>
    <row r="81" spans="2:14">
      <c r="B81" s="186"/>
      <c r="C81" s="38"/>
      <c r="D81" s="33"/>
      <c r="E81" s="174"/>
      <c r="F81" s="174"/>
      <c r="G81" s="174"/>
      <c r="H81" s="174"/>
      <c r="I81" s="174"/>
      <c r="J81" s="174">
        <f t="shared" si="1"/>
        <v>0</v>
      </c>
      <c r="K81" s="187"/>
      <c r="M81" s="210"/>
      <c r="N81" s="205"/>
    </row>
    <row r="82" spans="2:14">
      <c r="B82" s="186"/>
      <c r="C82" s="38"/>
      <c r="D82" s="33"/>
      <c r="E82" s="174"/>
      <c r="F82" s="174"/>
      <c r="G82" s="174"/>
      <c r="H82" s="174"/>
      <c r="I82" s="174"/>
      <c r="J82" s="174">
        <f t="shared" si="1"/>
        <v>0</v>
      </c>
      <c r="K82" s="187"/>
      <c r="M82" s="210"/>
      <c r="N82" s="205"/>
    </row>
    <row r="83" spans="2:14">
      <c r="B83" s="186"/>
      <c r="C83" s="38"/>
      <c r="D83" s="33"/>
      <c r="E83" s="174"/>
      <c r="F83" s="174"/>
      <c r="G83" s="174"/>
      <c r="H83" s="174"/>
      <c r="I83" s="174"/>
      <c r="J83" s="174">
        <f t="shared" si="1"/>
        <v>0</v>
      </c>
      <c r="K83" s="187"/>
      <c r="M83" s="210"/>
      <c r="N83" s="205"/>
    </row>
    <row r="84" spans="2:14">
      <c r="B84" s="186"/>
      <c r="C84" s="38"/>
      <c r="D84" s="33"/>
      <c r="E84" s="174"/>
      <c r="F84" s="174"/>
      <c r="G84" s="174"/>
      <c r="H84" s="174"/>
      <c r="I84" s="174"/>
      <c r="J84" s="174">
        <f t="shared" si="1"/>
        <v>0</v>
      </c>
      <c r="K84" s="187"/>
      <c r="M84" s="210"/>
      <c r="N84" s="205"/>
    </row>
    <row r="85" spans="2:14">
      <c r="B85" s="186"/>
      <c r="C85" s="38"/>
      <c r="D85" s="33"/>
      <c r="E85" s="7"/>
      <c r="F85" s="7"/>
      <c r="G85" s="7"/>
      <c r="H85" s="7"/>
      <c r="I85" s="7"/>
      <c r="J85" s="7">
        <f t="shared" si="1"/>
        <v>0</v>
      </c>
      <c r="K85" s="187"/>
      <c r="M85" s="210"/>
      <c r="N85" s="205"/>
    </row>
    <row r="86" spans="2:14">
      <c r="B86" s="186"/>
      <c r="C86" s="38"/>
      <c r="D86" s="33"/>
      <c r="E86" s="7"/>
      <c r="F86" s="7"/>
      <c r="G86" s="7"/>
      <c r="H86" s="7"/>
      <c r="I86" s="7"/>
      <c r="J86" s="7">
        <f t="shared" si="1"/>
        <v>0</v>
      </c>
      <c r="K86" s="187"/>
      <c r="M86" s="210"/>
      <c r="N86" s="205"/>
    </row>
    <row r="87" spans="2:14">
      <c r="B87" s="186"/>
      <c r="C87" s="38"/>
      <c r="D87" s="33"/>
      <c r="E87" s="7"/>
      <c r="F87" s="7"/>
      <c r="G87" s="7"/>
      <c r="H87" s="7"/>
      <c r="I87" s="7"/>
      <c r="J87" s="7">
        <f t="shared" si="1"/>
        <v>0</v>
      </c>
      <c r="K87" s="187"/>
      <c r="M87" s="210"/>
      <c r="N87" s="205"/>
    </row>
    <row r="88" spans="2:14">
      <c r="B88" s="186"/>
      <c r="C88" s="38"/>
      <c r="D88" s="33"/>
      <c r="E88" s="7"/>
      <c r="F88" s="7"/>
      <c r="G88" s="7"/>
      <c r="H88" s="7"/>
      <c r="I88" s="7"/>
      <c r="J88" s="7">
        <f t="shared" si="1"/>
        <v>0</v>
      </c>
      <c r="K88" s="187"/>
      <c r="M88" s="210"/>
      <c r="N88" s="205"/>
    </row>
    <row r="89" spans="2:14">
      <c r="B89" s="186"/>
      <c r="C89" s="38"/>
      <c r="D89" s="33"/>
      <c r="E89" s="7"/>
      <c r="F89" s="7"/>
      <c r="G89" s="7"/>
      <c r="H89" s="7"/>
      <c r="I89" s="7"/>
      <c r="J89" s="7">
        <f t="shared" si="1"/>
        <v>0</v>
      </c>
      <c r="K89" s="189"/>
      <c r="M89" s="210"/>
      <c r="N89" s="205"/>
    </row>
    <row r="90" spans="2:14">
      <c r="B90" s="186"/>
      <c r="C90" s="38"/>
      <c r="D90" s="33"/>
      <c r="E90" s="7"/>
      <c r="F90" s="7"/>
      <c r="G90" s="7"/>
      <c r="H90" s="7"/>
      <c r="I90" s="7"/>
      <c r="J90" s="7">
        <f t="shared" si="1"/>
        <v>0</v>
      </c>
      <c r="K90" s="189"/>
      <c r="M90" s="210"/>
      <c r="N90" s="205"/>
    </row>
    <row r="91" spans="2:14">
      <c r="B91" s="186"/>
      <c r="C91" s="38"/>
      <c r="D91" s="33"/>
      <c r="E91" s="7"/>
      <c r="F91" s="7"/>
      <c r="G91" s="7"/>
      <c r="H91" s="7"/>
      <c r="I91" s="7"/>
      <c r="J91" s="7">
        <f t="shared" si="1"/>
        <v>0</v>
      </c>
      <c r="K91" s="189"/>
      <c r="M91" s="210"/>
      <c r="N91" s="205"/>
    </row>
    <row r="92" spans="2:14">
      <c r="B92" s="186"/>
      <c r="C92" s="38"/>
      <c r="D92" s="33"/>
      <c r="E92" s="7"/>
      <c r="F92" s="7"/>
      <c r="G92" s="7"/>
      <c r="H92" s="7"/>
      <c r="I92" s="7"/>
      <c r="J92" s="7">
        <f t="shared" si="1"/>
        <v>0</v>
      </c>
      <c r="K92" s="189"/>
      <c r="M92" s="210"/>
      <c r="N92" s="205"/>
    </row>
    <row r="93" spans="2:14">
      <c r="B93" s="186"/>
      <c r="C93" s="38"/>
      <c r="D93" s="33"/>
      <c r="E93" s="7"/>
      <c r="F93" s="7"/>
      <c r="G93" s="7"/>
      <c r="H93" s="7"/>
      <c r="I93" s="7"/>
      <c r="J93" s="7">
        <f t="shared" si="1"/>
        <v>0</v>
      </c>
      <c r="K93" s="189"/>
      <c r="M93" s="210"/>
      <c r="N93" s="205"/>
    </row>
    <row r="94" spans="2:14">
      <c r="B94" s="186"/>
      <c r="C94" s="38"/>
      <c r="D94" s="33"/>
      <c r="E94" s="7"/>
      <c r="F94" s="7"/>
      <c r="G94" s="7"/>
      <c r="H94" s="7"/>
      <c r="I94" s="7"/>
      <c r="J94" s="7">
        <f t="shared" si="1"/>
        <v>0</v>
      </c>
      <c r="K94" s="189"/>
      <c r="M94" s="210"/>
      <c r="N94" s="205"/>
    </row>
    <row r="95" spans="2:14">
      <c r="B95" s="186"/>
      <c r="C95" s="38"/>
      <c r="D95" s="33"/>
      <c r="E95" s="7"/>
      <c r="F95" s="7"/>
      <c r="G95" s="7"/>
      <c r="H95" s="7"/>
      <c r="I95" s="7"/>
      <c r="J95" s="7">
        <f t="shared" si="1"/>
        <v>0</v>
      </c>
      <c r="K95" s="189"/>
      <c r="M95" s="210"/>
      <c r="N95" s="205"/>
    </row>
    <row r="96" spans="2:14">
      <c r="B96" s="186"/>
      <c r="C96" s="38"/>
      <c r="D96" s="33"/>
      <c r="E96" s="7"/>
      <c r="F96" s="7"/>
      <c r="G96" s="7"/>
      <c r="H96" s="7"/>
      <c r="I96" s="7"/>
      <c r="J96" s="7">
        <f t="shared" si="1"/>
        <v>0</v>
      </c>
      <c r="K96" s="189"/>
      <c r="M96" s="210"/>
      <c r="N96" s="205"/>
    </row>
    <row r="97" spans="2:14">
      <c r="B97" s="186"/>
      <c r="C97" s="38"/>
      <c r="D97" s="33"/>
      <c r="E97" s="7"/>
      <c r="F97" s="7"/>
      <c r="G97" s="7"/>
      <c r="H97" s="7"/>
      <c r="I97" s="7"/>
      <c r="J97" s="7">
        <f t="shared" si="1"/>
        <v>0</v>
      </c>
      <c r="K97" s="189"/>
      <c r="M97" s="210"/>
      <c r="N97" s="205"/>
    </row>
    <row r="98" spans="2:14">
      <c r="B98" s="186"/>
      <c r="C98" s="38"/>
      <c r="D98" s="33"/>
      <c r="E98" s="7"/>
      <c r="F98" s="7"/>
      <c r="G98" s="7"/>
      <c r="H98" s="7"/>
      <c r="I98" s="7"/>
      <c r="J98" s="7">
        <f t="shared" si="1"/>
        <v>0</v>
      </c>
      <c r="K98" s="189"/>
      <c r="M98" s="210"/>
      <c r="N98" s="205"/>
    </row>
    <row r="99" spans="2:14" ht="12" thickBot="1">
      <c r="B99" s="190"/>
      <c r="C99" s="191"/>
      <c r="D99" s="192"/>
      <c r="E99" s="193"/>
      <c r="F99" s="193"/>
      <c r="G99" s="193"/>
      <c r="H99" s="193"/>
      <c r="I99" s="193"/>
      <c r="J99" s="193">
        <f t="shared" si="1"/>
        <v>0</v>
      </c>
      <c r="K99" s="189"/>
      <c r="M99" s="210"/>
      <c r="N99" s="205"/>
    </row>
    <row r="100" spans="2:14" ht="12" thickBot="1">
      <c r="B100" s="194"/>
      <c r="C100" s="195" t="s">
        <v>0</v>
      </c>
      <c r="D100" s="196" t="s">
        <v>1</v>
      </c>
      <c r="E100" s="197">
        <f t="shared" ref="E100:J100" si="2">SUM(E10:E99)</f>
        <v>0</v>
      </c>
      <c r="F100" s="197">
        <f t="shared" si="2"/>
        <v>0</v>
      </c>
      <c r="G100" s="197">
        <f t="shared" si="2"/>
        <v>0</v>
      </c>
      <c r="H100" s="197">
        <f t="shared" si="2"/>
        <v>0</v>
      </c>
      <c r="I100" s="197">
        <f t="shared" si="2"/>
        <v>0</v>
      </c>
      <c r="J100" s="197">
        <f t="shared" si="2"/>
        <v>0</v>
      </c>
      <c r="K100" s="198"/>
      <c r="M100" s="211"/>
      <c r="N100" s="207"/>
    </row>
    <row r="101" spans="2:14">
      <c r="D101" s="2"/>
      <c r="E101" s="2"/>
      <c r="F101" s="2"/>
      <c r="G101" s="2"/>
      <c r="H101" s="2"/>
      <c r="I101" s="2"/>
      <c r="J101" s="200"/>
    </row>
    <row r="102" spans="2:14">
      <c r="J102" s="202"/>
    </row>
    <row r="103" spans="2:14">
      <c r="J103" s="202"/>
    </row>
    <row r="104" spans="2:14">
      <c r="J104" s="202"/>
    </row>
  </sheetData>
  <pageMargins left="0.25" right="0.25" top="0.75" bottom="0.75" header="0.3" footer="0.3"/>
  <pageSetup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WUZ880"/>
  <sheetViews>
    <sheetView zoomScale="90" zoomScaleNormal="90" workbookViewId="0"/>
  </sheetViews>
  <sheetFormatPr baseColWidth="10" defaultRowHeight="12.5"/>
  <cols>
    <col min="1" max="1" width="4.54296875" style="1" customWidth="1"/>
    <col min="2" max="2" width="12.453125" style="1" customWidth="1"/>
    <col min="3" max="3" width="14.54296875" style="1" customWidth="1"/>
    <col min="4" max="4" width="10" style="20" bestFit="1" customWidth="1"/>
    <col min="5" max="5" width="8.453125" style="60" customWidth="1"/>
    <col min="6" max="6" width="22.54296875" style="1" customWidth="1"/>
    <col min="7" max="7" width="7.453125" style="8" customWidth="1"/>
    <col min="8" max="8" width="22.54296875" style="8" customWidth="1"/>
    <col min="9" max="9" width="13" style="1" customWidth="1"/>
    <col min="10" max="10" width="13.54296875" style="1" customWidth="1"/>
    <col min="11" max="11" width="14.453125" style="1" bestFit="1" customWidth="1"/>
    <col min="12" max="18" width="13.54296875" style="1" customWidth="1"/>
    <col min="19" max="19" width="14.453125" style="1" bestFit="1" customWidth="1"/>
    <col min="20" max="20" width="13.54296875" style="1" customWidth="1"/>
    <col min="21" max="21" width="14.453125" style="1" customWidth="1"/>
    <col min="22" max="22" width="13.54296875" style="1" customWidth="1"/>
    <col min="23" max="23" width="14.453125" style="1" customWidth="1"/>
    <col min="24" max="24" width="11.453125" style="1" customWidth="1"/>
    <col min="25" max="25" width="11.81640625" style="1" customWidth="1"/>
    <col min="26" max="26" width="3.54296875" style="1" customWidth="1"/>
    <col min="27" max="27" width="2.54296875" style="142" customWidth="1"/>
    <col min="28" max="28" width="11.453125" style="1"/>
    <col min="29" max="51" width="12.81640625" style="1" bestFit="1" customWidth="1"/>
    <col min="52" max="16100" width="11.453125" style="1"/>
    <col min="16103" max="16384" width="11.453125" style="1"/>
  </cols>
  <sheetData>
    <row r="1" spans="2:51 16101:16120" ht="13" customHeight="1">
      <c r="C1" s="89">
        <f>Oportuno!C1</f>
        <v>2026091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3020</v>
      </c>
      <c r="S1" s="18">
        <f t="shared" si="0"/>
        <v>137371512</v>
      </c>
      <c r="T1" s="18">
        <f t="shared" si="0"/>
        <v>3020</v>
      </c>
      <c r="U1" s="18">
        <f t="shared" si="0"/>
        <v>137371512</v>
      </c>
      <c r="V1" s="18">
        <f t="shared" si="0"/>
        <v>3020</v>
      </c>
      <c r="W1" s="18">
        <f t="shared" si="0"/>
        <v>137371512</v>
      </c>
      <c r="X1" s="18">
        <f t="shared" si="0"/>
        <v>0</v>
      </c>
      <c r="Y1" s="10">
        <f t="shared" si="0"/>
        <v>0</v>
      </c>
      <c r="AA1" s="66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  <c r="WUG1" s="1"/>
      <c r="WUH1" s="1"/>
    </row>
    <row r="2" spans="2:51 16101:16120" ht="13" customHeight="1">
      <c r="C2" s="91">
        <f>Oportuno!C2</f>
        <v>2026092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521</v>
      </c>
      <c r="S2" s="36">
        <f t="shared" si="1"/>
        <v>33627704</v>
      </c>
      <c r="T2" s="36">
        <f t="shared" si="1"/>
        <v>521</v>
      </c>
      <c r="U2" s="36">
        <f t="shared" si="1"/>
        <v>33627704</v>
      </c>
      <c r="V2" s="36">
        <f t="shared" si="1"/>
        <v>521</v>
      </c>
      <c r="W2" s="36">
        <f t="shared" si="1"/>
        <v>33627704</v>
      </c>
      <c r="X2" s="36">
        <f t="shared" si="1"/>
        <v>0</v>
      </c>
      <c r="Y2" s="9">
        <f t="shared" si="1"/>
        <v>0</v>
      </c>
      <c r="AA2" s="66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  <c r="WUG2" s="1"/>
      <c r="WUH2" s="1"/>
    </row>
    <row r="3" spans="2:51 16101:16120" ht="13" customHeight="1" thickBot="1">
      <c r="C3" s="92">
        <f>Oportuno!C3</f>
        <v>202609</v>
      </c>
      <c r="D3" s="93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3541</v>
      </c>
      <c r="S3" s="94">
        <f t="shared" si="2"/>
        <v>170999216</v>
      </c>
      <c r="T3" s="94">
        <f t="shared" si="2"/>
        <v>3541</v>
      </c>
      <c r="U3" s="94">
        <f t="shared" si="2"/>
        <v>170999216</v>
      </c>
      <c r="V3" s="94">
        <f t="shared" si="2"/>
        <v>3541</v>
      </c>
      <c r="W3" s="94">
        <f t="shared" si="2"/>
        <v>170999216</v>
      </c>
      <c r="X3" s="94">
        <f t="shared" si="2"/>
        <v>0</v>
      </c>
      <c r="Y3" s="95">
        <f t="shared" si="2"/>
        <v>0</v>
      </c>
      <c r="AA3" s="66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  <c r="WUG3" s="1"/>
      <c r="WUH3" s="1"/>
    </row>
    <row r="4" spans="2:51 16101:16120" ht="13" customHeight="1" thickBot="1">
      <c r="AA4" s="65"/>
    </row>
    <row r="5" spans="2:51 16101:16120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UG5" s="1"/>
      <c r="WUH5" s="1"/>
      <c r="WUY5"/>
      <c r="WUZ5"/>
    </row>
    <row r="6" spans="2:51 16101:16120" ht="15.5">
      <c r="B6" s="97"/>
      <c r="C6" s="20"/>
      <c r="D6" s="98"/>
      <c r="E6" s="99"/>
      <c r="G6" s="100"/>
      <c r="H6" s="101" t="s">
        <v>26</v>
      </c>
      <c r="W6" s="102"/>
      <c r="Y6" s="5"/>
      <c r="AA6" s="66"/>
      <c r="WUG6" s="1"/>
      <c r="WUH6" s="1"/>
      <c r="WUY6"/>
      <c r="WUZ6"/>
    </row>
    <row r="7" spans="2:51 16101:16120" ht="15.5">
      <c r="B7" s="97"/>
      <c r="C7" s="20"/>
      <c r="D7" s="98"/>
      <c r="E7" s="99"/>
      <c r="G7" s="100"/>
      <c r="H7" s="101" t="s">
        <v>24</v>
      </c>
      <c r="Y7" s="5"/>
      <c r="AA7" s="66"/>
      <c r="WUG7" s="1"/>
      <c r="WUH7" s="1"/>
      <c r="WUY7"/>
      <c r="WUZ7"/>
    </row>
    <row r="8" spans="2:51 16101:16120" ht="15.5">
      <c r="B8" s="97"/>
      <c r="C8" s="20"/>
      <c r="D8" s="98"/>
      <c r="E8" s="99"/>
      <c r="G8" s="100"/>
      <c r="H8" s="103" t="s">
        <v>5</v>
      </c>
      <c r="Y8" s="5"/>
      <c r="AA8" s="66"/>
      <c r="WUG8" s="1"/>
      <c r="WUH8" s="1"/>
      <c r="WUY8"/>
      <c r="WUZ8"/>
    </row>
    <row r="9" spans="2:51 16101:16120" ht="13.5" customHeight="1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UG9" s="1"/>
      <c r="WUH9" s="1"/>
      <c r="WUY9"/>
      <c r="WUZ9"/>
    </row>
    <row r="10" spans="2:51 16101:16120" ht="13.5" customHeight="1">
      <c r="B10" s="97"/>
      <c r="C10" s="20"/>
      <c r="D10" s="98"/>
      <c r="E10" s="109"/>
      <c r="G10" s="100"/>
      <c r="H10" s="110" t="str">
        <f>Oportuno!H10</f>
        <v>SEPTIEMBRE_2026</v>
      </c>
      <c r="I10" s="102"/>
      <c r="J10" s="1" t="s">
        <v>68</v>
      </c>
      <c r="M10" s="102"/>
      <c r="O10" s="102"/>
      <c r="Q10" s="102"/>
      <c r="S10" s="102"/>
      <c r="T10" s="102"/>
      <c r="U10" s="102"/>
      <c r="V10" s="102"/>
      <c r="Y10" s="29"/>
      <c r="AA10" s="66"/>
      <c r="WUG10" s="1"/>
      <c r="WUH10" s="1"/>
      <c r="WUY10"/>
      <c r="WUZ10"/>
    </row>
    <row r="11" spans="2:51 16101:16120" ht="13.5" customHeight="1" thickBot="1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UG11" s="1"/>
      <c r="WUH11" s="1"/>
      <c r="WUY11"/>
      <c r="WUZ11"/>
    </row>
    <row r="12" spans="2:51 16101:16120" ht="41.25" customHeight="1" thickBot="1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231" t="s">
        <v>8</v>
      </c>
      <c r="K12" s="231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232" t="s">
        <v>12</v>
      </c>
      <c r="S12" s="233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WUG12" s="1"/>
      <c r="WUH12" s="1"/>
      <c r="WUY12"/>
      <c r="WUZ12"/>
    </row>
    <row r="13" spans="2:51 16101:16120" ht="12.75" customHeight="1">
      <c r="B13" s="119" t="str">
        <f>Oportuno!B13</f>
        <v>3/09/2026</v>
      </c>
      <c r="C13" s="24">
        <f>Oportuno!C13</f>
        <v>2026091</v>
      </c>
      <c r="D13" s="24">
        <f>Oportuno!D13</f>
        <v>1</v>
      </c>
      <c r="E13" s="127">
        <f>Oportuno!E13</f>
        <v>20</v>
      </c>
      <c r="F13" s="125" t="str">
        <f>Oportuno!F13</f>
        <v>Bancolombia ENERBIT</v>
      </c>
      <c r="G13" s="18">
        <f>Oportuno!G13</f>
        <v>1</v>
      </c>
      <c r="H13" s="125" t="str">
        <f>Oportuno!H13</f>
        <v>Oficinas</v>
      </c>
      <c r="I13" s="129">
        <f>Oportuno!I13</f>
        <v>0</v>
      </c>
      <c r="J13" s="213">
        <f>Oportuno!J13</f>
        <v>0</v>
      </c>
      <c r="K13" s="213">
        <f>Oportuno!K13</f>
        <v>0</v>
      </c>
      <c r="L13" s="213">
        <f>Oportuno!L13</f>
        <v>0</v>
      </c>
      <c r="M13" s="213">
        <f>Oportuno!M13</f>
        <v>0</v>
      </c>
      <c r="N13" s="213">
        <f>Oportuno!N13</f>
        <v>0</v>
      </c>
      <c r="O13" s="213">
        <f>Oportuno!O13</f>
        <v>0</v>
      </c>
      <c r="P13" s="213">
        <f>Oportuno!P13</f>
        <v>0</v>
      </c>
      <c r="Q13" s="213">
        <f>Oportuno!Q13</f>
        <v>0</v>
      </c>
      <c r="R13" s="213">
        <f>Oportuno!R13</f>
        <v>144</v>
      </c>
      <c r="S13" s="214">
        <f>Oportuno!S13</f>
        <v>6520660</v>
      </c>
      <c r="T13" s="70">
        <f>Oportuno!T13</f>
        <v>144</v>
      </c>
      <c r="U13" s="70">
        <f>Oportuno!U13</f>
        <v>6520660</v>
      </c>
      <c r="V13" s="116">
        <f>Oportuno!V13</f>
        <v>144</v>
      </c>
      <c r="W13" s="116">
        <f>Oportuno!W13</f>
        <v>6520660</v>
      </c>
      <c r="X13" s="70">
        <f>Oportuno!X13</f>
        <v>0</v>
      </c>
      <c r="Y13" s="70">
        <f>Oportuno!Y13</f>
        <v>0</v>
      </c>
      <c r="AA13" s="65"/>
    </row>
    <row r="14" spans="2:51 16101:16120" ht="12.75" customHeight="1">
      <c r="B14" s="119">
        <f>Oportuno!B14</f>
        <v>0</v>
      </c>
      <c r="C14" s="23">
        <f>Oportuno!C14</f>
        <v>2026091</v>
      </c>
      <c r="D14" s="23">
        <f>Oportuno!D14</f>
        <v>1</v>
      </c>
      <c r="E14" s="128">
        <f>Oportuno!E14</f>
        <v>0</v>
      </c>
      <c r="F14" s="126" t="e">
        <f>Oportuno!F14</f>
        <v>#N/A</v>
      </c>
      <c r="G14" s="36">
        <f>Oportuno!G14</f>
        <v>1</v>
      </c>
      <c r="H14" s="126" t="str">
        <f>Oportuno!H14</f>
        <v>Oficinas</v>
      </c>
      <c r="I14" s="130">
        <f>Oportuno!I14</f>
        <v>0</v>
      </c>
      <c r="J14" s="174">
        <f>Oportuno!J14</f>
        <v>0</v>
      </c>
      <c r="K14" s="174">
        <f>Oportuno!K14</f>
        <v>0</v>
      </c>
      <c r="L14" s="174">
        <f>Oportuno!L14</f>
        <v>0</v>
      </c>
      <c r="M14" s="174">
        <f>Oportuno!M14</f>
        <v>0</v>
      </c>
      <c r="N14" s="174">
        <f>Oportuno!N14</f>
        <v>0</v>
      </c>
      <c r="O14" s="174">
        <f>Oportuno!O14</f>
        <v>0</v>
      </c>
      <c r="P14" s="174">
        <f>Oportuno!P14</f>
        <v>0</v>
      </c>
      <c r="Q14" s="174">
        <f>Oportuno!Q14</f>
        <v>0</v>
      </c>
      <c r="R14" s="174">
        <f>Oportuno!R14</f>
        <v>0</v>
      </c>
      <c r="S14" s="215">
        <f>Oportuno!S14</f>
        <v>0</v>
      </c>
      <c r="T14" s="71">
        <f>Oportuno!T14</f>
        <v>0</v>
      </c>
      <c r="U14" s="71">
        <f>Oportuno!U14</f>
        <v>0</v>
      </c>
      <c r="V14" s="117">
        <f>Oportuno!V14</f>
        <v>0</v>
      </c>
      <c r="W14" s="117">
        <f>Oportuno!W14</f>
        <v>0</v>
      </c>
      <c r="X14" s="71">
        <f>Oportuno!X14</f>
        <v>0</v>
      </c>
      <c r="Y14" s="71">
        <f>Oportuno!Y14</f>
        <v>0</v>
      </c>
      <c r="AA14" s="65"/>
    </row>
    <row r="15" spans="2:51 16101:16120" ht="13" customHeight="1">
      <c r="B15" s="119">
        <f>Oportuno!B15</f>
        <v>0</v>
      </c>
      <c r="C15" s="23">
        <f>Oportuno!C15</f>
        <v>2026091</v>
      </c>
      <c r="D15" s="23">
        <f>Oportuno!D15</f>
        <v>1</v>
      </c>
      <c r="E15" s="128">
        <f>Oportuno!E15</f>
        <v>0</v>
      </c>
      <c r="F15" s="126" t="e">
        <f>Oportuno!F15</f>
        <v>#N/A</v>
      </c>
      <c r="G15" s="36">
        <f>Oportuno!G15</f>
        <v>1</v>
      </c>
      <c r="H15" s="126" t="str">
        <f>Oportuno!H15</f>
        <v>Oficinas</v>
      </c>
      <c r="I15" s="130">
        <f>Oportuno!I15</f>
        <v>0</v>
      </c>
      <c r="J15" s="174">
        <f>Oportuno!J15</f>
        <v>0</v>
      </c>
      <c r="K15" s="174">
        <f>Oportuno!K15</f>
        <v>0</v>
      </c>
      <c r="L15" s="174">
        <f>Oportuno!L15</f>
        <v>0</v>
      </c>
      <c r="M15" s="174">
        <f>Oportuno!M15</f>
        <v>0</v>
      </c>
      <c r="N15" s="174">
        <f>Oportuno!N15</f>
        <v>0</v>
      </c>
      <c r="O15" s="174">
        <f>Oportuno!O15</f>
        <v>0</v>
      </c>
      <c r="P15" s="174">
        <f>Oportuno!P15</f>
        <v>0</v>
      </c>
      <c r="Q15" s="174">
        <f>Oportuno!Q15</f>
        <v>0</v>
      </c>
      <c r="R15" s="174">
        <f>Oportuno!R15</f>
        <v>0</v>
      </c>
      <c r="S15" s="215">
        <f>Oportuno!S15</f>
        <v>0</v>
      </c>
      <c r="T15" s="71">
        <f>Oportuno!T15</f>
        <v>0</v>
      </c>
      <c r="U15" s="71">
        <f>Oportuno!U15</f>
        <v>0</v>
      </c>
      <c r="V15" s="117">
        <f>Oportuno!V15</f>
        <v>0</v>
      </c>
      <c r="W15" s="117">
        <f>Oportuno!W15</f>
        <v>0</v>
      </c>
      <c r="X15" s="71">
        <f>Oportuno!X15</f>
        <v>0</v>
      </c>
      <c r="Y15" s="71">
        <f>Oportuno!Y15</f>
        <v>0</v>
      </c>
      <c r="AA15" s="65"/>
    </row>
    <row r="16" spans="2:51 16101:16120" ht="13" customHeight="1">
      <c r="B16" s="119">
        <f>Oportuno!B16</f>
        <v>0</v>
      </c>
      <c r="C16" s="23">
        <f>Oportuno!C16</f>
        <v>2026091</v>
      </c>
      <c r="D16" s="23">
        <f>Oportuno!D16</f>
        <v>1</v>
      </c>
      <c r="E16" s="128">
        <f>Oportuno!E16</f>
        <v>0</v>
      </c>
      <c r="F16" s="126" t="e">
        <f>Oportuno!F16</f>
        <v>#N/A</v>
      </c>
      <c r="G16" s="36">
        <f>Oportuno!G16</f>
        <v>1</v>
      </c>
      <c r="H16" s="126" t="str">
        <f>Oportuno!H16</f>
        <v>Oficinas</v>
      </c>
      <c r="I16" s="130">
        <f>Oportuno!I16</f>
        <v>0</v>
      </c>
      <c r="J16" s="174">
        <f>Oportuno!J16</f>
        <v>0</v>
      </c>
      <c r="K16" s="174">
        <f>Oportuno!K16</f>
        <v>0</v>
      </c>
      <c r="L16" s="174">
        <f>Oportuno!L16</f>
        <v>0</v>
      </c>
      <c r="M16" s="174">
        <f>Oportuno!M16</f>
        <v>0</v>
      </c>
      <c r="N16" s="174">
        <f>Oportuno!N16</f>
        <v>0</v>
      </c>
      <c r="O16" s="174">
        <f>Oportuno!O16</f>
        <v>0</v>
      </c>
      <c r="P16" s="174">
        <f>Oportuno!P16</f>
        <v>0</v>
      </c>
      <c r="Q16" s="174">
        <f>Oportuno!Q16</f>
        <v>0</v>
      </c>
      <c r="R16" s="174">
        <f>Oportuno!R16</f>
        <v>0</v>
      </c>
      <c r="S16" s="215">
        <f>Oportuno!S16</f>
        <v>0</v>
      </c>
      <c r="T16" s="71">
        <f>Oportuno!T16</f>
        <v>0</v>
      </c>
      <c r="U16" s="71">
        <f>Oportuno!U16</f>
        <v>0</v>
      </c>
      <c r="V16" s="117">
        <f>Oportuno!V16</f>
        <v>0</v>
      </c>
      <c r="W16" s="117">
        <f>Oportuno!W16</f>
        <v>0</v>
      </c>
      <c r="X16" s="71">
        <f>Oportuno!X16</f>
        <v>0</v>
      </c>
      <c r="Y16" s="71">
        <f>Oportuno!Y16</f>
        <v>0</v>
      </c>
      <c r="AA16" s="65"/>
    </row>
    <row r="17" spans="2:27" ht="13" customHeight="1">
      <c r="B17" s="119">
        <f>Oportuno!B17</f>
        <v>0</v>
      </c>
      <c r="C17" s="23">
        <f>Oportuno!C17</f>
        <v>2026091</v>
      </c>
      <c r="D17" s="23">
        <f>Oportuno!D17</f>
        <v>1</v>
      </c>
      <c r="E17" s="128">
        <f>Oportuno!E17</f>
        <v>0</v>
      </c>
      <c r="F17" s="126" t="e">
        <f>Oportuno!F17</f>
        <v>#N/A</v>
      </c>
      <c r="G17" s="36">
        <f>Oportuno!G17</f>
        <v>1</v>
      </c>
      <c r="H17" s="126" t="str">
        <f>Oportuno!H17</f>
        <v>Oficinas</v>
      </c>
      <c r="I17" s="130">
        <f>Oportuno!I17</f>
        <v>0</v>
      </c>
      <c r="J17" s="174">
        <f>Oportuno!J17</f>
        <v>0</v>
      </c>
      <c r="K17" s="174">
        <f>Oportuno!K17</f>
        <v>0</v>
      </c>
      <c r="L17" s="174">
        <f>Oportuno!L17</f>
        <v>0</v>
      </c>
      <c r="M17" s="174">
        <f>Oportuno!M17</f>
        <v>0</v>
      </c>
      <c r="N17" s="174">
        <f>Oportuno!N17</f>
        <v>0</v>
      </c>
      <c r="O17" s="174">
        <f>Oportuno!O17</f>
        <v>0</v>
      </c>
      <c r="P17" s="174">
        <f>Oportuno!P17</f>
        <v>0</v>
      </c>
      <c r="Q17" s="174">
        <f>Oportuno!Q17</f>
        <v>0</v>
      </c>
      <c r="R17" s="174">
        <f>Oportuno!R17</f>
        <v>0</v>
      </c>
      <c r="S17" s="215">
        <f>Oportuno!S17</f>
        <v>0</v>
      </c>
      <c r="T17" s="71">
        <f>Oportuno!T17</f>
        <v>0</v>
      </c>
      <c r="U17" s="71">
        <f>Oportuno!U17</f>
        <v>0</v>
      </c>
      <c r="V17" s="117">
        <f>Oportuno!V17</f>
        <v>0</v>
      </c>
      <c r="W17" s="117">
        <f>Oportuno!W17</f>
        <v>0</v>
      </c>
      <c r="X17" s="71">
        <f>Oportuno!X17</f>
        <v>0</v>
      </c>
      <c r="Y17" s="71">
        <f>Oportuno!Y17</f>
        <v>0</v>
      </c>
      <c r="AA17" s="65"/>
    </row>
    <row r="18" spans="2:27" ht="13" customHeight="1">
      <c r="B18" s="119">
        <f>Oportuno!B18</f>
        <v>0</v>
      </c>
      <c r="C18" s="23">
        <f>Oportuno!C18</f>
        <v>2026091</v>
      </c>
      <c r="D18" s="23">
        <f>Oportuno!D18</f>
        <v>1</v>
      </c>
      <c r="E18" s="128">
        <f>Oportuno!E18</f>
        <v>0</v>
      </c>
      <c r="F18" s="126" t="e">
        <f>Oportuno!F18</f>
        <v>#N/A</v>
      </c>
      <c r="G18" s="36">
        <f>Oportuno!G18</f>
        <v>1</v>
      </c>
      <c r="H18" s="126" t="str">
        <f>Oportuno!H18</f>
        <v>Oficinas</v>
      </c>
      <c r="I18" s="130">
        <f>Oportuno!I18</f>
        <v>0</v>
      </c>
      <c r="J18" s="174">
        <f>Oportuno!J18</f>
        <v>0</v>
      </c>
      <c r="K18" s="174">
        <f>Oportuno!K18</f>
        <v>0</v>
      </c>
      <c r="L18" s="174">
        <f>Oportuno!L18</f>
        <v>0</v>
      </c>
      <c r="M18" s="174">
        <f>Oportuno!M18</f>
        <v>0</v>
      </c>
      <c r="N18" s="174">
        <f>Oportuno!N18</f>
        <v>0</v>
      </c>
      <c r="O18" s="174">
        <f>Oportuno!O18</f>
        <v>0</v>
      </c>
      <c r="P18" s="174">
        <f>Oportuno!P18</f>
        <v>0</v>
      </c>
      <c r="Q18" s="174">
        <f>Oportuno!Q18</f>
        <v>0</v>
      </c>
      <c r="R18" s="174">
        <f>Oportuno!R18</f>
        <v>0</v>
      </c>
      <c r="S18" s="215">
        <f>Oportuno!S18</f>
        <v>0</v>
      </c>
      <c r="T18" s="71">
        <f>Oportuno!T18</f>
        <v>0</v>
      </c>
      <c r="U18" s="71">
        <f>Oportuno!U18</f>
        <v>0</v>
      </c>
      <c r="V18" s="117">
        <f>Oportuno!V18</f>
        <v>0</v>
      </c>
      <c r="W18" s="117">
        <f>Oportuno!W18</f>
        <v>0</v>
      </c>
      <c r="X18" s="71">
        <f>Oportuno!X18</f>
        <v>0</v>
      </c>
      <c r="Y18" s="71">
        <f>Oportuno!Y18</f>
        <v>0</v>
      </c>
      <c r="AA18" s="65"/>
    </row>
    <row r="19" spans="2:27" ht="13" customHeight="1">
      <c r="B19" s="119">
        <f>Oportuno!B19</f>
        <v>0</v>
      </c>
      <c r="C19" s="23">
        <f>Oportuno!C19</f>
        <v>2026091</v>
      </c>
      <c r="D19" s="23">
        <f>Oportuno!D19</f>
        <v>1</v>
      </c>
      <c r="E19" s="128">
        <f>Oportuno!E19</f>
        <v>0</v>
      </c>
      <c r="F19" s="126" t="e">
        <f>Oportuno!F19</f>
        <v>#N/A</v>
      </c>
      <c r="G19" s="36">
        <f>Oportuno!G19</f>
        <v>1</v>
      </c>
      <c r="H19" s="126" t="str">
        <f>Oportuno!H19</f>
        <v>Oficinas</v>
      </c>
      <c r="I19" s="130">
        <f>Oportuno!I19</f>
        <v>0</v>
      </c>
      <c r="J19" s="174">
        <f>Oportuno!J19</f>
        <v>0</v>
      </c>
      <c r="K19" s="174">
        <f>Oportuno!K19</f>
        <v>0</v>
      </c>
      <c r="L19" s="174">
        <f>Oportuno!L19</f>
        <v>0</v>
      </c>
      <c r="M19" s="174">
        <f>Oportuno!M19</f>
        <v>0</v>
      </c>
      <c r="N19" s="174">
        <f>Oportuno!N19</f>
        <v>0</v>
      </c>
      <c r="O19" s="174">
        <f>Oportuno!O19</f>
        <v>0</v>
      </c>
      <c r="P19" s="174">
        <f>Oportuno!P19</f>
        <v>0</v>
      </c>
      <c r="Q19" s="174">
        <f>Oportuno!Q19</f>
        <v>0</v>
      </c>
      <c r="R19" s="174">
        <f>Oportuno!R19</f>
        <v>0</v>
      </c>
      <c r="S19" s="215">
        <f>Oportuno!S19</f>
        <v>0</v>
      </c>
      <c r="T19" s="71">
        <f>Oportuno!T19</f>
        <v>0</v>
      </c>
      <c r="U19" s="71">
        <f>Oportuno!U19</f>
        <v>0</v>
      </c>
      <c r="V19" s="117">
        <f>Oportuno!V19</f>
        <v>0</v>
      </c>
      <c r="W19" s="117">
        <f>Oportuno!W19</f>
        <v>0</v>
      </c>
      <c r="X19" s="71">
        <f>Oportuno!X19</f>
        <v>0</v>
      </c>
      <c r="Y19" s="71">
        <f>Oportuno!Y19</f>
        <v>0</v>
      </c>
      <c r="AA19" s="65"/>
    </row>
    <row r="20" spans="2:27" ht="13" customHeight="1">
      <c r="B20" s="119">
        <f>Oportuno!B20</f>
        <v>0</v>
      </c>
      <c r="C20" s="23">
        <f>Oportuno!C20</f>
        <v>2026091</v>
      </c>
      <c r="D20" s="23">
        <f>Oportuno!D20</f>
        <v>1</v>
      </c>
      <c r="E20" s="128">
        <f>Oportuno!E20</f>
        <v>0</v>
      </c>
      <c r="F20" s="126" t="e">
        <f>Oportuno!F20</f>
        <v>#N/A</v>
      </c>
      <c r="G20" s="36">
        <f>Oportuno!G20</f>
        <v>1</v>
      </c>
      <c r="H20" s="126" t="str">
        <f>Oportuno!H20</f>
        <v>Oficinas</v>
      </c>
      <c r="I20" s="130">
        <f>Oportuno!I20</f>
        <v>0</v>
      </c>
      <c r="J20" s="174">
        <f>Oportuno!J20</f>
        <v>0</v>
      </c>
      <c r="K20" s="174">
        <f>Oportuno!K20</f>
        <v>0</v>
      </c>
      <c r="L20" s="174">
        <f>Oportuno!L20</f>
        <v>0</v>
      </c>
      <c r="M20" s="174">
        <f>Oportuno!M20</f>
        <v>0</v>
      </c>
      <c r="N20" s="174">
        <f>Oportuno!N20</f>
        <v>0</v>
      </c>
      <c r="O20" s="174">
        <f>Oportuno!O20</f>
        <v>0</v>
      </c>
      <c r="P20" s="174">
        <f>Oportuno!P20</f>
        <v>0</v>
      </c>
      <c r="Q20" s="174">
        <f>Oportuno!Q20</f>
        <v>0</v>
      </c>
      <c r="R20" s="174">
        <f>Oportuno!R20</f>
        <v>0</v>
      </c>
      <c r="S20" s="215">
        <f>Oportuno!S20</f>
        <v>0</v>
      </c>
      <c r="T20" s="71">
        <f>Oportuno!T20</f>
        <v>0</v>
      </c>
      <c r="U20" s="71">
        <f>Oportuno!U20</f>
        <v>0</v>
      </c>
      <c r="V20" s="117">
        <f>Oportuno!V20</f>
        <v>0</v>
      </c>
      <c r="W20" s="117">
        <f>Oportuno!W20</f>
        <v>0</v>
      </c>
      <c r="X20" s="71">
        <f>Oportuno!X20</f>
        <v>0</v>
      </c>
      <c r="Y20" s="71">
        <f>Oportuno!Y20</f>
        <v>0</v>
      </c>
      <c r="AA20" s="65"/>
    </row>
    <row r="21" spans="2:27" ht="13" customHeight="1">
      <c r="B21" s="119">
        <f>Oportuno!B21</f>
        <v>0</v>
      </c>
      <c r="C21" s="23">
        <f>Oportuno!C21</f>
        <v>2026091</v>
      </c>
      <c r="D21" s="23">
        <f>Oportuno!D21</f>
        <v>1</v>
      </c>
      <c r="E21" s="128">
        <f>Oportuno!E21</f>
        <v>0</v>
      </c>
      <c r="F21" s="126" t="e">
        <f>Oportuno!F21</f>
        <v>#N/A</v>
      </c>
      <c r="G21" s="36">
        <f>Oportuno!G21</f>
        <v>1</v>
      </c>
      <c r="H21" s="126" t="str">
        <f>Oportuno!H21</f>
        <v>Oficinas</v>
      </c>
      <c r="I21" s="130">
        <f>Oportuno!I21</f>
        <v>0</v>
      </c>
      <c r="J21" s="174">
        <f>Oportuno!J21</f>
        <v>0</v>
      </c>
      <c r="K21" s="174">
        <f>Oportuno!K21</f>
        <v>0</v>
      </c>
      <c r="L21" s="174">
        <f>Oportuno!L21</f>
        <v>0</v>
      </c>
      <c r="M21" s="174">
        <f>Oportuno!M21</f>
        <v>0</v>
      </c>
      <c r="N21" s="174">
        <f>Oportuno!N21</f>
        <v>0</v>
      </c>
      <c r="O21" s="174">
        <f>Oportuno!O21</f>
        <v>0</v>
      </c>
      <c r="P21" s="174">
        <f>Oportuno!P21</f>
        <v>0</v>
      </c>
      <c r="Q21" s="174">
        <f>Oportuno!Q21</f>
        <v>0</v>
      </c>
      <c r="R21" s="174">
        <f>Oportuno!R21</f>
        <v>0</v>
      </c>
      <c r="S21" s="215">
        <f>Oportuno!S21</f>
        <v>0</v>
      </c>
      <c r="T21" s="71">
        <f>Oportuno!T21</f>
        <v>0</v>
      </c>
      <c r="U21" s="71">
        <f>Oportuno!U21</f>
        <v>0</v>
      </c>
      <c r="V21" s="117">
        <f>Oportuno!V21</f>
        <v>0</v>
      </c>
      <c r="W21" s="117">
        <f>Oportuno!W21</f>
        <v>0</v>
      </c>
      <c r="X21" s="71">
        <f>Oportuno!X21</f>
        <v>0</v>
      </c>
      <c r="Y21" s="71">
        <f>Oportuno!Y21</f>
        <v>0</v>
      </c>
      <c r="AA21" s="65"/>
    </row>
    <row r="22" spans="2:27" ht="13" customHeight="1">
      <c r="B22" s="119">
        <f>Oportuno!B22</f>
        <v>0</v>
      </c>
      <c r="C22" s="23">
        <f>Oportuno!C22</f>
        <v>2026091</v>
      </c>
      <c r="D22" s="23">
        <f>Oportuno!D22</f>
        <v>1</v>
      </c>
      <c r="E22" s="128">
        <f>Oportuno!E22</f>
        <v>0</v>
      </c>
      <c r="F22" s="126" t="e">
        <f>Oportuno!F22</f>
        <v>#N/A</v>
      </c>
      <c r="G22" s="36">
        <f>Oportuno!G22</f>
        <v>1</v>
      </c>
      <c r="H22" s="126" t="str">
        <f>Oportuno!H22</f>
        <v>Oficinas</v>
      </c>
      <c r="I22" s="130">
        <f>Oportuno!I22</f>
        <v>0</v>
      </c>
      <c r="J22" s="174">
        <f>Oportuno!J22</f>
        <v>0</v>
      </c>
      <c r="K22" s="174">
        <f>Oportuno!K22</f>
        <v>0</v>
      </c>
      <c r="L22" s="174">
        <f>Oportuno!L22</f>
        <v>0</v>
      </c>
      <c r="M22" s="174">
        <f>Oportuno!M22</f>
        <v>0</v>
      </c>
      <c r="N22" s="174">
        <f>Oportuno!N22</f>
        <v>0</v>
      </c>
      <c r="O22" s="174">
        <f>Oportuno!O22</f>
        <v>0</v>
      </c>
      <c r="P22" s="174">
        <f>Oportuno!P22</f>
        <v>0</v>
      </c>
      <c r="Q22" s="174">
        <f>Oportuno!Q22</f>
        <v>0</v>
      </c>
      <c r="R22" s="174">
        <f>Oportuno!R22</f>
        <v>0</v>
      </c>
      <c r="S22" s="215">
        <f>Oportuno!S22</f>
        <v>0</v>
      </c>
      <c r="T22" s="71">
        <f>Oportuno!T22</f>
        <v>0</v>
      </c>
      <c r="U22" s="71">
        <f>Oportuno!U22</f>
        <v>0</v>
      </c>
      <c r="V22" s="117">
        <f>Oportuno!V22</f>
        <v>0</v>
      </c>
      <c r="W22" s="117">
        <f>Oportuno!W22</f>
        <v>0</v>
      </c>
      <c r="X22" s="71">
        <f>Oportuno!X22</f>
        <v>0</v>
      </c>
      <c r="Y22" s="71">
        <f>Oportuno!Y22</f>
        <v>0</v>
      </c>
      <c r="AA22" s="65"/>
    </row>
    <row r="23" spans="2:27" ht="13" customHeight="1">
      <c r="B23" s="119">
        <f>Oportuno!B23</f>
        <v>0</v>
      </c>
      <c r="C23" s="23">
        <f>Oportuno!C23</f>
        <v>2026091</v>
      </c>
      <c r="D23" s="23">
        <f>Oportuno!D23</f>
        <v>1</v>
      </c>
      <c r="E23" s="128">
        <f>Oportuno!E23</f>
        <v>0</v>
      </c>
      <c r="F23" s="126" t="e">
        <f>Oportuno!F23</f>
        <v>#N/A</v>
      </c>
      <c r="G23" s="36">
        <f>Oportuno!G23</f>
        <v>1</v>
      </c>
      <c r="H23" s="126" t="str">
        <f>Oportuno!H23</f>
        <v>Oficinas</v>
      </c>
      <c r="I23" s="130">
        <f>Oportuno!I23</f>
        <v>0</v>
      </c>
      <c r="J23" s="174">
        <f>Oportuno!J23</f>
        <v>0</v>
      </c>
      <c r="K23" s="174">
        <f>Oportuno!K23</f>
        <v>0</v>
      </c>
      <c r="L23" s="174">
        <f>Oportuno!L23</f>
        <v>0</v>
      </c>
      <c r="M23" s="174">
        <f>Oportuno!M23</f>
        <v>0</v>
      </c>
      <c r="N23" s="174">
        <f>Oportuno!N23</f>
        <v>0</v>
      </c>
      <c r="O23" s="174">
        <f>Oportuno!O23</f>
        <v>0</v>
      </c>
      <c r="P23" s="174">
        <f>Oportuno!P23</f>
        <v>0</v>
      </c>
      <c r="Q23" s="174">
        <f>Oportuno!Q23</f>
        <v>0</v>
      </c>
      <c r="R23" s="174">
        <f>Oportuno!R23</f>
        <v>0</v>
      </c>
      <c r="S23" s="215">
        <f>Oportuno!S23</f>
        <v>0</v>
      </c>
      <c r="T23" s="71">
        <f>Oportuno!T23</f>
        <v>0</v>
      </c>
      <c r="U23" s="71">
        <f>Oportuno!U23</f>
        <v>0</v>
      </c>
      <c r="V23" s="117">
        <f>Oportuno!V23</f>
        <v>0</v>
      </c>
      <c r="W23" s="117">
        <f>Oportuno!W23</f>
        <v>0</v>
      </c>
      <c r="X23" s="71">
        <f>Oportuno!X23</f>
        <v>0</v>
      </c>
      <c r="Y23" s="71">
        <f>Oportuno!Y23</f>
        <v>0</v>
      </c>
      <c r="AA23" s="65"/>
    </row>
    <row r="24" spans="2:27" ht="13" customHeight="1">
      <c r="B24" s="119">
        <f>Oportuno!B24</f>
        <v>0</v>
      </c>
      <c r="C24" s="23">
        <f>Oportuno!C24</f>
        <v>2026091</v>
      </c>
      <c r="D24" s="23">
        <f>Oportuno!D24</f>
        <v>1</v>
      </c>
      <c r="E24" s="128">
        <f>Oportuno!E24</f>
        <v>0</v>
      </c>
      <c r="F24" s="126" t="e">
        <f>Oportuno!F24</f>
        <v>#N/A</v>
      </c>
      <c r="G24" s="36">
        <f>Oportuno!G24</f>
        <v>1</v>
      </c>
      <c r="H24" s="126" t="str">
        <f>Oportuno!H24</f>
        <v>Oficinas</v>
      </c>
      <c r="I24" s="130">
        <f>Oportuno!I24</f>
        <v>0</v>
      </c>
      <c r="J24" s="174">
        <f>Oportuno!J24</f>
        <v>0</v>
      </c>
      <c r="K24" s="174">
        <f>Oportuno!K24</f>
        <v>0</v>
      </c>
      <c r="L24" s="174">
        <f>Oportuno!L24</f>
        <v>0</v>
      </c>
      <c r="M24" s="174">
        <f>Oportuno!M24</f>
        <v>0</v>
      </c>
      <c r="N24" s="174">
        <f>Oportuno!N24</f>
        <v>0</v>
      </c>
      <c r="O24" s="174">
        <f>Oportuno!O24</f>
        <v>0</v>
      </c>
      <c r="P24" s="174">
        <f>Oportuno!P24</f>
        <v>0</v>
      </c>
      <c r="Q24" s="174">
        <f>Oportuno!Q24</f>
        <v>0</v>
      </c>
      <c r="R24" s="174">
        <f>Oportuno!R24</f>
        <v>0</v>
      </c>
      <c r="S24" s="215">
        <f>Oportuno!S24</f>
        <v>0</v>
      </c>
      <c r="T24" s="71">
        <f>Oportuno!T24</f>
        <v>0</v>
      </c>
      <c r="U24" s="71">
        <f>Oportuno!U24</f>
        <v>0</v>
      </c>
      <c r="V24" s="117">
        <f>Oportuno!V24</f>
        <v>0</v>
      </c>
      <c r="W24" s="117">
        <f>Oportuno!W24</f>
        <v>0</v>
      </c>
      <c r="X24" s="71">
        <f>Oportuno!X24</f>
        <v>0</v>
      </c>
      <c r="Y24" s="71">
        <f>Oportuno!Y24</f>
        <v>0</v>
      </c>
      <c r="AA24" s="65"/>
    </row>
    <row r="25" spans="2:27" ht="13" customHeight="1">
      <c r="B25" s="119">
        <f>Oportuno!B25</f>
        <v>0</v>
      </c>
      <c r="C25" s="23">
        <f>Oportuno!C25</f>
        <v>2026091</v>
      </c>
      <c r="D25" s="23">
        <f>Oportuno!D25</f>
        <v>1</v>
      </c>
      <c r="E25" s="128">
        <f>Oportuno!E25</f>
        <v>0</v>
      </c>
      <c r="F25" s="126" t="e">
        <f>Oportuno!F25</f>
        <v>#N/A</v>
      </c>
      <c r="G25" s="36">
        <f>Oportuno!G25</f>
        <v>1</v>
      </c>
      <c r="H25" s="126" t="str">
        <f>Oportuno!H25</f>
        <v>Oficinas</v>
      </c>
      <c r="I25" s="130">
        <f>Oportuno!I25</f>
        <v>0</v>
      </c>
      <c r="J25" s="174">
        <f>Oportuno!J25</f>
        <v>0</v>
      </c>
      <c r="K25" s="174">
        <f>Oportuno!K25</f>
        <v>0</v>
      </c>
      <c r="L25" s="174">
        <f>Oportuno!L25</f>
        <v>0</v>
      </c>
      <c r="M25" s="174">
        <f>Oportuno!M25</f>
        <v>0</v>
      </c>
      <c r="N25" s="174">
        <f>Oportuno!N25</f>
        <v>0</v>
      </c>
      <c r="O25" s="174">
        <f>Oportuno!O25</f>
        <v>0</v>
      </c>
      <c r="P25" s="174">
        <f>Oportuno!P25</f>
        <v>0</v>
      </c>
      <c r="Q25" s="174">
        <f>Oportuno!Q25</f>
        <v>0</v>
      </c>
      <c r="R25" s="174">
        <f>Oportuno!R25</f>
        <v>0</v>
      </c>
      <c r="S25" s="215">
        <f>Oportuno!S25</f>
        <v>0</v>
      </c>
      <c r="T25" s="71">
        <f>Oportuno!T25</f>
        <v>0</v>
      </c>
      <c r="U25" s="71">
        <f>Oportuno!U25</f>
        <v>0</v>
      </c>
      <c r="V25" s="117">
        <f>Oportuno!V25</f>
        <v>0</v>
      </c>
      <c r="W25" s="117">
        <f>Oportuno!W25</f>
        <v>0</v>
      </c>
      <c r="X25" s="71">
        <f>Oportuno!X25</f>
        <v>0</v>
      </c>
      <c r="Y25" s="71">
        <f>Oportuno!Y25</f>
        <v>0</v>
      </c>
      <c r="AA25" s="65"/>
    </row>
    <row r="26" spans="2:27" ht="13" customHeight="1">
      <c r="B26" s="119">
        <f>Oportuno!B26</f>
        <v>0</v>
      </c>
      <c r="C26" s="23">
        <f>Oportuno!C26</f>
        <v>2026091</v>
      </c>
      <c r="D26" s="23">
        <f>Oportuno!D26</f>
        <v>1</v>
      </c>
      <c r="E26" s="128">
        <f>Oportuno!E26</f>
        <v>0</v>
      </c>
      <c r="F26" s="126" t="e">
        <f>Oportuno!F26</f>
        <v>#N/A</v>
      </c>
      <c r="G26" s="36">
        <f>Oportuno!G26</f>
        <v>1</v>
      </c>
      <c r="H26" s="126" t="str">
        <f>Oportuno!H26</f>
        <v>Oficinas</v>
      </c>
      <c r="I26" s="130">
        <f>Oportuno!I26</f>
        <v>0</v>
      </c>
      <c r="J26" s="174">
        <f>Oportuno!J26</f>
        <v>0</v>
      </c>
      <c r="K26" s="174">
        <f>Oportuno!K26</f>
        <v>0</v>
      </c>
      <c r="L26" s="174">
        <f>Oportuno!L26</f>
        <v>0</v>
      </c>
      <c r="M26" s="174">
        <f>Oportuno!M26</f>
        <v>0</v>
      </c>
      <c r="N26" s="174">
        <f>Oportuno!N26</f>
        <v>0</v>
      </c>
      <c r="O26" s="174">
        <f>Oportuno!O26</f>
        <v>0</v>
      </c>
      <c r="P26" s="174">
        <f>Oportuno!P26</f>
        <v>0</v>
      </c>
      <c r="Q26" s="174">
        <f>Oportuno!Q26</f>
        <v>0</v>
      </c>
      <c r="R26" s="174">
        <f>Oportuno!R26</f>
        <v>0</v>
      </c>
      <c r="S26" s="215">
        <f>Oportuno!S26</f>
        <v>0</v>
      </c>
      <c r="T26" s="71">
        <f>Oportuno!T26</f>
        <v>0</v>
      </c>
      <c r="U26" s="71">
        <f>Oportuno!U26</f>
        <v>0</v>
      </c>
      <c r="V26" s="117">
        <f>Oportuno!V26</f>
        <v>0</v>
      </c>
      <c r="W26" s="117">
        <f>Oportuno!W26</f>
        <v>0</v>
      </c>
      <c r="X26" s="71">
        <f>Oportuno!X26</f>
        <v>0</v>
      </c>
      <c r="Y26" s="71">
        <f>Oportuno!Y26</f>
        <v>0</v>
      </c>
      <c r="AA26" s="65"/>
    </row>
    <row r="27" spans="2:27" ht="13" customHeight="1">
      <c r="B27" s="119">
        <f>Oportuno!B27</f>
        <v>0</v>
      </c>
      <c r="C27" s="23">
        <f>Oportuno!C27</f>
        <v>2026091</v>
      </c>
      <c r="D27" s="23">
        <f>Oportuno!D27</f>
        <v>1</v>
      </c>
      <c r="E27" s="128">
        <f>Oportuno!E27</f>
        <v>0</v>
      </c>
      <c r="F27" s="126" t="e">
        <f>Oportuno!F27</f>
        <v>#N/A</v>
      </c>
      <c r="G27" s="36">
        <f>Oportuno!G27</f>
        <v>1</v>
      </c>
      <c r="H27" s="126" t="str">
        <f>Oportuno!H27</f>
        <v>Oficinas</v>
      </c>
      <c r="I27" s="130">
        <f>Oportuno!I27</f>
        <v>0</v>
      </c>
      <c r="J27" s="174">
        <f>Oportuno!J27</f>
        <v>0</v>
      </c>
      <c r="K27" s="174">
        <f>Oportuno!K27</f>
        <v>0</v>
      </c>
      <c r="L27" s="174">
        <f>Oportuno!L27</f>
        <v>0</v>
      </c>
      <c r="M27" s="174">
        <f>Oportuno!M27</f>
        <v>0</v>
      </c>
      <c r="N27" s="174">
        <f>Oportuno!N27</f>
        <v>0</v>
      </c>
      <c r="O27" s="174">
        <f>Oportuno!O27</f>
        <v>0</v>
      </c>
      <c r="P27" s="174">
        <f>Oportuno!P27</f>
        <v>0</v>
      </c>
      <c r="Q27" s="174">
        <f>Oportuno!Q27</f>
        <v>0</v>
      </c>
      <c r="R27" s="174">
        <f>Oportuno!R27</f>
        <v>0</v>
      </c>
      <c r="S27" s="215">
        <f>Oportuno!S27</f>
        <v>0</v>
      </c>
      <c r="T27" s="71">
        <f>Oportuno!T27</f>
        <v>0</v>
      </c>
      <c r="U27" s="71">
        <f>Oportuno!U27</f>
        <v>0</v>
      </c>
      <c r="V27" s="117">
        <f>Oportuno!V27</f>
        <v>0</v>
      </c>
      <c r="W27" s="117">
        <f>Oportuno!W27</f>
        <v>0</v>
      </c>
      <c r="X27" s="71">
        <f>Oportuno!X27</f>
        <v>0</v>
      </c>
      <c r="Y27" s="71">
        <f>Oportuno!Y27</f>
        <v>0</v>
      </c>
      <c r="AA27" s="65"/>
    </row>
    <row r="28" spans="2:27" ht="13" customHeight="1">
      <c r="B28" s="119">
        <f>Oportuno!B28</f>
        <v>0</v>
      </c>
      <c r="C28" s="23">
        <f>Oportuno!C28</f>
        <v>2026091</v>
      </c>
      <c r="D28" s="23">
        <f>Oportuno!D28</f>
        <v>1</v>
      </c>
      <c r="E28" s="128">
        <f>Oportuno!E28</f>
        <v>0</v>
      </c>
      <c r="F28" s="126" t="e">
        <f>Oportuno!F28</f>
        <v>#N/A</v>
      </c>
      <c r="G28" s="36">
        <f>Oportuno!G28</f>
        <v>1</v>
      </c>
      <c r="H28" s="126" t="str">
        <f>Oportuno!H28</f>
        <v>Oficinas</v>
      </c>
      <c r="I28" s="130">
        <f>Oportuno!I28</f>
        <v>0</v>
      </c>
      <c r="J28" s="174">
        <f>Oportuno!J28</f>
        <v>0</v>
      </c>
      <c r="K28" s="174">
        <f>Oportuno!K28</f>
        <v>0</v>
      </c>
      <c r="L28" s="174">
        <f>Oportuno!L28</f>
        <v>0</v>
      </c>
      <c r="M28" s="174">
        <f>Oportuno!M28</f>
        <v>0</v>
      </c>
      <c r="N28" s="174">
        <f>Oportuno!N28</f>
        <v>0</v>
      </c>
      <c r="O28" s="174">
        <f>Oportuno!O28</f>
        <v>0</v>
      </c>
      <c r="P28" s="174">
        <f>Oportuno!P28</f>
        <v>0</v>
      </c>
      <c r="Q28" s="174">
        <f>Oportuno!Q28</f>
        <v>0</v>
      </c>
      <c r="R28" s="174">
        <f>Oportuno!R28</f>
        <v>0</v>
      </c>
      <c r="S28" s="215">
        <f>Oportuno!S28</f>
        <v>0</v>
      </c>
      <c r="T28" s="71">
        <f>Oportuno!T28</f>
        <v>0</v>
      </c>
      <c r="U28" s="71">
        <f>Oportuno!U28</f>
        <v>0</v>
      </c>
      <c r="V28" s="117">
        <f>Oportuno!V28</f>
        <v>0</v>
      </c>
      <c r="W28" s="117">
        <f>Oportuno!W28</f>
        <v>0</v>
      </c>
      <c r="X28" s="71">
        <f>Oportuno!X28</f>
        <v>0</v>
      </c>
      <c r="Y28" s="71">
        <f>Oportuno!Y28</f>
        <v>0</v>
      </c>
      <c r="AA28" s="65"/>
    </row>
    <row r="29" spans="2:27" ht="13" customHeight="1">
      <c r="B29" s="119">
        <f>Oportuno!B29</f>
        <v>0</v>
      </c>
      <c r="C29" s="23">
        <f>Oportuno!C29</f>
        <v>2026091</v>
      </c>
      <c r="D29" s="23">
        <f>Oportuno!D29</f>
        <v>1</v>
      </c>
      <c r="E29" s="128">
        <f>Oportuno!E29</f>
        <v>0</v>
      </c>
      <c r="F29" s="126" t="e">
        <f>Oportuno!F29</f>
        <v>#N/A</v>
      </c>
      <c r="G29" s="36">
        <f>Oportuno!G29</f>
        <v>1</v>
      </c>
      <c r="H29" s="126" t="str">
        <f>Oportuno!H29</f>
        <v>Oficinas</v>
      </c>
      <c r="I29" s="130">
        <f>Oportuno!I29</f>
        <v>0</v>
      </c>
      <c r="J29" s="174">
        <f>Oportuno!J29</f>
        <v>0</v>
      </c>
      <c r="K29" s="174">
        <f>Oportuno!K29</f>
        <v>0</v>
      </c>
      <c r="L29" s="174">
        <f>Oportuno!L29</f>
        <v>0</v>
      </c>
      <c r="M29" s="174">
        <f>Oportuno!M29</f>
        <v>0</v>
      </c>
      <c r="N29" s="174">
        <f>Oportuno!N29</f>
        <v>0</v>
      </c>
      <c r="O29" s="174">
        <f>Oportuno!O29</f>
        <v>0</v>
      </c>
      <c r="P29" s="174">
        <f>Oportuno!P29</f>
        <v>0</v>
      </c>
      <c r="Q29" s="174">
        <f>Oportuno!Q29</f>
        <v>0</v>
      </c>
      <c r="R29" s="174">
        <f>Oportuno!R29</f>
        <v>0</v>
      </c>
      <c r="S29" s="215">
        <f>Oportuno!S29</f>
        <v>0</v>
      </c>
      <c r="T29" s="71">
        <f>Oportuno!T29</f>
        <v>0</v>
      </c>
      <c r="U29" s="71">
        <f>Oportuno!U29</f>
        <v>0</v>
      </c>
      <c r="V29" s="117">
        <f>Oportuno!V29</f>
        <v>0</v>
      </c>
      <c r="W29" s="117">
        <f>Oportuno!W29</f>
        <v>0</v>
      </c>
      <c r="X29" s="71">
        <f>Oportuno!X29</f>
        <v>0</v>
      </c>
      <c r="Y29" s="71">
        <f>Oportuno!Y29</f>
        <v>0</v>
      </c>
      <c r="AA29" s="65"/>
    </row>
    <row r="30" spans="2:27" ht="13" customHeight="1">
      <c r="B30" s="119">
        <f>Oportuno!B30</f>
        <v>0</v>
      </c>
      <c r="C30" s="23">
        <f>Oportuno!C30</f>
        <v>2026091</v>
      </c>
      <c r="D30" s="23">
        <f>Oportuno!D30</f>
        <v>1</v>
      </c>
      <c r="E30" s="128">
        <f>Oportuno!E30</f>
        <v>0</v>
      </c>
      <c r="F30" s="126" t="e">
        <f>Oportuno!F30</f>
        <v>#N/A</v>
      </c>
      <c r="G30" s="36">
        <f>Oportuno!G30</f>
        <v>1</v>
      </c>
      <c r="H30" s="126" t="str">
        <f>Oportuno!H30</f>
        <v>Oficinas</v>
      </c>
      <c r="I30" s="130">
        <f>Oportuno!I30</f>
        <v>0</v>
      </c>
      <c r="J30" s="174">
        <f>Oportuno!J30</f>
        <v>0</v>
      </c>
      <c r="K30" s="174">
        <f>Oportuno!K30</f>
        <v>0</v>
      </c>
      <c r="L30" s="174">
        <f>Oportuno!L30</f>
        <v>0</v>
      </c>
      <c r="M30" s="174">
        <f>Oportuno!M30</f>
        <v>0</v>
      </c>
      <c r="N30" s="174">
        <f>Oportuno!N30</f>
        <v>0</v>
      </c>
      <c r="O30" s="174">
        <f>Oportuno!O30</f>
        <v>0</v>
      </c>
      <c r="P30" s="174">
        <f>Oportuno!P30</f>
        <v>0</v>
      </c>
      <c r="Q30" s="174">
        <f>Oportuno!Q30</f>
        <v>0</v>
      </c>
      <c r="R30" s="174">
        <f>Oportuno!R30</f>
        <v>0</v>
      </c>
      <c r="S30" s="215">
        <f>Oportuno!S30</f>
        <v>0</v>
      </c>
      <c r="T30" s="71">
        <f>Oportuno!T30</f>
        <v>0</v>
      </c>
      <c r="U30" s="71">
        <f>Oportuno!U30</f>
        <v>0</v>
      </c>
      <c r="V30" s="117">
        <f>Oportuno!V30</f>
        <v>0</v>
      </c>
      <c r="W30" s="117">
        <f>Oportuno!W30</f>
        <v>0</v>
      </c>
      <c r="X30" s="71">
        <f>Oportuno!X30</f>
        <v>0</v>
      </c>
      <c r="Y30" s="71">
        <f>Oportuno!Y30</f>
        <v>0</v>
      </c>
      <c r="AA30" s="65"/>
    </row>
    <row r="31" spans="2:27" ht="13" customHeight="1">
      <c r="B31" s="119">
        <f>Oportuno!B31</f>
        <v>0</v>
      </c>
      <c r="C31" s="23">
        <f>Oportuno!C31</f>
        <v>2026091</v>
      </c>
      <c r="D31" s="23">
        <f>Oportuno!D31</f>
        <v>1</v>
      </c>
      <c r="E31" s="128">
        <f>Oportuno!E31</f>
        <v>0</v>
      </c>
      <c r="F31" s="126" t="e">
        <f>Oportuno!F31</f>
        <v>#N/A</v>
      </c>
      <c r="G31" s="36">
        <f>Oportuno!G31</f>
        <v>1</v>
      </c>
      <c r="H31" s="126" t="str">
        <f>Oportuno!H31</f>
        <v>Oficinas</v>
      </c>
      <c r="I31" s="130">
        <f>Oportuno!I31</f>
        <v>0</v>
      </c>
      <c r="J31" s="174">
        <f>Oportuno!J31</f>
        <v>0</v>
      </c>
      <c r="K31" s="174">
        <f>Oportuno!K31</f>
        <v>0</v>
      </c>
      <c r="L31" s="174">
        <f>Oportuno!L31</f>
        <v>0</v>
      </c>
      <c r="M31" s="174">
        <f>Oportuno!M31</f>
        <v>0</v>
      </c>
      <c r="N31" s="174">
        <f>Oportuno!N31</f>
        <v>0</v>
      </c>
      <c r="O31" s="174">
        <f>Oportuno!O31</f>
        <v>0</v>
      </c>
      <c r="P31" s="174">
        <f>Oportuno!P31</f>
        <v>0</v>
      </c>
      <c r="Q31" s="174">
        <f>Oportuno!Q31</f>
        <v>0</v>
      </c>
      <c r="R31" s="174">
        <f>Oportuno!R31</f>
        <v>0</v>
      </c>
      <c r="S31" s="215">
        <f>Oportuno!S31</f>
        <v>0</v>
      </c>
      <c r="T31" s="71">
        <f>Oportuno!T31</f>
        <v>0</v>
      </c>
      <c r="U31" s="71">
        <f>Oportuno!U31</f>
        <v>0</v>
      </c>
      <c r="V31" s="117">
        <f>Oportuno!V31</f>
        <v>0</v>
      </c>
      <c r="W31" s="117">
        <f>Oportuno!W31</f>
        <v>0</v>
      </c>
      <c r="X31" s="71">
        <f>Oportuno!X31</f>
        <v>0</v>
      </c>
      <c r="Y31" s="71">
        <f>Oportuno!Y31</f>
        <v>0</v>
      </c>
      <c r="AA31" s="65"/>
    </row>
    <row r="32" spans="2:27" ht="13" customHeight="1">
      <c r="B32" s="119">
        <f>Oportuno!B32</f>
        <v>0</v>
      </c>
      <c r="C32" s="23">
        <f>Oportuno!C32</f>
        <v>2026091</v>
      </c>
      <c r="D32" s="23">
        <f>Oportuno!D32</f>
        <v>1</v>
      </c>
      <c r="E32" s="128">
        <f>Oportuno!E32</f>
        <v>0</v>
      </c>
      <c r="F32" s="126" t="e">
        <f>Oportuno!F32</f>
        <v>#N/A</v>
      </c>
      <c r="G32" s="36">
        <f>Oportuno!G32</f>
        <v>1</v>
      </c>
      <c r="H32" s="126" t="str">
        <f>Oportuno!H32</f>
        <v>Oficinas</v>
      </c>
      <c r="I32" s="130">
        <f>Oportuno!I32</f>
        <v>0</v>
      </c>
      <c r="J32" s="174">
        <f>Oportuno!J32</f>
        <v>0</v>
      </c>
      <c r="K32" s="174">
        <f>Oportuno!K32</f>
        <v>0</v>
      </c>
      <c r="L32" s="174">
        <f>Oportuno!L32</f>
        <v>0</v>
      </c>
      <c r="M32" s="174">
        <f>Oportuno!M32</f>
        <v>0</v>
      </c>
      <c r="N32" s="174">
        <f>Oportuno!N32</f>
        <v>0</v>
      </c>
      <c r="O32" s="174">
        <f>Oportuno!O32</f>
        <v>0</v>
      </c>
      <c r="P32" s="174">
        <f>Oportuno!P32</f>
        <v>0</v>
      </c>
      <c r="Q32" s="174">
        <f>Oportuno!Q32</f>
        <v>0</v>
      </c>
      <c r="R32" s="174">
        <f>Oportuno!R32</f>
        <v>0</v>
      </c>
      <c r="S32" s="215">
        <f>Oportuno!S32</f>
        <v>0</v>
      </c>
      <c r="T32" s="71">
        <f>Oportuno!T32</f>
        <v>0</v>
      </c>
      <c r="U32" s="71">
        <f>Oportuno!U32</f>
        <v>0</v>
      </c>
      <c r="V32" s="117">
        <f>Oportuno!V32</f>
        <v>0</v>
      </c>
      <c r="W32" s="117">
        <f>Oportuno!W32</f>
        <v>0</v>
      </c>
      <c r="X32" s="71">
        <f>Oportuno!X32</f>
        <v>0</v>
      </c>
      <c r="Y32" s="71">
        <f>Oportuno!Y32</f>
        <v>0</v>
      </c>
      <c r="AA32" s="65"/>
    </row>
    <row r="33" spans="2:27 16101:16120" ht="13" customHeight="1">
      <c r="B33" s="119">
        <f>Oportuno!B33</f>
        <v>0</v>
      </c>
      <c r="C33" s="23">
        <f>Oportuno!C33</f>
        <v>2026091</v>
      </c>
      <c r="D33" s="23">
        <f>Oportuno!D33</f>
        <v>1</v>
      </c>
      <c r="E33" s="128">
        <f>Oportuno!E33</f>
        <v>0</v>
      </c>
      <c r="F33" s="126" t="e">
        <f>Oportuno!F33</f>
        <v>#N/A</v>
      </c>
      <c r="G33" s="36">
        <f>Oportuno!G33</f>
        <v>1</v>
      </c>
      <c r="H33" s="126" t="str">
        <f>Oportuno!H33</f>
        <v>Oficinas</v>
      </c>
      <c r="I33" s="130">
        <f>Oportuno!I33</f>
        <v>0</v>
      </c>
      <c r="J33" s="174">
        <f>Oportuno!J33</f>
        <v>0</v>
      </c>
      <c r="K33" s="174">
        <f>Oportuno!K33</f>
        <v>0</v>
      </c>
      <c r="L33" s="174">
        <f>Oportuno!L33</f>
        <v>0</v>
      </c>
      <c r="M33" s="174">
        <f>Oportuno!M33</f>
        <v>0</v>
      </c>
      <c r="N33" s="174">
        <f>Oportuno!N33</f>
        <v>0</v>
      </c>
      <c r="O33" s="174">
        <f>Oportuno!O33</f>
        <v>0</v>
      </c>
      <c r="P33" s="174">
        <f>Oportuno!P33</f>
        <v>0</v>
      </c>
      <c r="Q33" s="174">
        <f>Oportuno!Q33</f>
        <v>0</v>
      </c>
      <c r="R33" s="174">
        <f>Oportuno!R33</f>
        <v>0</v>
      </c>
      <c r="S33" s="215">
        <f>Oportuno!S33</f>
        <v>0</v>
      </c>
      <c r="T33" s="71">
        <f>Oportuno!T33</f>
        <v>0</v>
      </c>
      <c r="U33" s="71">
        <f>Oportuno!U33</f>
        <v>0</v>
      </c>
      <c r="V33" s="117">
        <f>Oportuno!V33</f>
        <v>0</v>
      </c>
      <c r="W33" s="117">
        <f>Oportuno!W33</f>
        <v>0</v>
      </c>
      <c r="X33" s="71">
        <f>Oportuno!X33</f>
        <v>0</v>
      </c>
      <c r="Y33" s="71">
        <f>Oportuno!Y33</f>
        <v>0</v>
      </c>
      <c r="AA33" s="65"/>
    </row>
    <row r="34" spans="2:27 16101:16120" ht="13" customHeight="1">
      <c r="B34" s="119">
        <f>Oportuno!B34</f>
        <v>0</v>
      </c>
      <c r="C34" s="23">
        <f>Oportuno!C34</f>
        <v>2026091</v>
      </c>
      <c r="D34" s="23">
        <f>Oportuno!D34</f>
        <v>1</v>
      </c>
      <c r="E34" s="128">
        <f>Oportuno!E34</f>
        <v>0</v>
      </c>
      <c r="F34" s="126" t="e">
        <f>Oportuno!F34</f>
        <v>#N/A</v>
      </c>
      <c r="G34" s="36">
        <f>Oportuno!G34</f>
        <v>1</v>
      </c>
      <c r="H34" s="126" t="str">
        <f>Oportuno!H34</f>
        <v>Oficinas</v>
      </c>
      <c r="I34" s="130">
        <f>Oportuno!I34</f>
        <v>0</v>
      </c>
      <c r="J34" s="174">
        <f>Oportuno!J34</f>
        <v>0</v>
      </c>
      <c r="K34" s="174">
        <f>Oportuno!K34</f>
        <v>0</v>
      </c>
      <c r="L34" s="174">
        <f>Oportuno!L34</f>
        <v>0</v>
      </c>
      <c r="M34" s="174">
        <f>Oportuno!M34</f>
        <v>0</v>
      </c>
      <c r="N34" s="174">
        <f>Oportuno!N34</f>
        <v>0</v>
      </c>
      <c r="O34" s="174">
        <f>Oportuno!O34</f>
        <v>0</v>
      </c>
      <c r="P34" s="174">
        <f>Oportuno!P34</f>
        <v>0</v>
      </c>
      <c r="Q34" s="174">
        <f>Oportuno!Q34</f>
        <v>0</v>
      </c>
      <c r="R34" s="174">
        <f>Oportuno!R34</f>
        <v>0</v>
      </c>
      <c r="S34" s="215">
        <f>Oportuno!S34</f>
        <v>0</v>
      </c>
      <c r="T34" s="71">
        <f>Oportuno!T34</f>
        <v>0</v>
      </c>
      <c r="U34" s="71">
        <f>Oportuno!U34</f>
        <v>0</v>
      </c>
      <c r="V34" s="117">
        <f>Oportuno!V34</f>
        <v>0</v>
      </c>
      <c r="W34" s="117">
        <f>Oportuno!W34</f>
        <v>0</v>
      </c>
      <c r="X34" s="71">
        <f>Oportuno!X34</f>
        <v>0</v>
      </c>
      <c r="Y34" s="71">
        <f>Oportuno!Y34</f>
        <v>0</v>
      </c>
      <c r="AA34" s="65"/>
    </row>
    <row r="35" spans="2:27 16101:16120" ht="13" customHeight="1">
      <c r="B35" s="119">
        <f>Oportuno!B35</f>
        <v>0</v>
      </c>
      <c r="C35" s="23">
        <f>Oportuno!C35</f>
        <v>2026091</v>
      </c>
      <c r="D35" s="23">
        <f>Oportuno!D35</f>
        <v>1</v>
      </c>
      <c r="E35" s="128">
        <f>Oportuno!E35</f>
        <v>0</v>
      </c>
      <c r="F35" s="126" t="e">
        <f>Oportuno!F35</f>
        <v>#N/A</v>
      </c>
      <c r="G35" s="36">
        <f>Oportuno!G35</f>
        <v>1</v>
      </c>
      <c r="H35" s="126" t="str">
        <f>Oportuno!H35</f>
        <v>Oficinas</v>
      </c>
      <c r="I35" s="130">
        <f>Oportuno!I35</f>
        <v>0</v>
      </c>
      <c r="J35" s="174">
        <f>Oportuno!J35</f>
        <v>0</v>
      </c>
      <c r="K35" s="174">
        <f>Oportuno!K35</f>
        <v>0</v>
      </c>
      <c r="L35" s="174">
        <f>Oportuno!L35</f>
        <v>0</v>
      </c>
      <c r="M35" s="174">
        <f>Oportuno!M35</f>
        <v>0</v>
      </c>
      <c r="N35" s="174">
        <f>Oportuno!N35</f>
        <v>0</v>
      </c>
      <c r="O35" s="174">
        <f>Oportuno!O35</f>
        <v>0</v>
      </c>
      <c r="P35" s="174">
        <f>Oportuno!P35</f>
        <v>0</v>
      </c>
      <c r="Q35" s="174">
        <f>Oportuno!Q35</f>
        <v>0</v>
      </c>
      <c r="R35" s="174">
        <f>Oportuno!R35</f>
        <v>0</v>
      </c>
      <c r="S35" s="215">
        <f>Oportuno!S35</f>
        <v>0</v>
      </c>
      <c r="T35" s="71">
        <f>Oportuno!T35</f>
        <v>0</v>
      </c>
      <c r="U35" s="71">
        <f>Oportuno!U35</f>
        <v>0</v>
      </c>
      <c r="V35" s="117">
        <f>Oportuno!V35</f>
        <v>0</v>
      </c>
      <c r="W35" s="117">
        <f>Oportuno!W35</f>
        <v>0</v>
      </c>
      <c r="X35" s="71">
        <f>Oportuno!X35</f>
        <v>0</v>
      </c>
      <c r="Y35" s="71">
        <f>Oportuno!Y35</f>
        <v>0</v>
      </c>
      <c r="AA35" s="65"/>
    </row>
    <row r="36" spans="2:27 16101:16120" ht="13" customHeight="1">
      <c r="B36" s="119">
        <f>Oportuno!B36</f>
        <v>0</v>
      </c>
      <c r="C36" s="23">
        <f>Oportuno!C36</f>
        <v>2026091</v>
      </c>
      <c r="D36" s="23">
        <f>Oportuno!D36</f>
        <v>1</v>
      </c>
      <c r="E36" s="128">
        <f>Oportuno!E36</f>
        <v>0</v>
      </c>
      <c r="F36" s="126" t="e">
        <f>Oportuno!F36</f>
        <v>#N/A</v>
      </c>
      <c r="G36" s="36">
        <f>Oportuno!G36</f>
        <v>1</v>
      </c>
      <c r="H36" s="126" t="str">
        <f>Oportuno!H36</f>
        <v>Oficinas</v>
      </c>
      <c r="I36" s="130">
        <f>Oportuno!I36</f>
        <v>0</v>
      </c>
      <c r="J36" s="174">
        <f>Oportuno!J36</f>
        <v>0</v>
      </c>
      <c r="K36" s="174">
        <f>Oportuno!K36</f>
        <v>0</v>
      </c>
      <c r="L36" s="174">
        <f>Oportuno!L36</f>
        <v>0</v>
      </c>
      <c r="M36" s="174">
        <f>Oportuno!M36</f>
        <v>0</v>
      </c>
      <c r="N36" s="174">
        <f>Oportuno!N36</f>
        <v>0</v>
      </c>
      <c r="O36" s="174">
        <f>Oportuno!O36</f>
        <v>0</v>
      </c>
      <c r="P36" s="174">
        <f>Oportuno!P36</f>
        <v>0</v>
      </c>
      <c r="Q36" s="174">
        <f>Oportuno!Q36</f>
        <v>0</v>
      </c>
      <c r="R36" s="174">
        <f>Oportuno!R36</f>
        <v>0</v>
      </c>
      <c r="S36" s="215">
        <f>Oportuno!S36</f>
        <v>0</v>
      </c>
      <c r="T36" s="71">
        <f>Oportuno!T36</f>
        <v>0</v>
      </c>
      <c r="U36" s="71">
        <f>Oportuno!U36</f>
        <v>0</v>
      </c>
      <c r="V36" s="117">
        <f>Oportuno!V36</f>
        <v>0</v>
      </c>
      <c r="W36" s="117">
        <f>Oportuno!W36</f>
        <v>0</v>
      </c>
      <c r="X36" s="71">
        <f>Oportuno!X36</f>
        <v>0</v>
      </c>
      <c r="Y36" s="71">
        <f>Oportuno!Y36</f>
        <v>0</v>
      </c>
      <c r="AA36" s="65"/>
    </row>
    <row r="37" spans="2:27 16101:16120" ht="13" customHeight="1" thickBot="1">
      <c r="B37" s="119">
        <f>Oportuno!B37</f>
        <v>0</v>
      </c>
      <c r="C37" s="23">
        <f>Oportuno!C37</f>
        <v>2026091</v>
      </c>
      <c r="D37" s="23">
        <f>Oportuno!D37</f>
        <v>1</v>
      </c>
      <c r="E37" s="128">
        <f>Oportuno!E37</f>
        <v>0</v>
      </c>
      <c r="F37" s="126" t="e">
        <f>Oportuno!F37</f>
        <v>#N/A</v>
      </c>
      <c r="G37" s="36">
        <f>Oportuno!G37</f>
        <v>1</v>
      </c>
      <c r="H37" s="126" t="str">
        <f>Oportuno!H37</f>
        <v>Oficinas</v>
      </c>
      <c r="I37" s="130">
        <f>Oportuno!I37</f>
        <v>0</v>
      </c>
      <c r="J37" s="174">
        <f>Oportuno!J37</f>
        <v>0</v>
      </c>
      <c r="K37" s="174">
        <f>Oportuno!K37</f>
        <v>0</v>
      </c>
      <c r="L37" s="174">
        <f>Oportuno!L37</f>
        <v>0</v>
      </c>
      <c r="M37" s="174">
        <f>Oportuno!M37</f>
        <v>0</v>
      </c>
      <c r="N37" s="174">
        <f>Oportuno!N37</f>
        <v>0</v>
      </c>
      <c r="O37" s="174">
        <f>Oportuno!O37</f>
        <v>0</v>
      </c>
      <c r="P37" s="174">
        <f>Oportuno!P37</f>
        <v>0</v>
      </c>
      <c r="Q37" s="174">
        <f>Oportuno!Q37</f>
        <v>0</v>
      </c>
      <c r="R37" s="174">
        <f>Oportuno!R37</f>
        <v>0</v>
      </c>
      <c r="S37" s="215">
        <f>Oportuno!S37</f>
        <v>0</v>
      </c>
      <c r="T37" s="71">
        <f>Oportuno!T37</f>
        <v>0</v>
      </c>
      <c r="U37" s="71">
        <f>Oportuno!U37</f>
        <v>0</v>
      </c>
      <c r="V37" s="117">
        <f>Oportuno!V37</f>
        <v>0</v>
      </c>
      <c r="W37" s="117">
        <f>Oportuno!W37</f>
        <v>0</v>
      </c>
      <c r="X37" s="71">
        <f>Oportuno!X37</f>
        <v>0</v>
      </c>
      <c r="Y37" s="71">
        <f>Oportuno!Y37</f>
        <v>0</v>
      </c>
      <c r="AA37" s="65"/>
    </row>
    <row r="38" spans="2:27 16101:16120" ht="13" customHeight="1" thickBot="1">
      <c r="B38" s="1" t="s">
        <v>0</v>
      </c>
      <c r="C38" s="1" t="s">
        <v>0</v>
      </c>
      <c r="D38" s="20" t="s">
        <v>0</v>
      </c>
      <c r="E38" s="120" t="str">
        <f>Oportuno!E38</f>
        <v xml:space="preserve"> </v>
      </c>
      <c r="F38" s="121" t="str">
        <f>Oportuno!F38</f>
        <v>TOTAL RECAUDO</v>
      </c>
      <c r="G38" s="121" t="s">
        <v>0</v>
      </c>
      <c r="H38" s="121" t="s">
        <v>0</v>
      </c>
      <c r="I38" s="121" t="s">
        <v>0</v>
      </c>
      <c r="J38" s="122">
        <f>Oportuno!J38</f>
        <v>0</v>
      </c>
      <c r="K38" s="122">
        <f>Oportuno!K38</f>
        <v>0</v>
      </c>
      <c r="L38" s="122">
        <f>Oportuno!L38</f>
        <v>0</v>
      </c>
      <c r="M38" s="122">
        <f>Oportuno!M38</f>
        <v>0</v>
      </c>
      <c r="N38" s="122">
        <f>Oportuno!N38</f>
        <v>0</v>
      </c>
      <c r="O38" s="122">
        <f>Oportuno!O38</f>
        <v>0</v>
      </c>
      <c r="P38" s="122">
        <f>Oportuno!P38</f>
        <v>0</v>
      </c>
      <c r="Q38" s="122">
        <f>Oportuno!Q38</f>
        <v>0</v>
      </c>
      <c r="R38" s="122">
        <f>Oportuno!R38</f>
        <v>144</v>
      </c>
      <c r="S38" s="122">
        <f>Oportuno!S38</f>
        <v>6520660</v>
      </c>
      <c r="T38" s="122">
        <f>Oportuno!T38</f>
        <v>144</v>
      </c>
      <c r="U38" s="122">
        <f>Oportuno!U38</f>
        <v>6520660</v>
      </c>
      <c r="V38" s="123">
        <f>Oportuno!V38</f>
        <v>144</v>
      </c>
      <c r="W38" s="123">
        <f>Oportuno!W38</f>
        <v>6520660</v>
      </c>
      <c r="X38" s="122">
        <f>Oportuno!X38</f>
        <v>0</v>
      </c>
      <c r="Y38" s="123">
        <f>Oportuno!Y38</f>
        <v>0</v>
      </c>
      <c r="AA38" s="65"/>
    </row>
    <row r="39" spans="2:27 16101:16120" ht="13" customHeight="1" thickBot="1">
      <c r="AA39" s="65"/>
    </row>
    <row r="40" spans="2:27 16101:16120" ht="41.25" customHeight="1" thickBot="1">
      <c r="B40" s="112" t="s">
        <v>4</v>
      </c>
      <c r="C40" s="34" t="s">
        <v>6</v>
      </c>
      <c r="D40" s="34" t="s">
        <v>7</v>
      </c>
      <c r="E40" s="34" t="s">
        <v>49</v>
      </c>
      <c r="F40" s="34" t="s">
        <v>50</v>
      </c>
      <c r="G40" s="34" t="s">
        <v>51</v>
      </c>
      <c r="H40" s="34" t="s">
        <v>52</v>
      </c>
      <c r="I40" s="34" t="s">
        <v>13</v>
      </c>
      <c r="J40" s="231" t="s">
        <v>8</v>
      </c>
      <c r="K40" s="231" t="s">
        <v>36</v>
      </c>
      <c r="L40" s="12" t="s">
        <v>9</v>
      </c>
      <c r="M40" s="12" t="s">
        <v>37</v>
      </c>
      <c r="N40" s="87" t="s">
        <v>10</v>
      </c>
      <c r="O40" s="88" t="s">
        <v>38</v>
      </c>
      <c r="P40" s="87" t="s">
        <v>11</v>
      </c>
      <c r="Q40" s="88" t="s">
        <v>39</v>
      </c>
      <c r="R40" s="232" t="s">
        <v>12</v>
      </c>
      <c r="S40" s="233" t="s">
        <v>40</v>
      </c>
      <c r="T40" s="64" t="s">
        <v>41</v>
      </c>
      <c r="U40" s="64" t="s">
        <v>42</v>
      </c>
      <c r="V40" s="35" t="s">
        <v>32</v>
      </c>
      <c r="W40" s="67" t="s">
        <v>35</v>
      </c>
      <c r="X40" s="12" t="s">
        <v>34</v>
      </c>
      <c r="Y40" s="68" t="s">
        <v>33</v>
      </c>
      <c r="AA40" s="66"/>
      <c r="WUG40" s="1"/>
      <c r="WUH40" s="1"/>
      <c r="WUY40"/>
      <c r="WUZ40"/>
    </row>
    <row r="41" spans="2:27 16101:16120" ht="13" customHeight="1">
      <c r="B41" s="119" t="str">
        <f>Oportuno!B41</f>
        <v>3/09/2026</v>
      </c>
      <c r="C41" s="24">
        <f>Oportuno!C41</f>
        <v>2026091</v>
      </c>
      <c r="D41" s="24">
        <f>Oportuno!D41</f>
        <v>2</v>
      </c>
      <c r="E41" s="127">
        <f>Oportuno!E41</f>
        <v>20</v>
      </c>
      <c r="F41" s="125" t="str">
        <f>Oportuno!F41</f>
        <v>Bancolombia ENERBIT</v>
      </c>
      <c r="G41" s="18">
        <f>Oportuno!G41</f>
        <v>1</v>
      </c>
      <c r="H41" s="125" t="str">
        <f>Oportuno!H41</f>
        <v>Oficinas</v>
      </c>
      <c r="I41" s="129">
        <f>Oportuno!I41</f>
        <v>0</v>
      </c>
      <c r="J41" s="213">
        <f>Oportuno!J41</f>
        <v>0</v>
      </c>
      <c r="K41" s="213">
        <f>Oportuno!K41</f>
        <v>0</v>
      </c>
      <c r="L41" s="213">
        <f>Oportuno!L41</f>
        <v>0</v>
      </c>
      <c r="M41" s="213">
        <f>Oportuno!M41</f>
        <v>0</v>
      </c>
      <c r="N41" s="213">
        <f>Oportuno!N41</f>
        <v>0</v>
      </c>
      <c r="O41" s="213">
        <f>Oportuno!O41</f>
        <v>0</v>
      </c>
      <c r="P41" s="213">
        <f>Oportuno!P41</f>
        <v>0</v>
      </c>
      <c r="Q41" s="213">
        <f>Oportuno!Q41</f>
        <v>0</v>
      </c>
      <c r="R41" s="213">
        <f>Oportuno!R41</f>
        <v>515</v>
      </c>
      <c r="S41" s="214">
        <f>Oportuno!S41</f>
        <v>22706710</v>
      </c>
      <c r="T41" s="70">
        <f>Oportuno!T41</f>
        <v>515</v>
      </c>
      <c r="U41" s="70">
        <f>Oportuno!U41</f>
        <v>22706710</v>
      </c>
      <c r="V41" s="116">
        <f>Oportuno!V41</f>
        <v>515</v>
      </c>
      <c r="W41" s="116">
        <f>Oportuno!W41</f>
        <v>22706710</v>
      </c>
      <c r="X41" s="70">
        <f>Oportuno!X41</f>
        <v>0</v>
      </c>
      <c r="Y41" s="70">
        <f>Oportuno!Y41</f>
        <v>0</v>
      </c>
      <c r="AA41" s="65"/>
    </row>
    <row r="42" spans="2:27 16101:16120" ht="13" customHeight="1">
      <c r="B42" s="119">
        <f>Oportuno!B42</f>
        <v>0</v>
      </c>
      <c r="C42" s="23">
        <f>Oportuno!C42</f>
        <v>2026091</v>
      </c>
      <c r="D42" s="23">
        <f>Oportuno!D42</f>
        <v>2</v>
      </c>
      <c r="E42" s="128">
        <f>Oportuno!E42</f>
        <v>0</v>
      </c>
      <c r="F42" s="126" t="e">
        <f>Oportuno!F42</f>
        <v>#N/A</v>
      </c>
      <c r="G42" s="36">
        <f>Oportuno!G42</f>
        <v>1</v>
      </c>
      <c r="H42" s="126" t="str">
        <f>Oportuno!H42</f>
        <v>Oficinas</v>
      </c>
      <c r="I42" s="130">
        <f>Oportuno!I42</f>
        <v>0</v>
      </c>
      <c r="J42" s="174">
        <f>Oportuno!J42</f>
        <v>0</v>
      </c>
      <c r="K42" s="174">
        <f>Oportuno!K42</f>
        <v>0</v>
      </c>
      <c r="L42" s="174">
        <f>Oportuno!L42</f>
        <v>0</v>
      </c>
      <c r="M42" s="174">
        <f>Oportuno!M42</f>
        <v>0</v>
      </c>
      <c r="N42" s="174">
        <f>Oportuno!N42</f>
        <v>0</v>
      </c>
      <c r="O42" s="174">
        <f>Oportuno!O42</f>
        <v>0</v>
      </c>
      <c r="P42" s="174">
        <f>Oportuno!P42</f>
        <v>0</v>
      </c>
      <c r="Q42" s="174">
        <f>Oportuno!Q42</f>
        <v>0</v>
      </c>
      <c r="R42" s="174">
        <f>Oportuno!R42</f>
        <v>0</v>
      </c>
      <c r="S42" s="215">
        <f>Oportuno!S42</f>
        <v>0</v>
      </c>
      <c r="T42" s="71">
        <f>Oportuno!T42</f>
        <v>0</v>
      </c>
      <c r="U42" s="71">
        <f>Oportuno!U42</f>
        <v>0</v>
      </c>
      <c r="V42" s="117">
        <f>Oportuno!V42</f>
        <v>0</v>
      </c>
      <c r="W42" s="117">
        <f>Oportuno!W42</f>
        <v>0</v>
      </c>
      <c r="X42" s="71">
        <f>Oportuno!X42</f>
        <v>0</v>
      </c>
      <c r="Y42" s="71">
        <f>Oportuno!Y42</f>
        <v>0</v>
      </c>
      <c r="AA42" s="65"/>
    </row>
    <row r="43" spans="2:27 16101:16120" ht="13" customHeight="1">
      <c r="B43" s="119">
        <f>Oportuno!B43</f>
        <v>0</v>
      </c>
      <c r="C43" s="23">
        <f>Oportuno!C43</f>
        <v>2026091</v>
      </c>
      <c r="D43" s="23">
        <f>Oportuno!D43</f>
        <v>2</v>
      </c>
      <c r="E43" s="128">
        <f>Oportuno!E43</f>
        <v>0</v>
      </c>
      <c r="F43" s="126" t="e">
        <f>Oportuno!F43</f>
        <v>#N/A</v>
      </c>
      <c r="G43" s="36">
        <f>Oportuno!G43</f>
        <v>1</v>
      </c>
      <c r="H43" s="126" t="str">
        <f>Oportuno!H43</f>
        <v>Oficinas</v>
      </c>
      <c r="I43" s="130">
        <f>Oportuno!I43</f>
        <v>0</v>
      </c>
      <c r="J43" s="174">
        <f>Oportuno!J43</f>
        <v>0</v>
      </c>
      <c r="K43" s="174">
        <f>Oportuno!K43</f>
        <v>0</v>
      </c>
      <c r="L43" s="174">
        <f>Oportuno!L43</f>
        <v>0</v>
      </c>
      <c r="M43" s="174">
        <f>Oportuno!M43</f>
        <v>0</v>
      </c>
      <c r="N43" s="174">
        <f>Oportuno!N43</f>
        <v>0</v>
      </c>
      <c r="O43" s="174">
        <f>Oportuno!O43</f>
        <v>0</v>
      </c>
      <c r="P43" s="174">
        <f>Oportuno!P43</f>
        <v>0</v>
      </c>
      <c r="Q43" s="174">
        <f>Oportuno!Q43</f>
        <v>0</v>
      </c>
      <c r="R43" s="174">
        <f>Oportuno!R43</f>
        <v>0</v>
      </c>
      <c r="S43" s="215">
        <f>Oportuno!S43</f>
        <v>0</v>
      </c>
      <c r="T43" s="71">
        <f>Oportuno!T43</f>
        <v>0</v>
      </c>
      <c r="U43" s="71">
        <f>Oportuno!U43</f>
        <v>0</v>
      </c>
      <c r="V43" s="117">
        <f>Oportuno!V43</f>
        <v>0</v>
      </c>
      <c r="W43" s="117">
        <f>Oportuno!W43</f>
        <v>0</v>
      </c>
      <c r="X43" s="71">
        <f>Oportuno!X43</f>
        <v>0</v>
      </c>
      <c r="Y43" s="71">
        <f>Oportuno!Y43</f>
        <v>0</v>
      </c>
      <c r="AA43" s="65"/>
    </row>
    <row r="44" spans="2:27 16101:16120" ht="13" customHeight="1">
      <c r="B44" s="119">
        <f>Oportuno!B44</f>
        <v>0</v>
      </c>
      <c r="C44" s="23">
        <f>Oportuno!C44</f>
        <v>2026091</v>
      </c>
      <c r="D44" s="23">
        <f>Oportuno!D44</f>
        <v>2</v>
      </c>
      <c r="E44" s="128">
        <f>Oportuno!E44</f>
        <v>0</v>
      </c>
      <c r="F44" s="126" t="e">
        <f>Oportuno!F44</f>
        <v>#N/A</v>
      </c>
      <c r="G44" s="36">
        <f>Oportuno!G44</f>
        <v>1</v>
      </c>
      <c r="H44" s="126" t="str">
        <f>Oportuno!H44</f>
        <v>Oficinas</v>
      </c>
      <c r="I44" s="130">
        <f>Oportuno!I44</f>
        <v>0</v>
      </c>
      <c r="J44" s="174">
        <f>Oportuno!J44</f>
        <v>0</v>
      </c>
      <c r="K44" s="174">
        <f>Oportuno!K44</f>
        <v>0</v>
      </c>
      <c r="L44" s="174">
        <f>Oportuno!L44</f>
        <v>0</v>
      </c>
      <c r="M44" s="174">
        <f>Oportuno!M44</f>
        <v>0</v>
      </c>
      <c r="N44" s="174">
        <f>Oportuno!N44</f>
        <v>0</v>
      </c>
      <c r="O44" s="174">
        <f>Oportuno!O44</f>
        <v>0</v>
      </c>
      <c r="P44" s="174">
        <f>Oportuno!P44</f>
        <v>0</v>
      </c>
      <c r="Q44" s="174">
        <f>Oportuno!Q44</f>
        <v>0</v>
      </c>
      <c r="R44" s="174">
        <f>Oportuno!R44</f>
        <v>0</v>
      </c>
      <c r="S44" s="215">
        <f>Oportuno!S44</f>
        <v>0</v>
      </c>
      <c r="T44" s="71">
        <f>Oportuno!T44</f>
        <v>0</v>
      </c>
      <c r="U44" s="71">
        <f>Oportuno!U44</f>
        <v>0</v>
      </c>
      <c r="V44" s="117">
        <f>Oportuno!V44</f>
        <v>0</v>
      </c>
      <c r="W44" s="117">
        <f>Oportuno!W44</f>
        <v>0</v>
      </c>
      <c r="X44" s="71">
        <f>Oportuno!X44</f>
        <v>0</v>
      </c>
      <c r="Y44" s="71">
        <f>Oportuno!Y44</f>
        <v>0</v>
      </c>
      <c r="AA44" s="65"/>
    </row>
    <row r="45" spans="2:27 16101:16120" ht="13" customHeight="1">
      <c r="B45" s="119">
        <f>Oportuno!B45</f>
        <v>0</v>
      </c>
      <c r="C45" s="23">
        <f>Oportuno!C45</f>
        <v>2026091</v>
      </c>
      <c r="D45" s="23">
        <f>Oportuno!D45</f>
        <v>2</v>
      </c>
      <c r="E45" s="128">
        <f>Oportuno!E45</f>
        <v>0</v>
      </c>
      <c r="F45" s="126" t="e">
        <f>Oportuno!F45</f>
        <v>#N/A</v>
      </c>
      <c r="G45" s="36">
        <f>Oportuno!G45</f>
        <v>1</v>
      </c>
      <c r="H45" s="126" t="str">
        <f>Oportuno!H45</f>
        <v>Oficinas</v>
      </c>
      <c r="I45" s="130">
        <f>Oportuno!I45</f>
        <v>0</v>
      </c>
      <c r="J45" s="174">
        <f>Oportuno!J45</f>
        <v>0</v>
      </c>
      <c r="K45" s="174">
        <f>Oportuno!K45</f>
        <v>0</v>
      </c>
      <c r="L45" s="174">
        <f>Oportuno!L45</f>
        <v>0</v>
      </c>
      <c r="M45" s="174">
        <f>Oportuno!M45</f>
        <v>0</v>
      </c>
      <c r="N45" s="174">
        <f>Oportuno!N45</f>
        <v>0</v>
      </c>
      <c r="O45" s="174">
        <f>Oportuno!O45</f>
        <v>0</v>
      </c>
      <c r="P45" s="174">
        <f>Oportuno!P45</f>
        <v>0</v>
      </c>
      <c r="Q45" s="174">
        <f>Oportuno!Q45</f>
        <v>0</v>
      </c>
      <c r="R45" s="174">
        <f>Oportuno!R45</f>
        <v>0</v>
      </c>
      <c r="S45" s="215">
        <f>Oportuno!S45</f>
        <v>0</v>
      </c>
      <c r="T45" s="71">
        <f>Oportuno!T45</f>
        <v>0</v>
      </c>
      <c r="U45" s="71">
        <f>Oportuno!U45</f>
        <v>0</v>
      </c>
      <c r="V45" s="117">
        <f>Oportuno!V45</f>
        <v>0</v>
      </c>
      <c r="W45" s="117">
        <f>Oportuno!W45</f>
        <v>0</v>
      </c>
      <c r="X45" s="71">
        <f>Oportuno!X45</f>
        <v>0</v>
      </c>
      <c r="Y45" s="71">
        <f>Oportuno!Y45</f>
        <v>0</v>
      </c>
      <c r="AA45" s="65"/>
    </row>
    <row r="46" spans="2:27 16101:16120" ht="13" customHeight="1">
      <c r="B46" s="119">
        <f>Oportuno!B46</f>
        <v>0</v>
      </c>
      <c r="C46" s="23">
        <f>Oportuno!C46</f>
        <v>2026091</v>
      </c>
      <c r="D46" s="23">
        <f>Oportuno!D46</f>
        <v>2</v>
      </c>
      <c r="E46" s="128">
        <f>Oportuno!E46</f>
        <v>0</v>
      </c>
      <c r="F46" s="126" t="e">
        <f>Oportuno!F46</f>
        <v>#N/A</v>
      </c>
      <c r="G46" s="36">
        <f>Oportuno!G46</f>
        <v>1</v>
      </c>
      <c r="H46" s="126" t="str">
        <f>Oportuno!H46</f>
        <v>Oficinas</v>
      </c>
      <c r="I46" s="130">
        <f>Oportuno!I46</f>
        <v>0</v>
      </c>
      <c r="J46" s="174">
        <f>Oportuno!J46</f>
        <v>0</v>
      </c>
      <c r="K46" s="174">
        <f>Oportuno!K46</f>
        <v>0</v>
      </c>
      <c r="L46" s="174">
        <f>Oportuno!L46</f>
        <v>0</v>
      </c>
      <c r="M46" s="174">
        <f>Oportuno!M46</f>
        <v>0</v>
      </c>
      <c r="N46" s="174">
        <f>Oportuno!N46</f>
        <v>0</v>
      </c>
      <c r="O46" s="174">
        <f>Oportuno!O46</f>
        <v>0</v>
      </c>
      <c r="P46" s="174">
        <f>Oportuno!P46</f>
        <v>0</v>
      </c>
      <c r="Q46" s="174">
        <f>Oportuno!Q46</f>
        <v>0</v>
      </c>
      <c r="R46" s="174">
        <f>Oportuno!R46</f>
        <v>0</v>
      </c>
      <c r="S46" s="215">
        <f>Oportuno!S46</f>
        <v>0</v>
      </c>
      <c r="T46" s="71">
        <f>Oportuno!T46</f>
        <v>0</v>
      </c>
      <c r="U46" s="71">
        <f>Oportuno!U46</f>
        <v>0</v>
      </c>
      <c r="V46" s="117">
        <f>Oportuno!V46</f>
        <v>0</v>
      </c>
      <c r="W46" s="117">
        <f>Oportuno!W46</f>
        <v>0</v>
      </c>
      <c r="X46" s="71">
        <f>Oportuno!X46</f>
        <v>0</v>
      </c>
      <c r="Y46" s="71">
        <f>Oportuno!Y46</f>
        <v>0</v>
      </c>
      <c r="AA46" s="65"/>
    </row>
    <row r="47" spans="2:27 16101:16120" ht="13" customHeight="1">
      <c r="B47" s="119">
        <f>Oportuno!B47</f>
        <v>0</v>
      </c>
      <c r="C47" s="23">
        <f>Oportuno!C47</f>
        <v>2026091</v>
      </c>
      <c r="D47" s="23">
        <f>Oportuno!D47</f>
        <v>2</v>
      </c>
      <c r="E47" s="128">
        <f>Oportuno!E47</f>
        <v>0</v>
      </c>
      <c r="F47" s="126" t="e">
        <f>Oportuno!F47</f>
        <v>#N/A</v>
      </c>
      <c r="G47" s="36">
        <f>Oportuno!G47</f>
        <v>1</v>
      </c>
      <c r="H47" s="126" t="str">
        <f>Oportuno!H47</f>
        <v>Oficinas</v>
      </c>
      <c r="I47" s="130">
        <f>Oportuno!I47</f>
        <v>0</v>
      </c>
      <c r="J47" s="174">
        <f>Oportuno!J47</f>
        <v>0</v>
      </c>
      <c r="K47" s="174">
        <f>Oportuno!K47</f>
        <v>0</v>
      </c>
      <c r="L47" s="174">
        <f>Oportuno!L47</f>
        <v>0</v>
      </c>
      <c r="M47" s="174">
        <f>Oportuno!M47</f>
        <v>0</v>
      </c>
      <c r="N47" s="174">
        <f>Oportuno!N47</f>
        <v>0</v>
      </c>
      <c r="O47" s="174">
        <f>Oportuno!O47</f>
        <v>0</v>
      </c>
      <c r="P47" s="174">
        <f>Oportuno!P47</f>
        <v>0</v>
      </c>
      <c r="Q47" s="174">
        <f>Oportuno!Q47</f>
        <v>0</v>
      </c>
      <c r="R47" s="174">
        <f>Oportuno!R47</f>
        <v>0</v>
      </c>
      <c r="S47" s="215">
        <f>Oportuno!S47</f>
        <v>0</v>
      </c>
      <c r="T47" s="71">
        <f>Oportuno!T47</f>
        <v>0</v>
      </c>
      <c r="U47" s="71">
        <f>Oportuno!U47</f>
        <v>0</v>
      </c>
      <c r="V47" s="117">
        <f>Oportuno!V47</f>
        <v>0</v>
      </c>
      <c r="W47" s="117">
        <f>Oportuno!W47</f>
        <v>0</v>
      </c>
      <c r="X47" s="71">
        <f>Oportuno!X47</f>
        <v>0</v>
      </c>
      <c r="Y47" s="71">
        <f>Oportuno!Y47</f>
        <v>0</v>
      </c>
      <c r="AA47" s="65"/>
    </row>
    <row r="48" spans="2:27 16101:16120" ht="13" customHeight="1">
      <c r="B48" s="119">
        <f>Oportuno!B48</f>
        <v>0</v>
      </c>
      <c r="C48" s="23">
        <f>Oportuno!C48</f>
        <v>2026091</v>
      </c>
      <c r="D48" s="23">
        <f>Oportuno!D48</f>
        <v>2</v>
      </c>
      <c r="E48" s="128">
        <f>Oportuno!E48</f>
        <v>0</v>
      </c>
      <c r="F48" s="126" t="e">
        <f>Oportuno!F48</f>
        <v>#N/A</v>
      </c>
      <c r="G48" s="36">
        <f>Oportuno!G48</f>
        <v>1</v>
      </c>
      <c r="H48" s="126" t="str">
        <f>Oportuno!H48</f>
        <v>Oficinas</v>
      </c>
      <c r="I48" s="130">
        <f>Oportuno!I48</f>
        <v>0</v>
      </c>
      <c r="J48" s="174">
        <f>Oportuno!J48</f>
        <v>0</v>
      </c>
      <c r="K48" s="174">
        <f>Oportuno!K48</f>
        <v>0</v>
      </c>
      <c r="L48" s="174">
        <f>Oportuno!L48</f>
        <v>0</v>
      </c>
      <c r="M48" s="174">
        <f>Oportuno!M48</f>
        <v>0</v>
      </c>
      <c r="N48" s="174">
        <f>Oportuno!N48</f>
        <v>0</v>
      </c>
      <c r="O48" s="174">
        <f>Oportuno!O48</f>
        <v>0</v>
      </c>
      <c r="P48" s="174">
        <f>Oportuno!P48</f>
        <v>0</v>
      </c>
      <c r="Q48" s="174">
        <f>Oportuno!Q48</f>
        <v>0</v>
      </c>
      <c r="R48" s="174">
        <f>Oportuno!R48</f>
        <v>0</v>
      </c>
      <c r="S48" s="215">
        <f>Oportuno!S48</f>
        <v>0</v>
      </c>
      <c r="T48" s="71">
        <f>Oportuno!T48</f>
        <v>0</v>
      </c>
      <c r="U48" s="71">
        <f>Oportuno!U48</f>
        <v>0</v>
      </c>
      <c r="V48" s="117">
        <f>Oportuno!V48</f>
        <v>0</v>
      </c>
      <c r="W48" s="117">
        <f>Oportuno!W48</f>
        <v>0</v>
      </c>
      <c r="X48" s="71">
        <f>Oportuno!X48</f>
        <v>0</v>
      </c>
      <c r="Y48" s="71">
        <f>Oportuno!Y48</f>
        <v>0</v>
      </c>
      <c r="AA48" s="65"/>
    </row>
    <row r="49" spans="2:27" ht="13" customHeight="1">
      <c r="B49" s="119">
        <f>Oportuno!B49</f>
        <v>0</v>
      </c>
      <c r="C49" s="23">
        <f>Oportuno!C49</f>
        <v>2026091</v>
      </c>
      <c r="D49" s="23">
        <f>Oportuno!D49</f>
        <v>2</v>
      </c>
      <c r="E49" s="128">
        <f>Oportuno!E49</f>
        <v>0</v>
      </c>
      <c r="F49" s="126" t="e">
        <f>Oportuno!F49</f>
        <v>#N/A</v>
      </c>
      <c r="G49" s="36">
        <f>Oportuno!G49</f>
        <v>1</v>
      </c>
      <c r="H49" s="126" t="str">
        <f>Oportuno!H49</f>
        <v>Oficinas</v>
      </c>
      <c r="I49" s="130">
        <f>Oportuno!I49</f>
        <v>0</v>
      </c>
      <c r="J49" s="174">
        <f>Oportuno!J49</f>
        <v>0</v>
      </c>
      <c r="K49" s="174">
        <f>Oportuno!K49</f>
        <v>0</v>
      </c>
      <c r="L49" s="174">
        <f>Oportuno!L49</f>
        <v>0</v>
      </c>
      <c r="M49" s="174">
        <f>Oportuno!M49</f>
        <v>0</v>
      </c>
      <c r="N49" s="174">
        <f>Oportuno!N49</f>
        <v>0</v>
      </c>
      <c r="O49" s="174">
        <f>Oportuno!O49</f>
        <v>0</v>
      </c>
      <c r="P49" s="174">
        <f>Oportuno!P49</f>
        <v>0</v>
      </c>
      <c r="Q49" s="174">
        <f>Oportuno!Q49</f>
        <v>0</v>
      </c>
      <c r="R49" s="174">
        <f>Oportuno!R49</f>
        <v>0</v>
      </c>
      <c r="S49" s="215">
        <f>Oportuno!S49</f>
        <v>0</v>
      </c>
      <c r="T49" s="71">
        <f>Oportuno!T49</f>
        <v>0</v>
      </c>
      <c r="U49" s="71">
        <f>Oportuno!U49</f>
        <v>0</v>
      </c>
      <c r="V49" s="117">
        <f>Oportuno!V49</f>
        <v>0</v>
      </c>
      <c r="W49" s="117">
        <f>Oportuno!W49</f>
        <v>0</v>
      </c>
      <c r="X49" s="71">
        <f>Oportuno!X49</f>
        <v>0</v>
      </c>
      <c r="Y49" s="71">
        <f>Oportuno!Y49</f>
        <v>0</v>
      </c>
      <c r="AA49" s="65"/>
    </row>
    <row r="50" spans="2:27" ht="13" customHeight="1">
      <c r="B50" s="119">
        <f>Oportuno!B50</f>
        <v>0</v>
      </c>
      <c r="C50" s="23">
        <f>Oportuno!C50</f>
        <v>2026091</v>
      </c>
      <c r="D50" s="23">
        <f>Oportuno!D50</f>
        <v>2</v>
      </c>
      <c r="E50" s="128">
        <f>Oportuno!E50</f>
        <v>0</v>
      </c>
      <c r="F50" s="126" t="e">
        <f>Oportuno!F50</f>
        <v>#N/A</v>
      </c>
      <c r="G50" s="36">
        <f>Oportuno!G50</f>
        <v>1</v>
      </c>
      <c r="H50" s="126" t="str">
        <f>Oportuno!H50</f>
        <v>Oficinas</v>
      </c>
      <c r="I50" s="130">
        <f>Oportuno!I50</f>
        <v>0</v>
      </c>
      <c r="J50" s="174">
        <f>Oportuno!J50</f>
        <v>0</v>
      </c>
      <c r="K50" s="174">
        <f>Oportuno!K50</f>
        <v>0</v>
      </c>
      <c r="L50" s="174">
        <f>Oportuno!L50</f>
        <v>0</v>
      </c>
      <c r="M50" s="174">
        <f>Oportuno!M50</f>
        <v>0</v>
      </c>
      <c r="N50" s="174">
        <f>Oportuno!N50</f>
        <v>0</v>
      </c>
      <c r="O50" s="174">
        <f>Oportuno!O50</f>
        <v>0</v>
      </c>
      <c r="P50" s="174">
        <f>Oportuno!P50</f>
        <v>0</v>
      </c>
      <c r="Q50" s="174">
        <f>Oportuno!Q50</f>
        <v>0</v>
      </c>
      <c r="R50" s="174">
        <f>Oportuno!R50</f>
        <v>0</v>
      </c>
      <c r="S50" s="215">
        <f>Oportuno!S50</f>
        <v>0</v>
      </c>
      <c r="T50" s="71">
        <f>Oportuno!T50</f>
        <v>0</v>
      </c>
      <c r="U50" s="71">
        <f>Oportuno!U50</f>
        <v>0</v>
      </c>
      <c r="V50" s="117">
        <f>Oportuno!V50</f>
        <v>0</v>
      </c>
      <c r="W50" s="117">
        <f>Oportuno!W50</f>
        <v>0</v>
      </c>
      <c r="X50" s="71">
        <f>Oportuno!X50</f>
        <v>0</v>
      </c>
      <c r="Y50" s="71">
        <f>Oportuno!Y50</f>
        <v>0</v>
      </c>
      <c r="AA50" s="65"/>
    </row>
    <row r="51" spans="2:27" ht="13" customHeight="1">
      <c r="B51" s="119">
        <f>Oportuno!B51</f>
        <v>0</v>
      </c>
      <c r="C51" s="23">
        <f>Oportuno!C51</f>
        <v>2026091</v>
      </c>
      <c r="D51" s="23">
        <f>Oportuno!D51</f>
        <v>2</v>
      </c>
      <c r="E51" s="128">
        <f>Oportuno!E51</f>
        <v>0</v>
      </c>
      <c r="F51" s="126" t="e">
        <f>Oportuno!F51</f>
        <v>#N/A</v>
      </c>
      <c r="G51" s="36">
        <f>Oportuno!G51</f>
        <v>1</v>
      </c>
      <c r="H51" s="126" t="str">
        <f>Oportuno!H51</f>
        <v>Oficinas</v>
      </c>
      <c r="I51" s="130">
        <f>Oportuno!I51</f>
        <v>0</v>
      </c>
      <c r="J51" s="174">
        <f>Oportuno!J51</f>
        <v>0</v>
      </c>
      <c r="K51" s="174">
        <f>Oportuno!K51</f>
        <v>0</v>
      </c>
      <c r="L51" s="174">
        <f>Oportuno!L51</f>
        <v>0</v>
      </c>
      <c r="M51" s="174">
        <f>Oportuno!M51</f>
        <v>0</v>
      </c>
      <c r="N51" s="174">
        <f>Oportuno!N51</f>
        <v>0</v>
      </c>
      <c r="O51" s="174">
        <f>Oportuno!O51</f>
        <v>0</v>
      </c>
      <c r="P51" s="174">
        <f>Oportuno!P51</f>
        <v>0</v>
      </c>
      <c r="Q51" s="174">
        <f>Oportuno!Q51</f>
        <v>0</v>
      </c>
      <c r="R51" s="174">
        <f>Oportuno!R51</f>
        <v>0</v>
      </c>
      <c r="S51" s="215">
        <f>Oportuno!S51</f>
        <v>0</v>
      </c>
      <c r="T51" s="71">
        <f>Oportuno!T51</f>
        <v>0</v>
      </c>
      <c r="U51" s="71">
        <f>Oportuno!U51</f>
        <v>0</v>
      </c>
      <c r="V51" s="117">
        <f>Oportuno!V51</f>
        <v>0</v>
      </c>
      <c r="W51" s="117">
        <f>Oportuno!W51</f>
        <v>0</v>
      </c>
      <c r="X51" s="71">
        <f>Oportuno!X51</f>
        <v>0</v>
      </c>
      <c r="Y51" s="71">
        <f>Oportuno!Y51</f>
        <v>0</v>
      </c>
      <c r="AA51" s="65"/>
    </row>
    <row r="52" spans="2:27" ht="13" customHeight="1">
      <c r="B52" s="119">
        <f>Oportuno!B52</f>
        <v>0</v>
      </c>
      <c r="C52" s="23">
        <f>Oportuno!C52</f>
        <v>2026091</v>
      </c>
      <c r="D52" s="23">
        <f>Oportuno!D52</f>
        <v>2</v>
      </c>
      <c r="E52" s="128">
        <f>Oportuno!E52</f>
        <v>0</v>
      </c>
      <c r="F52" s="126" t="e">
        <f>Oportuno!F52</f>
        <v>#N/A</v>
      </c>
      <c r="G52" s="36">
        <f>Oportuno!G52</f>
        <v>1</v>
      </c>
      <c r="H52" s="126" t="str">
        <f>Oportuno!H52</f>
        <v>Oficinas</v>
      </c>
      <c r="I52" s="130">
        <f>Oportuno!I52</f>
        <v>0</v>
      </c>
      <c r="J52" s="174">
        <f>Oportuno!J52</f>
        <v>0</v>
      </c>
      <c r="K52" s="174">
        <f>Oportuno!K52</f>
        <v>0</v>
      </c>
      <c r="L52" s="174">
        <f>Oportuno!L52</f>
        <v>0</v>
      </c>
      <c r="M52" s="174">
        <f>Oportuno!M52</f>
        <v>0</v>
      </c>
      <c r="N52" s="174">
        <f>Oportuno!N52</f>
        <v>0</v>
      </c>
      <c r="O52" s="174">
        <f>Oportuno!O52</f>
        <v>0</v>
      </c>
      <c r="P52" s="174">
        <f>Oportuno!P52</f>
        <v>0</v>
      </c>
      <c r="Q52" s="174">
        <f>Oportuno!Q52</f>
        <v>0</v>
      </c>
      <c r="R52" s="174">
        <f>Oportuno!R52</f>
        <v>0</v>
      </c>
      <c r="S52" s="215">
        <f>Oportuno!S52</f>
        <v>0</v>
      </c>
      <c r="T52" s="71">
        <f>Oportuno!T52</f>
        <v>0</v>
      </c>
      <c r="U52" s="71">
        <f>Oportuno!U52</f>
        <v>0</v>
      </c>
      <c r="V52" s="117">
        <f>Oportuno!V52</f>
        <v>0</v>
      </c>
      <c r="W52" s="117">
        <f>Oportuno!W52</f>
        <v>0</v>
      </c>
      <c r="X52" s="71">
        <f>Oportuno!X52</f>
        <v>0</v>
      </c>
      <c r="Y52" s="71">
        <f>Oportuno!Y52</f>
        <v>0</v>
      </c>
      <c r="AA52" s="65"/>
    </row>
    <row r="53" spans="2:27" ht="13" customHeight="1">
      <c r="B53" s="119">
        <f>Oportuno!B53</f>
        <v>0</v>
      </c>
      <c r="C53" s="23">
        <f>Oportuno!C53</f>
        <v>2026091</v>
      </c>
      <c r="D53" s="23">
        <f>Oportuno!D53</f>
        <v>2</v>
      </c>
      <c r="E53" s="128">
        <f>Oportuno!E53</f>
        <v>0</v>
      </c>
      <c r="F53" s="126" t="e">
        <f>Oportuno!F53</f>
        <v>#N/A</v>
      </c>
      <c r="G53" s="36">
        <f>Oportuno!G53</f>
        <v>1</v>
      </c>
      <c r="H53" s="126" t="str">
        <f>Oportuno!H53</f>
        <v>Oficinas</v>
      </c>
      <c r="I53" s="130">
        <f>Oportuno!I53</f>
        <v>0</v>
      </c>
      <c r="J53" s="174">
        <f>Oportuno!J53</f>
        <v>0</v>
      </c>
      <c r="K53" s="174">
        <f>Oportuno!K53</f>
        <v>0</v>
      </c>
      <c r="L53" s="174">
        <f>Oportuno!L53</f>
        <v>0</v>
      </c>
      <c r="M53" s="174">
        <f>Oportuno!M53</f>
        <v>0</v>
      </c>
      <c r="N53" s="174">
        <f>Oportuno!N53</f>
        <v>0</v>
      </c>
      <c r="O53" s="174">
        <f>Oportuno!O53</f>
        <v>0</v>
      </c>
      <c r="P53" s="174">
        <f>Oportuno!P53</f>
        <v>0</v>
      </c>
      <c r="Q53" s="174">
        <f>Oportuno!Q53</f>
        <v>0</v>
      </c>
      <c r="R53" s="174">
        <f>Oportuno!R53</f>
        <v>0</v>
      </c>
      <c r="S53" s="215">
        <f>Oportuno!S53</f>
        <v>0</v>
      </c>
      <c r="T53" s="71">
        <f>Oportuno!T53</f>
        <v>0</v>
      </c>
      <c r="U53" s="71">
        <f>Oportuno!U53</f>
        <v>0</v>
      </c>
      <c r="V53" s="117">
        <f>Oportuno!V53</f>
        <v>0</v>
      </c>
      <c r="W53" s="117">
        <f>Oportuno!W53</f>
        <v>0</v>
      </c>
      <c r="X53" s="71">
        <f>Oportuno!X53</f>
        <v>0</v>
      </c>
      <c r="Y53" s="71">
        <f>Oportuno!Y53</f>
        <v>0</v>
      </c>
      <c r="AA53" s="65"/>
    </row>
    <row r="54" spans="2:27" ht="13" customHeight="1">
      <c r="B54" s="119">
        <f>Oportuno!B54</f>
        <v>0</v>
      </c>
      <c r="C54" s="23">
        <f>Oportuno!C54</f>
        <v>2026091</v>
      </c>
      <c r="D54" s="23">
        <f>Oportuno!D54</f>
        <v>2</v>
      </c>
      <c r="E54" s="128">
        <f>Oportuno!E54</f>
        <v>0</v>
      </c>
      <c r="F54" s="126" t="e">
        <f>Oportuno!F54</f>
        <v>#N/A</v>
      </c>
      <c r="G54" s="36">
        <f>Oportuno!G54</f>
        <v>1</v>
      </c>
      <c r="H54" s="126" t="str">
        <f>Oportuno!H54</f>
        <v>Oficinas</v>
      </c>
      <c r="I54" s="130">
        <f>Oportuno!I54</f>
        <v>0</v>
      </c>
      <c r="J54" s="174">
        <f>Oportuno!J54</f>
        <v>0</v>
      </c>
      <c r="K54" s="174">
        <f>Oportuno!K54</f>
        <v>0</v>
      </c>
      <c r="L54" s="174">
        <f>Oportuno!L54</f>
        <v>0</v>
      </c>
      <c r="M54" s="174">
        <f>Oportuno!M54</f>
        <v>0</v>
      </c>
      <c r="N54" s="174">
        <f>Oportuno!N54</f>
        <v>0</v>
      </c>
      <c r="O54" s="174">
        <f>Oportuno!O54</f>
        <v>0</v>
      </c>
      <c r="P54" s="174">
        <f>Oportuno!P54</f>
        <v>0</v>
      </c>
      <c r="Q54" s="174">
        <f>Oportuno!Q54</f>
        <v>0</v>
      </c>
      <c r="R54" s="174">
        <f>Oportuno!R54</f>
        <v>0</v>
      </c>
      <c r="S54" s="215">
        <f>Oportuno!S54</f>
        <v>0</v>
      </c>
      <c r="T54" s="71">
        <f>Oportuno!T54</f>
        <v>0</v>
      </c>
      <c r="U54" s="71">
        <f>Oportuno!U54</f>
        <v>0</v>
      </c>
      <c r="V54" s="117">
        <f>Oportuno!V54</f>
        <v>0</v>
      </c>
      <c r="W54" s="117">
        <f>Oportuno!W54</f>
        <v>0</v>
      </c>
      <c r="X54" s="71">
        <f>Oportuno!X54</f>
        <v>0</v>
      </c>
      <c r="Y54" s="71">
        <f>Oportuno!Y54</f>
        <v>0</v>
      </c>
      <c r="AA54" s="65"/>
    </row>
    <row r="55" spans="2:27" ht="13" customHeight="1">
      <c r="B55" s="119">
        <f>Oportuno!B55</f>
        <v>0</v>
      </c>
      <c r="C55" s="23">
        <f>Oportuno!C55</f>
        <v>2026091</v>
      </c>
      <c r="D55" s="23">
        <f>Oportuno!D55</f>
        <v>2</v>
      </c>
      <c r="E55" s="128">
        <f>Oportuno!E55</f>
        <v>0</v>
      </c>
      <c r="F55" s="126" t="e">
        <f>Oportuno!F55</f>
        <v>#N/A</v>
      </c>
      <c r="G55" s="36">
        <f>Oportuno!G55</f>
        <v>1</v>
      </c>
      <c r="H55" s="126" t="str">
        <f>Oportuno!H55</f>
        <v>Oficinas</v>
      </c>
      <c r="I55" s="130">
        <f>Oportuno!I55</f>
        <v>0</v>
      </c>
      <c r="J55" s="174">
        <f>Oportuno!J55</f>
        <v>0</v>
      </c>
      <c r="K55" s="174">
        <f>Oportuno!K55</f>
        <v>0</v>
      </c>
      <c r="L55" s="174">
        <f>Oportuno!L55</f>
        <v>0</v>
      </c>
      <c r="M55" s="174">
        <f>Oportuno!M55</f>
        <v>0</v>
      </c>
      <c r="N55" s="174">
        <f>Oportuno!N55</f>
        <v>0</v>
      </c>
      <c r="O55" s="174">
        <f>Oportuno!O55</f>
        <v>0</v>
      </c>
      <c r="P55" s="174">
        <f>Oportuno!P55</f>
        <v>0</v>
      </c>
      <c r="Q55" s="174">
        <f>Oportuno!Q55</f>
        <v>0</v>
      </c>
      <c r="R55" s="174">
        <f>Oportuno!R55</f>
        <v>0</v>
      </c>
      <c r="S55" s="215">
        <f>Oportuno!S55</f>
        <v>0</v>
      </c>
      <c r="T55" s="71">
        <f>Oportuno!T55</f>
        <v>0</v>
      </c>
      <c r="U55" s="71">
        <f>Oportuno!U55</f>
        <v>0</v>
      </c>
      <c r="V55" s="117">
        <f>Oportuno!V55</f>
        <v>0</v>
      </c>
      <c r="W55" s="117">
        <f>Oportuno!W55</f>
        <v>0</v>
      </c>
      <c r="X55" s="71">
        <f>Oportuno!X55</f>
        <v>0</v>
      </c>
      <c r="Y55" s="71">
        <f>Oportuno!Y55</f>
        <v>0</v>
      </c>
      <c r="AA55" s="65"/>
    </row>
    <row r="56" spans="2:27" ht="12" customHeight="1">
      <c r="B56" s="119">
        <f>Oportuno!B56</f>
        <v>0</v>
      </c>
      <c r="C56" s="23">
        <f>Oportuno!C56</f>
        <v>2026091</v>
      </c>
      <c r="D56" s="23">
        <f>Oportuno!D56</f>
        <v>2</v>
      </c>
      <c r="E56" s="128">
        <f>Oportuno!E56</f>
        <v>0</v>
      </c>
      <c r="F56" s="126" t="e">
        <f>Oportuno!F56</f>
        <v>#N/A</v>
      </c>
      <c r="G56" s="36">
        <f>Oportuno!G56</f>
        <v>1</v>
      </c>
      <c r="H56" s="126" t="str">
        <f>Oportuno!H56</f>
        <v>Oficinas</v>
      </c>
      <c r="I56" s="130">
        <f>Oportuno!I56</f>
        <v>0</v>
      </c>
      <c r="J56" s="174">
        <f>Oportuno!J56</f>
        <v>0</v>
      </c>
      <c r="K56" s="174">
        <f>Oportuno!K56</f>
        <v>0</v>
      </c>
      <c r="L56" s="174">
        <f>Oportuno!L56</f>
        <v>0</v>
      </c>
      <c r="M56" s="174">
        <f>Oportuno!M56</f>
        <v>0</v>
      </c>
      <c r="N56" s="174">
        <f>Oportuno!N56</f>
        <v>0</v>
      </c>
      <c r="O56" s="174">
        <f>Oportuno!O56</f>
        <v>0</v>
      </c>
      <c r="P56" s="174">
        <f>Oportuno!P56</f>
        <v>0</v>
      </c>
      <c r="Q56" s="174">
        <f>Oportuno!Q56</f>
        <v>0</v>
      </c>
      <c r="R56" s="174">
        <f>Oportuno!R56</f>
        <v>0</v>
      </c>
      <c r="S56" s="215">
        <f>Oportuno!S56</f>
        <v>0</v>
      </c>
      <c r="T56" s="71">
        <f>Oportuno!T56</f>
        <v>0</v>
      </c>
      <c r="U56" s="71">
        <f>Oportuno!U56</f>
        <v>0</v>
      </c>
      <c r="V56" s="117">
        <f>Oportuno!V56</f>
        <v>0</v>
      </c>
      <c r="W56" s="117">
        <f>Oportuno!W56</f>
        <v>0</v>
      </c>
      <c r="X56" s="71">
        <f>Oportuno!X56</f>
        <v>0</v>
      </c>
      <c r="Y56" s="71">
        <f>Oportuno!Y56</f>
        <v>0</v>
      </c>
      <c r="AA56" s="65"/>
    </row>
    <row r="57" spans="2:27" ht="13" customHeight="1">
      <c r="B57" s="119">
        <f>Oportuno!B57</f>
        <v>0</v>
      </c>
      <c r="C57" s="23">
        <f>Oportuno!C57</f>
        <v>2026091</v>
      </c>
      <c r="D57" s="23">
        <f>Oportuno!D57</f>
        <v>2</v>
      </c>
      <c r="E57" s="128">
        <f>Oportuno!E57</f>
        <v>0</v>
      </c>
      <c r="F57" s="126" t="e">
        <f>Oportuno!F57</f>
        <v>#N/A</v>
      </c>
      <c r="G57" s="36">
        <f>Oportuno!G57</f>
        <v>1</v>
      </c>
      <c r="H57" s="126" t="str">
        <f>Oportuno!H57</f>
        <v>Oficinas</v>
      </c>
      <c r="I57" s="130">
        <f>Oportuno!I57</f>
        <v>0</v>
      </c>
      <c r="J57" s="174">
        <f>Oportuno!J57</f>
        <v>0</v>
      </c>
      <c r="K57" s="174">
        <f>Oportuno!K57</f>
        <v>0</v>
      </c>
      <c r="L57" s="174">
        <f>Oportuno!L57</f>
        <v>0</v>
      </c>
      <c r="M57" s="174">
        <f>Oportuno!M57</f>
        <v>0</v>
      </c>
      <c r="N57" s="174">
        <f>Oportuno!N57</f>
        <v>0</v>
      </c>
      <c r="O57" s="174">
        <f>Oportuno!O57</f>
        <v>0</v>
      </c>
      <c r="P57" s="174">
        <f>Oportuno!P57</f>
        <v>0</v>
      </c>
      <c r="Q57" s="174">
        <f>Oportuno!Q57</f>
        <v>0</v>
      </c>
      <c r="R57" s="174">
        <f>Oportuno!R57</f>
        <v>0</v>
      </c>
      <c r="S57" s="215">
        <f>Oportuno!S57</f>
        <v>0</v>
      </c>
      <c r="T57" s="71">
        <f>Oportuno!T57</f>
        <v>0</v>
      </c>
      <c r="U57" s="71">
        <f>Oportuno!U57</f>
        <v>0</v>
      </c>
      <c r="V57" s="117">
        <f>Oportuno!V57</f>
        <v>0</v>
      </c>
      <c r="W57" s="117">
        <f>Oportuno!W57</f>
        <v>0</v>
      </c>
      <c r="X57" s="71">
        <f>Oportuno!X57</f>
        <v>0</v>
      </c>
      <c r="Y57" s="71">
        <f>Oportuno!Y57</f>
        <v>0</v>
      </c>
      <c r="AA57" s="65"/>
    </row>
    <row r="58" spans="2:27" ht="13" customHeight="1">
      <c r="B58" s="119">
        <f>Oportuno!B58</f>
        <v>0</v>
      </c>
      <c r="C58" s="23">
        <f>Oportuno!C58</f>
        <v>2026091</v>
      </c>
      <c r="D58" s="23">
        <f>Oportuno!D58</f>
        <v>2</v>
      </c>
      <c r="E58" s="128">
        <f>Oportuno!E58</f>
        <v>0</v>
      </c>
      <c r="F58" s="126" t="e">
        <f>Oportuno!F58</f>
        <v>#N/A</v>
      </c>
      <c r="G58" s="36">
        <f>Oportuno!G58</f>
        <v>1</v>
      </c>
      <c r="H58" s="126" t="str">
        <f>Oportuno!H58</f>
        <v>Oficinas</v>
      </c>
      <c r="I58" s="130">
        <f>Oportuno!I58</f>
        <v>0</v>
      </c>
      <c r="J58" s="174">
        <f>Oportuno!J58</f>
        <v>0</v>
      </c>
      <c r="K58" s="174">
        <f>Oportuno!K58</f>
        <v>0</v>
      </c>
      <c r="L58" s="174">
        <f>Oportuno!L58</f>
        <v>0</v>
      </c>
      <c r="M58" s="174">
        <f>Oportuno!M58</f>
        <v>0</v>
      </c>
      <c r="N58" s="174">
        <f>Oportuno!N58</f>
        <v>0</v>
      </c>
      <c r="O58" s="174">
        <f>Oportuno!O58</f>
        <v>0</v>
      </c>
      <c r="P58" s="174">
        <f>Oportuno!P58</f>
        <v>0</v>
      </c>
      <c r="Q58" s="174">
        <f>Oportuno!Q58</f>
        <v>0</v>
      </c>
      <c r="R58" s="174">
        <f>Oportuno!R58</f>
        <v>0</v>
      </c>
      <c r="S58" s="215">
        <f>Oportuno!S58</f>
        <v>0</v>
      </c>
      <c r="T58" s="71">
        <f>Oportuno!T58</f>
        <v>0</v>
      </c>
      <c r="U58" s="71">
        <f>Oportuno!U58</f>
        <v>0</v>
      </c>
      <c r="V58" s="117">
        <f>Oportuno!V58</f>
        <v>0</v>
      </c>
      <c r="W58" s="117">
        <f>Oportuno!W58</f>
        <v>0</v>
      </c>
      <c r="X58" s="71">
        <f>Oportuno!X58</f>
        <v>0</v>
      </c>
      <c r="Y58" s="71">
        <f>Oportuno!Y58</f>
        <v>0</v>
      </c>
      <c r="AA58" s="65"/>
    </row>
    <row r="59" spans="2:27" ht="13" customHeight="1">
      <c r="B59" s="119">
        <f>Oportuno!B59</f>
        <v>0</v>
      </c>
      <c r="C59" s="23">
        <f>Oportuno!C59</f>
        <v>2026091</v>
      </c>
      <c r="D59" s="23">
        <f>Oportuno!D59</f>
        <v>2</v>
      </c>
      <c r="E59" s="128">
        <f>Oportuno!E59</f>
        <v>0</v>
      </c>
      <c r="F59" s="126" t="e">
        <f>Oportuno!F59</f>
        <v>#N/A</v>
      </c>
      <c r="G59" s="36">
        <f>Oportuno!G59</f>
        <v>1</v>
      </c>
      <c r="H59" s="126" t="str">
        <f>Oportuno!H59</f>
        <v>Oficinas</v>
      </c>
      <c r="I59" s="130">
        <f>Oportuno!I59</f>
        <v>0</v>
      </c>
      <c r="J59" s="174">
        <f>Oportuno!J59</f>
        <v>0</v>
      </c>
      <c r="K59" s="174">
        <f>Oportuno!K59</f>
        <v>0</v>
      </c>
      <c r="L59" s="174">
        <f>Oportuno!L59</f>
        <v>0</v>
      </c>
      <c r="M59" s="174">
        <f>Oportuno!M59</f>
        <v>0</v>
      </c>
      <c r="N59" s="174">
        <f>Oportuno!N59</f>
        <v>0</v>
      </c>
      <c r="O59" s="174">
        <f>Oportuno!O59</f>
        <v>0</v>
      </c>
      <c r="P59" s="174">
        <f>Oportuno!P59</f>
        <v>0</v>
      </c>
      <c r="Q59" s="174">
        <f>Oportuno!Q59</f>
        <v>0</v>
      </c>
      <c r="R59" s="174">
        <f>Oportuno!R59</f>
        <v>0</v>
      </c>
      <c r="S59" s="215">
        <f>Oportuno!S59</f>
        <v>0</v>
      </c>
      <c r="T59" s="71">
        <f>Oportuno!T59</f>
        <v>0</v>
      </c>
      <c r="U59" s="71">
        <f>Oportuno!U59</f>
        <v>0</v>
      </c>
      <c r="V59" s="117">
        <f>Oportuno!V59</f>
        <v>0</v>
      </c>
      <c r="W59" s="117">
        <f>Oportuno!W59</f>
        <v>0</v>
      </c>
      <c r="X59" s="71">
        <f>Oportuno!X59</f>
        <v>0</v>
      </c>
      <c r="Y59" s="71">
        <f>Oportuno!Y59</f>
        <v>0</v>
      </c>
      <c r="AA59" s="65"/>
    </row>
    <row r="60" spans="2:27" ht="13" customHeight="1">
      <c r="B60" s="119">
        <f>Oportuno!B60</f>
        <v>0</v>
      </c>
      <c r="C60" s="23">
        <f>Oportuno!C60</f>
        <v>2026091</v>
      </c>
      <c r="D60" s="23">
        <f>Oportuno!D60</f>
        <v>2</v>
      </c>
      <c r="E60" s="128">
        <f>Oportuno!E60</f>
        <v>0</v>
      </c>
      <c r="F60" s="126" t="e">
        <f>Oportuno!F60</f>
        <v>#N/A</v>
      </c>
      <c r="G60" s="36">
        <f>Oportuno!G60</f>
        <v>1</v>
      </c>
      <c r="H60" s="126" t="str">
        <f>Oportuno!H60</f>
        <v>Oficinas</v>
      </c>
      <c r="I60" s="130">
        <f>Oportuno!I60</f>
        <v>0</v>
      </c>
      <c r="J60" s="174">
        <f>Oportuno!J60</f>
        <v>0</v>
      </c>
      <c r="K60" s="174">
        <f>Oportuno!K60</f>
        <v>0</v>
      </c>
      <c r="L60" s="174">
        <f>Oportuno!L60</f>
        <v>0</v>
      </c>
      <c r="M60" s="174">
        <f>Oportuno!M60</f>
        <v>0</v>
      </c>
      <c r="N60" s="174">
        <f>Oportuno!N60</f>
        <v>0</v>
      </c>
      <c r="O60" s="174">
        <f>Oportuno!O60</f>
        <v>0</v>
      </c>
      <c r="P60" s="174">
        <f>Oportuno!P60</f>
        <v>0</v>
      </c>
      <c r="Q60" s="174">
        <f>Oportuno!Q60</f>
        <v>0</v>
      </c>
      <c r="R60" s="174">
        <f>Oportuno!R60</f>
        <v>0</v>
      </c>
      <c r="S60" s="215">
        <f>Oportuno!S60</f>
        <v>0</v>
      </c>
      <c r="T60" s="71">
        <f>Oportuno!T60</f>
        <v>0</v>
      </c>
      <c r="U60" s="71">
        <f>Oportuno!U60</f>
        <v>0</v>
      </c>
      <c r="V60" s="117">
        <f>Oportuno!V60</f>
        <v>0</v>
      </c>
      <c r="W60" s="117">
        <f>Oportuno!W60</f>
        <v>0</v>
      </c>
      <c r="X60" s="71">
        <f>Oportuno!X60</f>
        <v>0</v>
      </c>
      <c r="Y60" s="71">
        <f>Oportuno!Y60</f>
        <v>0</v>
      </c>
      <c r="AA60" s="65"/>
    </row>
    <row r="61" spans="2:27" ht="13" customHeight="1">
      <c r="B61" s="119">
        <f>Oportuno!B61</f>
        <v>0</v>
      </c>
      <c r="C61" s="23">
        <f>Oportuno!C61</f>
        <v>2026091</v>
      </c>
      <c r="D61" s="23">
        <f>Oportuno!D61</f>
        <v>2</v>
      </c>
      <c r="E61" s="128">
        <f>Oportuno!E61</f>
        <v>0</v>
      </c>
      <c r="F61" s="126" t="e">
        <f>Oportuno!F61</f>
        <v>#N/A</v>
      </c>
      <c r="G61" s="36">
        <f>Oportuno!G61</f>
        <v>1</v>
      </c>
      <c r="H61" s="126" t="str">
        <f>Oportuno!H61</f>
        <v>Oficinas</v>
      </c>
      <c r="I61" s="130">
        <f>Oportuno!I61</f>
        <v>0</v>
      </c>
      <c r="J61" s="174">
        <f>Oportuno!J61</f>
        <v>0</v>
      </c>
      <c r="K61" s="174">
        <f>Oportuno!K61</f>
        <v>0</v>
      </c>
      <c r="L61" s="174">
        <f>Oportuno!L61</f>
        <v>0</v>
      </c>
      <c r="M61" s="174">
        <f>Oportuno!M61</f>
        <v>0</v>
      </c>
      <c r="N61" s="174">
        <f>Oportuno!N61</f>
        <v>0</v>
      </c>
      <c r="O61" s="174">
        <f>Oportuno!O61</f>
        <v>0</v>
      </c>
      <c r="P61" s="174">
        <f>Oportuno!P61</f>
        <v>0</v>
      </c>
      <c r="Q61" s="174">
        <f>Oportuno!Q61</f>
        <v>0</v>
      </c>
      <c r="R61" s="174">
        <f>Oportuno!R61</f>
        <v>0</v>
      </c>
      <c r="S61" s="215">
        <f>Oportuno!S61</f>
        <v>0</v>
      </c>
      <c r="T61" s="71">
        <f>Oportuno!T61</f>
        <v>0</v>
      </c>
      <c r="U61" s="71">
        <f>Oportuno!U61</f>
        <v>0</v>
      </c>
      <c r="V61" s="117">
        <f>Oportuno!V61</f>
        <v>0</v>
      </c>
      <c r="W61" s="117">
        <f>Oportuno!W61</f>
        <v>0</v>
      </c>
      <c r="X61" s="71">
        <f>Oportuno!X61</f>
        <v>0</v>
      </c>
      <c r="Y61" s="71">
        <f>Oportuno!Y61</f>
        <v>0</v>
      </c>
      <c r="AA61" s="65"/>
    </row>
    <row r="62" spans="2:27" ht="13" customHeight="1">
      <c r="B62" s="119">
        <f>Oportuno!B62</f>
        <v>0</v>
      </c>
      <c r="C62" s="23">
        <f>Oportuno!C62</f>
        <v>2026091</v>
      </c>
      <c r="D62" s="23">
        <f>Oportuno!D62</f>
        <v>2</v>
      </c>
      <c r="E62" s="128">
        <f>Oportuno!E62</f>
        <v>0</v>
      </c>
      <c r="F62" s="126" t="e">
        <f>Oportuno!F62</f>
        <v>#N/A</v>
      </c>
      <c r="G62" s="36">
        <f>Oportuno!G62</f>
        <v>1</v>
      </c>
      <c r="H62" s="126" t="str">
        <f>Oportuno!H62</f>
        <v>Oficinas</v>
      </c>
      <c r="I62" s="130">
        <f>Oportuno!I62</f>
        <v>0</v>
      </c>
      <c r="J62" s="174">
        <f>Oportuno!J62</f>
        <v>0</v>
      </c>
      <c r="K62" s="174">
        <f>Oportuno!K62</f>
        <v>0</v>
      </c>
      <c r="L62" s="174">
        <f>Oportuno!L62</f>
        <v>0</v>
      </c>
      <c r="M62" s="174">
        <f>Oportuno!M62</f>
        <v>0</v>
      </c>
      <c r="N62" s="174">
        <f>Oportuno!N62</f>
        <v>0</v>
      </c>
      <c r="O62" s="174">
        <f>Oportuno!O62</f>
        <v>0</v>
      </c>
      <c r="P62" s="174">
        <f>Oportuno!P62</f>
        <v>0</v>
      </c>
      <c r="Q62" s="174">
        <f>Oportuno!Q62</f>
        <v>0</v>
      </c>
      <c r="R62" s="174">
        <f>Oportuno!R62</f>
        <v>0</v>
      </c>
      <c r="S62" s="215">
        <f>Oportuno!S62</f>
        <v>0</v>
      </c>
      <c r="T62" s="71">
        <f>Oportuno!T62</f>
        <v>0</v>
      </c>
      <c r="U62" s="71">
        <f>Oportuno!U62</f>
        <v>0</v>
      </c>
      <c r="V62" s="117">
        <f>Oportuno!V62</f>
        <v>0</v>
      </c>
      <c r="W62" s="117">
        <f>Oportuno!W62</f>
        <v>0</v>
      </c>
      <c r="X62" s="71">
        <f>Oportuno!X62</f>
        <v>0</v>
      </c>
      <c r="Y62" s="71">
        <f>Oportuno!Y62</f>
        <v>0</v>
      </c>
      <c r="AA62" s="65"/>
    </row>
    <row r="63" spans="2:27" ht="13" customHeight="1">
      <c r="B63" s="119">
        <f>Oportuno!B63</f>
        <v>0</v>
      </c>
      <c r="C63" s="23">
        <f>Oportuno!C63</f>
        <v>2026091</v>
      </c>
      <c r="D63" s="23">
        <f>Oportuno!D63</f>
        <v>2</v>
      </c>
      <c r="E63" s="128">
        <f>Oportuno!E63</f>
        <v>0</v>
      </c>
      <c r="F63" s="126" t="e">
        <f>Oportuno!F63</f>
        <v>#N/A</v>
      </c>
      <c r="G63" s="36">
        <f>Oportuno!G63</f>
        <v>1</v>
      </c>
      <c r="H63" s="126" t="str">
        <f>Oportuno!H63</f>
        <v>Oficinas</v>
      </c>
      <c r="I63" s="130">
        <f>Oportuno!I63</f>
        <v>0</v>
      </c>
      <c r="J63" s="174">
        <f>Oportuno!J63</f>
        <v>0</v>
      </c>
      <c r="K63" s="174">
        <f>Oportuno!K63</f>
        <v>0</v>
      </c>
      <c r="L63" s="174">
        <f>Oportuno!L63</f>
        <v>0</v>
      </c>
      <c r="M63" s="174">
        <f>Oportuno!M63</f>
        <v>0</v>
      </c>
      <c r="N63" s="174">
        <f>Oportuno!N63</f>
        <v>0</v>
      </c>
      <c r="O63" s="174">
        <f>Oportuno!O63</f>
        <v>0</v>
      </c>
      <c r="P63" s="174">
        <f>Oportuno!P63</f>
        <v>0</v>
      </c>
      <c r="Q63" s="174">
        <f>Oportuno!Q63</f>
        <v>0</v>
      </c>
      <c r="R63" s="174">
        <f>Oportuno!R63</f>
        <v>0</v>
      </c>
      <c r="S63" s="215">
        <f>Oportuno!S63</f>
        <v>0</v>
      </c>
      <c r="T63" s="71">
        <f>Oportuno!T63</f>
        <v>0</v>
      </c>
      <c r="U63" s="71">
        <f>Oportuno!U63</f>
        <v>0</v>
      </c>
      <c r="V63" s="117">
        <f>Oportuno!V63</f>
        <v>0</v>
      </c>
      <c r="W63" s="117">
        <f>Oportuno!W63</f>
        <v>0</v>
      </c>
      <c r="X63" s="71">
        <f>Oportuno!X63</f>
        <v>0</v>
      </c>
      <c r="Y63" s="71">
        <f>Oportuno!Y63</f>
        <v>0</v>
      </c>
      <c r="AA63" s="65"/>
    </row>
    <row r="64" spans="2:27" ht="13" customHeight="1">
      <c r="B64" s="119">
        <f>Oportuno!B64</f>
        <v>0</v>
      </c>
      <c r="C64" s="23">
        <f>Oportuno!C64</f>
        <v>2026091</v>
      </c>
      <c r="D64" s="23">
        <f>Oportuno!D64</f>
        <v>2</v>
      </c>
      <c r="E64" s="128">
        <f>Oportuno!E64</f>
        <v>0</v>
      </c>
      <c r="F64" s="126" t="e">
        <f>Oportuno!F64</f>
        <v>#N/A</v>
      </c>
      <c r="G64" s="36">
        <f>Oportuno!G64</f>
        <v>1</v>
      </c>
      <c r="H64" s="126" t="str">
        <f>Oportuno!H64</f>
        <v>Oficinas</v>
      </c>
      <c r="I64" s="130">
        <f>Oportuno!I64</f>
        <v>0</v>
      </c>
      <c r="J64" s="174">
        <f>Oportuno!J64</f>
        <v>0</v>
      </c>
      <c r="K64" s="174">
        <f>Oportuno!K64</f>
        <v>0</v>
      </c>
      <c r="L64" s="174">
        <f>Oportuno!L64</f>
        <v>0</v>
      </c>
      <c r="M64" s="174">
        <f>Oportuno!M64</f>
        <v>0</v>
      </c>
      <c r="N64" s="174">
        <f>Oportuno!N64</f>
        <v>0</v>
      </c>
      <c r="O64" s="174">
        <f>Oportuno!O64</f>
        <v>0</v>
      </c>
      <c r="P64" s="174">
        <f>Oportuno!P64</f>
        <v>0</v>
      </c>
      <c r="Q64" s="174">
        <f>Oportuno!Q64</f>
        <v>0</v>
      </c>
      <c r="R64" s="174">
        <f>Oportuno!R64</f>
        <v>0</v>
      </c>
      <c r="S64" s="215">
        <f>Oportuno!S64</f>
        <v>0</v>
      </c>
      <c r="T64" s="71">
        <f>Oportuno!T64</f>
        <v>0</v>
      </c>
      <c r="U64" s="71">
        <f>Oportuno!U64</f>
        <v>0</v>
      </c>
      <c r="V64" s="117">
        <f>Oportuno!V64</f>
        <v>0</v>
      </c>
      <c r="W64" s="117">
        <f>Oportuno!W64</f>
        <v>0</v>
      </c>
      <c r="X64" s="71">
        <f>Oportuno!X64</f>
        <v>0</v>
      </c>
      <c r="Y64" s="71">
        <f>Oportuno!Y64</f>
        <v>0</v>
      </c>
      <c r="AA64" s="65"/>
    </row>
    <row r="65" spans="2:27 16101:16120" ht="13" customHeight="1" thickBot="1">
      <c r="B65" s="119">
        <f>Oportuno!B65</f>
        <v>0</v>
      </c>
      <c r="C65" s="23">
        <f>Oportuno!C65</f>
        <v>2026091</v>
      </c>
      <c r="D65" s="23">
        <f>Oportuno!D65</f>
        <v>2</v>
      </c>
      <c r="E65" s="128">
        <f>Oportuno!E65</f>
        <v>0</v>
      </c>
      <c r="F65" s="126" t="e">
        <f>Oportuno!F65</f>
        <v>#N/A</v>
      </c>
      <c r="G65" s="36">
        <f>Oportuno!G65</f>
        <v>1</v>
      </c>
      <c r="H65" s="126" t="str">
        <f>Oportuno!H65</f>
        <v>Oficinas</v>
      </c>
      <c r="I65" s="130">
        <f>Oportuno!I65</f>
        <v>0</v>
      </c>
      <c r="J65" s="174">
        <f>Oportuno!J65</f>
        <v>0</v>
      </c>
      <c r="K65" s="174">
        <f>Oportuno!K65</f>
        <v>0</v>
      </c>
      <c r="L65" s="174">
        <f>Oportuno!L65</f>
        <v>0</v>
      </c>
      <c r="M65" s="174">
        <f>Oportuno!M65</f>
        <v>0</v>
      </c>
      <c r="N65" s="174">
        <f>Oportuno!N65</f>
        <v>0</v>
      </c>
      <c r="O65" s="174">
        <f>Oportuno!O65</f>
        <v>0</v>
      </c>
      <c r="P65" s="174">
        <f>Oportuno!P65</f>
        <v>0</v>
      </c>
      <c r="Q65" s="174">
        <f>Oportuno!Q65</f>
        <v>0</v>
      </c>
      <c r="R65" s="174">
        <f>Oportuno!R65</f>
        <v>0</v>
      </c>
      <c r="S65" s="215">
        <f>Oportuno!S65</f>
        <v>0</v>
      </c>
      <c r="T65" s="71">
        <f>Oportuno!T65</f>
        <v>0</v>
      </c>
      <c r="U65" s="71">
        <f>Oportuno!U65</f>
        <v>0</v>
      </c>
      <c r="V65" s="117">
        <f>Oportuno!V65</f>
        <v>0</v>
      </c>
      <c r="W65" s="117">
        <f>Oportuno!W65</f>
        <v>0</v>
      </c>
      <c r="X65" s="71">
        <f>Oportuno!X65</f>
        <v>0</v>
      </c>
      <c r="Y65" s="71">
        <f>Oportuno!Y65</f>
        <v>0</v>
      </c>
      <c r="AA65" s="65"/>
    </row>
    <row r="66" spans="2:27 16101:16120" ht="13" customHeight="1" thickBot="1">
      <c r="B66" s="1" t="s">
        <v>0</v>
      </c>
      <c r="C66" s="1" t="s">
        <v>0</v>
      </c>
      <c r="D66" s="20" t="s">
        <v>0</v>
      </c>
      <c r="E66" s="120" t="str">
        <f>Oportuno!E66</f>
        <v xml:space="preserve"> </v>
      </c>
      <c r="F66" s="121" t="str">
        <f>Oportuno!F66</f>
        <v>TOTAL RECAUDO</v>
      </c>
      <c r="G66" s="121" t="s">
        <v>0</v>
      </c>
      <c r="H66" s="121" t="s">
        <v>0</v>
      </c>
      <c r="I66" s="121" t="s">
        <v>0</v>
      </c>
      <c r="J66" s="122">
        <f>Oportuno!J66</f>
        <v>0</v>
      </c>
      <c r="K66" s="122">
        <f>Oportuno!K66</f>
        <v>0</v>
      </c>
      <c r="L66" s="122">
        <f>Oportuno!L66</f>
        <v>0</v>
      </c>
      <c r="M66" s="122">
        <f>Oportuno!M66</f>
        <v>0</v>
      </c>
      <c r="N66" s="122">
        <f>Oportuno!N66</f>
        <v>0</v>
      </c>
      <c r="O66" s="122">
        <f>Oportuno!O66</f>
        <v>0</v>
      </c>
      <c r="P66" s="122">
        <f>Oportuno!P66</f>
        <v>0</v>
      </c>
      <c r="Q66" s="122">
        <f>Oportuno!Q66</f>
        <v>0</v>
      </c>
      <c r="R66" s="122">
        <f>Oportuno!R66</f>
        <v>515</v>
      </c>
      <c r="S66" s="122">
        <f>Oportuno!S66</f>
        <v>22706710</v>
      </c>
      <c r="T66" s="122">
        <f>Oportuno!T66</f>
        <v>515</v>
      </c>
      <c r="U66" s="122">
        <f>Oportuno!U66</f>
        <v>22706710</v>
      </c>
      <c r="V66" s="123">
        <f>Oportuno!V66</f>
        <v>515</v>
      </c>
      <c r="W66" s="123">
        <f>Oportuno!W66</f>
        <v>22706710</v>
      </c>
      <c r="X66" s="122">
        <f>Oportuno!X66</f>
        <v>0</v>
      </c>
      <c r="Y66" s="123">
        <f>Oportuno!Y66</f>
        <v>0</v>
      </c>
      <c r="AA66" s="65"/>
    </row>
    <row r="67" spans="2:27 16101:16120" ht="13" thickBot="1">
      <c r="AA67" s="65"/>
    </row>
    <row r="68" spans="2:27 16101:16120" ht="41.25" customHeight="1" thickBot="1">
      <c r="B68" s="112" t="s">
        <v>4</v>
      </c>
      <c r="C68" s="34" t="s">
        <v>6</v>
      </c>
      <c r="D68" s="34" t="s">
        <v>7</v>
      </c>
      <c r="E68" s="34" t="s">
        <v>49</v>
      </c>
      <c r="F68" s="34" t="s">
        <v>50</v>
      </c>
      <c r="G68" s="34" t="s">
        <v>51</v>
      </c>
      <c r="H68" s="34" t="s">
        <v>52</v>
      </c>
      <c r="I68" s="34" t="s">
        <v>13</v>
      </c>
      <c r="J68" s="231" t="s">
        <v>8</v>
      </c>
      <c r="K68" s="231" t="s">
        <v>36</v>
      </c>
      <c r="L68" s="12" t="s">
        <v>9</v>
      </c>
      <c r="M68" s="12" t="s">
        <v>37</v>
      </c>
      <c r="N68" s="87" t="s">
        <v>10</v>
      </c>
      <c r="O68" s="88" t="s">
        <v>38</v>
      </c>
      <c r="P68" s="87" t="s">
        <v>11</v>
      </c>
      <c r="Q68" s="88" t="s">
        <v>39</v>
      </c>
      <c r="R68" s="232" t="s">
        <v>12</v>
      </c>
      <c r="S68" s="233" t="s">
        <v>40</v>
      </c>
      <c r="T68" s="64" t="s">
        <v>41</v>
      </c>
      <c r="U68" s="64" t="s">
        <v>42</v>
      </c>
      <c r="V68" s="35" t="s">
        <v>32</v>
      </c>
      <c r="W68" s="67" t="s">
        <v>35</v>
      </c>
      <c r="X68" s="12" t="s">
        <v>34</v>
      </c>
      <c r="Y68" s="68" t="s">
        <v>33</v>
      </c>
      <c r="AA68" s="66"/>
      <c r="WUG68" s="1"/>
      <c r="WUH68" s="1"/>
      <c r="WUY68"/>
      <c r="WUZ68"/>
    </row>
    <row r="69" spans="2:27 16101:16120" ht="13" customHeight="1">
      <c r="B69" s="119" t="str">
        <f>Oportuno!B69</f>
        <v>3/09/2026</v>
      </c>
      <c r="C69" s="24">
        <f>Oportuno!C69</f>
        <v>2026091</v>
      </c>
      <c r="D69" s="24">
        <f>Oportuno!D69</f>
        <v>3</v>
      </c>
      <c r="E69" s="127">
        <f>Oportuno!E69</f>
        <v>20</v>
      </c>
      <c r="F69" s="125" t="str">
        <f>Oportuno!F69</f>
        <v>Bancolombia ENERBIT</v>
      </c>
      <c r="G69" s="18">
        <f>Oportuno!G69</f>
        <v>1</v>
      </c>
      <c r="H69" s="125" t="str">
        <f>Oportuno!H69</f>
        <v>Oficinas</v>
      </c>
      <c r="I69" s="129">
        <f>Oportuno!I69</f>
        <v>0</v>
      </c>
      <c r="J69" s="213">
        <f>Oportuno!J69</f>
        <v>0</v>
      </c>
      <c r="K69" s="213">
        <f>Oportuno!K69</f>
        <v>0</v>
      </c>
      <c r="L69" s="213">
        <f>Oportuno!L69</f>
        <v>0</v>
      </c>
      <c r="M69" s="213">
        <f>Oportuno!M69</f>
        <v>0</v>
      </c>
      <c r="N69" s="213">
        <f>Oportuno!N69</f>
        <v>0</v>
      </c>
      <c r="O69" s="213">
        <f>Oportuno!O69</f>
        <v>0</v>
      </c>
      <c r="P69" s="213">
        <f>Oportuno!P69</f>
        <v>0</v>
      </c>
      <c r="Q69" s="213">
        <f>Oportuno!Q69</f>
        <v>0</v>
      </c>
      <c r="R69" s="213">
        <f>Oportuno!R69</f>
        <v>330</v>
      </c>
      <c r="S69" s="214">
        <f>Oportuno!S69</f>
        <v>14638040</v>
      </c>
      <c r="T69" s="70">
        <f>Oportuno!T69</f>
        <v>330</v>
      </c>
      <c r="U69" s="70">
        <f>Oportuno!U69</f>
        <v>14638040</v>
      </c>
      <c r="V69" s="116">
        <f>Oportuno!V69</f>
        <v>330</v>
      </c>
      <c r="W69" s="116">
        <f>Oportuno!W69</f>
        <v>14638040</v>
      </c>
      <c r="X69" s="70">
        <f>Oportuno!X69</f>
        <v>0</v>
      </c>
      <c r="Y69" s="70">
        <f>Oportuno!Y69</f>
        <v>0</v>
      </c>
      <c r="AA69" s="65"/>
    </row>
    <row r="70" spans="2:27 16101:16120" ht="13" customHeight="1">
      <c r="B70" s="119">
        <f>Oportuno!B70</f>
        <v>0</v>
      </c>
      <c r="C70" s="23">
        <f>Oportuno!C70</f>
        <v>2026091</v>
      </c>
      <c r="D70" s="23">
        <f>Oportuno!D70</f>
        <v>3</v>
      </c>
      <c r="E70" s="128">
        <f>Oportuno!E70</f>
        <v>0</v>
      </c>
      <c r="F70" s="126" t="e">
        <f>Oportuno!F70</f>
        <v>#N/A</v>
      </c>
      <c r="G70" s="36">
        <f>Oportuno!G70</f>
        <v>1</v>
      </c>
      <c r="H70" s="126" t="str">
        <f>Oportuno!H70</f>
        <v>Oficinas</v>
      </c>
      <c r="I70" s="130">
        <f>Oportuno!I70</f>
        <v>0</v>
      </c>
      <c r="J70" s="174">
        <f>Oportuno!J70</f>
        <v>0</v>
      </c>
      <c r="K70" s="174">
        <f>Oportuno!K70</f>
        <v>0</v>
      </c>
      <c r="L70" s="174">
        <f>Oportuno!L70</f>
        <v>0</v>
      </c>
      <c r="M70" s="174">
        <f>Oportuno!M70</f>
        <v>0</v>
      </c>
      <c r="N70" s="174">
        <f>Oportuno!N70</f>
        <v>0</v>
      </c>
      <c r="O70" s="174">
        <f>Oportuno!O70</f>
        <v>0</v>
      </c>
      <c r="P70" s="174">
        <f>Oportuno!P70</f>
        <v>0</v>
      </c>
      <c r="Q70" s="174">
        <f>Oportuno!Q70</f>
        <v>0</v>
      </c>
      <c r="R70" s="174">
        <f>Oportuno!R70</f>
        <v>0</v>
      </c>
      <c r="S70" s="215">
        <f>Oportuno!S70</f>
        <v>0</v>
      </c>
      <c r="T70" s="71">
        <f>Oportuno!T70</f>
        <v>0</v>
      </c>
      <c r="U70" s="71">
        <f>Oportuno!U70</f>
        <v>0</v>
      </c>
      <c r="V70" s="117">
        <f>Oportuno!V70</f>
        <v>0</v>
      </c>
      <c r="W70" s="117">
        <f>Oportuno!W70</f>
        <v>0</v>
      </c>
      <c r="X70" s="71">
        <f>Oportuno!X70</f>
        <v>0</v>
      </c>
      <c r="Y70" s="71">
        <f>Oportuno!Y70</f>
        <v>0</v>
      </c>
      <c r="AA70" s="65"/>
    </row>
    <row r="71" spans="2:27 16101:16120" ht="13" customHeight="1">
      <c r="B71" s="119">
        <f>Oportuno!B71</f>
        <v>0</v>
      </c>
      <c r="C71" s="23">
        <f>Oportuno!C71</f>
        <v>2026091</v>
      </c>
      <c r="D71" s="23">
        <f>Oportuno!D71</f>
        <v>3</v>
      </c>
      <c r="E71" s="128">
        <f>Oportuno!E71</f>
        <v>0</v>
      </c>
      <c r="F71" s="126" t="e">
        <f>Oportuno!F71</f>
        <v>#N/A</v>
      </c>
      <c r="G71" s="36">
        <f>Oportuno!G71</f>
        <v>1</v>
      </c>
      <c r="H71" s="126" t="str">
        <f>Oportuno!H71</f>
        <v>Oficinas</v>
      </c>
      <c r="I71" s="130">
        <f>Oportuno!I71</f>
        <v>0</v>
      </c>
      <c r="J71" s="174">
        <f>Oportuno!J71</f>
        <v>0</v>
      </c>
      <c r="K71" s="174">
        <f>Oportuno!K71</f>
        <v>0</v>
      </c>
      <c r="L71" s="174">
        <f>Oportuno!L71</f>
        <v>0</v>
      </c>
      <c r="M71" s="174">
        <f>Oportuno!M71</f>
        <v>0</v>
      </c>
      <c r="N71" s="174">
        <f>Oportuno!N71</f>
        <v>0</v>
      </c>
      <c r="O71" s="174">
        <f>Oportuno!O71</f>
        <v>0</v>
      </c>
      <c r="P71" s="174">
        <f>Oportuno!P71</f>
        <v>0</v>
      </c>
      <c r="Q71" s="174">
        <f>Oportuno!Q71</f>
        <v>0</v>
      </c>
      <c r="R71" s="174">
        <f>Oportuno!R71</f>
        <v>0</v>
      </c>
      <c r="S71" s="215">
        <f>Oportuno!S71</f>
        <v>0</v>
      </c>
      <c r="T71" s="71">
        <f>Oportuno!T71</f>
        <v>0</v>
      </c>
      <c r="U71" s="71">
        <f>Oportuno!U71</f>
        <v>0</v>
      </c>
      <c r="V71" s="117">
        <f>Oportuno!V71</f>
        <v>0</v>
      </c>
      <c r="W71" s="117">
        <f>Oportuno!W71</f>
        <v>0</v>
      </c>
      <c r="X71" s="71">
        <f>Oportuno!X71</f>
        <v>0</v>
      </c>
      <c r="Y71" s="71">
        <f>Oportuno!Y71</f>
        <v>0</v>
      </c>
      <c r="AA71" s="65"/>
    </row>
    <row r="72" spans="2:27 16101:16120" ht="13" customHeight="1">
      <c r="B72" s="119">
        <f>Oportuno!B72</f>
        <v>0</v>
      </c>
      <c r="C72" s="23">
        <f>Oportuno!C72</f>
        <v>2026091</v>
      </c>
      <c r="D72" s="23">
        <f>Oportuno!D72</f>
        <v>3</v>
      </c>
      <c r="E72" s="128">
        <f>Oportuno!E72</f>
        <v>0</v>
      </c>
      <c r="F72" s="126" t="e">
        <f>Oportuno!F72</f>
        <v>#N/A</v>
      </c>
      <c r="G72" s="36">
        <f>Oportuno!G72</f>
        <v>1</v>
      </c>
      <c r="H72" s="126" t="str">
        <f>Oportuno!H72</f>
        <v>Oficinas</v>
      </c>
      <c r="I72" s="130">
        <f>Oportuno!I72</f>
        <v>0</v>
      </c>
      <c r="J72" s="174">
        <f>Oportuno!J72</f>
        <v>0</v>
      </c>
      <c r="K72" s="174">
        <f>Oportuno!K72</f>
        <v>0</v>
      </c>
      <c r="L72" s="174">
        <f>Oportuno!L72</f>
        <v>0</v>
      </c>
      <c r="M72" s="174">
        <f>Oportuno!M72</f>
        <v>0</v>
      </c>
      <c r="N72" s="174">
        <f>Oportuno!N72</f>
        <v>0</v>
      </c>
      <c r="O72" s="174">
        <f>Oportuno!O72</f>
        <v>0</v>
      </c>
      <c r="P72" s="174">
        <f>Oportuno!P72</f>
        <v>0</v>
      </c>
      <c r="Q72" s="174">
        <f>Oportuno!Q72</f>
        <v>0</v>
      </c>
      <c r="R72" s="174">
        <f>Oportuno!R72</f>
        <v>0</v>
      </c>
      <c r="S72" s="215">
        <f>Oportuno!S72</f>
        <v>0</v>
      </c>
      <c r="T72" s="71">
        <f>Oportuno!T72</f>
        <v>0</v>
      </c>
      <c r="U72" s="71">
        <f>Oportuno!U72</f>
        <v>0</v>
      </c>
      <c r="V72" s="117">
        <f>Oportuno!V72</f>
        <v>0</v>
      </c>
      <c r="W72" s="117">
        <f>Oportuno!W72</f>
        <v>0</v>
      </c>
      <c r="X72" s="71">
        <f>Oportuno!X72</f>
        <v>0</v>
      </c>
      <c r="Y72" s="71">
        <f>Oportuno!Y72</f>
        <v>0</v>
      </c>
      <c r="AA72" s="65"/>
    </row>
    <row r="73" spans="2:27 16101:16120" ht="13" customHeight="1">
      <c r="B73" s="119">
        <f>Oportuno!B73</f>
        <v>0</v>
      </c>
      <c r="C73" s="23">
        <f>Oportuno!C73</f>
        <v>2026091</v>
      </c>
      <c r="D73" s="23">
        <f>Oportuno!D73</f>
        <v>3</v>
      </c>
      <c r="E73" s="128">
        <f>Oportuno!E73</f>
        <v>0</v>
      </c>
      <c r="F73" s="126" t="e">
        <f>Oportuno!F73</f>
        <v>#N/A</v>
      </c>
      <c r="G73" s="36">
        <f>Oportuno!G73</f>
        <v>1</v>
      </c>
      <c r="H73" s="126" t="str">
        <f>Oportuno!H73</f>
        <v>Oficinas</v>
      </c>
      <c r="I73" s="130">
        <f>Oportuno!I73</f>
        <v>0</v>
      </c>
      <c r="J73" s="174">
        <f>Oportuno!J73</f>
        <v>0</v>
      </c>
      <c r="K73" s="174">
        <f>Oportuno!K73</f>
        <v>0</v>
      </c>
      <c r="L73" s="174">
        <f>Oportuno!L73</f>
        <v>0</v>
      </c>
      <c r="M73" s="174">
        <f>Oportuno!M73</f>
        <v>0</v>
      </c>
      <c r="N73" s="174">
        <f>Oportuno!N73</f>
        <v>0</v>
      </c>
      <c r="O73" s="174">
        <f>Oportuno!O73</f>
        <v>0</v>
      </c>
      <c r="P73" s="174">
        <f>Oportuno!P73</f>
        <v>0</v>
      </c>
      <c r="Q73" s="174">
        <f>Oportuno!Q73</f>
        <v>0</v>
      </c>
      <c r="R73" s="174">
        <f>Oportuno!R73</f>
        <v>0</v>
      </c>
      <c r="S73" s="215">
        <f>Oportuno!S73</f>
        <v>0</v>
      </c>
      <c r="T73" s="71">
        <f>Oportuno!T73</f>
        <v>0</v>
      </c>
      <c r="U73" s="71">
        <f>Oportuno!U73</f>
        <v>0</v>
      </c>
      <c r="V73" s="117">
        <f>Oportuno!V73</f>
        <v>0</v>
      </c>
      <c r="W73" s="117">
        <f>Oportuno!W73</f>
        <v>0</v>
      </c>
      <c r="X73" s="71">
        <f>Oportuno!X73</f>
        <v>0</v>
      </c>
      <c r="Y73" s="71">
        <f>Oportuno!Y73</f>
        <v>0</v>
      </c>
      <c r="AA73" s="65"/>
    </row>
    <row r="74" spans="2:27 16101:16120" ht="13" customHeight="1">
      <c r="B74" s="119">
        <f>Oportuno!B74</f>
        <v>0</v>
      </c>
      <c r="C74" s="23">
        <f>Oportuno!C74</f>
        <v>2026091</v>
      </c>
      <c r="D74" s="23">
        <f>Oportuno!D74</f>
        <v>3</v>
      </c>
      <c r="E74" s="128">
        <f>Oportuno!E74</f>
        <v>0</v>
      </c>
      <c r="F74" s="126" t="e">
        <f>Oportuno!F74</f>
        <v>#N/A</v>
      </c>
      <c r="G74" s="36">
        <f>Oportuno!G74</f>
        <v>1</v>
      </c>
      <c r="H74" s="126" t="str">
        <f>Oportuno!H74</f>
        <v>Oficinas</v>
      </c>
      <c r="I74" s="130">
        <f>Oportuno!I74</f>
        <v>0</v>
      </c>
      <c r="J74" s="174">
        <f>Oportuno!J74</f>
        <v>0</v>
      </c>
      <c r="K74" s="174">
        <f>Oportuno!K74</f>
        <v>0</v>
      </c>
      <c r="L74" s="174">
        <f>Oportuno!L74</f>
        <v>0</v>
      </c>
      <c r="M74" s="174">
        <f>Oportuno!M74</f>
        <v>0</v>
      </c>
      <c r="N74" s="174">
        <f>Oportuno!N74</f>
        <v>0</v>
      </c>
      <c r="O74" s="174">
        <f>Oportuno!O74</f>
        <v>0</v>
      </c>
      <c r="P74" s="174">
        <f>Oportuno!P74</f>
        <v>0</v>
      </c>
      <c r="Q74" s="174">
        <f>Oportuno!Q74</f>
        <v>0</v>
      </c>
      <c r="R74" s="174">
        <f>Oportuno!R74</f>
        <v>0</v>
      </c>
      <c r="S74" s="215">
        <f>Oportuno!S74</f>
        <v>0</v>
      </c>
      <c r="T74" s="71">
        <f>Oportuno!T74</f>
        <v>0</v>
      </c>
      <c r="U74" s="71">
        <f>Oportuno!U74</f>
        <v>0</v>
      </c>
      <c r="V74" s="117">
        <f>Oportuno!V74</f>
        <v>0</v>
      </c>
      <c r="W74" s="117">
        <f>Oportuno!W74</f>
        <v>0</v>
      </c>
      <c r="X74" s="71">
        <f>Oportuno!X74</f>
        <v>0</v>
      </c>
      <c r="Y74" s="71">
        <f>Oportuno!Y74</f>
        <v>0</v>
      </c>
      <c r="AA74" s="65"/>
    </row>
    <row r="75" spans="2:27 16101:16120" ht="13" customHeight="1">
      <c r="B75" s="119">
        <f>Oportuno!B75</f>
        <v>0</v>
      </c>
      <c r="C75" s="23">
        <f>Oportuno!C75</f>
        <v>2026091</v>
      </c>
      <c r="D75" s="23">
        <f>Oportuno!D75</f>
        <v>3</v>
      </c>
      <c r="E75" s="128">
        <f>Oportuno!E75</f>
        <v>0</v>
      </c>
      <c r="F75" s="126" t="e">
        <f>Oportuno!F75</f>
        <v>#N/A</v>
      </c>
      <c r="G75" s="36">
        <f>Oportuno!G75</f>
        <v>1</v>
      </c>
      <c r="H75" s="126" t="str">
        <f>Oportuno!H75</f>
        <v>Oficinas</v>
      </c>
      <c r="I75" s="130">
        <f>Oportuno!I75</f>
        <v>0</v>
      </c>
      <c r="J75" s="174">
        <f>Oportuno!J75</f>
        <v>0</v>
      </c>
      <c r="K75" s="174">
        <f>Oportuno!K75</f>
        <v>0</v>
      </c>
      <c r="L75" s="174">
        <f>Oportuno!L75</f>
        <v>0</v>
      </c>
      <c r="M75" s="174">
        <f>Oportuno!M75</f>
        <v>0</v>
      </c>
      <c r="N75" s="174">
        <f>Oportuno!N75</f>
        <v>0</v>
      </c>
      <c r="O75" s="174">
        <f>Oportuno!O75</f>
        <v>0</v>
      </c>
      <c r="P75" s="174">
        <f>Oportuno!P75</f>
        <v>0</v>
      </c>
      <c r="Q75" s="174">
        <f>Oportuno!Q75</f>
        <v>0</v>
      </c>
      <c r="R75" s="174">
        <f>Oportuno!R75</f>
        <v>0</v>
      </c>
      <c r="S75" s="215">
        <f>Oportuno!S75</f>
        <v>0</v>
      </c>
      <c r="T75" s="71">
        <f>Oportuno!T75</f>
        <v>0</v>
      </c>
      <c r="U75" s="71">
        <f>Oportuno!U75</f>
        <v>0</v>
      </c>
      <c r="V75" s="117">
        <f>Oportuno!V75</f>
        <v>0</v>
      </c>
      <c r="W75" s="117">
        <f>Oportuno!W75</f>
        <v>0</v>
      </c>
      <c r="X75" s="71">
        <f>Oportuno!X75</f>
        <v>0</v>
      </c>
      <c r="Y75" s="71">
        <f>Oportuno!Y75</f>
        <v>0</v>
      </c>
      <c r="AA75" s="65"/>
    </row>
    <row r="76" spans="2:27 16101:16120" ht="13" customHeight="1">
      <c r="B76" s="119">
        <f>Oportuno!B76</f>
        <v>0</v>
      </c>
      <c r="C76" s="23">
        <f>Oportuno!C76</f>
        <v>2026091</v>
      </c>
      <c r="D76" s="23">
        <f>Oportuno!D76</f>
        <v>3</v>
      </c>
      <c r="E76" s="128">
        <f>Oportuno!E76</f>
        <v>0</v>
      </c>
      <c r="F76" s="126" t="e">
        <f>Oportuno!F76</f>
        <v>#N/A</v>
      </c>
      <c r="G76" s="36">
        <f>Oportuno!G76</f>
        <v>1</v>
      </c>
      <c r="H76" s="126" t="str">
        <f>Oportuno!H76</f>
        <v>Oficinas</v>
      </c>
      <c r="I76" s="130">
        <f>Oportuno!I76</f>
        <v>0</v>
      </c>
      <c r="J76" s="174">
        <f>Oportuno!J76</f>
        <v>0</v>
      </c>
      <c r="K76" s="174">
        <f>Oportuno!K76</f>
        <v>0</v>
      </c>
      <c r="L76" s="174">
        <f>Oportuno!L76</f>
        <v>0</v>
      </c>
      <c r="M76" s="174">
        <f>Oportuno!M76</f>
        <v>0</v>
      </c>
      <c r="N76" s="174">
        <f>Oportuno!N76</f>
        <v>0</v>
      </c>
      <c r="O76" s="174">
        <f>Oportuno!O76</f>
        <v>0</v>
      </c>
      <c r="P76" s="174">
        <f>Oportuno!P76</f>
        <v>0</v>
      </c>
      <c r="Q76" s="174">
        <f>Oportuno!Q76</f>
        <v>0</v>
      </c>
      <c r="R76" s="174">
        <f>Oportuno!R76</f>
        <v>0</v>
      </c>
      <c r="S76" s="215">
        <f>Oportuno!S76</f>
        <v>0</v>
      </c>
      <c r="T76" s="71">
        <f>Oportuno!T76</f>
        <v>0</v>
      </c>
      <c r="U76" s="71">
        <f>Oportuno!U76</f>
        <v>0</v>
      </c>
      <c r="V76" s="117">
        <f>Oportuno!V76</f>
        <v>0</v>
      </c>
      <c r="W76" s="117">
        <f>Oportuno!W76</f>
        <v>0</v>
      </c>
      <c r="X76" s="71">
        <f>Oportuno!X76</f>
        <v>0</v>
      </c>
      <c r="Y76" s="71">
        <f>Oportuno!Y76</f>
        <v>0</v>
      </c>
      <c r="AA76" s="65"/>
    </row>
    <row r="77" spans="2:27 16101:16120" ht="13" customHeight="1">
      <c r="B77" s="119">
        <f>Oportuno!B77</f>
        <v>0</v>
      </c>
      <c r="C77" s="23">
        <f>Oportuno!C77</f>
        <v>2026091</v>
      </c>
      <c r="D77" s="23">
        <f>Oportuno!D77</f>
        <v>3</v>
      </c>
      <c r="E77" s="128">
        <f>Oportuno!E77</f>
        <v>0</v>
      </c>
      <c r="F77" s="126" t="e">
        <f>Oportuno!F77</f>
        <v>#N/A</v>
      </c>
      <c r="G77" s="36">
        <f>Oportuno!G77</f>
        <v>1</v>
      </c>
      <c r="H77" s="126" t="str">
        <f>Oportuno!H77</f>
        <v>Oficinas</v>
      </c>
      <c r="I77" s="130">
        <f>Oportuno!I77</f>
        <v>0</v>
      </c>
      <c r="J77" s="174">
        <f>Oportuno!J77</f>
        <v>0</v>
      </c>
      <c r="K77" s="174">
        <f>Oportuno!K77</f>
        <v>0</v>
      </c>
      <c r="L77" s="174">
        <f>Oportuno!L77</f>
        <v>0</v>
      </c>
      <c r="M77" s="174">
        <f>Oportuno!M77</f>
        <v>0</v>
      </c>
      <c r="N77" s="174">
        <f>Oportuno!N77</f>
        <v>0</v>
      </c>
      <c r="O77" s="174">
        <f>Oportuno!O77</f>
        <v>0</v>
      </c>
      <c r="P77" s="174">
        <f>Oportuno!P77</f>
        <v>0</v>
      </c>
      <c r="Q77" s="174">
        <f>Oportuno!Q77</f>
        <v>0</v>
      </c>
      <c r="R77" s="174">
        <f>Oportuno!R77</f>
        <v>0</v>
      </c>
      <c r="S77" s="215">
        <f>Oportuno!S77</f>
        <v>0</v>
      </c>
      <c r="T77" s="71">
        <f>Oportuno!T77</f>
        <v>0</v>
      </c>
      <c r="U77" s="71">
        <f>Oportuno!U77</f>
        <v>0</v>
      </c>
      <c r="V77" s="117">
        <f>Oportuno!V77</f>
        <v>0</v>
      </c>
      <c r="W77" s="117">
        <f>Oportuno!W77</f>
        <v>0</v>
      </c>
      <c r="X77" s="71">
        <f>Oportuno!X77</f>
        <v>0</v>
      </c>
      <c r="Y77" s="71">
        <f>Oportuno!Y77</f>
        <v>0</v>
      </c>
      <c r="AA77" s="65"/>
    </row>
    <row r="78" spans="2:27 16101:16120" ht="13" customHeight="1">
      <c r="B78" s="119">
        <f>Oportuno!B78</f>
        <v>0</v>
      </c>
      <c r="C78" s="23">
        <f>Oportuno!C78</f>
        <v>2026091</v>
      </c>
      <c r="D78" s="23">
        <f>Oportuno!D78</f>
        <v>3</v>
      </c>
      <c r="E78" s="128">
        <f>Oportuno!E78</f>
        <v>0</v>
      </c>
      <c r="F78" s="126" t="e">
        <f>Oportuno!F78</f>
        <v>#N/A</v>
      </c>
      <c r="G78" s="36">
        <f>Oportuno!G78</f>
        <v>1</v>
      </c>
      <c r="H78" s="126" t="str">
        <f>Oportuno!H78</f>
        <v>Oficinas</v>
      </c>
      <c r="I78" s="130">
        <f>Oportuno!I78</f>
        <v>0</v>
      </c>
      <c r="J78" s="174">
        <f>Oportuno!J78</f>
        <v>0</v>
      </c>
      <c r="K78" s="174">
        <f>Oportuno!K78</f>
        <v>0</v>
      </c>
      <c r="L78" s="174">
        <f>Oportuno!L78</f>
        <v>0</v>
      </c>
      <c r="M78" s="174">
        <f>Oportuno!M78</f>
        <v>0</v>
      </c>
      <c r="N78" s="174">
        <f>Oportuno!N78</f>
        <v>0</v>
      </c>
      <c r="O78" s="174">
        <f>Oportuno!O78</f>
        <v>0</v>
      </c>
      <c r="P78" s="174">
        <f>Oportuno!P78</f>
        <v>0</v>
      </c>
      <c r="Q78" s="174">
        <f>Oportuno!Q78</f>
        <v>0</v>
      </c>
      <c r="R78" s="174">
        <f>Oportuno!R78</f>
        <v>0</v>
      </c>
      <c r="S78" s="215">
        <f>Oportuno!S78</f>
        <v>0</v>
      </c>
      <c r="T78" s="71">
        <f>Oportuno!T78</f>
        <v>0</v>
      </c>
      <c r="U78" s="71">
        <f>Oportuno!U78</f>
        <v>0</v>
      </c>
      <c r="V78" s="117">
        <f>Oportuno!V78</f>
        <v>0</v>
      </c>
      <c r="W78" s="117">
        <f>Oportuno!W78</f>
        <v>0</v>
      </c>
      <c r="X78" s="71">
        <f>Oportuno!X78</f>
        <v>0</v>
      </c>
      <c r="Y78" s="71">
        <f>Oportuno!Y78</f>
        <v>0</v>
      </c>
      <c r="AA78" s="65"/>
    </row>
    <row r="79" spans="2:27 16101:16120" ht="13" customHeight="1">
      <c r="B79" s="119">
        <f>Oportuno!B79</f>
        <v>0</v>
      </c>
      <c r="C79" s="23">
        <f>Oportuno!C79</f>
        <v>2026091</v>
      </c>
      <c r="D79" s="23">
        <f>Oportuno!D79</f>
        <v>3</v>
      </c>
      <c r="E79" s="128">
        <f>Oportuno!E79</f>
        <v>0</v>
      </c>
      <c r="F79" s="126" t="e">
        <f>Oportuno!F79</f>
        <v>#N/A</v>
      </c>
      <c r="G79" s="36">
        <f>Oportuno!G79</f>
        <v>1</v>
      </c>
      <c r="H79" s="126" t="str">
        <f>Oportuno!H79</f>
        <v>Oficinas</v>
      </c>
      <c r="I79" s="130">
        <f>Oportuno!I79</f>
        <v>0</v>
      </c>
      <c r="J79" s="174">
        <f>Oportuno!J79</f>
        <v>0</v>
      </c>
      <c r="K79" s="174">
        <f>Oportuno!K79</f>
        <v>0</v>
      </c>
      <c r="L79" s="174">
        <f>Oportuno!L79</f>
        <v>0</v>
      </c>
      <c r="M79" s="174">
        <f>Oportuno!M79</f>
        <v>0</v>
      </c>
      <c r="N79" s="174">
        <f>Oportuno!N79</f>
        <v>0</v>
      </c>
      <c r="O79" s="174">
        <f>Oportuno!O79</f>
        <v>0</v>
      </c>
      <c r="P79" s="174">
        <f>Oportuno!P79</f>
        <v>0</v>
      </c>
      <c r="Q79" s="174">
        <f>Oportuno!Q79</f>
        <v>0</v>
      </c>
      <c r="R79" s="174">
        <f>Oportuno!R79</f>
        <v>0</v>
      </c>
      <c r="S79" s="215">
        <f>Oportuno!S79</f>
        <v>0</v>
      </c>
      <c r="T79" s="71">
        <f>Oportuno!T79</f>
        <v>0</v>
      </c>
      <c r="U79" s="71">
        <f>Oportuno!U79</f>
        <v>0</v>
      </c>
      <c r="V79" s="117">
        <f>Oportuno!V79</f>
        <v>0</v>
      </c>
      <c r="W79" s="117">
        <f>Oportuno!W79</f>
        <v>0</v>
      </c>
      <c r="X79" s="71">
        <f>Oportuno!X79</f>
        <v>0</v>
      </c>
      <c r="Y79" s="71">
        <f>Oportuno!Y79</f>
        <v>0</v>
      </c>
      <c r="AA79" s="65"/>
    </row>
    <row r="80" spans="2:27 16101:16120" ht="13" customHeight="1">
      <c r="B80" s="119">
        <f>Oportuno!B80</f>
        <v>0</v>
      </c>
      <c r="C80" s="23">
        <f>Oportuno!C80</f>
        <v>2026091</v>
      </c>
      <c r="D80" s="23">
        <f>Oportuno!D80</f>
        <v>3</v>
      </c>
      <c r="E80" s="128">
        <f>Oportuno!E80</f>
        <v>0</v>
      </c>
      <c r="F80" s="126" t="e">
        <f>Oportuno!F80</f>
        <v>#N/A</v>
      </c>
      <c r="G80" s="36">
        <f>Oportuno!G80</f>
        <v>1</v>
      </c>
      <c r="H80" s="126" t="str">
        <f>Oportuno!H80</f>
        <v>Oficinas</v>
      </c>
      <c r="I80" s="130">
        <f>Oportuno!I80</f>
        <v>0</v>
      </c>
      <c r="J80" s="174">
        <f>Oportuno!J80</f>
        <v>0</v>
      </c>
      <c r="K80" s="174">
        <f>Oportuno!K80</f>
        <v>0</v>
      </c>
      <c r="L80" s="174">
        <f>Oportuno!L80</f>
        <v>0</v>
      </c>
      <c r="M80" s="174">
        <f>Oportuno!M80</f>
        <v>0</v>
      </c>
      <c r="N80" s="174">
        <f>Oportuno!N80</f>
        <v>0</v>
      </c>
      <c r="O80" s="174">
        <f>Oportuno!O80</f>
        <v>0</v>
      </c>
      <c r="P80" s="174">
        <f>Oportuno!P80</f>
        <v>0</v>
      </c>
      <c r="Q80" s="174">
        <f>Oportuno!Q80</f>
        <v>0</v>
      </c>
      <c r="R80" s="174">
        <f>Oportuno!R80</f>
        <v>0</v>
      </c>
      <c r="S80" s="215">
        <f>Oportuno!S80</f>
        <v>0</v>
      </c>
      <c r="T80" s="71">
        <f>Oportuno!T80</f>
        <v>0</v>
      </c>
      <c r="U80" s="71">
        <f>Oportuno!U80</f>
        <v>0</v>
      </c>
      <c r="V80" s="117">
        <f>Oportuno!V80</f>
        <v>0</v>
      </c>
      <c r="W80" s="117">
        <f>Oportuno!W80</f>
        <v>0</v>
      </c>
      <c r="X80" s="71">
        <f>Oportuno!X80</f>
        <v>0</v>
      </c>
      <c r="Y80" s="71">
        <f>Oportuno!Y80</f>
        <v>0</v>
      </c>
      <c r="AA80" s="65"/>
    </row>
    <row r="81" spans="2:27 16101:16120" ht="13" customHeight="1">
      <c r="B81" s="119">
        <f>Oportuno!B81</f>
        <v>0</v>
      </c>
      <c r="C81" s="23">
        <f>Oportuno!C81</f>
        <v>2026091</v>
      </c>
      <c r="D81" s="23">
        <f>Oportuno!D81</f>
        <v>3</v>
      </c>
      <c r="E81" s="128">
        <f>Oportuno!E81</f>
        <v>0</v>
      </c>
      <c r="F81" s="126" t="e">
        <f>Oportuno!F81</f>
        <v>#N/A</v>
      </c>
      <c r="G81" s="36">
        <f>Oportuno!G81</f>
        <v>1</v>
      </c>
      <c r="H81" s="126" t="str">
        <f>Oportuno!H81</f>
        <v>Oficinas</v>
      </c>
      <c r="I81" s="130">
        <f>Oportuno!I81</f>
        <v>0</v>
      </c>
      <c r="J81" s="174">
        <f>Oportuno!J81</f>
        <v>0</v>
      </c>
      <c r="K81" s="174">
        <f>Oportuno!K81</f>
        <v>0</v>
      </c>
      <c r="L81" s="174">
        <f>Oportuno!L81</f>
        <v>0</v>
      </c>
      <c r="M81" s="174">
        <f>Oportuno!M81</f>
        <v>0</v>
      </c>
      <c r="N81" s="174">
        <f>Oportuno!N81</f>
        <v>0</v>
      </c>
      <c r="O81" s="174">
        <f>Oportuno!O81</f>
        <v>0</v>
      </c>
      <c r="P81" s="174">
        <f>Oportuno!P81</f>
        <v>0</v>
      </c>
      <c r="Q81" s="174">
        <f>Oportuno!Q81</f>
        <v>0</v>
      </c>
      <c r="R81" s="174">
        <f>Oportuno!R81</f>
        <v>0</v>
      </c>
      <c r="S81" s="215">
        <f>Oportuno!S81</f>
        <v>0</v>
      </c>
      <c r="T81" s="71">
        <f>Oportuno!T81</f>
        <v>0</v>
      </c>
      <c r="U81" s="71">
        <f>Oportuno!U81</f>
        <v>0</v>
      </c>
      <c r="V81" s="117">
        <f>Oportuno!V81</f>
        <v>0</v>
      </c>
      <c r="W81" s="117">
        <f>Oportuno!W81</f>
        <v>0</v>
      </c>
      <c r="X81" s="71">
        <f>Oportuno!X81</f>
        <v>0</v>
      </c>
      <c r="Y81" s="71">
        <f>Oportuno!Y81</f>
        <v>0</v>
      </c>
      <c r="AA81" s="65"/>
    </row>
    <row r="82" spans="2:27 16101:16120" ht="13" customHeight="1">
      <c r="B82" s="119">
        <f>Oportuno!B82</f>
        <v>0</v>
      </c>
      <c r="C82" s="23">
        <f>Oportuno!C82</f>
        <v>2026091</v>
      </c>
      <c r="D82" s="23">
        <f>Oportuno!D82</f>
        <v>3</v>
      </c>
      <c r="E82" s="128">
        <f>Oportuno!E82</f>
        <v>0</v>
      </c>
      <c r="F82" s="126" t="e">
        <f>Oportuno!F82</f>
        <v>#N/A</v>
      </c>
      <c r="G82" s="36">
        <f>Oportuno!G82</f>
        <v>1</v>
      </c>
      <c r="H82" s="126" t="str">
        <f>Oportuno!H82</f>
        <v>Oficinas</v>
      </c>
      <c r="I82" s="130">
        <f>Oportuno!I82</f>
        <v>0</v>
      </c>
      <c r="J82" s="174">
        <f>Oportuno!J82</f>
        <v>0</v>
      </c>
      <c r="K82" s="174">
        <f>Oportuno!K82</f>
        <v>0</v>
      </c>
      <c r="L82" s="174">
        <f>Oportuno!L82</f>
        <v>0</v>
      </c>
      <c r="M82" s="174">
        <f>Oportuno!M82</f>
        <v>0</v>
      </c>
      <c r="N82" s="174">
        <f>Oportuno!N82</f>
        <v>0</v>
      </c>
      <c r="O82" s="174">
        <f>Oportuno!O82</f>
        <v>0</v>
      </c>
      <c r="P82" s="174">
        <f>Oportuno!P82</f>
        <v>0</v>
      </c>
      <c r="Q82" s="174">
        <f>Oportuno!Q82</f>
        <v>0</v>
      </c>
      <c r="R82" s="174">
        <f>Oportuno!R82</f>
        <v>0</v>
      </c>
      <c r="S82" s="215">
        <f>Oportuno!S82</f>
        <v>0</v>
      </c>
      <c r="T82" s="71">
        <f>Oportuno!T82</f>
        <v>0</v>
      </c>
      <c r="U82" s="71">
        <f>Oportuno!U82</f>
        <v>0</v>
      </c>
      <c r="V82" s="117">
        <f>Oportuno!V82</f>
        <v>0</v>
      </c>
      <c r="W82" s="117">
        <f>Oportuno!W82</f>
        <v>0</v>
      </c>
      <c r="X82" s="71">
        <f>Oportuno!X82</f>
        <v>0</v>
      </c>
      <c r="Y82" s="71">
        <f>Oportuno!Y82</f>
        <v>0</v>
      </c>
      <c r="AA82" s="65"/>
    </row>
    <row r="83" spans="2:27 16101:16120" ht="13" customHeight="1">
      <c r="B83" s="119">
        <f>Oportuno!B83</f>
        <v>0</v>
      </c>
      <c r="C83" s="23">
        <f>Oportuno!C83</f>
        <v>2026091</v>
      </c>
      <c r="D83" s="23">
        <f>Oportuno!D83</f>
        <v>3</v>
      </c>
      <c r="E83" s="128">
        <f>Oportuno!E83</f>
        <v>0</v>
      </c>
      <c r="F83" s="126" t="e">
        <f>Oportuno!F83</f>
        <v>#N/A</v>
      </c>
      <c r="G83" s="36">
        <f>Oportuno!G83</f>
        <v>1</v>
      </c>
      <c r="H83" s="126" t="str">
        <f>Oportuno!H83</f>
        <v>Oficinas</v>
      </c>
      <c r="I83" s="130">
        <f>Oportuno!I83</f>
        <v>0</v>
      </c>
      <c r="J83" s="174">
        <f>Oportuno!J83</f>
        <v>0</v>
      </c>
      <c r="K83" s="174">
        <f>Oportuno!K83</f>
        <v>0</v>
      </c>
      <c r="L83" s="174">
        <f>Oportuno!L83</f>
        <v>0</v>
      </c>
      <c r="M83" s="174">
        <f>Oportuno!M83</f>
        <v>0</v>
      </c>
      <c r="N83" s="174">
        <f>Oportuno!N83</f>
        <v>0</v>
      </c>
      <c r="O83" s="174">
        <f>Oportuno!O83</f>
        <v>0</v>
      </c>
      <c r="P83" s="174">
        <f>Oportuno!P83</f>
        <v>0</v>
      </c>
      <c r="Q83" s="174">
        <f>Oportuno!Q83</f>
        <v>0</v>
      </c>
      <c r="R83" s="174">
        <f>Oportuno!R83</f>
        <v>0</v>
      </c>
      <c r="S83" s="215">
        <f>Oportuno!S83</f>
        <v>0</v>
      </c>
      <c r="T83" s="71">
        <f>Oportuno!T83</f>
        <v>0</v>
      </c>
      <c r="U83" s="71">
        <f>Oportuno!U83</f>
        <v>0</v>
      </c>
      <c r="V83" s="117">
        <f>Oportuno!V83</f>
        <v>0</v>
      </c>
      <c r="W83" s="117">
        <f>Oportuno!W83</f>
        <v>0</v>
      </c>
      <c r="X83" s="71">
        <f>Oportuno!X83</f>
        <v>0</v>
      </c>
      <c r="Y83" s="71">
        <f>Oportuno!Y83</f>
        <v>0</v>
      </c>
      <c r="AA83" s="65"/>
    </row>
    <row r="84" spans="2:27 16101:16120" ht="12" customHeight="1">
      <c r="B84" s="119">
        <f>Oportuno!B84</f>
        <v>0</v>
      </c>
      <c r="C84" s="23">
        <f>Oportuno!C84</f>
        <v>2026091</v>
      </c>
      <c r="D84" s="23">
        <f>Oportuno!D84</f>
        <v>3</v>
      </c>
      <c r="E84" s="128">
        <f>Oportuno!E84</f>
        <v>0</v>
      </c>
      <c r="F84" s="126" t="e">
        <f>Oportuno!F84</f>
        <v>#N/A</v>
      </c>
      <c r="G84" s="36">
        <f>Oportuno!G84</f>
        <v>1</v>
      </c>
      <c r="H84" s="126" t="str">
        <f>Oportuno!H84</f>
        <v>Oficinas</v>
      </c>
      <c r="I84" s="130">
        <f>Oportuno!I84</f>
        <v>0</v>
      </c>
      <c r="J84" s="174">
        <f>Oportuno!J84</f>
        <v>0</v>
      </c>
      <c r="K84" s="174">
        <f>Oportuno!K84</f>
        <v>0</v>
      </c>
      <c r="L84" s="174">
        <f>Oportuno!L84</f>
        <v>0</v>
      </c>
      <c r="M84" s="174">
        <f>Oportuno!M84</f>
        <v>0</v>
      </c>
      <c r="N84" s="174">
        <f>Oportuno!N84</f>
        <v>0</v>
      </c>
      <c r="O84" s="174">
        <f>Oportuno!O84</f>
        <v>0</v>
      </c>
      <c r="P84" s="174">
        <f>Oportuno!P84</f>
        <v>0</v>
      </c>
      <c r="Q84" s="174">
        <f>Oportuno!Q84</f>
        <v>0</v>
      </c>
      <c r="R84" s="174">
        <f>Oportuno!R84</f>
        <v>0</v>
      </c>
      <c r="S84" s="215">
        <f>Oportuno!S84</f>
        <v>0</v>
      </c>
      <c r="T84" s="71">
        <f>Oportuno!T84</f>
        <v>0</v>
      </c>
      <c r="U84" s="71">
        <f>Oportuno!U84</f>
        <v>0</v>
      </c>
      <c r="V84" s="117">
        <f>Oportuno!V84</f>
        <v>0</v>
      </c>
      <c r="W84" s="117">
        <f>Oportuno!W84</f>
        <v>0</v>
      </c>
      <c r="X84" s="71">
        <f>Oportuno!X84</f>
        <v>0</v>
      </c>
      <c r="Y84" s="71">
        <f>Oportuno!Y84</f>
        <v>0</v>
      </c>
      <c r="AA84" s="65"/>
    </row>
    <row r="85" spans="2:27 16101:16120" ht="13" customHeight="1">
      <c r="B85" s="119">
        <f>Oportuno!B85</f>
        <v>0</v>
      </c>
      <c r="C85" s="23">
        <f>Oportuno!C85</f>
        <v>2026091</v>
      </c>
      <c r="D85" s="23">
        <f>Oportuno!D85</f>
        <v>3</v>
      </c>
      <c r="E85" s="128">
        <f>Oportuno!E85</f>
        <v>0</v>
      </c>
      <c r="F85" s="126" t="e">
        <f>Oportuno!F85</f>
        <v>#N/A</v>
      </c>
      <c r="G85" s="36">
        <f>Oportuno!G85</f>
        <v>1</v>
      </c>
      <c r="H85" s="126" t="str">
        <f>Oportuno!H85</f>
        <v>Oficinas</v>
      </c>
      <c r="I85" s="130">
        <f>Oportuno!I85</f>
        <v>0</v>
      </c>
      <c r="J85" s="174">
        <f>Oportuno!J85</f>
        <v>0</v>
      </c>
      <c r="K85" s="174">
        <f>Oportuno!K85</f>
        <v>0</v>
      </c>
      <c r="L85" s="174">
        <f>Oportuno!L85</f>
        <v>0</v>
      </c>
      <c r="M85" s="174">
        <f>Oportuno!M85</f>
        <v>0</v>
      </c>
      <c r="N85" s="174">
        <f>Oportuno!N85</f>
        <v>0</v>
      </c>
      <c r="O85" s="174">
        <f>Oportuno!O85</f>
        <v>0</v>
      </c>
      <c r="P85" s="174">
        <f>Oportuno!P85</f>
        <v>0</v>
      </c>
      <c r="Q85" s="174">
        <f>Oportuno!Q85</f>
        <v>0</v>
      </c>
      <c r="R85" s="174">
        <f>Oportuno!R85</f>
        <v>0</v>
      </c>
      <c r="S85" s="215">
        <f>Oportuno!S85</f>
        <v>0</v>
      </c>
      <c r="T85" s="71">
        <f>Oportuno!T85</f>
        <v>0</v>
      </c>
      <c r="U85" s="71">
        <f>Oportuno!U85</f>
        <v>0</v>
      </c>
      <c r="V85" s="117">
        <f>Oportuno!V85</f>
        <v>0</v>
      </c>
      <c r="W85" s="117">
        <f>Oportuno!W85</f>
        <v>0</v>
      </c>
      <c r="X85" s="71">
        <f>Oportuno!X85</f>
        <v>0</v>
      </c>
      <c r="Y85" s="71">
        <f>Oportuno!Y85</f>
        <v>0</v>
      </c>
      <c r="AA85" s="65"/>
    </row>
    <row r="86" spans="2:27 16101:16120" ht="13" customHeight="1">
      <c r="B86" s="119">
        <f>Oportuno!B86</f>
        <v>0</v>
      </c>
      <c r="C86" s="23">
        <f>Oportuno!C86</f>
        <v>2026091</v>
      </c>
      <c r="D86" s="23">
        <f>Oportuno!D86</f>
        <v>3</v>
      </c>
      <c r="E86" s="128">
        <f>Oportuno!E86</f>
        <v>0</v>
      </c>
      <c r="F86" s="126" t="e">
        <f>Oportuno!F86</f>
        <v>#N/A</v>
      </c>
      <c r="G86" s="36">
        <f>Oportuno!G86</f>
        <v>1</v>
      </c>
      <c r="H86" s="126" t="str">
        <f>Oportuno!H86</f>
        <v>Oficinas</v>
      </c>
      <c r="I86" s="130">
        <f>Oportuno!I86</f>
        <v>0</v>
      </c>
      <c r="J86" s="174">
        <f>Oportuno!J86</f>
        <v>0</v>
      </c>
      <c r="K86" s="174">
        <f>Oportuno!K86</f>
        <v>0</v>
      </c>
      <c r="L86" s="174">
        <f>Oportuno!L86</f>
        <v>0</v>
      </c>
      <c r="M86" s="174">
        <f>Oportuno!M86</f>
        <v>0</v>
      </c>
      <c r="N86" s="174">
        <f>Oportuno!N86</f>
        <v>0</v>
      </c>
      <c r="O86" s="174">
        <f>Oportuno!O86</f>
        <v>0</v>
      </c>
      <c r="P86" s="174">
        <f>Oportuno!P86</f>
        <v>0</v>
      </c>
      <c r="Q86" s="174">
        <f>Oportuno!Q86</f>
        <v>0</v>
      </c>
      <c r="R86" s="174">
        <f>Oportuno!R86</f>
        <v>0</v>
      </c>
      <c r="S86" s="215">
        <f>Oportuno!S86</f>
        <v>0</v>
      </c>
      <c r="T86" s="71">
        <f>Oportuno!T86</f>
        <v>0</v>
      </c>
      <c r="U86" s="71">
        <f>Oportuno!U86</f>
        <v>0</v>
      </c>
      <c r="V86" s="117">
        <f>Oportuno!V86</f>
        <v>0</v>
      </c>
      <c r="W86" s="117">
        <f>Oportuno!W86</f>
        <v>0</v>
      </c>
      <c r="X86" s="71">
        <f>Oportuno!X86</f>
        <v>0</v>
      </c>
      <c r="Y86" s="71">
        <f>Oportuno!Y86</f>
        <v>0</v>
      </c>
      <c r="AA86" s="65"/>
    </row>
    <row r="87" spans="2:27 16101:16120" ht="13" customHeight="1">
      <c r="B87" s="119">
        <f>Oportuno!B87</f>
        <v>0</v>
      </c>
      <c r="C87" s="23">
        <f>Oportuno!C87</f>
        <v>2026091</v>
      </c>
      <c r="D87" s="23">
        <f>Oportuno!D87</f>
        <v>3</v>
      </c>
      <c r="E87" s="128">
        <f>Oportuno!E87</f>
        <v>0</v>
      </c>
      <c r="F87" s="126" t="e">
        <f>Oportuno!F87</f>
        <v>#N/A</v>
      </c>
      <c r="G87" s="36">
        <f>Oportuno!G87</f>
        <v>1</v>
      </c>
      <c r="H87" s="126" t="str">
        <f>Oportuno!H87</f>
        <v>Oficinas</v>
      </c>
      <c r="I87" s="130">
        <f>Oportuno!I87</f>
        <v>0</v>
      </c>
      <c r="J87" s="174">
        <f>Oportuno!J87</f>
        <v>0</v>
      </c>
      <c r="K87" s="174">
        <f>Oportuno!K87</f>
        <v>0</v>
      </c>
      <c r="L87" s="174">
        <f>Oportuno!L87</f>
        <v>0</v>
      </c>
      <c r="M87" s="174">
        <f>Oportuno!M87</f>
        <v>0</v>
      </c>
      <c r="N87" s="174">
        <f>Oportuno!N87</f>
        <v>0</v>
      </c>
      <c r="O87" s="174">
        <f>Oportuno!O87</f>
        <v>0</v>
      </c>
      <c r="P87" s="174">
        <f>Oportuno!P87</f>
        <v>0</v>
      </c>
      <c r="Q87" s="174">
        <f>Oportuno!Q87</f>
        <v>0</v>
      </c>
      <c r="R87" s="174">
        <f>Oportuno!R87</f>
        <v>0</v>
      </c>
      <c r="S87" s="215">
        <f>Oportuno!S87</f>
        <v>0</v>
      </c>
      <c r="T87" s="71">
        <f>Oportuno!T87</f>
        <v>0</v>
      </c>
      <c r="U87" s="71">
        <f>Oportuno!U87</f>
        <v>0</v>
      </c>
      <c r="V87" s="117">
        <f>Oportuno!V87</f>
        <v>0</v>
      </c>
      <c r="W87" s="117">
        <f>Oportuno!W87</f>
        <v>0</v>
      </c>
      <c r="X87" s="71">
        <f>Oportuno!X87</f>
        <v>0</v>
      </c>
      <c r="Y87" s="71">
        <f>Oportuno!Y87</f>
        <v>0</v>
      </c>
      <c r="AA87" s="65"/>
    </row>
    <row r="88" spans="2:27 16101:16120" ht="13" customHeight="1">
      <c r="B88" s="119">
        <f>Oportuno!B88</f>
        <v>0</v>
      </c>
      <c r="C88" s="23">
        <f>Oportuno!C88</f>
        <v>2026091</v>
      </c>
      <c r="D88" s="23">
        <f>Oportuno!D88</f>
        <v>3</v>
      </c>
      <c r="E88" s="128">
        <f>Oportuno!E88</f>
        <v>0</v>
      </c>
      <c r="F88" s="126" t="e">
        <f>Oportuno!F88</f>
        <v>#N/A</v>
      </c>
      <c r="G88" s="36">
        <f>Oportuno!G88</f>
        <v>1</v>
      </c>
      <c r="H88" s="126" t="str">
        <f>Oportuno!H88</f>
        <v>Oficinas</v>
      </c>
      <c r="I88" s="130">
        <f>Oportuno!I88</f>
        <v>0</v>
      </c>
      <c r="J88" s="174">
        <f>Oportuno!J88</f>
        <v>0</v>
      </c>
      <c r="K88" s="174">
        <f>Oportuno!K88</f>
        <v>0</v>
      </c>
      <c r="L88" s="174">
        <f>Oportuno!L88</f>
        <v>0</v>
      </c>
      <c r="M88" s="174">
        <f>Oportuno!M88</f>
        <v>0</v>
      </c>
      <c r="N88" s="174">
        <f>Oportuno!N88</f>
        <v>0</v>
      </c>
      <c r="O88" s="174">
        <f>Oportuno!O88</f>
        <v>0</v>
      </c>
      <c r="P88" s="174">
        <f>Oportuno!P88</f>
        <v>0</v>
      </c>
      <c r="Q88" s="174">
        <f>Oportuno!Q88</f>
        <v>0</v>
      </c>
      <c r="R88" s="174">
        <f>Oportuno!R88</f>
        <v>0</v>
      </c>
      <c r="S88" s="215">
        <f>Oportuno!S88</f>
        <v>0</v>
      </c>
      <c r="T88" s="71">
        <f>Oportuno!T88</f>
        <v>0</v>
      </c>
      <c r="U88" s="71">
        <f>Oportuno!U88</f>
        <v>0</v>
      </c>
      <c r="V88" s="117">
        <f>Oportuno!V88</f>
        <v>0</v>
      </c>
      <c r="W88" s="117">
        <f>Oportuno!W88</f>
        <v>0</v>
      </c>
      <c r="X88" s="71">
        <f>Oportuno!X88</f>
        <v>0</v>
      </c>
      <c r="Y88" s="71">
        <f>Oportuno!Y88</f>
        <v>0</v>
      </c>
      <c r="AA88" s="65"/>
    </row>
    <row r="89" spans="2:27 16101:16120" ht="13" customHeight="1">
      <c r="B89" s="119">
        <f>Oportuno!B89</f>
        <v>0</v>
      </c>
      <c r="C89" s="23">
        <f>Oportuno!C89</f>
        <v>2026091</v>
      </c>
      <c r="D89" s="23">
        <f>Oportuno!D89</f>
        <v>3</v>
      </c>
      <c r="E89" s="128">
        <f>Oportuno!E89</f>
        <v>0</v>
      </c>
      <c r="F89" s="126" t="e">
        <f>Oportuno!F89</f>
        <v>#N/A</v>
      </c>
      <c r="G89" s="36">
        <f>Oportuno!G89</f>
        <v>1</v>
      </c>
      <c r="H89" s="126" t="str">
        <f>Oportuno!H89</f>
        <v>Oficinas</v>
      </c>
      <c r="I89" s="130">
        <f>Oportuno!I89</f>
        <v>0</v>
      </c>
      <c r="J89" s="174">
        <f>Oportuno!J89</f>
        <v>0</v>
      </c>
      <c r="K89" s="174">
        <f>Oportuno!K89</f>
        <v>0</v>
      </c>
      <c r="L89" s="174">
        <f>Oportuno!L89</f>
        <v>0</v>
      </c>
      <c r="M89" s="174">
        <f>Oportuno!M89</f>
        <v>0</v>
      </c>
      <c r="N89" s="174">
        <f>Oportuno!N89</f>
        <v>0</v>
      </c>
      <c r="O89" s="174">
        <f>Oportuno!O89</f>
        <v>0</v>
      </c>
      <c r="P89" s="174">
        <f>Oportuno!P89</f>
        <v>0</v>
      </c>
      <c r="Q89" s="174">
        <f>Oportuno!Q89</f>
        <v>0</v>
      </c>
      <c r="R89" s="174">
        <f>Oportuno!R89</f>
        <v>0</v>
      </c>
      <c r="S89" s="215">
        <f>Oportuno!S89</f>
        <v>0</v>
      </c>
      <c r="T89" s="71">
        <f>Oportuno!T89</f>
        <v>0</v>
      </c>
      <c r="U89" s="71">
        <f>Oportuno!U89</f>
        <v>0</v>
      </c>
      <c r="V89" s="117">
        <f>Oportuno!V89</f>
        <v>0</v>
      </c>
      <c r="W89" s="117">
        <f>Oportuno!W89</f>
        <v>0</v>
      </c>
      <c r="X89" s="71">
        <f>Oportuno!X89</f>
        <v>0</v>
      </c>
      <c r="Y89" s="71">
        <f>Oportuno!Y89</f>
        <v>0</v>
      </c>
      <c r="AA89" s="65"/>
    </row>
    <row r="90" spans="2:27 16101:16120" ht="13" customHeight="1">
      <c r="B90" s="119">
        <f>Oportuno!B90</f>
        <v>0</v>
      </c>
      <c r="C90" s="23">
        <f>Oportuno!C90</f>
        <v>2026091</v>
      </c>
      <c r="D90" s="23">
        <f>Oportuno!D90</f>
        <v>3</v>
      </c>
      <c r="E90" s="128">
        <f>Oportuno!E90</f>
        <v>0</v>
      </c>
      <c r="F90" s="126" t="e">
        <f>Oportuno!F90</f>
        <v>#N/A</v>
      </c>
      <c r="G90" s="36">
        <f>Oportuno!G90</f>
        <v>1</v>
      </c>
      <c r="H90" s="126" t="str">
        <f>Oportuno!H90</f>
        <v>Oficinas</v>
      </c>
      <c r="I90" s="130">
        <f>Oportuno!I90</f>
        <v>0</v>
      </c>
      <c r="J90" s="174">
        <f>Oportuno!J90</f>
        <v>0</v>
      </c>
      <c r="K90" s="174">
        <f>Oportuno!K90</f>
        <v>0</v>
      </c>
      <c r="L90" s="174">
        <f>Oportuno!L90</f>
        <v>0</v>
      </c>
      <c r="M90" s="174">
        <f>Oportuno!M90</f>
        <v>0</v>
      </c>
      <c r="N90" s="174">
        <f>Oportuno!N90</f>
        <v>0</v>
      </c>
      <c r="O90" s="174">
        <f>Oportuno!O90</f>
        <v>0</v>
      </c>
      <c r="P90" s="174">
        <f>Oportuno!P90</f>
        <v>0</v>
      </c>
      <c r="Q90" s="174">
        <f>Oportuno!Q90</f>
        <v>0</v>
      </c>
      <c r="R90" s="174">
        <f>Oportuno!R90</f>
        <v>0</v>
      </c>
      <c r="S90" s="215">
        <f>Oportuno!S90</f>
        <v>0</v>
      </c>
      <c r="T90" s="71">
        <f>Oportuno!T90</f>
        <v>0</v>
      </c>
      <c r="U90" s="71">
        <f>Oportuno!U90</f>
        <v>0</v>
      </c>
      <c r="V90" s="117">
        <f>Oportuno!V90</f>
        <v>0</v>
      </c>
      <c r="W90" s="117">
        <f>Oportuno!W90</f>
        <v>0</v>
      </c>
      <c r="X90" s="71">
        <f>Oportuno!X90</f>
        <v>0</v>
      </c>
      <c r="Y90" s="71">
        <f>Oportuno!Y90</f>
        <v>0</v>
      </c>
      <c r="AA90" s="65"/>
    </row>
    <row r="91" spans="2:27 16101:16120" ht="13" customHeight="1">
      <c r="B91" s="119">
        <f>Oportuno!B91</f>
        <v>0</v>
      </c>
      <c r="C91" s="23">
        <f>Oportuno!C91</f>
        <v>2026091</v>
      </c>
      <c r="D91" s="23">
        <f>Oportuno!D91</f>
        <v>3</v>
      </c>
      <c r="E91" s="128">
        <f>Oportuno!E91</f>
        <v>0</v>
      </c>
      <c r="F91" s="126" t="e">
        <f>Oportuno!F91</f>
        <v>#N/A</v>
      </c>
      <c r="G91" s="36">
        <f>Oportuno!G91</f>
        <v>1</v>
      </c>
      <c r="H91" s="126" t="str">
        <f>Oportuno!H91</f>
        <v>Oficinas</v>
      </c>
      <c r="I91" s="130">
        <f>Oportuno!I91</f>
        <v>0</v>
      </c>
      <c r="J91" s="174">
        <f>Oportuno!J91</f>
        <v>0</v>
      </c>
      <c r="K91" s="174">
        <f>Oportuno!K91</f>
        <v>0</v>
      </c>
      <c r="L91" s="174">
        <f>Oportuno!L91</f>
        <v>0</v>
      </c>
      <c r="M91" s="174">
        <f>Oportuno!M91</f>
        <v>0</v>
      </c>
      <c r="N91" s="174">
        <f>Oportuno!N91</f>
        <v>0</v>
      </c>
      <c r="O91" s="174">
        <f>Oportuno!O91</f>
        <v>0</v>
      </c>
      <c r="P91" s="174">
        <f>Oportuno!P91</f>
        <v>0</v>
      </c>
      <c r="Q91" s="174">
        <f>Oportuno!Q91</f>
        <v>0</v>
      </c>
      <c r="R91" s="174">
        <f>Oportuno!R91</f>
        <v>0</v>
      </c>
      <c r="S91" s="215">
        <f>Oportuno!S91</f>
        <v>0</v>
      </c>
      <c r="T91" s="71">
        <f>Oportuno!T91</f>
        <v>0</v>
      </c>
      <c r="U91" s="71">
        <f>Oportuno!U91</f>
        <v>0</v>
      </c>
      <c r="V91" s="117">
        <f>Oportuno!V91</f>
        <v>0</v>
      </c>
      <c r="W91" s="117">
        <f>Oportuno!W91</f>
        <v>0</v>
      </c>
      <c r="X91" s="71">
        <f>Oportuno!X91</f>
        <v>0</v>
      </c>
      <c r="Y91" s="71">
        <f>Oportuno!Y91</f>
        <v>0</v>
      </c>
      <c r="AA91" s="65"/>
    </row>
    <row r="92" spans="2:27 16101:16120" ht="13" customHeight="1">
      <c r="B92" s="119">
        <f>Oportuno!B92</f>
        <v>0</v>
      </c>
      <c r="C92" s="23">
        <f>Oportuno!C92</f>
        <v>2026091</v>
      </c>
      <c r="D92" s="23">
        <f>Oportuno!D92</f>
        <v>3</v>
      </c>
      <c r="E92" s="128">
        <f>Oportuno!E92</f>
        <v>0</v>
      </c>
      <c r="F92" s="126" t="e">
        <f>Oportuno!F92</f>
        <v>#N/A</v>
      </c>
      <c r="G92" s="36">
        <f>Oportuno!G92</f>
        <v>1</v>
      </c>
      <c r="H92" s="126" t="str">
        <f>Oportuno!H92</f>
        <v>Oficinas</v>
      </c>
      <c r="I92" s="130">
        <f>Oportuno!I92</f>
        <v>0</v>
      </c>
      <c r="J92" s="174">
        <f>Oportuno!J92</f>
        <v>0</v>
      </c>
      <c r="K92" s="174">
        <f>Oportuno!K92</f>
        <v>0</v>
      </c>
      <c r="L92" s="174">
        <f>Oportuno!L92</f>
        <v>0</v>
      </c>
      <c r="M92" s="174">
        <f>Oportuno!M92</f>
        <v>0</v>
      </c>
      <c r="N92" s="174">
        <f>Oportuno!N92</f>
        <v>0</v>
      </c>
      <c r="O92" s="174">
        <f>Oportuno!O92</f>
        <v>0</v>
      </c>
      <c r="P92" s="174">
        <f>Oportuno!P92</f>
        <v>0</v>
      </c>
      <c r="Q92" s="174">
        <f>Oportuno!Q92</f>
        <v>0</v>
      </c>
      <c r="R92" s="174">
        <f>Oportuno!R92</f>
        <v>0</v>
      </c>
      <c r="S92" s="215">
        <f>Oportuno!S92</f>
        <v>0</v>
      </c>
      <c r="T92" s="71">
        <f>Oportuno!T92</f>
        <v>0</v>
      </c>
      <c r="U92" s="71">
        <f>Oportuno!U92</f>
        <v>0</v>
      </c>
      <c r="V92" s="117">
        <f>Oportuno!V92</f>
        <v>0</v>
      </c>
      <c r="W92" s="117">
        <f>Oportuno!W92</f>
        <v>0</v>
      </c>
      <c r="X92" s="71">
        <f>Oportuno!X92</f>
        <v>0</v>
      </c>
      <c r="Y92" s="71">
        <f>Oportuno!Y92</f>
        <v>0</v>
      </c>
      <c r="AA92" s="65"/>
    </row>
    <row r="93" spans="2:27 16101:16120" ht="13" customHeight="1" thickBot="1">
      <c r="B93" s="119">
        <f>Oportuno!B93</f>
        <v>0</v>
      </c>
      <c r="C93" s="23">
        <f>Oportuno!C93</f>
        <v>2026091</v>
      </c>
      <c r="D93" s="23">
        <f>Oportuno!D93</f>
        <v>3</v>
      </c>
      <c r="E93" s="128">
        <f>Oportuno!E93</f>
        <v>0</v>
      </c>
      <c r="F93" s="126" t="e">
        <f>Oportuno!F93</f>
        <v>#N/A</v>
      </c>
      <c r="G93" s="36">
        <f>Oportuno!G93</f>
        <v>1</v>
      </c>
      <c r="H93" s="126" t="str">
        <f>Oportuno!H93</f>
        <v>Oficinas</v>
      </c>
      <c r="I93" s="130">
        <f>Oportuno!I93</f>
        <v>0</v>
      </c>
      <c r="J93" s="174">
        <f>Oportuno!J93</f>
        <v>0</v>
      </c>
      <c r="K93" s="174">
        <f>Oportuno!K93</f>
        <v>0</v>
      </c>
      <c r="L93" s="174">
        <f>Oportuno!L93</f>
        <v>0</v>
      </c>
      <c r="M93" s="174">
        <f>Oportuno!M93</f>
        <v>0</v>
      </c>
      <c r="N93" s="174">
        <f>Oportuno!N93</f>
        <v>0</v>
      </c>
      <c r="O93" s="174">
        <f>Oportuno!O93</f>
        <v>0</v>
      </c>
      <c r="P93" s="174">
        <f>Oportuno!P93</f>
        <v>0</v>
      </c>
      <c r="Q93" s="174">
        <f>Oportuno!Q93</f>
        <v>0</v>
      </c>
      <c r="R93" s="174">
        <f>Oportuno!R93</f>
        <v>0</v>
      </c>
      <c r="S93" s="215">
        <f>Oportuno!S93</f>
        <v>0</v>
      </c>
      <c r="T93" s="71">
        <f>Oportuno!T93</f>
        <v>0</v>
      </c>
      <c r="U93" s="71">
        <f>Oportuno!U93</f>
        <v>0</v>
      </c>
      <c r="V93" s="117">
        <f>Oportuno!V93</f>
        <v>0</v>
      </c>
      <c r="W93" s="117">
        <f>Oportuno!W93</f>
        <v>0</v>
      </c>
      <c r="X93" s="71">
        <f>Oportuno!X93</f>
        <v>0</v>
      </c>
      <c r="Y93" s="71">
        <f>Oportuno!Y93</f>
        <v>0</v>
      </c>
      <c r="AA93" s="65"/>
    </row>
    <row r="94" spans="2:27 16101:16120" ht="13" customHeight="1" thickBot="1">
      <c r="B94" s="1" t="s">
        <v>0</v>
      </c>
      <c r="C94" s="1" t="s">
        <v>0</v>
      </c>
      <c r="D94" s="20" t="s">
        <v>0</v>
      </c>
      <c r="E94" s="120" t="str">
        <f>Oportuno!E94</f>
        <v xml:space="preserve"> </v>
      </c>
      <c r="F94" s="121" t="str">
        <f>Oportuno!F94</f>
        <v>TOTAL RECAUDO</v>
      </c>
      <c r="G94" s="121" t="s">
        <v>0</v>
      </c>
      <c r="H94" s="121" t="s">
        <v>0</v>
      </c>
      <c r="I94" s="121" t="s">
        <v>0</v>
      </c>
      <c r="J94" s="122">
        <f>Oportuno!J94</f>
        <v>0</v>
      </c>
      <c r="K94" s="122">
        <f>Oportuno!K94</f>
        <v>0</v>
      </c>
      <c r="L94" s="122">
        <f>Oportuno!L94</f>
        <v>0</v>
      </c>
      <c r="M94" s="122">
        <f>Oportuno!M94</f>
        <v>0</v>
      </c>
      <c r="N94" s="122">
        <f>Oportuno!N94</f>
        <v>0</v>
      </c>
      <c r="O94" s="122">
        <f>Oportuno!O94</f>
        <v>0</v>
      </c>
      <c r="P94" s="122">
        <f>Oportuno!P94</f>
        <v>0</v>
      </c>
      <c r="Q94" s="122">
        <f>Oportuno!Q94</f>
        <v>0</v>
      </c>
      <c r="R94" s="122">
        <f>Oportuno!R94</f>
        <v>330</v>
      </c>
      <c r="S94" s="122">
        <f>Oportuno!S94</f>
        <v>14638040</v>
      </c>
      <c r="T94" s="122">
        <f>Oportuno!T94</f>
        <v>330</v>
      </c>
      <c r="U94" s="122">
        <f>Oportuno!U94</f>
        <v>14638040</v>
      </c>
      <c r="V94" s="123">
        <f>Oportuno!V94</f>
        <v>330</v>
      </c>
      <c r="W94" s="123">
        <f>Oportuno!W94</f>
        <v>14638040</v>
      </c>
      <c r="X94" s="122">
        <f>Oportuno!X94</f>
        <v>0</v>
      </c>
      <c r="Y94" s="123">
        <f>Oportuno!Y94</f>
        <v>0</v>
      </c>
      <c r="AA94" s="65"/>
    </row>
    <row r="95" spans="2:27 16101:16120" ht="13" thickBot="1">
      <c r="AA95" s="65"/>
    </row>
    <row r="96" spans="2:27 16101:16120" ht="41.25" customHeight="1" thickBot="1">
      <c r="B96" s="112" t="s">
        <v>4</v>
      </c>
      <c r="C96" s="34" t="s">
        <v>6</v>
      </c>
      <c r="D96" s="34" t="s">
        <v>7</v>
      </c>
      <c r="E96" s="34" t="s">
        <v>49</v>
      </c>
      <c r="F96" s="34" t="s">
        <v>50</v>
      </c>
      <c r="G96" s="34" t="s">
        <v>51</v>
      </c>
      <c r="H96" s="34" t="s">
        <v>52</v>
      </c>
      <c r="I96" s="34" t="s">
        <v>13</v>
      </c>
      <c r="J96" s="231" t="s">
        <v>8</v>
      </c>
      <c r="K96" s="231" t="s">
        <v>36</v>
      </c>
      <c r="L96" s="12" t="s">
        <v>9</v>
      </c>
      <c r="M96" s="12" t="s">
        <v>37</v>
      </c>
      <c r="N96" s="87" t="s">
        <v>10</v>
      </c>
      <c r="O96" s="88" t="s">
        <v>38</v>
      </c>
      <c r="P96" s="87" t="s">
        <v>11</v>
      </c>
      <c r="Q96" s="88" t="s">
        <v>39</v>
      </c>
      <c r="R96" s="232" t="s">
        <v>12</v>
      </c>
      <c r="S96" s="233" t="s">
        <v>40</v>
      </c>
      <c r="T96" s="64" t="s">
        <v>41</v>
      </c>
      <c r="U96" s="64" t="s">
        <v>42</v>
      </c>
      <c r="V96" s="35" t="s">
        <v>32</v>
      </c>
      <c r="W96" s="67" t="s">
        <v>35</v>
      </c>
      <c r="X96" s="12" t="s">
        <v>34</v>
      </c>
      <c r="Y96" s="68" t="s">
        <v>33</v>
      </c>
      <c r="AA96" s="66"/>
      <c r="WUG96" s="1"/>
      <c r="WUH96" s="1"/>
      <c r="WUY96"/>
      <c r="WUZ96"/>
    </row>
    <row r="97" spans="2:27" ht="13" customHeight="1">
      <c r="B97" s="119" t="str">
        <f>Oportuno!B97</f>
        <v>7/09/2026</v>
      </c>
      <c r="C97" s="24">
        <f>Oportuno!C97</f>
        <v>2026091</v>
      </c>
      <c r="D97" s="24">
        <f>Oportuno!D97</f>
        <v>4</v>
      </c>
      <c r="E97" s="127">
        <f>Oportuno!E97</f>
        <v>20</v>
      </c>
      <c r="F97" s="125" t="str">
        <f>Oportuno!F97</f>
        <v>Bancolombia ENERBIT</v>
      </c>
      <c r="G97" s="18">
        <f>Oportuno!G97</f>
        <v>1</v>
      </c>
      <c r="H97" s="125" t="str">
        <f>Oportuno!H97</f>
        <v>Oficinas</v>
      </c>
      <c r="I97" s="129">
        <f>Oportuno!I97</f>
        <v>0</v>
      </c>
      <c r="J97" s="213">
        <f>Oportuno!J97</f>
        <v>0</v>
      </c>
      <c r="K97" s="213">
        <f>Oportuno!K97</f>
        <v>0</v>
      </c>
      <c r="L97" s="213">
        <f>Oportuno!L97</f>
        <v>0</v>
      </c>
      <c r="M97" s="213">
        <f>Oportuno!M97</f>
        <v>0</v>
      </c>
      <c r="N97" s="213">
        <f>Oportuno!N97</f>
        <v>0</v>
      </c>
      <c r="O97" s="213">
        <f>Oportuno!O97</f>
        <v>0</v>
      </c>
      <c r="P97" s="213">
        <f>Oportuno!P97</f>
        <v>0</v>
      </c>
      <c r="Q97" s="213">
        <f>Oportuno!Q97</f>
        <v>0</v>
      </c>
      <c r="R97" s="213">
        <f>Oportuno!R97</f>
        <v>216</v>
      </c>
      <c r="S97" s="214">
        <f>Oportuno!S97</f>
        <v>9174690</v>
      </c>
      <c r="T97" s="70">
        <f>Oportuno!T97</f>
        <v>216</v>
      </c>
      <c r="U97" s="70">
        <f>Oportuno!U97</f>
        <v>9174690</v>
      </c>
      <c r="V97" s="116">
        <f>Oportuno!V97</f>
        <v>216</v>
      </c>
      <c r="W97" s="116">
        <f>Oportuno!W97</f>
        <v>9174690</v>
      </c>
      <c r="X97" s="70">
        <f>Oportuno!X97</f>
        <v>0</v>
      </c>
      <c r="Y97" s="70">
        <f>Oportuno!Y97</f>
        <v>0</v>
      </c>
      <c r="AA97" s="65"/>
    </row>
    <row r="98" spans="2:27" ht="13" customHeight="1">
      <c r="B98" s="119">
        <f>Oportuno!B98</f>
        <v>0</v>
      </c>
      <c r="C98" s="23">
        <f>Oportuno!C98</f>
        <v>2026091</v>
      </c>
      <c r="D98" s="23">
        <f>Oportuno!D98</f>
        <v>4</v>
      </c>
      <c r="E98" s="128">
        <f>Oportuno!E98</f>
        <v>0</v>
      </c>
      <c r="F98" s="126" t="e">
        <f>Oportuno!F98</f>
        <v>#N/A</v>
      </c>
      <c r="G98" s="36">
        <f>Oportuno!G98</f>
        <v>1</v>
      </c>
      <c r="H98" s="126" t="str">
        <f>Oportuno!H98</f>
        <v>Oficinas</v>
      </c>
      <c r="I98" s="130">
        <f>Oportuno!I98</f>
        <v>0</v>
      </c>
      <c r="J98" s="174">
        <f>Oportuno!J98</f>
        <v>0</v>
      </c>
      <c r="K98" s="174">
        <f>Oportuno!K98</f>
        <v>0</v>
      </c>
      <c r="L98" s="174">
        <f>Oportuno!L98</f>
        <v>0</v>
      </c>
      <c r="M98" s="174">
        <f>Oportuno!M98</f>
        <v>0</v>
      </c>
      <c r="N98" s="174">
        <f>Oportuno!N98</f>
        <v>0</v>
      </c>
      <c r="O98" s="174">
        <f>Oportuno!O98</f>
        <v>0</v>
      </c>
      <c r="P98" s="174">
        <f>Oportuno!P98</f>
        <v>0</v>
      </c>
      <c r="Q98" s="174">
        <f>Oportuno!Q98</f>
        <v>0</v>
      </c>
      <c r="R98" s="174">
        <f>Oportuno!R98</f>
        <v>0</v>
      </c>
      <c r="S98" s="215">
        <f>Oportuno!S98</f>
        <v>0</v>
      </c>
      <c r="T98" s="71">
        <f>Oportuno!T98</f>
        <v>0</v>
      </c>
      <c r="U98" s="71">
        <f>Oportuno!U98</f>
        <v>0</v>
      </c>
      <c r="V98" s="117">
        <f>Oportuno!V98</f>
        <v>0</v>
      </c>
      <c r="W98" s="117">
        <f>Oportuno!W98</f>
        <v>0</v>
      </c>
      <c r="X98" s="71">
        <f>Oportuno!X98</f>
        <v>0</v>
      </c>
      <c r="Y98" s="71">
        <f>Oportuno!Y98</f>
        <v>0</v>
      </c>
      <c r="AA98" s="65"/>
    </row>
    <row r="99" spans="2:27" ht="13" customHeight="1">
      <c r="B99" s="119">
        <f>Oportuno!B99</f>
        <v>0</v>
      </c>
      <c r="C99" s="23">
        <f>Oportuno!C99</f>
        <v>2026091</v>
      </c>
      <c r="D99" s="23">
        <f>Oportuno!D99</f>
        <v>4</v>
      </c>
      <c r="E99" s="128">
        <f>Oportuno!E99</f>
        <v>0</v>
      </c>
      <c r="F99" s="126" t="e">
        <f>Oportuno!F99</f>
        <v>#N/A</v>
      </c>
      <c r="G99" s="36">
        <f>Oportuno!G99</f>
        <v>1</v>
      </c>
      <c r="H99" s="126" t="str">
        <f>Oportuno!H99</f>
        <v>Oficinas</v>
      </c>
      <c r="I99" s="130">
        <f>Oportuno!I99</f>
        <v>0</v>
      </c>
      <c r="J99" s="174">
        <f>Oportuno!J99</f>
        <v>0</v>
      </c>
      <c r="K99" s="174">
        <f>Oportuno!K99</f>
        <v>0</v>
      </c>
      <c r="L99" s="174">
        <f>Oportuno!L99</f>
        <v>0</v>
      </c>
      <c r="M99" s="174">
        <f>Oportuno!M99</f>
        <v>0</v>
      </c>
      <c r="N99" s="174">
        <f>Oportuno!N99</f>
        <v>0</v>
      </c>
      <c r="O99" s="174">
        <f>Oportuno!O99</f>
        <v>0</v>
      </c>
      <c r="P99" s="174">
        <f>Oportuno!P99</f>
        <v>0</v>
      </c>
      <c r="Q99" s="174">
        <f>Oportuno!Q99</f>
        <v>0</v>
      </c>
      <c r="R99" s="174">
        <f>Oportuno!R99</f>
        <v>0</v>
      </c>
      <c r="S99" s="215">
        <f>Oportuno!S99</f>
        <v>0</v>
      </c>
      <c r="T99" s="71">
        <f>Oportuno!T99</f>
        <v>0</v>
      </c>
      <c r="U99" s="71">
        <f>Oportuno!U99</f>
        <v>0</v>
      </c>
      <c r="V99" s="117">
        <f>Oportuno!V99</f>
        <v>0</v>
      </c>
      <c r="W99" s="117">
        <f>Oportuno!W99</f>
        <v>0</v>
      </c>
      <c r="X99" s="71">
        <f>Oportuno!X99</f>
        <v>0</v>
      </c>
      <c r="Y99" s="71">
        <f>Oportuno!Y99</f>
        <v>0</v>
      </c>
      <c r="AA99" s="65"/>
    </row>
    <row r="100" spans="2:27" ht="13" customHeight="1">
      <c r="B100" s="119">
        <f>Oportuno!B100</f>
        <v>0</v>
      </c>
      <c r="C100" s="23">
        <f>Oportuno!C100</f>
        <v>2026091</v>
      </c>
      <c r="D100" s="23">
        <f>Oportuno!D100</f>
        <v>4</v>
      </c>
      <c r="E100" s="128">
        <f>Oportuno!E100</f>
        <v>0</v>
      </c>
      <c r="F100" s="126" t="e">
        <f>Oportuno!F100</f>
        <v>#N/A</v>
      </c>
      <c r="G100" s="36">
        <f>Oportuno!G100</f>
        <v>1</v>
      </c>
      <c r="H100" s="126" t="str">
        <f>Oportuno!H100</f>
        <v>Oficinas</v>
      </c>
      <c r="I100" s="130">
        <f>Oportuno!I100</f>
        <v>0</v>
      </c>
      <c r="J100" s="174">
        <f>Oportuno!J100</f>
        <v>0</v>
      </c>
      <c r="K100" s="174">
        <f>Oportuno!K100</f>
        <v>0</v>
      </c>
      <c r="L100" s="174">
        <f>Oportuno!L100</f>
        <v>0</v>
      </c>
      <c r="M100" s="174">
        <f>Oportuno!M100</f>
        <v>0</v>
      </c>
      <c r="N100" s="174">
        <f>Oportuno!N100</f>
        <v>0</v>
      </c>
      <c r="O100" s="174">
        <f>Oportuno!O100</f>
        <v>0</v>
      </c>
      <c r="P100" s="174">
        <f>Oportuno!P100</f>
        <v>0</v>
      </c>
      <c r="Q100" s="174">
        <f>Oportuno!Q100</f>
        <v>0</v>
      </c>
      <c r="R100" s="174">
        <f>Oportuno!R100</f>
        <v>0</v>
      </c>
      <c r="S100" s="215">
        <f>Oportuno!S100</f>
        <v>0</v>
      </c>
      <c r="T100" s="71">
        <f>Oportuno!T100</f>
        <v>0</v>
      </c>
      <c r="U100" s="71">
        <f>Oportuno!U100</f>
        <v>0</v>
      </c>
      <c r="V100" s="117">
        <f>Oportuno!V100</f>
        <v>0</v>
      </c>
      <c r="W100" s="117">
        <f>Oportuno!W100</f>
        <v>0</v>
      </c>
      <c r="X100" s="71">
        <f>Oportuno!X100</f>
        <v>0</v>
      </c>
      <c r="Y100" s="71">
        <f>Oportuno!Y100</f>
        <v>0</v>
      </c>
      <c r="AA100" s="65"/>
    </row>
    <row r="101" spans="2:27" ht="13" customHeight="1">
      <c r="B101" s="119">
        <f>Oportuno!B101</f>
        <v>0</v>
      </c>
      <c r="C101" s="23">
        <f>Oportuno!C101</f>
        <v>2026091</v>
      </c>
      <c r="D101" s="23">
        <f>Oportuno!D101</f>
        <v>4</v>
      </c>
      <c r="E101" s="128">
        <f>Oportuno!E101</f>
        <v>0</v>
      </c>
      <c r="F101" s="126" t="e">
        <f>Oportuno!F101</f>
        <v>#N/A</v>
      </c>
      <c r="G101" s="36">
        <f>Oportuno!G101</f>
        <v>1</v>
      </c>
      <c r="H101" s="126" t="str">
        <f>Oportuno!H101</f>
        <v>Oficinas</v>
      </c>
      <c r="I101" s="130">
        <f>Oportuno!I101</f>
        <v>0</v>
      </c>
      <c r="J101" s="174">
        <f>Oportuno!J101</f>
        <v>0</v>
      </c>
      <c r="K101" s="174">
        <f>Oportuno!K101</f>
        <v>0</v>
      </c>
      <c r="L101" s="174">
        <f>Oportuno!L101</f>
        <v>0</v>
      </c>
      <c r="M101" s="174">
        <f>Oportuno!M101</f>
        <v>0</v>
      </c>
      <c r="N101" s="174">
        <f>Oportuno!N101</f>
        <v>0</v>
      </c>
      <c r="O101" s="174">
        <f>Oportuno!O101</f>
        <v>0</v>
      </c>
      <c r="P101" s="174">
        <f>Oportuno!P101</f>
        <v>0</v>
      </c>
      <c r="Q101" s="174">
        <f>Oportuno!Q101</f>
        <v>0</v>
      </c>
      <c r="R101" s="174">
        <f>Oportuno!R101</f>
        <v>0</v>
      </c>
      <c r="S101" s="215">
        <f>Oportuno!S101</f>
        <v>0</v>
      </c>
      <c r="T101" s="71">
        <f>Oportuno!T101</f>
        <v>0</v>
      </c>
      <c r="U101" s="71">
        <f>Oportuno!U101</f>
        <v>0</v>
      </c>
      <c r="V101" s="117">
        <f>Oportuno!V101</f>
        <v>0</v>
      </c>
      <c r="W101" s="117">
        <f>Oportuno!W101</f>
        <v>0</v>
      </c>
      <c r="X101" s="71">
        <f>Oportuno!X101</f>
        <v>0</v>
      </c>
      <c r="Y101" s="71">
        <f>Oportuno!Y101</f>
        <v>0</v>
      </c>
      <c r="AA101" s="65"/>
    </row>
    <row r="102" spans="2:27" ht="13" customHeight="1">
      <c r="B102" s="119">
        <f>Oportuno!B102</f>
        <v>0</v>
      </c>
      <c r="C102" s="23">
        <f>Oportuno!C102</f>
        <v>2026091</v>
      </c>
      <c r="D102" s="23">
        <f>Oportuno!D102</f>
        <v>4</v>
      </c>
      <c r="E102" s="128">
        <f>Oportuno!E102</f>
        <v>0</v>
      </c>
      <c r="F102" s="126" t="e">
        <f>Oportuno!F102</f>
        <v>#N/A</v>
      </c>
      <c r="G102" s="36">
        <f>Oportuno!G102</f>
        <v>1</v>
      </c>
      <c r="H102" s="126" t="str">
        <f>Oportuno!H102</f>
        <v>Oficinas</v>
      </c>
      <c r="I102" s="130">
        <f>Oportuno!I102</f>
        <v>0</v>
      </c>
      <c r="J102" s="174">
        <f>Oportuno!J102</f>
        <v>0</v>
      </c>
      <c r="K102" s="174">
        <f>Oportuno!K102</f>
        <v>0</v>
      </c>
      <c r="L102" s="174">
        <f>Oportuno!L102</f>
        <v>0</v>
      </c>
      <c r="M102" s="174">
        <f>Oportuno!M102</f>
        <v>0</v>
      </c>
      <c r="N102" s="174">
        <f>Oportuno!N102</f>
        <v>0</v>
      </c>
      <c r="O102" s="174">
        <f>Oportuno!O102</f>
        <v>0</v>
      </c>
      <c r="P102" s="174">
        <f>Oportuno!P102</f>
        <v>0</v>
      </c>
      <c r="Q102" s="174">
        <f>Oportuno!Q102</f>
        <v>0</v>
      </c>
      <c r="R102" s="174">
        <f>Oportuno!R102</f>
        <v>0</v>
      </c>
      <c r="S102" s="215">
        <f>Oportuno!S102</f>
        <v>0</v>
      </c>
      <c r="T102" s="71">
        <f>Oportuno!T102</f>
        <v>0</v>
      </c>
      <c r="U102" s="71">
        <f>Oportuno!U102</f>
        <v>0</v>
      </c>
      <c r="V102" s="117">
        <f>Oportuno!V102</f>
        <v>0</v>
      </c>
      <c r="W102" s="117">
        <f>Oportuno!W102</f>
        <v>0</v>
      </c>
      <c r="X102" s="71">
        <f>Oportuno!X102</f>
        <v>0</v>
      </c>
      <c r="Y102" s="71">
        <f>Oportuno!Y102</f>
        <v>0</v>
      </c>
      <c r="AA102" s="65"/>
    </row>
    <row r="103" spans="2:27" ht="13" customHeight="1">
      <c r="B103" s="119">
        <f>Oportuno!B103</f>
        <v>0</v>
      </c>
      <c r="C103" s="23">
        <f>Oportuno!C103</f>
        <v>2026091</v>
      </c>
      <c r="D103" s="23">
        <f>Oportuno!D103</f>
        <v>4</v>
      </c>
      <c r="E103" s="128">
        <f>Oportuno!E103</f>
        <v>0</v>
      </c>
      <c r="F103" s="126" t="e">
        <f>Oportuno!F103</f>
        <v>#N/A</v>
      </c>
      <c r="G103" s="36">
        <f>Oportuno!G103</f>
        <v>1</v>
      </c>
      <c r="H103" s="126" t="str">
        <f>Oportuno!H103</f>
        <v>Oficinas</v>
      </c>
      <c r="I103" s="130">
        <f>Oportuno!I103</f>
        <v>0</v>
      </c>
      <c r="J103" s="174">
        <f>Oportuno!J103</f>
        <v>0</v>
      </c>
      <c r="K103" s="174">
        <f>Oportuno!K103</f>
        <v>0</v>
      </c>
      <c r="L103" s="174">
        <f>Oportuno!L103</f>
        <v>0</v>
      </c>
      <c r="M103" s="174">
        <f>Oportuno!M103</f>
        <v>0</v>
      </c>
      <c r="N103" s="174">
        <f>Oportuno!N103</f>
        <v>0</v>
      </c>
      <c r="O103" s="174">
        <f>Oportuno!O103</f>
        <v>0</v>
      </c>
      <c r="P103" s="174">
        <f>Oportuno!P103</f>
        <v>0</v>
      </c>
      <c r="Q103" s="174">
        <f>Oportuno!Q103</f>
        <v>0</v>
      </c>
      <c r="R103" s="174">
        <f>Oportuno!R103</f>
        <v>0</v>
      </c>
      <c r="S103" s="215">
        <f>Oportuno!S103</f>
        <v>0</v>
      </c>
      <c r="T103" s="71">
        <f>Oportuno!T103</f>
        <v>0</v>
      </c>
      <c r="U103" s="71">
        <f>Oportuno!U103</f>
        <v>0</v>
      </c>
      <c r="V103" s="117">
        <f>Oportuno!V103</f>
        <v>0</v>
      </c>
      <c r="W103" s="117">
        <f>Oportuno!W103</f>
        <v>0</v>
      </c>
      <c r="X103" s="71">
        <f>Oportuno!X103</f>
        <v>0</v>
      </c>
      <c r="Y103" s="71">
        <f>Oportuno!Y103</f>
        <v>0</v>
      </c>
      <c r="AA103" s="65"/>
    </row>
    <row r="104" spans="2:27" ht="13" customHeight="1">
      <c r="B104" s="119">
        <f>Oportuno!B104</f>
        <v>0</v>
      </c>
      <c r="C104" s="23">
        <f>Oportuno!C104</f>
        <v>2026091</v>
      </c>
      <c r="D104" s="23">
        <f>Oportuno!D104</f>
        <v>4</v>
      </c>
      <c r="E104" s="128">
        <f>Oportuno!E104</f>
        <v>0</v>
      </c>
      <c r="F104" s="126" t="e">
        <f>Oportuno!F104</f>
        <v>#N/A</v>
      </c>
      <c r="G104" s="36">
        <f>Oportuno!G104</f>
        <v>1</v>
      </c>
      <c r="H104" s="126" t="str">
        <f>Oportuno!H104</f>
        <v>Oficinas</v>
      </c>
      <c r="I104" s="130">
        <f>Oportuno!I104</f>
        <v>0</v>
      </c>
      <c r="J104" s="174">
        <f>Oportuno!J104</f>
        <v>0</v>
      </c>
      <c r="K104" s="174">
        <f>Oportuno!K104</f>
        <v>0</v>
      </c>
      <c r="L104" s="174">
        <f>Oportuno!L104</f>
        <v>0</v>
      </c>
      <c r="M104" s="174">
        <f>Oportuno!M104</f>
        <v>0</v>
      </c>
      <c r="N104" s="174">
        <f>Oportuno!N104</f>
        <v>0</v>
      </c>
      <c r="O104" s="174">
        <f>Oportuno!O104</f>
        <v>0</v>
      </c>
      <c r="P104" s="174">
        <f>Oportuno!P104</f>
        <v>0</v>
      </c>
      <c r="Q104" s="174">
        <f>Oportuno!Q104</f>
        <v>0</v>
      </c>
      <c r="R104" s="174">
        <f>Oportuno!R104</f>
        <v>0</v>
      </c>
      <c r="S104" s="215">
        <f>Oportuno!S104</f>
        <v>0</v>
      </c>
      <c r="T104" s="71">
        <f>Oportuno!T104</f>
        <v>0</v>
      </c>
      <c r="U104" s="71">
        <f>Oportuno!U104</f>
        <v>0</v>
      </c>
      <c r="V104" s="117">
        <f>Oportuno!V104</f>
        <v>0</v>
      </c>
      <c r="W104" s="117">
        <f>Oportuno!W104</f>
        <v>0</v>
      </c>
      <c r="X104" s="71">
        <f>Oportuno!X104</f>
        <v>0</v>
      </c>
      <c r="Y104" s="71">
        <f>Oportuno!Y104</f>
        <v>0</v>
      </c>
      <c r="AA104" s="65"/>
    </row>
    <row r="105" spans="2:27" ht="13" customHeight="1">
      <c r="B105" s="119">
        <f>Oportuno!B105</f>
        <v>0</v>
      </c>
      <c r="C105" s="23">
        <f>Oportuno!C105</f>
        <v>2026091</v>
      </c>
      <c r="D105" s="23">
        <f>Oportuno!D105</f>
        <v>4</v>
      </c>
      <c r="E105" s="128">
        <f>Oportuno!E105</f>
        <v>0</v>
      </c>
      <c r="F105" s="126" t="e">
        <f>Oportuno!F105</f>
        <v>#N/A</v>
      </c>
      <c r="G105" s="36">
        <f>Oportuno!G105</f>
        <v>1</v>
      </c>
      <c r="H105" s="126" t="str">
        <f>Oportuno!H105</f>
        <v>Oficinas</v>
      </c>
      <c r="I105" s="130">
        <f>Oportuno!I105</f>
        <v>0</v>
      </c>
      <c r="J105" s="174">
        <f>Oportuno!J105</f>
        <v>0</v>
      </c>
      <c r="K105" s="174">
        <f>Oportuno!K105</f>
        <v>0</v>
      </c>
      <c r="L105" s="174">
        <f>Oportuno!L105</f>
        <v>0</v>
      </c>
      <c r="M105" s="174">
        <f>Oportuno!M105</f>
        <v>0</v>
      </c>
      <c r="N105" s="174">
        <f>Oportuno!N105</f>
        <v>0</v>
      </c>
      <c r="O105" s="174">
        <f>Oportuno!O105</f>
        <v>0</v>
      </c>
      <c r="P105" s="174">
        <f>Oportuno!P105</f>
        <v>0</v>
      </c>
      <c r="Q105" s="174">
        <f>Oportuno!Q105</f>
        <v>0</v>
      </c>
      <c r="R105" s="174">
        <f>Oportuno!R105</f>
        <v>0</v>
      </c>
      <c r="S105" s="215">
        <f>Oportuno!S105</f>
        <v>0</v>
      </c>
      <c r="T105" s="71">
        <f>Oportuno!T105</f>
        <v>0</v>
      </c>
      <c r="U105" s="71">
        <f>Oportuno!U105</f>
        <v>0</v>
      </c>
      <c r="V105" s="117">
        <f>Oportuno!V105</f>
        <v>0</v>
      </c>
      <c r="W105" s="117">
        <f>Oportuno!W105</f>
        <v>0</v>
      </c>
      <c r="X105" s="71">
        <f>Oportuno!X105</f>
        <v>0</v>
      </c>
      <c r="Y105" s="71">
        <f>Oportuno!Y105</f>
        <v>0</v>
      </c>
      <c r="AA105" s="65"/>
    </row>
    <row r="106" spans="2:27" ht="13" customHeight="1">
      <c r="B106" s="119">
        <f>Oportuno!B106</f>
        <v>0</v>
      </c>
      <c r="C106" s="23">
        <f>Oportuno!C106</f>
        <v>2026091</v>
      </c>
      <c r="D106" s="23">
        <f>Oportuno!D106</f>
        <v>4</v>
      </c>
      <c r="E106" s="128">
        <f>Oportuno!E106</f>
        <v>0</v>
      </c>
      <c r="F106" s="126" t="e">
        <f>Oportuno!F106</f>
        <v>#N/A</v>
      </c>
      <c r="G106" s="36">
        <f>Oportuno!G106</f>
        <v>1</v>
      </c>
      <c r="H106" s="126" t="str">
        <f>Oportuno!H106</f>
        <v>Oficinas</v>
      </c>
      <c r="I106" s="130">
        <f>Oportuno!I106</f>
        <v>0</v>
      </c>
      <c r="J106" s="174">
        <f>Oportuno!J106</f>
        <v>0</v>
      </c>
      <c r="K106" s="174">
        <f>Oportuno!K106</f>
        <v>0</v>
      </c>
      <c r="L106" s="174">
        <f>Oportuno!L106</f>
        <v>0</v>
      </c>
      <c r="M106" s="174">
        <f>Oportuno!M106</f>
        <v>0</v>
      </c>
      <c r="N106" s="174">
        <f>Oportuno!N106</f>
        <v>0</v>
      </c>
      <c r="O106" s="174">
        <f>Oportuno!O106</f>
        <v>0</v>
      </c>
      <c r="P106" s="174">
        <f>Oportuno!P106</f>
        <v>0</v>
      </c>
      <c r="Q106" s="174">
        <f>Oportuno!Q106</f>
        <v>0</v>
      </c>
      <c r="R106" s="174">
        <f>Oportuno!R106</f>
        <v>0</v>
      </c>
      <c r="S106" s="215">
        <f>Oportuno!S106</f>
        <v>0</v>
      </c>
      <c r="T106" s="71">
        <f>Oportuno!T106</f>
        <v>0</v>
      </c>
      <c r="U106" s="71">
        <f>Oportuno!U106</f>
        <v>0</v>
      </c>
      <c r="V106" s="117">
        <f>Oportuno!V106</f>
        <v>0</v>
      </c>
      <c r="W106" s="117">
        <f>Oportuno!W106</f>
        <v>0</v>
      </c>
      <c r="X106" s="71">
        <f>Oportuno!X106</f>
        <v>0</v>
      </c>
      <c r="Y106" s="71">
        <f>Oportuno!Y106</f>
        <v>0</v>
      </c>
      <c r="AA106" s="65"/>
    </row>
    <row r="107" spans="2:27" ht="13" customHeight="1">
      <c r="B107" s="119">
        <f>Oportuno!B107</f>
        <v>0</v>
      </c>
      <c r="C107" s="23">
        <f>Oportuno!C107</f>
        <v>2026091</v>
      </c>
      <c r="D107" s="23">
        <f>Oportuno!D107</f>
        <v>4</v>
      </c>
      <c r="E107" s="128">
        <f>Oportuno!E107</f>
        <v>0</v>
      </c>
      <c r="F107" s="126" t="e">
        <f>Oportuno!F107</f>
        <v>#N/A</v>
      </c>
      <c r="G107" s="36">
        <f>Oportuno!G107</f>
        <v>1</v>
      </c>
      <c r="H107" s="126" t="str">
        <f>Oportuno!H107</f>
        <v>Oficinas</v>
      </c>
      <c r="I107" s="130">
        <f>Oportuno!I107</f>
        <v>0</v>
      </c>
      <c r="J107" s="174">
        <f>Oportuno!J107</f>
        <v>0</v>
      </c>
      <c r="K107" s="174">
        <f>Oportuno!K107</f>
        <v>0</v>
      </c>
      <c r="L107" s="174">
        <f>Oportuno!L107</f>
        <v>0</v>
      </c>
      <c r="M107" s="174">
        <f>Oportuno!M107</f>
        <v>0</v>
      </c>
      <c r="N107" s="174">
        <f>Oportuno!N107</f>
        <v>0</v>
      </c>
      <c r="O107" s="174">
        <f>Oportuno!O107</f>
        <v>0</v>
      </c>
      <c r="P107" s="174">
        <f>Oportuno!P107</f>
        <v>0</v>
      </c>
      <c r="Q107" s="174">
        <f>Oportuno!Q107</f>
        <v>0</v>
      </c>
      <c r="R107" s="174">
        <f>Oportuno!R107</f>
        <v>0</v>
      </c>
      <c r="S107" s="215">
        <f>Oportuno!S107</f>
        <v>0</v>
      </c>
      <c r="T107" s="71">
        <f>Oportuno!T107</f>
        <v>0</v>
      </c>
      <c r="U107" s="71">
        <f>Oportuno!U107</f>
        <v>0</v>
      </c>
      <c r="V107" s="117">
        <f>Oportuno!V107</f>
        <v>0</v>
      </c>
      <c r="W107" s="117">
        <f>Oportuno!W107</f>
        <v>0</v>
      </c>
      <c r="X107" s="71">
        <f>Oportuno!X107</f>
        <v>0</v>
      </c>
      <c r="Y107" s="71">
        <f>Oportuno!Y107</f>
        <v>0</v>
      </c>
      <c r="AA107" s="65"/>
    </row>
    <row r="108" spans="2:27" ht="13" customHeight="1">
      <c r="B108" s="119">
        <f>Oportuno!B108</f>
        <v>0</v>
      </c>
      <c r="C108" s="23">
        <f>Oportuno!C108</f>
        <v>2026091</v>
      </c>
      <c r="D108" s="23">
        <f>Oportuno!D108</f>
        <v>4</v>
      </c>
      <c r="E108" s="128">
        <f>Oportuno!E108</f>
        <v>0</v>
      </c>
      <c r="F108" s="126" t="e">
        <f>Oportuno!F108</f>
        <v>#N/A</v>
      </c>
      <c r="G108" s="36">
        <f>Oportuno!G108</f>
        <v>1</v>
      </c>
      <c r="H108" s="126" t="str">
        <f>Oportuno!H108</f>
        <v>Oficinas</v>
      </c>
      <c r="I108" s="130">
        <f>Oportuno!I108</f>
        <v>0</v>
      </c>
      <c r="J108" s="174">
        <f>Oportuno!J108</f>
        <v>0</v>
      </c>
      <c r="K108" s="174">
        <f>Oportuno!K108</f>
        <v>0</v>
      </c>
      <c r="L108" s="174">
        <f>Oportuno!L108</f>
        <v>0</v>
      </c>
      <c r="M108" s="174">
        <f>Oportuno!M108</f>
        <v>0</v>
      </c>
      <c r="N108" s="174">
        <f>Oportuno!N108</f>
        <v>0</v>
      </c>
      <c r="O108" s="174">
        <f>Oportuno!O108</f>
        <v>0</v>
      </c>
      <c r="P108" s="174">
        <f>Oportuno!P108</f>
        <v>0</v>
      </c>
      <c r="Q108" s="174">
        <f>Oportuno!Q108</f>
        <v>0</v>
      </c>
      <c r="R108" s="174">
        <f>Oportuno!R108</f>
        <v>0</v>
      </c>
      <c r="S108" s="215">
        <f>Oportuno!S108</f>
        <v>0</v>
      </c>
      <c r="T108" s="71">
        <f>Oportuno!T108</f>
        <v>0</v>
      </c>
      <c r="U108" s="71">
        <f>Oportuno!U108</f>
        <v>0</v>
      </c>
      <c r="V108" s="117">
        <f>Oportuno!V108</f>
        <v>0</v>
      </c>
      <c r="W108" s="117">
        <f>Oportuno!W108</f>
        <v>0</v>
      </c>
      <c r="X108" s="71">
        <f>Oportuno!X108</f>
        <v>0</v>
      </c>
      <c r="Y108" s="71">
        <f>Oportuno!Y108</f>
        <v>0</v>
      </c>
      <c r="AA108" s="65"/>
    </row>
    <row r="109" spans="2:27" ht="13" customHeight="1">
      <c r="B109" s="119">
        <f>Oportuno!B109</f>
        <v>0</v>
      </c>
      <c r="C109" s="23">
        <f>Oportuno!C109</f>
        <v>2026091</v>
      </c>
      <c r="D109" s="23">
        <f>Oportuno!D109</f>
        <v>4</v>
      </c>
      <c r="E109" s="128">
        <f>Oportuno!E109</f>
        <v>0</v>
      </c>
      <c r="F109" s="126" t="e">
        <f>Oportuno!F109</f>
        <v>#N/A</v>
      </c>
      <c r="G109" s="36">
        <f>Oportuno!G109</f>
        <v>1</v>
      </c>
      <c r="H109" s="126" t="str">
        <f>Oportuno!H109</f>
        <v>Oficinas</v>
      </c>
      <c r="I109" s="130">
        <f>Oportuno!I109</f>
        <v>0</v>
      </c>
      <c r="J109" s="174">
        <f>Oportuno!J109</f>
        <v>0</v>
      </c>
      <c r="K109" s="174">
        <f>Oportuno!K109</f>
        <v>0</v>
      </c>
      <c r="L109" s="174">
        <f>Oportuno!L109</f>
        <v>0</v>
      </c>
      <c r="M109" s="174">
        <f>Oportuno!M109</f>
        <v>0</v>
      </c>
      <c r="N109" s="174">
        <f>Oportuno!N109</f>
        <v>0</v>
      </c>
      <c r="O109" s="174">
        <f>Oportuno!O109</f>
        <v>0</v>
      </c>
      <c r="P109" s="174">
        <f>Oportuno!P109</f>
        <v>0</v>
      </c>
      <c r="Q109" s="174">
        <f>Oportuno!Q109</f>
        <v>0</v>
      </c>
      <c r="R109" s="174">
        <f>Oportuno!R109</f>
        <v>0</v>
      </c>
      <c r="S109" s="215">
        <f>Oportuno!S109</f>
        <v>0</v>
      </c>
      <c r="T109" s="71">
        <f>Oportuno!T109</f>
        <v>0</v>
      </c>
      <c r="U109" s="71">
        <f>Oportuno!U109</f>
        <v>0</v>
      </c>
      <c r="V109" s="117">
        <f>Oportuno!V109</f>
        <v>0</v>
      </c>
      <c r="W109" s="117">
        <f>Oportuno!W109</f>
        <v>0</v>
      </c>
      <c r="X109" s="71">
        <f>Oportuno!X109</f>
        <v>0</v>
      </c>
      <c r="Y109" s="71">
        <f>Oportuno!Y109</f>
        <v>0</v>
      </c>
      <c r="AA109" s="65"/>
    </row>
    <row r="110" spans="2:27" ht="13" customHeight="1">
      <c r="B110" s="119">
        <f>Oportuno!B110</f>
        <v>0</v>
      </c>
      <c r="C110" s="23">
        <f>Oportuno!C110</f>
        <v>2026091</v>
      </c>
      <c r="D110" s="23">
        <f>Oportuno!D110</f>
        <v>4</v>
      </c>
      <c r="E110" s="128">
        <f>Oportuno!E110</f>
        <v>0</v>
      </c>
      <c r="F110" s="126" t="e">
        <f>Oportuno!F110</f>
        <v>#N/A</v>
      </c>
      <c r="G110" s="36">
        <f>Oportuno!G110</f>
        <v>1</v>
      </c>
      <c r="H110" s="126" t="str">
        <f>Oportuno!H110</f>
        <v>Oficinas</v>
      </c>
      <c r="I110" s="130">
        <f>Oportuno!I110</f>
        <v>0</v>
      </c>
      <c r="J110" s="174">
        <f>Oportuno!J110</f>
        <v>0</v>
      </c>
      <c r="K110" s="174">
        <f>Oportuno!K110</f>
        <v>0</v>
      </c>
      <c r="L110" s="174">
        <f>Oportuno!L110</f>
        <v>0</v>
      </c>
      <c r="M110" s="174">
        <f>Oportuno!M110</f>
        <v>0</v>
      </c>
      <c r="N110" s="174">
        <f>Oportuno!N110</f>
        <v>0</v>
      </c>
      <c r="O110" s="174">
        <f>Oportuno!O110</f>
        <v>0</v>
      </c>
      <c r="P110" s="174">
        <f>Oportuno!P110</f>
        <v>0</v>
      </c>
      <c r="Q110" s="174">
        <f>Oportuno!Q110</f>
        <v>0</v>
      </c>
      <c r="R110" s="174">
        <f>Oportuno!R110</f>
        <v>0</v>
      </c>
      <c r="S110" s="215">
        <f>Oportuno!S110</f>
        <v>0</v>
      </c>
      <c r="T110" s="71">
        <f>Oportuno!T110</f>
        <v>0</v>
      </c>
      <c r="U110" s="71">
        <f>Oportuno!U110</f>
        <v>0</v>
      </c>
      <c r="V110" s="117">
        <f>Oportuno!V110</f>
        <v>0</v>
      </c>
      <c r="W110" s="117">
        <f>Oportuno!W110</f>
        <v>0</v>
      </c>
      <c r="X110" s="71">
        <f>Oportuno!X110</f>
        <v>0</v>
      </c>
      <c r="Y110" s="71">
        <f>Oportuno!Y110</f>
        <v>0</v>
      </c>
      <c r="AA110" s="65"/>
    </row>
    <row r="111" spans="2:27" ht="13" customHeight="1">
      <c r="B111" s="119">
        <f>Oportuno!B111</f>
        <v>0</v>
      </c>
      <c r="C111" s="23">
        <f>Oportuno!C111</f>
        <v>2026091</v>
      </c>
      <c r="D111" s="23">
        <f>Oportuno!D111</f>
        <v>4</v>
      </c>
      <c r="E111" s="128">
        <f>Oportuno!E111</f>
        <v>0</v>
      </c>
      <c r="F111" s="126" t="e">
        <f>Oportuno!F111</f>
        <v>#N/A</v>
      </c>
      <c r="G111" s="36">
        <f>Oportuno!G111</f>
        <v>1</v>
      </c>
      <c r="H111" s="126" t="str">
        <f>Oportuno!H111</f>
        <v>Oficinas</v>
      </c>
      <c r="I111" s="130">
        <f>Oportuno!I111</f>
        <v>0</v>
      </c>
      <c r="J111" s="174">
        <f>Oportuno!J111</f>
        <v>0</v>
      </c>
      <c r="K111" s="174">
        <f>Oportuno!K111</f>
        <v>0</v>
      </c>
      <c r="L111" s="174">
        <f>Oportuno!L111</f>
        <v>0</v>
      </c>
      <c r="M111" s="174">
        <f>Oportuno!M111</f>
        <v>0</v>
      </c>
      <c r="N111" s="174">
        <f>Oportuno!N111</f>
        <v>0</v>
      </c>
      <c r="O111" s="174">
        <f>Oportuno!O111</f>
        <v>0</v>
      </c>
      <c r="P111" s="174">
        <f>Oportuno!P111</f>
        <v>0</v>
      </c>
      <c r="Q111" s="174">
        <f>Oportuno!Q111</f>
        <v>0</v>
      </c>
      <c r="R111" s="174">
        <f>Oportuno!R111</f>
        <v>0</v>
      </c>
      <c r="S111" s="215">
        <f>Oportuno!S111</f>
        <v>0</v>
      </c>
      <c r="T111" s="71">
        <f>Oportuno!T111</f>
        <v>0</v>
      </c>
      <c r="U111" s="71">
        <f>Oportuno!U111</f>
        <v>0</v>
      </c>
      <c r="V111" s="117">
        <f>Oportuno!V111</f>
        <v>0</v>
      </c>
      <c r="W111" s="117">
        <f>Oportuno!W111</f>
        <v>0</v>
      </c>
      <c r="X111" s="71">
        <f>Oportuno!X111</f>
        <v>0</v>
      </c>
      <c r="Y111" s="71">
        <f>Oportuno!Y111</f>
        <v>0</v>
      </c>
      <c r="AA111" s="65"/>
    </row>
    <row r="112" spans="2:27" ht="12" customHeight="1">
      <c r="B112" s="119">
        <f>Oportuno!B112</f>
        <v>0</v>
      </c>
      <c r="C112" s="23">
        <f>Oportuno!C112</f>
        <v>2026091</v>
      </c>
      <c r="D112" s="23">
        <f>Oportuno!D112</f>
        <v>4</v>
      </c>
      <c r="E112" s="128">
        <f>Oportuno!E112</f>
        <v>0</v>
      </c>
      <c r="F112" s="126" t="e">
        <f>Oportuno!F112</f>
        <v>#N/A</v>
      </c>
      <c r="G112" s="36">
        <f>Oportuno!G112</f>
        <v>1</v>
      </c>
      <c r="H112" s="126" t="str">
        <f>Oportuno!H112</f>
        <v>Oficinas</v>
      </c>
      <c r="I112" s="130">
        <f>Oportuno!I112</f>
        <v>0</v>
      </c>
      <c r="J112" s="174">
        <f>Oportuno!J112</f>
        <v>0</v>
      </c>
      <c r="K112" s="174">
        <f>Oportuno!K112</f>
        <v>0</v>
      </c>
      <c r="L112" s="174">
        <f>Oportuno!L112</f>
        <v>0</v>
      </c>
      <c r="M112" s="174">
        <f>Oportuno!M112</f>
        <v>0</v>
      </c>
      <c r="N112" s="174">
        <f>Oportuno!N112</f>
        <v>0</v>
      </c>
      <c r="O112" s="174">
        <f>Oportuno!O112</f>
        <v>0</v>
      </c>
      <c r="P112" s="174">
        <f>Oportuno!P112</f>
        <v>0</v>
      </c>
      <c r="Q112" s="174">
        <f>Oportuno!Q112</f>
        <v>0</v>
      </c>
      <c r="R112" s="174">
        <f>Oportuno!R112</f>
        <v>0</v>
      </c>
      <c r="S112" s="215">
        <f>Oportuno!S112</f>
        <v>0</v>
      </c>
      <c r="T112" s="71">
        <f>Oportuno!T112</f>
        <v>0</v>
      </c>
      <c r="U112" s="71">
        <f>Oportuno!U112</f>
        <v>0</v>
      </c>
      <c r="V112" s="117">
        <f>Oportuno!V112</f>
        <v>0</v>
      </c>
      <c r="W112" s="117">
        <f>Oportuno!W112</f>
        <v>0</v>
      </c>
      <c r="X112" s="71">
        <f>Oportuno!X112</f>
        <v>0</v>
      </c>
      <c r="Y112" s="71">
        <f>Oportuno!Y112</f>
        <v>0</v>
      </c>
      <c r="AA112" s="65"/>
    </row>
    <row r="113" spans="2:27 16101:16120" ht="13" customHeight="1">
      <c r="B113" s="119">
        <f>Oportuno!B113</f>
        <v>0</v>
      </c>
      <c r="C113" s="23">
        <f>Oportuno!C113</f>
        <v>2026091</v>
      </c>
      <c r="D113" s="23">
        <f>Oportuno!D113</f>
        <v>4</v>
      </c>
      <c r="E113" s="128">
        <f>Oportuno!E113</f>
        <v>0</v>
      </c>
      <c r="F113" s="126" t="e">
        <f>Oportuno!F113</f>
        <v>#N/A</v>
      </c>
      <c r="G113" s="36">
        <f>Oportuno!G113</f>
        <v>1</v>
      </c>
      <c r="H113" s="126" t="str">
        <f>Oportuno!H113</f>
        <v>Oficinas</v>
      </c>
      <c r="I113" s="130">
        <f>Oportuno!I113</f>
        <v>0</v>
      </c>
      <c r="J113" s="174">
        <f>Oportuno!J113</f>
        <v>0</v>
      </c>
      <c r="K113" s="174">
        <f>Oportuno!K113</f>
        <v>0</v>
      </c>
      <c r="L113" s="174">
        <f>Oportuno!L113</f>
        <v>0</v>
      </c>
      <c r="M113" s="174">
        <f>Oportuno!M113</f>
        <v>0</v>
      </c>
      <c r="N113" s="174">
        <f>Oportuno!N113</f>
        <v>0</v>
      </c>
      <c r="O113" s="174">
        <f>Oportuno!O113</f>
        <v>0</v>
      </c>
      <c r="P113" s="174">
        <f>Oportuno!P113</f>
        <v>0</v>
      </c>
      <c r="Q113" s="174">
        <f>Oportuno!Q113</f>
        <v>0</v>
      </c>
      <c r="R113" s="174">
        <f>Oportuno!R113</f>
        <v>0</v>
      </c>
      <c r="S113" s="215">
        <f>Oportuno!S113</f>
        <v>0</v>
      </c>
      <c r="T113" s="71">
        <f>Oportuno!T113</f>
        <v>0</v>
      </c>
      <c r="U113" s="71">
        <f>Oportuno!U113</f>
        <v>0</v>
      </c>
      <c r="V113" s="117">
        <f>Oportuno!V113</f>
        <v>0</v>
      </c>
      <c r="W113" s="117">
        <f>Oportuno!W113</f>
        <v>0</v>
      </c>
      <c r="X113" s="71">
        <f>Oportuno!X113</f>
        <v>0</v>
      </c>
      <c r="Y113" s="71">
        <f>Oportuno!Y113</f>
        <v>0</v>
      </c>
      <c r="AA113" s="65"/>
    </row>
    <row r="114" spans="2:27 16101:16120" ht="13" customHeight="1">
      <c r="B114" s="119">
        <f>Oportuno!B114</f>
        <v>0</v>
      </c>
      <c r="C114" s="23">
        <f>Oportuno!C114</f>
        <v>2026091</v>
      </c>
      <c r="D114" s="23">
        <f>Oportuno!D114</f>
        <v>4</v>
      </c>
      <c r="E114" s="128">
        <f>Oportuno!E114</f>
        <v>0</v>
      </c>
      <c r="F114" s="126" t="e">
        <f>Oportuno!F114</f>
        <v>#N/A</v>
      </c>
      <c r="G114" s="36">
        <f>Oportuno!G114</f>
        <v>1</v>
      </c>
      <c r="H114" s="126" t="str">
        <f>Oportuno!H114</f>
        <v>Oficinas</v>
      </c>
      <c r="I114" s="130">
        <f>Oportuno!I114</f>
        <v>0</v>
      </c>
      <c r="J114" s="174">
        <f>Oportuno!J114</f>
        <v>0</v>
      </c>
      <c r="K114" s="174">
        <f>Oportuno!K114</f>
        <v>0</v>
      </c>
      <c r="L114" s="174">
        <f>Oportuno!L114</f>
        <v>0</v>
      </c>
      <c r="M114" s="174">
        <f>Oportuno!M114</f>
        <v>0</v>
      </c>
      <c r="N114" s="174">
        <f>Oportuno!N114</f>
        <v>0</v>
      </c>
      <c r="O114" s="174">
        <f>Oportuno!O114</f>
        <v>0</v>
      </c>
      <c r="P114" s="174">
        <f>Oportuno!P114</f>
        <v>0</v>
      </c>
      <c r="Q114" s="174">
        <f>Oportuno!Q114</f>
        <v>0</v>
      </c>
      <c r="R114" s="174">
        <f>Oportuno!R114</f>
        <v>0</v>
      </c>
      <c r="S114" s="215">
        <f>Oportuno!S114</f>
        <v>0</v>
      </c>
      <c r="T114" s="71">
        <f>Oportuno!T114</f>
        <v>0</v>
      </c>
      <c r="U114" s="71">
        <f>Oportuno!U114</f>
        <v>0</v>
      </c>
      <c r="V114" s="117">
        <f>Oportuno!V114</f>
        <v>0</v>
      </c>
      <c r="W114" s="117">
        <f>Oportuno!W114</f>
        <v>0</v>
      </c>
      <c r="X114" s="71">
        <f>Oportuno!X114</f>
        <v>0</v>
      </c>
      <c r="Y114" s="71">
        <f>Oportuno!Y114</f>
        <v>0</v>
      </c>
      <c r="AA114" s="65"/>
    </row>
    <row r="115" spans="2:27 16101:16120" ht="13" customHeight="1">
      <c r="B115" s="119">
        <f>Oportuno!B115</f>
        <v>0</v>
      </c>
      <c r="C115" s="23">
        <f>Oportuno!C115</f>
        <v>2026091</v>
      </c>
      <c r="D115" s="23">
        <f>Oportuno!D115</f>
        <v>4</v>
      </c>
      <c r="E115" s="128">
        <f>Oportuno!E115</f>
        <v>0</v>
      </c>
      <c r="F115" s="126" t="e">
        <f>Oportuno!F115</f>
        <v>#N/A</v>
      </c>
      <c r="G115" s="36">
        <f>Oportuno!G115</f>
        <v>1</v>
      </c>
      <c r="H115" s="126" t="str">
        <f>Oportuno!H115</f>
        <v>Oficinas</v>
      </c>
      <c r="I115" s="130">
        <f>Oportuno!I115</f>
        <v>0</v>
      </c>
      <c r="J115" s="174">
        <f>Oportuno!J115</f>
        <v>0</v>
      </c>
      <c r="K115" s="174">
        <f>Oportuno!K115</f>
        <v>0</v>
      </c>
      <c r="L115" s="174">
        <f>Oportuno!L115</f>
        <v>0</v>
      </c>
      <c r="M115" s="174">
        <f>Oportuno!M115</f>
        <v>0</v>
      </c>
      <c r="N115" s="174">
        <f>Oportuno!N115</f>
        <v>0</v>
      </c>
      <c r="O115" s="174">
        <f>Oportuno!O115</f>
        <v>0</v>
      </c>
      <c r="P115" s="174">
        <f>Oportuno!P115</f>
        <v>0</v>
      </c>
      <c r="Q115" s="174">
        <f>Oportuno!Q115</f>
        <v>0</v>
      </c>
      <c r="R115" s="174">
        <f>Oportuno!R115</f>
        <v>0</v>
      </c>
      <c r="S115" s="215">
        <f>Oportuno!S115</f>
        <v>0</v>
      </c>
      <c r="T115" s="71">
        <f>Oportuno!T115</f>
        <v>0</v>
      </c>
      <c r="U115" s="71">
        <f>Oportuno!U115</f>
        <v>0</v>
      </c>
      <c r="V115" s="117">
        <f>Oportuno!V115</f>
        <v>0</v>
      </c>
      <c r="W115" s="117">
        <f>Oportuno!W115</f>
        <v>0</v>
      </c>
      <c r="X115" s="71">
        <f>Oportuno!X115</f>
        <v>0</v>
      </c>
      <c r="Y115" s="71">
        <f>Oportuno!Y115</f>
        <v>0</v>
      </c>
      <c r="AA115" s="65"/>
    </row>
    <row r="116" spans="2:27 16101:16120" ht="13" customHeight="1">
      <c r="B116" s="119">
        <f>Oportuno!B116</f>
        <v>0</v>
      </c>
      <c r="C116" s="23">
        <f>Oportuno!C116</f>
        <v>2026091</v>
      </c>
      <c r="D116" s="23">
        <f>Oportuno!D116</f>
        <v>4</v>
      </c>
      <c r="E116" s="128">
        <f>Oportuno!E116</f>
        <v>0</v>
      </c>
      <c r="F116" s="126" t="e">
        <f>Oportuno!F116</f>
        <v>#N/A</v>
      </c>
      <c r="G116" s="36">
        <f>Oportuno!G116</f>
        <v>1</v>
      </c>
      <c r="H116" s="126" t="str">
        <f>Oportuno!H116</f>
        <v>Oficinas</v>
      </c>
      <c r="I116" s="130">
        <f>Oportuno!I116</f>
        <v>0</v>
      </c>
      <c r="J116" s="174">
        <f>Oportuno!J116</f>
        <v>0</v>
      </c>
      <c r="K116" s="174">
        <f>Oportuno!K116</f>
        <v>0</v>
      </c>
      <c r="L116" s="174">
        <f>Oportuno!L116</f>
        <v>0</v>
      </c>
      <c r="M116" s="174">
        <f>Oportuno!M116</f>
        <v>0</v>
      </c>
      <c r="N116" s="174">
        <f>Oportuno!N116</f>
        <v>0</v>
      </c>
      <c r="O116" s="174">
        <f>Oportuno!O116</f>
        <v>0</v>
      </c>
      <c r="P116" s="174">
        <f>Oportuno!P116</f>
        <v>0</v>
      </c>
      <c r="Q116" s="174">
        <f>Oportuno!Q116</f>
        <v>0</v>
      </c>
      <c r="R116" s="174">
        <f>Oportuno!R116</f>
        <v>0</v>
      </c>
      <c r="S116" s="215">
        <f>Oportuno!S116</f>
        <v>0</v>
      </c>
      <c r="T116" s="71">
        <f>Oportuno!T116</f>
        <v>0</v>
      </c>
      <c r="U116" s="71">
        <f>Oportuno!U116</f>
        <v>0</v>
      </c>
      <c r="V116" s="117">
        <f>Oportuno!V116</f>
        <v>0</v>
      </c>
      <c r="W116" s="117">
        <f>Oportuno!W116</f>
        <v>0</v>
      </c>
      <c r="X116" s="71">
        <f>Oportuno!X116</f>
        <v>0</v>
      </c>
      <c r="Y116" s="71">
        <f>Oportuno!Y116</f>
        <v>0</v>
      </c>
      <c r="AA116" s="65"/>
    </row>
    <row r="117" spans="2:27 16101:16120" ht="13" customHeight="1">
      <c r="B117" s="119">
        <f>Oportuno!B117</f>
        <v>0</v>
      </c>
      <c r="C117" s="23">
        <f>Oportuno!C117</f>
        <v>2026091</v>
      </c>
      <c r="D117" s="23">
        <f>Oportuno!D117</f>
        <v>4</v>
      </c>
      <c r="E117" s="128">
        <f>Oportuno!E117</f>
        <v>0</v>
      </c>
      <c r="F117" s="126" t="e">
        <f>Oportuno!F117</f>
        <v>#N/A</v>
      </c>
      <c r="G117" s="36">
        <f>Oportuno!G117</f>
        <v>1</v>
      </c>
      <c r="H117" s="126" t="str">
        <f>Oportuno!H117</f>
        <v>Oficinas</v>
      </c>
      <c r="I117" s="130">
        <f>Oportuno!I117</f>
        <v>0</v>
      </c>
      <c r="J117" s="174">
        <f>Oportuno!J117</f>
        <v>0</v>
      </c>
      <c r="K117" s="174">
        <f>Oportuno!K117</f>
        <v>0</v>
      </c>
      <c r="L117" s="174">
        <f>Oportuno!L117</f>
        <v>0</v>
      </c>
      <c r="M117" s="174">
        <f>Oportuno!M117</f>
        <v>0</v>
      </c>
      <c r="N117" s="174">
        <f>Oportuno!N117</f>
        <v>0</v>
      </c>
      <c r="O117" s="174">
        <f>Oportuno!O117</f>
        <v>0</v>
      </c>
      <c r="P117" s="174">
        <f>Oportuno!P117</f>
        <v>0</v>
      </c>
      <c r="Q117" s="174">
        <f>Oportuno!Q117</f>
        <v>0</v>
      </c>
      <c r="R117" s="174">
        <f>Oportuno!R117</f>
        <v>0</v>
      </c>
      <c r="S117" s="215">
        <f>Oportuno!S117</f>
        <v>0</v>
      </c>
      <c r="T117" s="71">
        <f>Oportuno!T117</f>
        <v>0</v>
      </c>
      <c r="U117" s="71">
        <f>Oportuno!U117</f>
        <v>0</v>
      </c>
      <c r="V117" s="117">
        <f>Oportuno!V117</f>
        <v>0</v>
      </c>
      <c r="W117" s="117">
        <f>Oportuno!W117</f>
        <v>0</v>
      </c>
      <c r="X117" s="71">
        <f>Oportuno!X117</f>
        <v>0</v>
      </c>
      <c r="Y117" s="71">
        <f>Oportuno!Y117</f>
        <v>0</v>
      </c>
      <c r="AA117" s="65"/>
    </row>
    <row r="118" spans="2:27 16101:16120" ht="13" customHeight="1">
      <c r="B118" s="119">
        <f>Oportuno!B118</f>
        <v>0</v>
      </c>
      <c r="C118" s="23">
        <f>Oportuno!C118</f>
        <v>2026091</v>
      </c>
      <c r="D118" s="23">
        <f>Oportuno!D118</f>
        <v>4</v>
      </c>
      <c r="E118" s="128">
        <f>Oportuno!E118</f>
        <v>0</v>
      </c>
      <c r="F118" s="126" t="e">
        <f>Oportuno!F118</f>
        <v>#N/A</v>
      </c>
      <c r="G118" s="36">
        <f>Oportuno!G118</f>
        <v>1</v>
      </c>
      <c r="H118" s="126" t="str">
        <f>Oportuno!H118</f>
        <v>Oficinas</v>
      </c>
      <c r="I118" s="130">
        <f>Oportuno!I118</f>
        <v>0</v>
      </c>
      <c r="J118" s="174">
        <f>Oportuno!J118</f>
        <v>0</v>
      </c>
      <c r="K118" s="174">
        <f>Oportuno!K118</f>
        <v>0</v>
      </c>
      <c r="L118" s="174">
        <f>Oportuno!L118</f>
        <v>0</v>
      </c>
      <c r="M118" s="174">
        <f>Oportuno!M118</f>
        <v>0</v>
      </c>
      <c r="N118" s="174">
        <f>Oportuno!N118</f>
        <v>0</v>
      </c>
      <c r="O118" s="174">
        <f>Oportuno!O118</f>
        <v>0</v>
      </c>
      <c r="P118" s="174">
        <f>Oportuno!P118</f>
        <v>0</v>
      </c>
      <c r="Q118" s="174">
        <f>Oportuno!Q118</f>
        <v>0</v>
      </c>
      <c r="R118" s="174">
        <f>Oportuno!R118</f>
        <v>0</v>
      </c>
      <c r="S118" s="215">
        <f>Oportuno!S118</f>
        <v>0</v>
      </c>
      <c r="T118" s="71">
        <f>Oportuno!T118</f>
        <v>0</v>
      </c>
      <c r="U118" s="71">
        <f>Oportuno!U118</f>
        <v>0</v>
      </c>
      <c r="V118" s="117">
        <f>Oportuno!V118</f>
        <v>0</v>
      </c>
      <c r="W118" s="117">
        <f>Oportuno!W118</f>
        <v>0</v>
      </c>
      <c r="X118" s="71">
        <f>Oportuno!X118</f>
        <v>0</v>
      </c>
      <c r="Y118" s="71">
        <f>Oportuno!Y118</f>
        <v>0</v>
      </c>
      <c r="AA118" s="65"/>
    </row>
    <row r="119" spans="2:27 16101:16120" ht="13" customHeight="1">
      <c r="B119" s="119">
        <f>Oportuno!B119</f>
        <v>0</v>
      </c>
      <c r="C119" s="23">
        <f>Oportuno!C119</f>
        <v>2026091</v>
      </c>
      <c r="D119" s="23">
        <f>Oportuno!D119</f>
        <v>4</v>
      </c>
      <c r="E119" s="128">
        <f>Oportuno!E119</f>
        <v>0</v>
      </c>
      <c r="F119" s="126" t="e">
        <f>Oportuno!F119</f>
        <v>#N/A</v>
      </c>
      <c r="G119" s="36">
        <f>Oportuno!G119</f>
        <v>1</v>
      </c>
      <c r="H119" s="126" t="str">
        <f>Oportuno!H119</f>
        <v>Oficinas</v>
      </c>
      <c r="I119" s="130">
        <f>Oportuno!I119</f>
        <v>0</v>
      </c>
      <c r="J119" s="174">
        <f>Oportuno!J119</f>
        <v>0</v>
      </c>
      <c r="K119" s="174">
        <f>Oportuno!K119</f>
        <v>0</v>
      </c>
      <c r="L119" s="174">
        <f>Oportuno!L119</f>
        <v>0</v>
      </c>
      <c r="M119" s="174">
        <f>Oportuno!M119</f>
        <v>0</v>
      </c>
      <c r="N119" s="174">
        <f>Oportuno!N119</f>
        <v>0</v>
      </c>
      <c r="O119" s="174">
        <f>Oportuno!O119</f>
        <v>0</v>
      </c>
      <c r="P119" s="174">
        <f>Oportuno!P119</f>
        <v>0</v>
      </c>
      <c r="Q119" s="174">
        <f>Oportuno!Q119</f>
        <v>0</v>
      </c>
      <c r="R119" s="174">
        <f>Oportuno!R119</f>
        <v>0</v>
      </c>
      <c r="S119" s="215">
        <f>Oportuno!S119</f>
        <v>0</v>
      </c>
      <c r="T119" s="71">
        <f>Oportuno!T119</f>
        <v>0</v>
      </c>
      <c r="U119" s="71">
        <f>Oportuno!U119</f>
        <v>0</v>
      </c>
      <c r="V119" s="117">
        <f>Oportuno!V119</f>
        <v>0</v>
      </c>
      <c r="W119" s="117">
        <f>Oportuno!W119</f>
        <v>0</v>
      </c>
      <c r="X119" s="71">
        <f>Oportuno!X119</f>
        <v>0</v>
      </c>
      <c r="Y119" s="71">
        <f>Oportuno!Y119</f>
        <v>0</v>
      </c>
      <c r="AA119" s="65"/>
    </row>
    <row r="120" spans="2:27 16101:16120" ht="13" customHeight="1">
      <c r="B120" s="119">
        <f>Oportuno!B120</f>
        <v>0</v>
      </c>
      <c r="C120" s="23">
        <f>Oportuno!C120</f>
        <v>2026091</v>
      </c>
      <c r="D120" s="23">
        <f>Oportuno!D120</f>
        <v>4</v>
      </c>
      <c r="E120" s="128">
        <f>Oportuno!E120</f>
        <v>0</v>
      </c>
      <c r="F120" s="126" t="e">
        <f>Oportuno!F120</f>
        <v>#N/A</v>
      </c>
      <c r="G120" s="36">
        <f>Oportuno!G120</f>
        <v>1</v>
      </c>
      <c r="H120" s="126" t="str">
        <f>Oportuno!H120</f>
        <v>Oficinas</v>
      </c>
      <c r="I120" s="130">
        <f>Oportuno!I120</f>
        <v>0</v>
      </c>
      <c r="J120" s="174">
        <f>Oportuno!J120</f>
        <v>0</v>
      </c>
      <c r="K120" s="174">
        <f>Oportuno!K120</f>
        <v>0</v>
      </c>
      <c r="L120" s="174">
        <f>Oportuno!L120</f>
        <v>0</v>
      </c>
      <c r="M120" s="174">
        <f>Oportuno!M120</f>
        <v>0</v>
      </c>
      <c r="N120" s="174">
        <f>Oportuno!N120</f>
        <v>0</v>
      </c>
      <c r="O120" s="174">
        <f>Oportuno!O120</f>
        <v>0</v>
      </c>
      <c r="P120" s="174">
        <f>Oportuno!P120</f>
        <v>0</v>
      </c>
      <c r="Q120" s="174">
        <f>Oportuno!Q120</f>
        <v>0</v>
      </c>
      <c r="R120" s="174">
        <f>Oportuno!R120</f>
        <v>0</v>
      </c>
      <c r="S120" s="215">
        <f>Oportuno!S120</f>
        <v>0</v>
      </c>
      <c r="T120" s="71">
        <f>Oportuno!T120</f>
        <v>0</v>
      </c>
      <c r="U120" s="71">
        <f>Oportuno!U120</f>
        <v>0</v>
      </c>
      <c r="V120" s="117">
        <f>Oportuno!V120</f>
        <v>0</v>
      </c>
      <c r="W120" s="117">
        <f>Oportuno!W120</f>
        <v>0</v>
      </c>
      <c r="X120" s="71">
        <f>Oportuno!X120</f>
        <v>0</v>
      </c>
      <c r="Y120" s="71">
        <f>Oportuno!Y120</f>
        <v>0</v>
      </c>
      <c r="AA120" s="65"/>
    </row>
    <row r="121" spans="2:27 16101:16120" ht="13" customHeight="1" thickBot="1">
      <c r="B121" s="119">
        <f>Oportuno!B121</f>
        <v>0</v>
      </c>
      <c r="C121" s="23">
        <f>Oportuno!C121</f>
        <v>2026091</v>
      </c>
      <c r="D121" s="23">
        <f>Oportuno!D121</f>
        <v>4</v>
      </c>
      <c r="E121" s="128">
        <f>Oportuno!E121</f>
        <v>0</v>
      </c>
      <c r="F121" s="126" t="e">
        <f>Oportuno!F121</f>
        <v>#N/A</v>
      </c>
      <c r="G121" s="36">
        <f>Oportuno!G121</f>
        <v>1</v>
      </c>
      <c r="H121" s="126" t="str">
        <f>Oportuno!H121</f>
        <v>Oficinas</v>
      </c>
      <c r="I121" s="130">
        <f>Oportuno!I121</f>
        <v>0</v>
      </c>
      <c r="J121" s="174">
        <f>Oportuno!J121</f>
        <v>0</v>
      </c>
      <c r="K121" s="174">
        <f>Oportuno!K121</f>
        <v>0</v>
      </c>
      <c r="L121" s="174">
        <f>Oportuno!L121</f>
        <v>0</v>
      </c>
      <c r="M121" s="174">
        <f>Oportuno!M121</f>
        <v>0</v>
      </c>
      <c r="N121" s="174">
        <f>Oportuno!N121</f>
        <v>0</v>
      </c>
      <c r="O121" s="174">
        <f>Oportuno!O121</f>
        <v>0</v>
      </c>
      <c r="P121" s="174">
        <f>Oportuno!P121</f>
        <v>0</v>
      </c>
      <c r="Q121" s="174">
        <f>Oportuno!Q121</f>
        <v>0</v>
      </c>
      <c r="R121" s="174">
        <f>Oportuno!R121</f>
        <v>0</v>
      </c>
      <c r="S121" s="215">
        <f>Oportuno!S121</f>
        <v>0</v>
      </c>
      <c r="T121" s="71">
        <f>Oportuno!T121</f>
        <v>0</v>
      </c>
      <c r="U121" s="71">
        <f>Oportuno!U121</f>
        <v>0</v>
      </c>
      <c r="V121" s="117">
        <f>Oportuno!V121</f>
        <v>0</v>
      </c>
      <c r="W121" s="117">
        <f>Oportuno!W121</f>
        <v>0</v>
      </c>
      <c r="X121" s="71">
        <f>Oportuno!X121</f>
        <v>0</v>
      </c>
      <c r="Y121" s="71">
        <f>Oportuno!Y121</f>
        <v>0</v>
      </c>
      <c r="AA121" s="65"/>
    </row>
    <row r="122" spans="2:27 16101:16120" ht="13" customHeight="1" thickBot="1">
      <c r="B122" s="1" t="s">
        <v>0</v>
      </c>
      <c r="C122" s="1" t="s">
        <v>0</v>
      </c>
      <c r="D122" s="20" t="s">
        <v>0</v>
      </c>
      <c r="E122" s="120" t="str">
        <f>Oportuno!E122</f>
        <v xml:space="preserve"> </v>
      </c>
      <c r="F122" s="121" t="str">
        <f>Oportuno!F122</f>
        <v>TOTAL RECAUDO</v>
      </c>
      <c r="G122" s="121" t="s">
        <v>0</v>
      </c>
      <c r="H122" s="121" t="s">
        <v>0</v>
      </c>
      <c r="I122" s="121" t="s">
        <v>0</v>
      </c>
      <c r="J122" s="122">
        <f>Oportuno!J122</f>
        <v>0</v>
      </c>
      <c r="K122" s="122">
        <f>Oportuno!K122</f>
        <v>0</v>
      </c>
      <c r="L122" s="122">
        <f>Oportuno!L122</f>
        <v>0</v>
      </c>
      <c r="M122" s="122">
        <f>Oportuno!M122</f>
        <v>0</v>
      </c>
      <c r="N122" s="122">
        <f>Oportuno!N122</f>
        <v>0</v>
      </c>
      <c r="O122" s="122">
        <f>Oportuno!O122</f>
        <v>0</v>
      </c>
      <c r="P122" s="122">
        <f>Oportuno!P122</f>
        <v>0</v>
      </c>
      <c r="Q122" s="122">
        <f>Oportuno!Q122</f>
        <v>0</v>
      </c>
      <c r="R122" s="122">
        <f>Oportuno!R122</f>
        <v>216</v>
      </c>
      <c r="S122" s="122">
        <f>Oportuno!S122</f>
        <v>9174690</v>
      </c>
      <c r="T122" s="122">
        <f>Oportuno!T122</f>
        <v>216</v>
      </c>
      <c r="U122" s="122">
        <f>Oportuno!U122</f>
        <v>9174690</v>
      </c>
      <c r="V122" s="123">
        <f>Oportuno!V122</f>
        <v>216</v>
      </c>
      <c r="W122" s="123">
        <f>Oportuno!W122</f>
        <v>9174690</v>
      </c>
      <c r="X122" s="122">
        <f>Oportuno!X122</f>
        <v>0</v>
      </c>
      <c r="Y122" s="123">
        <f>Oportuno!Y122</f>
        <v>0</v>
      </c>
      <c r="AA122" s="65"/>
    </row>
    <row r="123" spans="2:27 16101:16120" ht="13" thickBot="1">
      <c r="AA123" s="65"/>
    </row>
    <row r="124" spans="2:27 16101:16120" ht="41.25" customHeight="1" thickBot="1">
      <c r="B124" s="112" t="s">
        <v>4</v>
      </c>
      <c r="C124" s="34" t="s">
        <v>6</v>
      </c>
      <c r="D124" s="34" t="s">
        <v>7</v>
      </c>
      <c r="E124" s="34" t="s">
        <v>49</v>
      </c>
      <c r="F124" s="34" t="s">
        <v>50</v>
      </c>
      <c r="G124" s="34" t="s">
        <v>51</v>
      </c>
      <c r="H124" s="34" t="s">
        <v>52</v>
      </c>
      <c r="I124" s="34" t="s">
        <v>13</v>
      </c>
      <c r="J124" s="231" t="s">
        <v>8</v>
      </c>
      <c r="K124" s="231" t="s">
        <v>36</v>
      </c>
      <c r="L124" s="12" t="s">
        <v>9</v>
      </c>
      <c r="M124" s="12" t="s">
        <v>37</v>
      </c>
      <c r="N124" s="87" t="s">
        <v>10</v>
      </c>
      <c r="O124" s="88" t="s">
        <v>38</v>
      </c>
      <c r="P124" s="87" t="s">
        <v>11</v>
      </c>
      <c r="Q124" s="88" t="s">
        <v>39</v>
      </c>
      <c r="R124" s="232" t="s">
        <v>12</v>
      </c>
      <c r="S124" s="233" t="s">
        <v>40</v>
      </c>
      <c r="T124" s="64" t="s">
        <v>41</v>
      </c>
      <c r="U124" s="64" t="s">
        <v>42</v>
      </c>
      <c r="V124" s="35" t="s">
        <v>32</v>
      </c>
      <c r="W124" s="67" t="s">
        <v>35</v>
      </c>
      <c r="X124" s="12" t="s">
        <v>34</v>
      </c>
      <c r="Y124" s="68" t="s">
        <v>33</v>
      </c>
      <c r="AA124" s="66"/>
      <c r="WUG124" s="1"/>
      <c r="WUH124" s="1"/>
      <c r="WUY124"/>
      <c r="WUZ124"/>
    </row>
    <row r="125" spans="2:27 16101:16120" ht="13" customHeight="1">
      <c r="B125" s="119" t="str">
        <f>Oportuno!B125</f>
        <v>7/09/2026</v>
      </c>
      <c r="C125" s="24">
        <f>Oportuno!C125</f>
        <v>2026091</v>
      </c>
      <c r="D125" s="24">
        <f>Oportuno!D125</f>
        <v>5</v>
      </c>
      <c r="E125" s="127">
        <f>Oportuno!E125</f>
        <v>20</v>
      </c>
      <c r="F125" s="125" t="str">
        <f>Oportuno!F125</f>
        <v>Bancolombia ENERBIT</v>
      </c>
      <c r="G125" s="18">
        <f>Oportuno!G125</f>
        <v>1</v>
      </c>
      <c r="H125" s="125" t="str">
        <f>Oportuno!H125</f>
        <v>Oficinas</v>
      </c>
      <c r="I125" s="129">
        <f>Oportuno!I125</f>
        <v>0</v>
      </c>
      <c r="J125" s="213">
        <f>Oportuno!J125</f>
        <v>0</v>
      </c>
      <c r="K125" s="213">
        <f>Oportuno!K125</f>
        <v>0</v>
      </c>
      <c r="L125" s="213">
        <f>Oportuno!L125</f>
        <v>0</v>
      </c>
      <c r="M125" s="213">
        <f>Oportuno!M125</f>
        <v>0</v>
      </c>
      <c r="N125" s="213">
        <f>Oportuno!N125</f>
        <v>0</v>
      </c>
      <c r="O125" s="213">
        <f>Oportuno!O125</f>
        <v>0</v>
      </c>
      <c r="P125" s="213">
        <f>Oportuno!P125</f>
        <v>0</v>
      </c>
      <c r="Q125" s="213">
        <f>Oportuno!Q125</f>
        <v>0</v>
      </c>
      <c r="R125" s="213">
        <f>Oportuno!R125</f>
        <v>162</v>
      </c>
      <c r="S125" s="214">
        <f>Oportuno!S125</f>
        <v>7073230</v>
      </c>
      <c r="T125" s="70">
        <f>Oportuno!T125</f>
        <v>162</v>
      </c>
      <c r="U125" s="70">
        <f>Oportuno!U125</f>
        <v>7073230</v>
      </c>
      <c r="V125" s="116">
        <f>Oportuno!V125</f>
        <v>162</v>
      </c>
      <c r="W125" s="116">
        <f>Oportuno!W125</f>
        <v>7073230</v>
      </c>
      <c r="X125" s="70">
        <f>Oportuno!X125</f>
        <v>0</v>
      </c>
      <c r="Y125" s="70">
        <f>Oportuno!Y125</f>
        <v>0</v>
      </c>
      <c r="AA125" s="65"/>
    </row>
    <row r="126" spans="2:27 16101:16120" ht="13" customHeight="1">
      <c r="B126" s="119">
        <f>Oportuno!B126</f>
        <v>0</v>
      </c>
      <c r="C126" s="23">
        <f>Oportuno!C126</f>
        <v>2026091</v>
      </c>
      <c r="D126" s="23">
        <f>Oportuno!D126</f>
        <v>5</v>
      </c>
      <c r="E126" s="128">
        <f>Oportuno!E126</f>
        <v>0</v>
      </c>
      <c r="F126" s="126" t="e">
        <f>Oportuno!F126</f>
        <v>#N/A</v>
      </c>
      <c r="G126" s="36">
        <f>Oportuno!G126</f>
        <v>1</v>
      </c>
      <c r="H126" s="126" t="str">
        <f>Oportuno!H126</f>
        <v>Oficinas</v>
      </c>
      <c r="I126" s="130">
        <f>Oportuno!I126</f>
        <v>0</v>
      </c>
      <c r="J126" s="174">
        <f>Oportuno!J126</f>
        <v>0</v>
      </c>
      <c r="K126" s="174">
        <f>Oportuno!K126</f>
        <v>0</v>
      </c>
      <c r="L126" s="174">
        <f>Oportuno!L126</f>
        <v>0</v>
      </c>
      <c r="M126" s="174">
        <f>Oportuno!M126</f>
        <v>0</v>
      </c>
      <c r="N126" s="174">
        <f>Oportuno!N126</f>
        <v>0</v>
      </c>
      <c r="O126" s="174">
        <f>Oportuno!O126</f>
        <v>0</v>
      </c>
      <c r="P126" s="174">
        <f>Oportuno!P126</f>
        <v>0</v>
      </c>
      <c r="Q126" s="174">
        <f>Oportuno!Q126</f>
        <v>0</v>
      </c>
      <c r="R126" s="174">
        <f>Oportuno!R126</f>
        <v>0</v>
      </c>
      <c r="S126" s="215">
        <f>Oportuno!S126</f>
        <v>0</v>
      </c>
      <c r="T126" s="71">
        <f>Oportuno!T126</f>
        <v>0</v>
      </c>
      <c r="U126" s="71">
        <f>Oportuno!U126</f>
        <v>0</v>
      </c>
      <c r="V126" s="117">
        <f>Oportuno!V126</f>
        <v>0</v>
      </c>
      <c r="W126" s="117">
        <f>Oportuno!W126</f>
        <v>0</v>
      </c>
      <c r="X126" s="71">
        <f>Oportuno!X126</f>
        <v>0</v>
      </c>
      <c r="Y126" s="71">
        <f>Oportuno!Y126</f>
        <v>0</v>
      </c>
      <c r="AA126" s="65"/>
    </row>
    <row r="127" spans="2:27 16101:16120" ht="13" customHeight="1">
      <c r="B127" s="119">
        <f>Oportuno!B127</f>
        <v>0</v>
      </c>
      <c r="C127" s="23">
        <f>Oportuno!C127</f>
        <v>2026091</v>
      </c>
      <c r="D127" s="23">
        <f>Oportuno!D127</f>
        <v>5</v>
      </c>
      <c r="E127" s="128">
        <f>Oportuno!E127</f>
        <v>0</v>
      </c>
      <c r="F127" s="126" t="e">
        <f>Oportuno!F127</f>
        <v>#N/A</v>
      </c>
      <c r="G127" s="36">
        <f>Oportuno!G127</f>
        <v>1</v>
      </c>
      <c r="H127" s="126" t="str">
        <f>Oportuno!H127</f>
        <v>Oficinas</v>
      </c>
      <c r="I127" s="130">
        <f>Oportuno!I127</f>
        <v>0</v>
      </c>
      <c r="J127" s="174">
        <f>Oportuno!J127</f>
        <v>0</v>
      </c>
      <c r="K127" s="174">
        <f>Oportuno!K127</f>
        <v>0</v>
      </c>
      <c r="L127" s="174">
        <f>Oportuno!L127</f>
        <v>0</v>
      </c>
      <c r="M127" s="174">
        <f>Oportuno!M127</f>
        <v>0</v>
      </c>
      <c r="N127" s="174">
        <f>Oportuno!N127</f>
        <v>0</v>
      </c>
      <c r="O127" s="174">
        <f>Oportuno!O127</f>
        <v>0</v>
      </c>
      <c r="P127" s="174">
        <f>Oportuno!P127</f>
        <v>0</v>
      </c>
      <c r="Q127" s="174">
        <f>Oportuno!Q127</f>
        <v>0</v>
      </c>
      <c r="R127" s="174">
        <f>Oportuno!R127</f>
        <v>0</v>
      </c>
      <c r="S127" s="215">
        <f>Oportuno!S127</f>
        <v>0</v>
      </c>
      <c r="T127" s="71">
        <f>Oportuno!T127</f>
        <v>0</v>
      </c>
      <c r="U127" s="71">
        <f>Oportuno!U127</f>
        <v>0</v>
      </c>
      <c r="V127" s="117">
        <f>Oportuno!V127</f>
        <v>0</v>
      </c>
      <c r="W127" s="117">
        <f>Oportuno!W127</f>
        <v>0</v>
      </c>
      <c r="X127" s="71">
        <f>Oportuno!X127</f>
        <v>0</v>
      </c>
      <c r="Y127" s="71">
        <f>Oportuno!Y127</f>
        <v>0</v>
      </c>
      <c r="AA127" s="65"/>
    </row>
    <row r="128" spans="2:27 16101:16120" ht="13" customHeight="1">
      <c r="B128" s="119">
        <f>Oportuno!B128</f>
        <v>0</v>
      </c>
      <c r="C128" s="23">
        <f>Oportuno!C128</f>
        <v>2026091</v>
      </c>
      <c r="D128" s="23">
        <f>Oportuno!D128</f>
        <v>5</v>
      </c>
      <c r="E128" s="128">
        <f>Oportuno!E128</f>
        <v>0</v>
      </c>
      <c r="F128" s="126" t="e">
        <f>Oportuno!F128</f>
        <v>#N/A</v>
      </c>
      <c r="G128" s="36">
        <f>Oportuno!G128</f>
        <v>1</v>
      </c>
      <c r="H128" s="126" t="str">
        <f>Oportuno!H128</f>
        <v>Oficinas</v>
      </c>
      <c r="I128" s="130">
        <f>Oportuno!I128</f>
        <v>0</v>
      </c>
      <c r="J128" s="174">
        <f>Oportuno!J128</f>
        <v>0</v>
      </c>
      <c r="K128" s="174">
        <f>Oportuno!K128</f>
        <v>0</v>
      </c>
      <c r="L128" s="174">
        <f>Oportuno!L128</f>
        <v>0</v>
      </c>
      <c r="M128" s="174">
        <f>Oportuno!M128</f>
        <v>0</v>
      </c>
      <c r="N128" s="174">
        <f>Oportuno!N128</f>
        <v>0</v>
      </c>
      <c r="O128" s="174">
        <f>Oportuno!O128</f>
        <v>0</v>
      </c>
      <c r="P128" s="174">
        <f>Oportuno!P128</f>
        <v>0</v>
      </c>
      <c r="Q128" s="174">
        <f>Oportuno!Q128</f>
        <v>0</v>
      </c>
      <c r="R128" s="174">
        <f>Oportuno!R128</f>
        <v>0</v>
      </c>
      <c r="S128" s="215">
        <f>Oportuno!S128</f>
        <v>0</v>
      </c>
      <c r="T128" s="71">
        <f>Oportuno!T128</f>
        <v>0</v>
      </c>
      <c r="U128" s="71">
        <f>Oportuno!U128</f>
        <v>0</v>
      </c>
      <c r="V128" s="117">
        <f>Oportuno!V128</f>
        <v>0</v>
      </c>
      <c r="W128" s="117">
        <f>Oportuno!W128</f>
        <v>0</v>
      </c>
      <c r="X128" s="71">
        <f>Oportuno!X128</f>
        <v>0</v>
      </c>
      <c r="Y128" s="71">
        <f>Oportuno!Y128</f>
        <v>0</v>
      </c>
      <c r="AA128" s="65"/>
    </row>
    <row r="129" spans="2:27" ht="13" customHeight="1">
      <c r="B129" s="119">
        <f>Oportuno!B129</f>
        <v>0</v>
      </c>
      <c r="C129" s="23">
        <f>Oportuno!C129</f>
        <v>2026091</v>
      </c>
      <c r="D129" s="23">
        <f>Oportuno!D129</f>
        <v>5</v>
      </c>
      <c r="E129" s="128">
        <f>Oportuno!E129</f>
        <v>0</v>
      </c>
      <c r="F129" s="126" t="e">
        <f>Oportuno!F129</f>
        <v>#N/A</v>
      </c>
      <c r="G129" s="36">
        <f>Oportuno!G129</f>
        <v>1</v>
      </c>
      <c r="H129" s="126" t="str">
        <f>Oportuno!H129</f>
        <v>Oficinas</v>
      </c>
      <c r="I129" s="130">
        <f>Oportuno!I129</f>
        <v>0</v>
      </c>
      <c r="J129" s="174">
        <f>Oportuno!J129</f>
        <v>0</v>
      </c>
      <c r="K129" s="174">
        <f>Oportuno!K129</f>
        <v>0</v>
      </c>
      <c r="L129" s="174">
        <f>Oportuno!L129</f>
        <v>0</v>
      </c>
      <c r="M129" s="174">
        <f>Oportuno!M129</f>
        <v>0</v>
      </c>
      <c r="N129" s="174">
        <f>Oportuno!N129</f>
        <v>0</v>
      </c>
      <c r="O129" s="174">
        <f>Oportuno!O129</f>
        <v>0</v>
      </c>
      <c r="P129" s="174">
        <f>Oportuno!P129</f>
        <v>0</v>
      </c>
      <c r="Q129" s="174">
        <f>Oportuno!Q129</f>
        <v>0</v>
      </c>
      <c r="R129" s="174">
        <f>Oportuno!R129</f>
        <v>0</v>
      </c>
      <c r="S129" s="215">
        <f>Oportuno!S129</f>
        <v>0</v>
      </c>
      <c r="T129" s="71">
        <f>Oportuno!T129</f>
        <v>0</v>
      </c>
      <c r="U129" s="71">
        <f>Oportuno!U129</f>
        <v>0</v>
      </c>
      <c r="V129" s="117">
        <f>Oportuno!V129</f>
        <v>0</v>
      </c>
      <c r="W129" s="117">
        <f>Oportuno!W129</f>
        <v>0</v>
      </c>
      <c r="X129" s="71">
        <f>Oportuno!X129</f>
        <v>0</v>
      </c>
      <c r="Y129" s="71">
        <f>Oportuno!Y129</f>
        <v>0</v>
      </c>
      <c r="AA129" s="65"/>
    </row>
    <row r="130" spans="2:27" ht="13" customHeight="1">
      <c r="B130" s="119">
        <f>Oportuno!B130</f>
        <v>0</v>
      </c>
      <c r="C130" s="23">
        <f>Oportuno!C130</f>
        <v>2026091</v>
      </c>
      <c r="D130" s="23">
        <f>Oportuno!D130</f>
        <v>5</v>
      </c>
      <c r="E130" s="128">
        <f>Oportuno!E130</f>
        <v>0</v>
      </c>
      <c r="F130" s="126" t="e">
        <f>Oportuno!F130</f>
        <v>#N/A</v>
      </c>
      <c r="G130" s="36">
        <f>Oportuno!G130</f>
        <v>1</v>
      </c>
      <c r="H130" s="126" t="str">
        <f>Oportuno!H130</f>
        <v>Oficinas</v>
      </c>
      <c r="I130" s="130">
        <f>Oportuno!I130</f>
        <v>0</v>
      </c>
      <c r="J130" s="174">
        <f>Oportuno!J130</f>
        <v>0</v>
      </c>
      <c r="K130" s="174">
        <f>Oportuno!K130</f>
        <v>0</v>
      </c>
      <c r="L130" s="174">
        <f>Oportuno!L130</f>
        <v>0</v>
      </c>
      <c r="M130" s="174">
        <f>Oportuno!M130</f>
        <v>0</v>
      </c>
      <c r="N130" s="174">
        <f>Oportuno!N130</f>
        <v>0</v>
      </c>
      <c r="O130" s="174">
        <f>Oportuno!O130</f>
        <v>0</v>
      </c>
      <c r="P130" s="174">
        <f>Oportuno!P130</f>
        <v>0</v>
      </c>
      <c r="Q130" s="174">
        <f>Oportuno!Q130</f>
        <v>0</v>
      </c>
      <c r="R130" s="174">
        <f>Oportuno!R130</f>
        <v>0</v>
      </c>
      <c r="S130" s="215">
        <f>Oportuno!S130</f>
        <v>0</v>
      </c>
      <c r="T130" s="71">
        <f>Oportuno!T130</f>
        <v>0</v>
      </c>
      <c r="U130" s="71">
        <f>Oportuno!U130</f>
        <v>0</v>
      </c>
      <c r="V130" s="117">
        <f>Oportuno!V130</f>
        <v>0</v>
      </c>
      <c r="W130" s="117">
        <f>Oportuno!W130</f>
        <v>0</v>
      </c>
      <c r="X130" s="71">
        <f>Oportuno!X130</f>
        <v>0</v>
      </c>
      <c r="Y130" s="71">
        <f>Oportuno!Y130</f>
        <v>0</v>
      </c>
      <c r="AA130" s="65"/>
    </row>
    <row r="131" spans="2:27" ht="13" customHeight="1">
      <c r="B131" s="119">
        <f>Oportuno!B131</f>
        <v>0</v>
      </c>
      <c r="C131" s="23">
        <f>Oportuno!C131</f>
        <v>2026091</v>
      </c>
      <c r="D131" s="23">
        <f>Oportuno!D131</f>
        <v>5</v>
      </c>
      <c r="E131" s="128">
        <f>Oportuno!E131</f>
        <v>0</v>
      </c>
      <c r="F131" s="126" t="e">
        <f>Oportuno!F131</f>
        <v>#N/A</v>
      </c>
      <c r="G131" s="36">
        <f>Oportuno!G131</f>
        <v>1</v>
      </c>
      <c r="H131" s="126" t="str">
        <f>Oportuno!H131</f>
        <v>Oficinas</v>
      </c>
      <c r="I131" s="130">
        <f>Oportuno!I131</f>
        <v>0</v>
      </c>
      <c r="J131" s="174">
        <f>Oportuno!J131</f>
        <v>0</v>
      </c>
      <c r="K131" s="174">
        <f>Oportuno!K131</f>
        <v>0</v>
      </c>
      <c r="L131" s="174">
        <f>Oportuno!L131</f>
        <v>0</v>
      </c>
      <c r="M131" s="174">
        <f>Oportuno!M131</f>
        <v>0</v>
      </c>
      <c r="N131" s="174">
        <f>Oportuno!N131</f>
        <v>0</v>
      </c>
      <c r="O131" s="174">
        <f>Oportuno!O131</f>
        <v>0</v>
      </c>
      <c r="P131" s="174">
        <f>Oportuno!P131</f>
        <v>0</v>
      </c>
      <c r="Q131" s="174">
        <f>Oportuno!Q131</f>
        <v>0</v>
      </c>
      <c r="R131" s="174">
        <f>Oportuno!R131</f>
        <v>0</v>
      </c>
      <c r="S131" s="215">
        <f>Oportuno!S131</f>
        <v>0</v>
      </c>
      <c r="T131" s="71">
        <f>Oportuno!T131</f>
        <v>0</v>
      </c>
      <c r="U131" s="71">
        <f>Oportuno!U131</f>
        <v>0</v>
      </c>
      <c r="V131" s="117">
        <f>Oportuno!V131</f>
        <v>0</v>
      </c>
      <c r="W131" s="117">
        <f>Oportuno!W131</f>
        <v>0</v>
      </c>
      <c r="X131" s="71">
        <f>Oportuno!X131</f>
        <v>0</v>
      </c>
      <c r="Y131" s="71">
        <f>Oportuno!Y131</f>
        <v>0</v>
      </c>
      <c r="AA131" s="65"/>
    </row>
    <row r="132" spans="2:27" ht="13" customHeight="1">
      <c r="B132" s="119">
        <f>Oportuno!B132</f>
        <v>0</v>
      </c>
      <c r="C132" s="23">
        <f>Oportuno!C132</f>
        <v>2026091</v>
      </c>
      <c r="D132" s="23">
        <f>Oportuno!D132</f>
        <v>5</v>
      </c>
      <c r="E132" s="128">
        <f>Oportuno!E132</f>
        <v>0</v>
      </c>
      <c r="F132" s="126" t="e">
        <f>Oportuno!F132</f>
        <v>#N/A</v>
      </c>
      <c r="G132" s="36">
        <f>Oportuno!G132</f>
        <v>1</v>
      </c>
      <c r="H132" s="126" t="str">
        <f>Oportuno!H132</f>
        <v>Oficinas</v>
      </c>
      <c r="I132" s="130">
        <f>Oportuno!I132</f>
        <v>0</v>
      </c>
      <c r="J132" s="174">
        <f>Oportuno!J132</f>
        <v>0</v>
      </c>
      <c r="K132" s="174">
        <f>Oportuno!K132</f>
        <v>0</v>
      </c>
      <c r="L132" s="174">
        <f>Oportuno!L132</f>
        <v>0</v>
      </c>
      <c r="M132" s="174">
        <f>Oportuno!M132</f>
        <v>0</v>
      </c>
      <c r="N132" s="174">
        <f>Oportuno!N132</f>
        <v>0</v>
      </c>
      <c r="O132" s="174">
        <f>Oportuno!O132</f>
        <v>0</v>
      </c>
      <c r="P132" s="174">
        <f>Oportuno!P132</f>
        <v>0</v>
      </c>
      <c r="Q132" s="174">
        <f>Oportuno!Q132</f>
        <v>0</v>
      </c>
      <c r="R132" s="174">
        <f>Oportuno!R132</f>
        <v>0</v>
      </c>
      <c r="S132" s="215">
        <f>Oportuno!S132</f>
        <v>0</v>
      </c>
      <c r="T132" s="71">
        <f>Oportuno!T132</f>
        <v>0</v>
      </c>
      <c r="U132" s="71">
        <f>Oportuno!U132</f>
        <v>0</v>
      </c>
      <c r="V132" s="117">
        <f>Oportuno!V132</f>
        <v>0</v>
      </c>
      <c r="W132" s="117">
        <f>Oportuno!W132</f>
        <v>0</v>
      </c>
      <c r="X132" s="71">
        <f>Oportuno!X132</f>
        <v>0</v>
      </c>
      <c r="Y132" s="71">
        <f>Oportuno!Y132</f>
        <v>0</v>
      </c>
      <c r="AA132" s="65"/>
    </row>
    <row r="133" spans="2:27" ht="13" customHeight="1">
      <c r="B133" s="119">
        <f>Oportuno!B133</f>
        <v>0</v>
      </c>
      <c r="C133" s="23">
        <f>Oportuno!C133</f>
        <v>2026091</v>
      </c>
      <c r="D133" s="23">
        <f>Oportuno!D133</f>
        <v>5</v>
      </c>
      <c r="E133" s="128">
        <f>Oportuno!E133</f>
        <v>0</v>
      </c>
      <c r="F133" s="126" t="e">
        <f>Oportuno!F133</f>
        <v>#N/A</v>
      </c>
      <c r="G133" s="36">
        <f>Oportuno!G133</f>
        <v>1</v>
      </c>
      <c r="H133" s="126" t="str">
        <f>Oportuno!H133</f>
        <v>Oficinas</v>
      </c>
      <c r="I133" s="130">
        <f>Oportuno!I133</f>
        <v>0</v>
      </c>
      <c r="J133" s="174">
        <f>Oportuno!J133</f>
        <v>0</v>
      </c>
      <c r="K133" s="174">
        <f>Oportuno!K133</f>
        <v>0</v>
      </c>
      <c r="L133" s="174">
        <f>Oportuno!L133</f>
        <v>0</v>
      </c>
      <c r="M133" s="174">
        <f>Oportuno!M133</f>
        <v>0</v>
      </c>
      <c r="N133" s="174">
        <f>Oportuno!N133</f>
        <v>0</v>
      </c>
      <c r="O133" s="174">
        <f>Oportuno!O133</f>
        <v>0</v>
      </c>
      <c r="P133" s="174">
        <f>Oportuno!P133</f>
        <v>0</v>
      </c>
      <c r="Q133" s="174">
        <f>Oportuno!Q133</f>
        <v>0</v>
      </c>
      <c r="R133" s="174">
        <f>Oportuno!R133</f>
        <v>0</v>
      </c>
      <c r="S133" s="215">
        <f>Oportuno!S133</f>
        <v>0</v>
      </c>
      <c r="T133" s="71">
        <f>Oportuno!T133</f>
        <v>0</v>
      </c>
      <c r="U133" s="71">
        <f>Oportuno!U133</f>
        <v>0</v>
      </c>
      <c r="V133" s="117">
        <f>Oportuno!V133</f>
        <v>0</v>
      </c>
      <c r="W133" s="117">
        <f>Oportuno!W133</f>
        <v>0</v>
      </c>
      <c r="X133" s="71">
        <f>Oportuno!X133</f>
        <v>0</v>
      </c>
      <c r="Y133" s="71">
        <f>Oportuno!Y133</f>
        <v>0</v>
      </c>
      <c r="AA133" s="65"/>
    </row>
    <row r="134" spans="2:27" ht="13" customHeight="1">
      <c r="B134" s="119">
        <f>Oportuno!B134</f>
        <v>0</v>
      </c>
      <c r="C134" s="23">
        <f>Oportuno!C134</f>
        <v>2026091</v>
      </c>
      <c r="D134" s="23">
        <f>Oportuno!D134</f>
        <v>5</v>
      </c>
      <c r="E134" s="128">
        <f>Oportuno!E134</f>
        <v>0</v>
      </c>
      <c r="F134" s="126" t="e">
        <f>Oportuno!F134</f>
        <v>#N/A</v>
      </c>
      <c r="G134" s="36">
        <f>Oportuno!G134</f>
        <v>1</v>
      </c>
      <c r="H134" s="126" t="str">
        <f>Oportuno!H134</f>
        <v>Oficinas</v>
      </c>
      <c r="I134" s="130">
        <f>Oportuno!I134</f>
        <v>0</v>
      </c>
      <c r="J134" s="174">
        <f>Oportuno!J134</f>
        <v>0</v>
      </c>
      <c r="K134" s="174">
        <f>Oportuno!K134</f>
        <v>0</v>
      </c>
      <c r="L134" s="174">
        <f>Oportuno!L134</f>
        <v>0</v>
      </c>
      <c r="M134" s="174">
        <f>Oportuno!M134</f>
        <v>0</v>
      </c>
      <c r="N134" s="174">
        <f>Oportuno!N134</f>
        <v>0</v>
      </c>
      <c r="O134" s="174">
        <f>Oportuno!O134</f>
        <v>0</v>
      </c>
      <c r="P134" s="174">
        <f>Oportuno!P134</f>
        <v>0</v>
      </c>
      <c r="Q134" s="174">
        <f>Oportuno!Q134</f>
        <v>0</v>
      </c>
      <c r="R134" s="174">
        <f>Oportuno!R134</f>
        <v>0</v>
      </c>
      <c r="S134" s="215">
        <f>Oportuno!S134</f>
        <v>0</v>
      </c>
      <c r="T134" s="71">
        <f>Oportuno!T134</f>
        <v>0</v>
      </c>
      <c r="U134" s="71">
        <f>Oportuno!U134</f>
        <v>0</v>
      </c>
      <c r="V134" s="117">
        <f>Oportuno!V134</f>
        <v>0</v>
      </c>
      <c r="W134" s="117">
        <f>Oportuno!W134</f>
        <v>0</v>
      </c>
      <c r="X134" s="71">
        <f>Oportuno!X134</f>
        <v>0</v>
      </c>
      <c r="Y134" s="71">
        <f>Oportuno!Y134</f>
        <v>0</v>
      </c>
      <c r="AA134" s="65"/>
    </row>
    <row r="135" spans="2:27" ht="13" customHeight="1">
      <c r="B135" s="119">
        <f>Oportuno!B135</f>
        <v>0</v>
      </c>
      <c r="C135" s="23">
        <f>Oportuno!C135</f>
        <v>2026091</v>
      </c>
      <c r="D135" s="23">
        <f>Oportuno!D135</f>
        <v>5</v>
      </c>
      <c r="E135" s="128">
        <f>Oportuno!E135</f>
        <v>0</v>
      </c>
      <c r="F135" s="126" t="e">
        <f>Oportuno!F135</f>
        <v>#N/A</v>
      </c>
      <c r="G135" s="36">
        <f>Oportuno!G135</f>
        <v>1</v>
      </c>
      <c r="H135" s="126" t="str">
        <f>Oportuno!H135</f>
        <v>Oficinas</v>
      </c>
      <c r="I135" s="130">
        <f>Oportuno!I135</f>
        <v>0</v>
      </c>
      <c r="J135" s="174">
        <f>Oportuno!J135</f>
        <v>0</v>
      </c>
      <c r="K135" s="174">
        <f>Oportuno!K135</f>
        <v>0</v>
      </c>
      <c r="L135" s="174">
        <f>Oportuno!L135</f>
        <v>0</v>
      </c>
      <c r="M135" s="174">
        <f>Oportuno!M135</f>
        <v>0</v>
      </c>
      <c r="N135" s="174">
        <f>Oportuno!N135</f>
        <v>0</v>
      </c>
      <c r="O135" s="174">
        <f>Oportuno!O135</f>
        <v>0</v>
      </c>
      <c r="P135" s="174">
        <f>Oportuno!P135</f>
        <v>0</v>
      </c>
      <c r="Q135" s="174">
        <f>Oportuno!Q135</f>
        <v>0</v>
      </c>
      <c r="R135" s="174">
        <f>Oportuno!R135</f>
        <v>0</v>
      </c>
      <c r="S135" s="215">
        <f>Oportuno!S135</f>
        <v>0</v>
      </c>
      <c r="T135" s="71">
        <f>Oportuno!T135</f>
        <v>0</v>
      </c>
      <c r="U135" s="71">
        <f>Oportuno!U135</f>
        <v>0</v>
      </c>
      <c r="V135" s="117">
        <f>Oportuno!V135</f>
        <v>0</v>
      </c>
      <c r="W135" s="117">
        <f>Oportuno!W135</f>
        <v>0</v>
      </c>
      <c r="X135" s="71">
        <f>Oportuno!X135</f>
        <v>0</v>
      </c>
      <c r="Y135" s="71">
        <f>Oportuno!Y135</f>
        <v>0</v>
      </c>
      <c r="AA135" s="65"/>
    </row>
    <row r="136" spans="2:27" ht="13" customHeight="1">
      <c r="B136" s="119">
        <f>Oportuno!B136</f>
        <v>0</v>
      </c>
      <c r="C136" s="23">
        <f>Oportuno!C136</f>
        <v>2026091</v>
      </c>
      <c r="D136" s="23">
        <f>Oportuno!D136</f>
        <v>5</v>
      </c>
      <c r="E136" s="128">
        <f>Oportuno!E136</f>
        <v>0</v>
      </c>
      <c r="F136" s="126" t="e">
        <f>Oportuno!F136</f>
        <v>#N/A</v>
      </c>
      <c r="G136" s="36">
        <f>Oportuno!G136</f>
        <v>1</v>
      </c>
      <c r="H136" s="126" t="str">
        <f>Oportuno!H136</f>
        <v>Oficinas</v>
      </c>
      <c r="I136" s="130">
        <f>Oportuno!I136</f>
        <v>0</v>
      </c>
      <c r="J136" s="174">
        <f>Oportuno!J136</f>
        <v>0</v>
      </c>
      <c r="K136" s="174">
        <f>Oportuno!K136</f>
        <v>0</v>
      </c>
      <c r="L136" s="174">
        <f>Oportuno!L136</f>
        <v>0</v>
      </c>
      <c r="M136" s="174">
        <f>Oportuno!M136</f>
        <v>0</v>
      </c>
      <c r="N136" s="174">
        <f>Oportuno!N136</f>
        <v>0</v>
      </c>
      <c r="O136" s="174">
        <f>Oportuno!O136</f>
        <v>0</v>
      </c>
      <c r="P136" s="174">
        <f>Oportuno!P136</f>
        <v>0</v>
      </c>
      <c r="Q136" s="174">
        <f>Oportuno!Q136</f>
        <v>0</v>
      </c>
      <c r="R136" s="174">
        <f>Oportuno!R136</f>
        <v>0</v>
      </c>
      <c r="S136" s="215">
        <f>Oportuno!S136</f>
        <v>0</v>
      </c>
      <c r="T136" s="71">
        <f>Oportuno!T136</f>
        <v>0</v>
      </c>
      <c r="U136" s="71">
        <f>Oportuno!U136</f>
        <v>0</v>
      </c>
      <c r="V136" s="117">
        <f>Oportuno!V136</f>
        <v>0</v>
      </c>
      <c r="W136" s="117">
        <f>Oportuno!W136</f>
        <v>0</v>
      </c>
      <c r="X136" s="71">
        <f>Oportuno!X136</f>
        <v>0</v>
      </c>
      <c r="Y136" s="71">
        <f>Oportuno!Y136</f>
        <v>0</v>
      </c>
      <c r="AA136" s="65"/>
    </row>
    <row r="137" spans="2:27" ht="13" customHeight="1">
      <c r="B137" s="119">
        <f>Oportuno!B137</f>
        <v>0</v>
      </c>
      <c r="C137" s="23">
        <f>Oportuno!C137</f>
        <v>2026091</v>
      </c>
      <c r="D137" s="23">
        <f>Oportuno!D137</f>
        <v>5</v>
      </c>
      <c r="E137" s="128">
        <f>Oportuno!E137</f>
        <v>0</v>
      </c>
      <c r="F137" s="126" t="e">
        <f>Oportuno!F137</f>
        <v>#N/A</v>
      </c>
      <c r="G137" s="36">
        <f>Oportuno!G137</f>
        <v>1</v>
      </c>
      <c r="H137" s="126" t="str">
        <f>Oportuno!H137</f>
        <v>Oficinas</v>
      </c>
      <c r="I137" s="130">
        <f>Oportuno!I137</f>
        <v>0</v>
      </c>
      <c r="J137" s="174">
        <f>Oportuno!J137</f>
        <v>0</v>
      </c>
      <c r="K137" s="174">
        <f>Oportuno!K137</f>
        <v>0</v>
      </c>
      <c r="L137" s="174">
        <f>Oportuno!L137</f>
        <v>0</v>
      </c>
      <c r="M137" s="174">
        <f>Oportuno!M137</f>
        <v>0</v>
      </c>
      <c r="N137" s="174">
        <f>Oportuno!N137</f>
        <v>0</v>
      </c>
      <c r="O137" s="174">
        <f>Oportuno!O137</f>
        <v>0</v>
      </c>
      <c r="P137" s="174">
        <f>Oportuno!P137</f>
        <v>0</v>
      </c>
      <c r="Q137" s="174">
        <f>Oportuno!Q137</f>
        <v>0</v>
      </c>
      <c r="R137" s="174">
        <f>Oportuno!R137</f>
        <v>0</v>
      </c>
      <c r="S137" s="215">
        <f>Oportuno!S137</f>
        <v>0</v>
      </c>
      <c r="T137" s="71">
        <f>Oportuno!T137</f>
        <v>0</v>
      </c>
      <c r="U137" s="71">
        <f>Oportuno!U137</f>
        <v>0</v>
      </c>
      <c r="V137" s="117">
        <f>Oportuno!V137</f>
        <v>0</v>
      </c>
      <c r="W137" s="117">
        <f>Oportuno!W137</f>
        <v>0</v>
      </c>
      <c r="X137" s="71">
        <f>Oportuno!X137</f>
        <v>0</v>
      </c>
      <c r="Y137" s="71">
        <f>Oportuno!Y137</f>
        <v>0</v>
      </c>
      <c r="AA137" s="65"/>
    </row>
    <row r="138" spans="2:27" ht="13" customHeight="1">
      <c r="B138" s="119">
        <f>Oportuno!B138</f>
        <v>0</v>
      </c>
      <c r="C138" s="23">
        <f>Oportuno!C138</f>
        <v>2026091</v>
      </c>
      <c r="D138" s="23">
        <f>Oportuno!D138</f>
        <v>5</v>
      </c>
      <c r="E138" s="128">
        <f>Oportuno!E138</f>
        <v>0</v>
      </c>
      <c r="F138" s="126" t="e">
        <f>Oportuno!F138</f>
        <v>#N/A</v>
      </c>
      <c r="G138" s="36">
        <f>Oportuno!G138</f>
        <v>1</v>
      </c>
      <c r="H138" s="126" t="str">
        <f>Oportuno!H138</f>
        <v>Oficinas</v>
      </c>
      <c r="I138" s="130">
        <f>Oportuno!I138</f>
        <v>0</v>
      </c>
      <c r="J138" s="174">
        <f>Oportuno!J138</f>
        <v>0</v>
      </c>
      <c r="K138" s="174">
        <f>Oportuno!K138</f>
        <v>0</v>
      </c>
      <c r="L138" s="174">
        <f>Oportuno!L138</f>
        <v>0</v>
      </c>
      <c r="M138" s="174">
        <f>Oportuno!M138</f>
        <v>0</v>
      </c>
      <c r="N138" s="174">
        <f>Oportuno!N138</f>
        <v>0</v>
      </c>
      <c r="O138" s="174">
        <f>Oportuno!O138</f>
        <v>0</v>
      </c>
      <c r="P138" s="174">
        <f>Oportuno!P138</f>
        <v>0</v>
      </c>
      <c r="Q138" s="174">
        <f>Oportuno!Q138</f>
        <v>0</v>
      </c>
      <c r="R138" s="174">
        <f>Oportuno!R138</f>
        <v>0</v>
      </c>
      <c r="S138" s="215">
        <f>Oportuno!S138</f>
        <v>0</v>
      </c>
      <c r="T138" s="71">
        <f>Oportuno!T138</f>
        <v>0</v>
      </c>
      <c r="U138" s="71">
        <f>Oportuno!U138</f>
        <v>0</v>
      </c>
      <c r="V138" s="117">
        <f>Oportuno!V138</f>
        <v>0</v>
      </c>
      <c r="W138" s="117">
        <f>Oportuno!W138</f>
        <v>0</v>
      </c>
      <c r="X138" s="71">
        <f>Oportuno!X138</f>
        <v>0</v>
      </c>
      <c r="Y138" s="71">
        <f>Oportuno!Y138</f>
        <v>0</v>
      </c>
      <c r="AA138" s="65"/>
    </row>
    <row r="139" spans="2:27" ht="13" customHeight="1">
      <c r="B139" s="119">
        <f>Oportuno!B139</f>
        <v>0</v>
      </c>
      <c r="C139" s="23">
        <f>Oportuno!C139</f>
        <v>2026091</v>
      </c>
      <c r="D139" s="23">
        <f>Oportuno!D139</f>
        <v>5</v>
      </c>
      <c r="E139" s="128">
        <f>Oportuno!E139</f>
        <v>0</v>
      </c>
      <c r="F139" s="126" t="e">
        <f>Oportuno!F139</f>
        <v>#N/A</v>
      </c>
      <c r="G139" s="36">
        <f>Oportuno!G139</f>
        <v>1</v>
      </c>
      <c r="H139" s="126" t="str">
        <f>Oportuno!H139</f>
        <v>Oficinas</v>
      </c>
      <c r="I139" s="130">
        <f>Oportuno!I139</f>
        <v>0</v>
      </c>
      <c r="J139" s="174">
        <f>Oportuno!J139</f>
        <v>0</v>
      </c>
      <c r="K139" s="174">
        <f>Oportuno!K139</f>
        <v>0</v>
      </c>
      <c r="L139" s="174">
        <f>Oportuno!L139</f>
        <v>0</v>
      </c>
      <c r="M139" s="174">
        <f>Oportuno!M139</f>
        <v>0</v>
      </c>
      <c r="N139" s="174">
        <f>Oportuno!N139</f>
        <v>0</v>
      </c>
      <c r="O139" s="174">
        <f>Oportuno!O139</f>
        <v>0</v>
      </c>
      <c r="P139" s="174">
        <f>Oportuno!P139</f>
        <v>0</v>
      </c>
      <c r="Q139" s="174">
        <f>Oportuno!Q139</f>
        <v>0</v>
      </c>
      <c r="R139" s="174">
        <f>Oportuno!R139</f>
        <v>0</v>
      </c>
      <c r="S139" s="215">
        <f>Oportuno!S139</f>
        <v>0</v>
      </c>
      <c r="T139" s="71">
        <f>Oportuno!T139</f>
        <v>0</v>
      </c>
      <c r="U139" s="71">
        <f>Oportuno!U139</f>
        <v>0</v>
      </c>
      <c r="V139" s="117">
        <f>Oportuno!V139</f>
        <v>0</v>
      </c>
      <c r="W139" s="117">
        <f>Oportuno!W139</f>
        <v>0</v>
      </c>
      <c r="X139" s="71">
        <f>Oportuno!X139</f>
        <v>0</v>
      </c>
      <c r="Y139" s="71">
        <f>Oportuno!Y139</f>
        <v>0</v>
      </c>
      <c r="AA139" s="65"/>
    </row>
    <row r="140" spans="2:27" ht="12" customHeight="1">
      <c r="B140" s="119">
        <f>Oportuno!B140</f>
        <v>0</v>
      </c>
      <c r="C140" s="23">
        <f>Oportuno!C140</f>
        <v>2026091</v>
      </c>
      <c r="D140" s="23">
        <f>Oportuno!D140</f>
        <v>5</v>
      </c>
      <c r="E140" s="128">
        <f>Oportuno!E140</f>
        <v>0</v>
      </c>
      <c r="F140" s="126" t="e">
        <f>Oportuno!F140</f>
        <v>#N/A</v>
      </c>
      <c r="G140" s="36">
        <f>Oportuno!G140</f>
        <v>1</v>
      </c>
      <c r="H140" s="126" t="str">
        <f>Oportuno!H140</f>
        <v>Oficinas</v>
      </c>
      <c r="I140" s="130">
        <f>Oportuno!I140</f>
        <v>0</v>
      </c>
      <c r="J140" s="174">
        <f>Oportuno!J140</f>
        <v>0</v>
      </c>
      <c r="K140" s="174">
        <f>Oportuno!K140</f>
        <v>0</v>
      </c>
      <c r="L140" s="174">
        <f>Oportuno!L140</f>
        <v>0</v>
      </c>
      <c r="M140" s="174">
        <f>Oportuno!M140</f>
        <v>0</v>
      </c>
      <c r="N140" s="174">
        <f>Oportuno!N140</f>
        <v>0</v>
      </c>
      <c r="O140" s="174">
        <f>Oportuno!O140</f>
        <v>0</v>
      </c>
      <c r="P140" s="174">
        <f>Oportuno!P140</f>
        <v>0</v>
      </c>
      <c r="Q140" s="174">
        <f>Oportuno!Q140</f>
        <v>0</v>
      </c>
      <c r="R140" s="174">
        <f>Oportuno!R140</f>
        <v>0</v>
      </c>
      <c r="S140" s="215">
        <f>Oportuno!S140</f>
        <v>0</v>
      </c>
      <c r="T140" s="71">
        <f>Oportuno!T140</f>
        <v>0</v>
      </c>
      <c r="U140" s="71">
        <f>Oportuno!U140</f>
        <v>0</v>
      </c>
      <c r="V140" s="117">
        <f>Oportuno!V140</f>
        <v>0</v>
      </c>
      <c r="W140" s="117">
        <f>Oportuno!W140</f>
        <v>0</v>
      </c>
      <c r="X140" s="71">
        <f>Oportuno!X140</f>
        <v>0</v>
      </c>
      <c r="Y140" s="71">
        <f>Oportuno!Y140</f>
        <v>0</v>
      </c>
      <c r="AA140" s="65"/>
    </row>
    <row r="141" spans="2:27" ht="13" customHeight="1">
      <c r="B141" s="119">
        <f>Oportuno!B141</f>
        <v>0</v>
      </c>
      <c r="C141" s="23">
        <f>Oportuno!C141</f>
        <v>2026091</v>
      </c>
      <c r="D141" s="23">
        <f>Oportuno!D141</f>
        <v>5</v>
      </c>
      <c r="E141" s="128">
        <f>Oportuno!E141</f>
        <v>0</v>
      </c>
      <c r="F141" s="126" t="e">
        <f>Oportuno!F141</f>
        <v>#N/A</v>
      </c>
      <c r="G141" s="36">
        <f>Oportuno!G141</f>
        <v>1</v>
      </c>
      <c r="H141" s="126" t="str">
        <f>Oportuno!H141</f>
        <v>Oficinas</v>
      </c>
      <c r="I141" s="130">
        <f>Oportuno!I141</f>
        <v>0</v>
      </c>
      <c r="J141" s="174">
        <f>Oportuno!J141</f>
        <v>0</v>
      </c>
      <c r="K141" s="174">
        <f>Oportuno!K141</f>
        <v>0</v>
      </c>
      <c r="L141" s="174">
        <f>Oportuno!L141</f>
        <v>0</v>
      </c>
      <c r="M141" s="174">
        <f>Oportuno!M141</f>
        <v>0</v>
      </c>
      <c r="N141" s="174">
        <f>Oportuno!N141</f>
        <v>0</v>
      </c>
      <c r="O141" s="174">
        <f>Oportuno!O141</f>
        <v>0</v>
      </c>
      <c r="P141" s="174">
        <f>Oportuno!P141</f>
        <v>0</v>
      </c>
      <c r="Q141" s="174">
        <f>Oportuno!Q141</f>
        <v>0</v>
      </c>
      <c r="R141" s="174">
        <f>Oportuno!R141</f>
        <v>0</v>
      </c>
      <c r="S141" s="215">
        <f>Oportuno!S141</f>
        <v>0</v>
      </c>
      <c r="T141" s="71">
        <f>Oportuno!T141</f>
        <v>0</v>
      </c>
      <c r="U141" s="71">
        <f>Oportuno!U141</f>
        <v>0</v>
      </c>
      <c r="V141" s="117">
        <f>Oportuno!V141</f>
        <v>0</v>
      </c>
      <c r="W141" s="117">
        <f>Oportuno!W141</f>
        <v>0</v>
      </c>
      <c r="X141" s="71">
        <f>Oportuno!X141</f>
        <v>0</v>
      </c>
      <c r="Y141" s="71">
        <f>Oportuno!Y141</f>
        <v>0</v>
      </c>
      <c r="AA141" s="65"/>
    </row>
    <row r="142" spans="2:27" ht="13" customHeight="1">
      <c r="B142" s="119">
        <f>Oportuno!B142</f>
        <v>0</v>
      </c>
      <c r="C142" s="23">
        <f>Oportuno!C142</f>
        <v>2026091</v>
      </c>
      <c r="D142" s="23">
        <f>Oportuno!D142</f>
        <v>5</v>
      </c>
      <c r="E142" s="128">
        <f>Oportuno!E142</f>
        <v>0</v>
      </c>
      <c r="F142" s="126" t="e">
        <f>Oportuno!F142</f>
        <v>#N/A</v>
      </c>
      <c r="G142" s="36">
        <f>Oportuno!G142</f>
        <v>1</v>
      </c>
      <c r="H142" s="126" t="str">
        <f>Oportuno!H142</f>
        <v>Oficinas</v>
      </c>
      <c r="I142" s="130">
        <f>Oportuno!I142</f>
        <v>0</v>
      </c>
      <c r="J142" s="174">
        <f>Oportuno!J142</f>
        <v>0</v>
      </c>
      <c r="K142" s="174">
        <f>Oportuno!K142</f>
        <v>0</v>
      </c>
      <c r="L142" s="174">
        <f>Oportuno!L142</f>
        <v>0</v>
      </c>
      <c r="M142" s="174">
        <f>Oportuno!M142</f>
        <v>0</v>
      </c>
      <c r="N142" s="174">
        <f>Oportuno!N142</f>
        <v>0</v>
      </c>
      <c r="O142" s="174">
        <f>Oportuno!O142</f>
        <v>0</v>
      </c>
      <c r="P142" s="174">
        <f>Oportuno!P142</f>
        <v>0</v>
      </c>
      <c r="Q142" s="174">
        <f>Oportuno!Q142</f>
        <v>0</v>
      </c>
      <c r="R142" s="174">
        <f>Oportuno!R142</f>
        <v>0</v>
      </c>
      <c r="S142" s="215">
        <f>Oportuno!S142</f>
        <v>0</v>
      </c>
      <c r="T142" s="71">
        <f>Oportuno!T142</f>
        <v>0</v>
      </c>
      <c r="U142" s="71">
        <f>Oportuno!U142</f>
        <v>0</v>
      </c>
      <c r="V142" s="117">
        <f>Oportuno!V142</f>
        <v>0</v>
      </c>
      <c r="W142" s="117">
        <f>Oportuno!W142</f>
        <v>0</v>
      </c>
      <c r="X142" s="71">
        <f>Oportuno!X142</f>
        <v>0</v>
      </c>
      <c r="Y142" s="71">
        <f>Oportuno!Y142</f>
        <v>0</v>
      </c>
      <c r="AA142" s="65"/>
    </row>
    <row r="143" spans="2:27" ht="13" customHeight="1">
      <c r="B143" s="119">
        <f>Oportuno!B143</f>
        <v>0</v>
      </c>
      <c r="C143" s="23">
        <f>Oportuno!C143</f>
        <v>2026091</v>
      </c>
      <c r="D143" s="23">
        <f>Oportuno!D143</f>
        <v>5</v>
      </c>
      <c r="E143" s="128">
        <f>Oportuno!E143</f>
        <v>0</v>
      </c>
      <c r="F143" s="126" t="e">
        <f>Oportuno!F143</f>
        <v>#N/A</v>
      </c>
      <c r="G143" s="36">
        <f>Oportuno!G143</f>
        <v>1</v>
      </c>
      <c r="H143" s="126" t="str">
        <f>Oportuno!H143</f>
        <v>Oficinas</v>
      </c>
      <c r="I143" s="130">
        <f>Oportuno!I143</f>
        <v>0</v>
      </c>
      <c r="J143" s="174">
        <f>Oportuno!J143</f>
        <v>0</v>
      </c>
      <c r="K143" s="174">
        <f>Oportuno!K143</f>
        <v>0</v>
      </c>
      <c r="L143" s="174">
        <f>Oportuno!L143</f>
        <v>0</v>
      </c>
      <c r="M143" s="174">
        <f>Oportuno!M143</f>
        <v>0</v>
      </c>
      <c r="N143" s="174">
        <f>Oportuno!N143</f>
        <v>0</v>
      </c>
      <c r="O143" s="174">
        <f>Oportuno!O143</f>
        <v>0</v>
      </c>
      <c r="P143" s="174">
        <f>Oportuno!P143</f>
        <v>0</v>
      </c>
      <c r="Q143" s="174">
        <f>Oportuno!Q143</f>
        <v>0</v>
      </c>
      <c r="R143" s="174">
        <f>Oportuno!R143</f>
        <v>0</v>
      </c>
      <c r="S143" s="215">
        <f>Oportuno!S143</f>
        <v>0</v>
      </c>
      <c r="T143" s="71">
        <f>Oportuno!T143</f>
        <v>0</v>
      </c>
      <c r="U143" s="71">
        <f>Oportuno!U143</f>
        <v>0</v>
      </c>
      <c r="V143" s="117">
        <f>Oportuno!V143</f>
        <v>0</v>
      </c>
      <c r="W143" s="117">
        <f>Oportuno!W143</f>
        <v>0</v>
      </c>
      <c r="X143" s="71">
        <f>Oportuno!X143</f>
        <v>0</v>
      </c>
      <c r="Y143" s="71">
        <f>Oportuno!Y143</f>
        <v>0</v>
      </c>
      <c r="AA143" s="65"/>
    </row>
    <row r="144" spans="2:27" ht="13" customHeight="1">
      <c r="B144" s="119">
        <f>Oportuno!B144</f>
        <v>0</v>
      </c>
      <c r="C144" s="23">
        <f>Oportuno!C144</f>
        <v>2026091</v>
      </c>
      <c r="D144" s="23">
        <f>Oportuno!D144</f>
        <v>5</v>
      </c>
      <c r="E144" s="128">
        <f>Oportuno!E144</f>
        <v>0</v>
      </c>
      <c r="F144" s="126" t="e">
        <f>Oportuno!F144</f>
        <v>#N/A</v>
      </c>
      <c r="G144" s="36">
        <f>Oportuno!G144</f>
        <v>1</v>
      </c>
      <c r="H144" s="126" t="str">
        <f>Oportuno!H144</f>
        <v>Oficinas</v>
      </c>
      <c r="I144" s="130">
        <f>Oportuno!I144</f>
        <v>0</v>
      </c>
      <c r="J144" s="174">
        <f>Oportuno!J144</f>
        <v>0</v>
      </c>
      <c r="K144" s="174">
        <f>Oportuno!K144</f>
        <v>0</v>
      </c>
      <c r="L144" s="174">
        <f>Oportuno!L144</f>
        <v>0</v>
      </c>
      <c r="M144" s="174">
        <f>Oportuno!M144</f>
        <v>0</v>
      </c>
      <c r="N144" s="174">
        <f>Oportuno!N144</f>
        <v>0</v>
      </c>
      <c r="O144" s="174">
        <f>Oportuno!O144</f>
        <v>0</v>
      </c>
      <c r="P144" s="174">
        <f>Oportuno!P144</f>
        <v>0</v>
      </c>
      <c r="Q144" s="174">
        <f>Oportuno!Q144</f>
        <v>0</v>
      </c>
      <c r="R144" s="174">
        <f>Oportuno!R144</f>
        <v>0</v>
      </c>
      <c r="S144" s="215">
        <f>Oportuno!S144</f>
        <v>0</v>
      </c>
      <c r="T144" s="71">
        <f>Oportuno!T144</f>
        <v>0</v>
      </c>
      <c r="U144" s="71">
        <f>Oportuno!U144</f>
        <v>0</v>
      </c>
      <c r="V144" s="117">
        <f>Oportuno!V144</f>
        <v>0</v>
      </c>
      <c r="W144" s="117">
        <f>Oportuno!W144</f>
        <v>0</v>
      </c>
      <c r="X144" s="71">
        <f>Oportuno!X144</f>
        <v>0</v>
      </c>
      <c r="Y144" s="71">
        <f>Oportuno!Y144</f>
        <v>0</v>
      </c>
      <c r="AA144" s="65"/>
    </row>
    <row r="145" spans="2:27 16101:16120" ht="13" customHeight="1">
      <c r="B145" s="119">
        <f>Oportuno!B145</f>
        <v>0</v>
      </c>
      <c r="C145" s="23">
        <f>Oportuno!C145</f>
        <v>2026091</v>
      </c>
      <c r="D145" s="23">
        <f>Oportuno!D145</f>
        <v>5</v>
      </c>
      <c r="E145" s="128">
        <f>Oportuno!E145</f>
        <v>0</v>
      </c>
      <c r="F145" s="126" t="e">
        <f>Oportuno!F145</f>
        <v>#N/A</v>
      </c>
      <c r="G145" s="36">
        <f>Oportuno!G145</f>
        <v>1</v>
      </c>
      <c r="H145" s="126" t="str">
        <f>Oportuno!H145</f>
        <v>Oficinas</v>
      </c>
      <c r="I145" s="130">
        <f>Oportuno!I145</f>
        <v>0</v>
      </c>
      <c r="J145" s="174">
        <f>Oportuno!J145</f>
        <v>0</v>
      </c>
      <c r="K145" s="174">
        <f>Oportuno!K145</f>
        <v>0</v>
      </c>
      <c r="L145" s="174">
        <f>Oportuno!L145</f>
        <v>0</v>
      </c>
      <c r="M145" s="174">
        <f>Oportuno!M145</f>
        <v>0</v>
      </c>
      <c r="N145" s="174">
        <f>Oportuno!N145</f>
        <v>0</v>
      </c>
      <c r="O145" s="174">
        <f>Oportuno!O145</f>
        <v>0</v>
      </c>
      <c r="P145" s="174">
        <f>Oportuno!P145</f>
        <v>0</v>
      </c>
      <c r="Q145" s="174">
        <f>Oportuno!Q145</f>
        <v>0</v>
      </c>
      <c r="R145" s="174">
        <f>Oportuno!R145</f>
        <v>0</v>
      </c>
      <c r="S145" s="215">
        <f>Oportuno!S145</f>
        <v>0</v>
      </c>
      <c r="T145" s="71">
        <f>Oportuno!T145</f>
        <v>0</v>
      </c>
      <c r="U145" s="71">
        <f>Oportuno!U145</f>
        <v>0</v>
      </c>
      <c r="V145" s="117">
        <f>Oportuno!V145</f>
        <v>0</v>
      </c>
      <c r="W145" s="117">
        <f>Oportuno!W145</f>
        <v>0</v>
      </c>
      <c r="X145" s="71">
        <f>Oportuno!X145</f>
        <v>0</v>
      </c>
      <c r="Y145" s="71">
        <f>Oportuno!Y145</f>
        <v>0</v>
      </c>
      <c r="AA145" s="65"/>
    </row>
    <row r="146" spans="2:27 16101:16120" ht="13" customHeight="1">
      <c r="B146" s="119">
        <f>Oportuno!B146</f>
        <v>0</v>
      </c>
      <c r="C146" s="23">
        <f>Oportuno!C146</f>
        <v>2026091</v>
      </c>
      <c r="D146" s="23">
        <f>Oportuno!D146</f>
        <v>5</v>
      </c>
      <c r="E146" s="128">
        <f>Oportuno!E146</f>
        <v>0</v>
      </c>
      <c r="F146" s="126" t="e">
        <f>Oportuno!F146</f>
        <v>#N/A</v>
      </c>
      <c r="G146" s="36">
        <f>Oportuno!G146</f>
        <v>1</v>
      </c>
      <c r="H146" s="126" t="str">
        <f>Oportuno!H146</f>
        <v>Oficinas</v>
      </c>
      <c r="I146" s="130">
        <f>Oportuno!I146</f>
        <v>0</v>
      </c>
      <c r="J146" s="174">
        <f>Oportuno!J146</f>
        <v>0</v>
      </c>
      <c r="K146" s="174">
        <f>Oportuno!K146</f>
        <v>0</v>
      </c>
      <c r="L146" s="174">
        <f>Oportuno!L146</f>
        <v>0</v>
      </c>
      <c r="M146" s="174">
        <f>Oportuno!M146</f>
        <v>0</v>
      </c>
      <c r="N146" s="174">
        <f>Oportuno!N146</f>
        <v>0</v>
      </c>
      <c r="O146" s="174">
        <f>Oportuno!O146</f>
        <v>0</v>
      </c>
      <c r="P146" s="174">
        <f>Oportuno!P146</f>
        <v>0</v>
      </c>
      <c r="Q146" s="174">
        <f>Oportuno!Q146</f>
        <v>0</v>
      </c>
      <c r="R146" s="174">
        <f>Oportuno!R146</f>
        <v>0</v>
      </c>
      <c r="S146" s="215">
        <f>Oportuno!S146</f>
        <v>0</v>
      </c>
      <c r="T146" s="71">
        <f>Oportuno!T146</f>
        <v>0</v>
      </c>
      <c r="U146" s="71">
        <f>Oportuno!U146</f>
        <v>0</v>
      </c>
      <c r="V146" s="117">
        <f>Oportuno!V146</f>
        <v>0</v>
      </c>
      <c r="W146" s="117">
        <f>Oportuno!W146</f>
        <v>0</v>
      </c>
      <c r="X146" s="71">
        <f>Oportuno!X146</f>
        <v>0</v>
      </c>
      <c r="Y146" s="71">
        <f>Oportuno!Y146</f>
        <v>0</v>
      </c>
      <c r="AA146" s="65"/>
    </row>
    <row r="147" spans="2:27 16101:16120" ht="13" customHeight="1">
      <c r="B147" s="119">
        <f>Oportuno!B147</f>
        <v>0</v>
      </c>
      <c r="C147" s="23">
        <f>Oportuno!C147</f>
        <v>2026091</v>
      </c>
      <c r="D147" s="23">
        <f>Oportuno!D147</f>
        <v>5</v>
      </c>
      <c r="E147" s="128">
        <f>Oportuno!E147</f>
        <v>0</v>
      </c>
      <c r="F147" s="126" t="e">
        <f>Oportuno!F147</f>
        <v>#N/A</v>
      </c>
      <c r="G147" s="36">
        <f>Oportuno!G147</f>
        <v>1</v>
      </c>
      <c r="H147" s="126" t="str">
        <f>Oportuno!H147</f>
        <v>Oficinas</v>
      </c>
      <c r="I147" s="130">
        <f>Oportuno!I147</f>
        <v>0</v>
      </c>
      <c r="J147" s="174">
        <f>Oportuno!J147</f>
        <v>0</v>
      </c>
      <c r="K147" s="174">
        <f>Oportuno!K147</f>
        <v>0</v>
      </c>
      <c r="L147" s="174">
        <f>Oportuno!L147</f>
        <v>0</v>
      </c>
      <c r="M147" s="174">
        <f>Oportuno!M147</f>
        <v>0</v>
      </c>
      <c r="N147" s="174">
        <f>Oportuno!N147</f>
        <v>0</v>
      </c>
      <c r="O147" s="174">
        <f>Oportuno!O147</f>
        <v>0</v>
      </c>
      <c r="P147" s="174">
        <f>Oportuno!P147</f>
        <v>0</v>
      </c>
      <c r="Q147" s="174">
        <f>Oportuno!Q147</f>
        <v>0</v>
      </c>
      <c r="R147" s="174">
        <f>Oportuno!R147</f>
        <v>0</v>
      </c>
      <c r="S147" s="215">
        <f>Oportuno!S147</f>
        <v>0</v>
      </c>
      <c r="T147" s="71">
        <f>Oportuno!T147</f>
        <v>0</v>
      </c>
      <c r="U147" s="71">
        <f>Oportuno!U147</f>
        <v>0</v>
      </c>
      <c r="V147" s="117">
        <f>Oportuno!V147</f>
        <v>0</v>
      </c>
      <c r="W147" s="117">
        <f>Oportuno!W147</f>
        <v>0</v>
      </c>
      <c r="X147" s="71">
        <f>Oportuno!X147</f>
        <v>0</v>
      </c>
      <c r="Y147" s="71">
        <f>Oportuno!Y147</f>
        <v>0</v>
      </c>
      <c r="AA147" s="65"/>
    </row>
    <row r="148" spans="2:27 16101:16120" ht="13" customHeight="1">
      <c r="B148" s="119">
        <f>Oportuno!B148</f>
        <v>0</v>
      </c>
      <c r="C148" s="23">
        <f>Oportuno!C148</f>
        <v>2026091</v>
      </c>
      <c r="D148" s="23">
        <f>Oportuno!D148</f>
        <v>5</v>
      </c>
      <c r="E148" s="128">
        <f>Oportuno!E148</f>
        <v>0</v>
      </c>
      <c r="F148" s="126" t="e">
        <f>Oportuno!F148</f>
        <v>#N/A</v>
      </c>
      <c r="G148" s="36">
        <f>Oportuno!G148</f>
        <v>1</v>
      </c>
      <c r="H148" s="126" t="str">
        <f>Oportuno!H148</f>
        <v>Oficinas</v>
      </c>
      <c r="I148" s="130">
        <f>Oportuno!I148</f>
        <v>0</v>
      </c>
      <c r="J148" s="174">
        <f>Oportuno!J148</f>
        <v>0</v>
      </c>
      <c r="K148" s="174">
        <f>Oportuno!K148</f>
        <v>0</v>
      </c>
      <c r="L148" s="174">
        <f>Oportuno!L148</f>
        <v>0</v>
      </c>
      <c r="M148" s="174">
        <f>Oportuno!M148</f>
        <v>0</v>
      </c>
      <c r="N148" s="174">
        <f>Oportuno!N148</f>
        <v>0</v>
      </c>
      <c r="O148" s="174">
        <f>Oportuno!O148</f>
        <v>0</v>
      </c>
      <c r="P148" s="174">
        <f>Oportuno!P148</f>
        <v>0</v>
      </c>
      <c r="Q148" s="174">
        <f>Oportuno!Q148</f>
        <v>0</v>
      </c>
      <c r="R148" s="174">
        <f>Oportuno!R148</f>
        <v>0</v>
      </c>
      <c r="S148" s="215">
        <f>Oportuno!S148</f>
        <v>0</v>
      </c>
      <c r="T148" s="71">
        <f>Oportuno!T148</f>
        <v>0</v>
      </c>
      <c r="U148" s="71">
        <f>Oportuno!U148</f>
        <v>0</v>
      </c>
      <c r="V148" s="117">
        <f>Oportuno!V148</f>
        <v>0</v>
      </c>
      <c r="W148" s="117">
        <f>Oportuno!W148</f>
        <v>0</v>
      </c>
      <c r="X148" s="71">
        <f>Oportuno!X148</f>
        <v>0</v>
      </c>
      <c r="Y148" s="71">
        <f>Oportuno!Y148</f>
        <v>0</v>
      </c>
      <c r="AA148" s="65"/>
    </row>
    <row r="149" spans="2:27 16101:16120" ht="13" customHeight="1" thickBot="1">
      <c r="B149" s="119">
        <f>Oportuno!B149</f>
        <v>0</v>
      </c>
      <c r="C149" s="23">
        <f>Oportuno!C149</f>
        <v>2026091</v>
      </c>
      <c r="D149" s="23">
        <f>Oportuno!D149</f>
        <v>5</v>
      </c>
      <c r="E149" s="128">
        <f>Oportuno!E149</f>
        <v>0</v>
      </c>
      <c r="F149" s="126" t="e">
        <f>Oportuno!F149</f>
        <v>#N/A</v>
      </c>
      <c r="G149" s="36">
        <f>Oportuno!G149</f>
        <v>1</v>
      </c>
      <c r="H149" s="126" t="str">
        <f>Oportuno!H149</f>
        <v>Oficinas</v>
      </c>
      <c r="I149" s="130">
        <f>Oportuno!I149</f>
        <v>0</v>
      </c>
      <c r="J149" s="174">
        <f>Oportuno!J149</f>
        <v>0</v>
      </c>
      <c r="K149" s="174">
        <f>Oportuno!K149</f>
        <v>0</v>
      </c>
      <c r="L149" s="174">
        <f>Oportuno!L149</f>
        <v>0</v>
      </c>
      <c r="M149" s="174">
        <f>Oportuno!M149</f>
        <v>0</v>
      </c>
      <c r="N149" s="174">
        <f>Oportuno!N149</f>
        <v>0</v>
      </c>
      <c r="O149" s="174">
        <f>Oportuno!O149</f>
        <v>0</v>
      </c>
      <c r="P149" s="174">
        <f>Oportuno!P149</f>
        <v>0</v>
      </c>
      <c r="Q149" s="174">
        <f>Oportuno!Q149</f>
        <v>0</v>
      </c>
      <c r="R149" s="174">
        <f>Oportuno!R149</f>
        <v>0</v>
      </c>
      <c r="S149" s="215">
        <f>Oportuno!S149</f>
        <v>0</v>
      </c>
      <c r="T149" s="71">
        <f>Oportuno!T149</f>
        <v>0</v>
      </c>
      <c r="U149" s="71">
        <f>Oportuno!U149</f>
        <v>0</v>
      </c>
      <c r="V149" s="117">
        <f>Oportuno!V149</f>
        <v>0</v>
      </c>
      <c r="W149" s="117">
        <f>Oportuno!W149</f>
        <v>0</v>
      </c>
      <c r="X149" s="71">
        <f>Oportuno!X149</f>
        <v>0</v>
      </c>
      <c r="Y149" s="71">
        <f>Oportuno!Y149</f>
        <v>0</v>
      </c>
      <c r="AA149" s="65"/>
    </row>
    <row r="150" spans="2:27 16101:16120" ht="13" customHeight="1" thickBot="1">
      <c r="B150" s="1" t="s">
        <v>0</v>
      </c>
      <c r="C150" s="1" t="s">
        <v>0</v>
      </c>
      <c r="D150" s="20" t="s">
        <v>0</v>
      </c>
      <c r="E150" s="120" t="str">
        <f>Oportuno!E150</f>
        <v xml:space="preserve"> </v>
      </c>
      <c r="F150" s="121" t="str">
        <f>Oportuno!F150</f>
        <v>TOTAL RECAUDO</v>
      </c>
      <c r="G150" s="121" t="s">
        <v>0</v>
      </c>
      <c r="H150" s="121" t="s">
        <v>0</v>
      </c>
      <c r="I150" s="121" t="s">
        <v>0</v>
      </c>
      <c r="J150" s="122">
        <f>Oportuno!J150</f>
        <v>0</v>
      </c>
      <c r="K150" s="122">
        <f>Oportuno!K150</f>
        <v>0</v>
      </c>
      <c r="L150" s="122">
        <f>Oportuno!L150</f>
        <v>0</v>
      </c>
      <c r="M150" s="122">
        <f>Oportuno!M150</f>
        <v>0</v>
      </c>
      <c r="N150" s="122">
        <f>Oportuno!N150</f>
        <v>0</v>
      </c>
      <c r="O150" s="122">
        <f>Oportuno!O150</f>
        <v>0</v>
      </c>
      <c r="P150" s="122">
        <f>Oportuno!P150</f>
        <v>0</v>
      </c>
      <c r="Q150" s="122">
        <f>Oportuno!Q150</f>
        <v>0</v>
      </c>
      <c r="R150" s="122">
        <f>Oportuno!R150</f>
        <v>162</v>
      </c>
      <c r="S150" s="122">
        <f>Oportuno!S150</f>
        <v>7073230</v>
      </c>
      <c r="T150" s="122">
        <f>Oportuno!T150</f>
        <v>162</v>
      </c>
      <c r="U150" s="122">
        <f>Oportuno!U150</f>
        <v>7073230</v>
      </c>
      <c r="V150" s="123">
        <f>Oportuno!V150</f>
        <v>162</v>
      </c>
      <c r="W150" s="123">
        <f>Oportuno!W150</f>
        <v>7073230</v>
      </c>
      <c r="X150" s="122">
        <f>Oportuno!X150</f>
        <v>0</v>
      </c>
      <c r="Y150" s="123">
        <f>Oportuno!Y150</f>
        <v>0</v>
      </c>
      <c r="AA150" s="65"/>
    </row>
    <row r="151" spans="2:27 16101:16120" ht="13" thickBot="1">
      <c r="AA151" s="65"/>
    </row>
    <row r="152" spans="2:27 16101:16120" ht="41.25" customHeight="1" thickBot="1">
      <c r="B152" s="112" t="s">
        <v>4</v>
      </c>
      <c r="C152" s="34" t="s">
        <v>6</v>
      </c>
      <c r="D152" s="34" t="s">
        <v>7</v>
      </c>
      <c r="E152" s="34" t="s">
        <v>49</v>
      </c>
      <c r="F152" s="34" t="s">
        <v>50</v>
      </c>
      <c r="G152" s="34" t="s">
        <v>51</v>
      </c>
      <c r="H152" s="34" t="s">
        <v>52</v>
      </c>
      <c r="I152" s="34" t="s">
        <v>13</v>
      </c>
      <c r="J152" s="231" t="s">
        <v>8</v>
      </c>
      <c r="K152" s="231" t="s">
        <v>36</v>
      </c>
      <c r="L152" s="12" t="s">
        <v>9</v>
      </c>
      <c r="M152" s="12" t="s">
        <v>37</v>
      </c>
      <c r="N152" s="87" t="s">
        <v>10</v>
      </c>
      <c r="O152" s="88" t="s">
        <v>38</v>
      </c>
      <c r="P152" s="87" t="s">
        <v>11</v>
      </c>
      <c r="Q152" s="88" t="s">
        <v>39</v>
      </c>
      <c r="R152" s="232" t="s">
        <v>12</v>
      </c>
      <c r="S152" s="233" t="s">
        <v>40</v>
      </c>
      <c r="T152" s="64" t="s">
        <v>41</v>
      </c>
      <c r="U152" s="64" t="s">
        <v>42</v>
      </c>
      <c r="V152" s="35" t="s">
        <v>32</v>
      </c>
      <c r="W152" s="67" t="s">
        <v>35</v>
      </c>
      <c r="X152" s="12" t="s">
        <v>34</v>
      </c>
      <c r="Y152" s="68" t="s">
        <v>33</v>
      </c>
      <c r="AA152" s="66"/>
      <c r="WUG152" s="1"/>
      <c r="WUH152" s="1"/>
      <c r="WUY152"/>
      <c r="WUZ152"/>
    </row>
    <row r="153" spans="2:27 16101:16120" ht="13" customHeight="1">
      <c r="B153" s="119" t="str">
        <f>Oportuno!B153</f>
        <v>7/09/2026</v>
      </c>
      <c r="C153" s="24">
        <f>Oportuno!C153</f>
        <v>2026091</v>
      </c>
      <c r="D153" s="24">
        <f>Oportuno!D153</f>
        <v>6</v>
      </c>
      <c r="E153" s="127">
        <f>Oportuno!E153</f>
        <v>20</v>
      </c>
      <c r="F153" s="125" t="str">
        <f>Oportuno!F153</f>
        <v>Bancolombia ENERBIT</v>
      </c>
      <c r="G153" s="18">
        <f>Oportuno!G153</f>
        <v>1</v>
      </c>
      <c r="H153" s="125" t="str">
        <f>Oportuno!H153</f>
        <v>Oficinas</v>
      </c>
      <c r="I153" s="129">
        <f>Oportuno!I153</f>
        <v>0</v>
      </c>
      <c r="J153" s="213">
        <f>Oportuno!J153</f>
        <v>0</v>
      </c>
      <c r="K153" s="213">
        <f>Oportuno!K153</f>
        <v>0</v>
      </c>
      <c r="L153" s="213">
        <f>Oportuno!L153</f>
        <v>0</v>
      </c>
      <c r="M153" s="213">
        <f>Oportuno!M153</f>
        <v>0</v>
      </c>
      <c r="N153" s="213">
        <f>Oportuno!N153</f>
        <v>0</v>
      </c>
      <c r="O153" s="213">
        <f>Oportuno!O153</f>
        <v>0</v>
      </c>
      <c r="P153" s="213">
        <f>Oportuno!P153</f>
        <v>0</v>
      </c>
      <c r="Q153" s="213">
        <f>Oportuno!Q153</f>
        <v>0</v>
      </c>
      <c r="R153" s="213">
        <f>Oportuno!R153</f>
        <v>143</v>
      </c>
      <c r="S153" s="214">
        <f>Oportuno!S153</f>
        <v>6433210</v>
      </c>
      <c r="T153" s="70">
        <f>Oportuno!T153</f>
        <v>143</v>
      </c>
      <c r="U153" s="70">
        <f>Oportuno!U153</f>
        <v>6433210</v>
      </c>
      <c r="V153" s="116">
        <f>Oportuno!V153</f>
        <v>143</v>
      </c>
      <c r="W153" s="116">
        <f>Oportuno!W153</f>
        <v>6433210</v>
      </c>
      <c r="X153" s="70">
        <f>Oportuno!X153</f>
        <v>0</v>
      </c>
      <c r="Y153" s="70">
        <f>Oportuno!Y153</f>
        <v>0</v>
      </c>
      <c r="AA153" s="65"/>
    </row>
    <row r="154" spans="2:27 16101:16120" ht="13" customHeight="1">
      <c r="B154" s="119">
        <f>Oportuno!B154</f>
        <v>0</v>
      </c>
      <c r="C154" s="23">
        <f>Oportuno!C154</f>
        <v>2026091</v>
      </c>
      <c r="D154" s="23">
        <f>Oportuno!D154</f>
        <v>6</v>
      </c>
      <c r="E154" s="128">
        <f>Oportuno!E154</f>
        <v>0</v>
      </c>
      <c r="F154" s="126" t="e">
        <f>Oportuno!F154</f>
        <v>#N/A</v>
      </c>
      <c r="G154" s="36">
        <f>Oportuno!G154</f>
        <v>1</v>
      </c>
      <c r="H154" s="126" t="str">
        <f>Oportuno!H154</f>
        <v>Oficinas</v>
      </c>
      <c r="I154" s="130">
        <f>Oportuno!I154</f>
        <v>0</v>
      </c>
      <c r="J154" s="174">
        <f>Oportuno!J154</f>
        <v>0</v>
      </c>
      <c r="K154" s="174">
        <f>Oportuno!K154</f>
        <v>0</v>
      </c>
      <c r="L154" s="174">
        <f>Oportuno!L154</f>
        <v>0</v>
      </c>
      <c r="M154" s="174">
        <f>Oportuno!M154</f>
        <v>0</v>
      </c>
      <c r="N154" s="174">
        <f>Oportuno!N154</f>
        <v>0</v>
      </c>
      <c r="O154" s="174">
        <f>Oportuno!O154</f>
        <v>0</v>
      </c>
      <c r="P154" s="174">
        <f>Oportuno!P154</f>
        <v>0</v>
      </c>
      <c r="Q154" s="174">
        <f>Oportuno!Q154</f>
        <v>0</v>
      </c>
      <c r="R154" s="174">
        <f>Oportuno!R154</f>
        <v>0</v>
      </c>
      <c r="S154" s="215">
        <f>Oportuno!S154</f>
        <v>0</v>
      </c>
      <c r="T154" s="71">
        <f>Oportuno!T154</f>
        <v>0</v>
      </c>
      <c r="U154" s="71">
        <f>Oportuno!U154</f>
        <v>0</v>
      </c>
      <c r="V154" s="117">
        <f>Oportuno!V154</f>
        <v>0</v>
      </c>
      <c r="W154" s="117">
        <f>Oportuno!W154</f>
        <v>0</v>
      </c>
      <c r="X154" s="71">
        <f>Oportuno!X154</f>
        <v>0</v>
      </c>
      <c r="Y154" s="71">
        <f>Oportuno!Y154</f>
        <v>0</v>
      </c>
      <c r="AA154" s="65"/>
    </row>
    <row r="155" spans="2:27 16101:16120" ht="13" customHeight="1">
      <c r="B155" s="119">
        <f>Oportuno!B155</f>
        <v>0</v>
      </c>
      <c r="C155" s="23">
        <f>Oportuno!C155</f>
        <v>2026091</v>
      </c>
      <c r="D155" s="23">
        <f>Oportuno!D155</f>
        <v>6</v>
      </c>
      <c r="E155" s="128">
        <f>Oportuno!E155</f>
        <v>0</v>
      </c>
      <c r="F155" s="126" t="e">
        <f>Oportuno!F155</f>
        <v>#N/A</v>
      </c>
      <c r="G155" s="36">
        <f>Oportuno!G155</f>
        <v>1</v>
      </c>
      <c r="H155" s="126" t="str">
        <f>Oportuno!H155</f>
        <v>Oficinas</v>
      </c>
      <c r="I155" s="130">
        <f>Oportuno!I155</f>
        <v>0</v>
      </c>
      <c r="J155" s="174">
        <f>Oportuno!J155</f>
        <v>0</v>
      </c>
      <c r="K155" s="174">
        <f>Oportuno!K155</f>
        <v>0</v>
      </c>
      <c r="L155" s="174">
        <f>Oportuno!L155</f>
        <v>0</v>
      </c>
      <c r="M155" s="174">
        <f>Oportuno!M155</f>
        <v>0</v>
      </c>
      <c r="N155" s="174">
        <f>Oportuno!N155</f>
        <v>0</v>
      </c>
      <c r="O155" s="174">
        <f>Oportuno!O155</f>
        <v>0</v>
      </c>
      <c r="P155" s="174">
        <f>Oportuno!P155</f>
        <v>0</v>
      </c>
      <c r="Q155" s="174">
        <f>Oportuno!Q155</f>
        <v>0</v>
      </c>
      <c r="R155" s="174">
        <f>Oportuno!R155</f>
        <v>0</v>
      </c>
      <c r="S155" s="215">
        <f>Oportuno!S155</f>
        <v>0</v>
      </c>
      <c r="T155" s="71">
        <f>Oportuno!T155</f>
        <v>0</v>
      </c>
      <c r="U155" s="71">
        <f>Oportuno!U155</f>
        <v>0</v>
      </c>
      <c r="V155" s="117">
        <f>Oportuno!V155</f>
        <v>0</v>
      </c>
      <c r="W155" s="117">
        <f>Oportuno!W155</f>
        <v>0</v>
      </c>
      <c r="X155" s="71">
        <f>Oportuno!X155</f>
        <v>0</v>
      </c>
      <c r="Y155" s="71">
        <f>Oportuno!Y155</f>
        <v>0</v>
      </c>
      <c r="AA155" s="65"/>
    </row>
    <row r="156" spans="2:27 16101:16120" ht="13" customHeight="1">
      <c r="B156" s="119">
        <f>Oportuno!B156</f>
        <v>0</v>
      </c>
      <c r="C156" s="23">
        <f>Oportuno!C156</f>
        <v>2026091</v>
      </c>
      <c r="D156" s="23">
        <f>Oportuno!D156</f>
        <v>6</v>
      </c>
      <c r="E156" s="128">
        <f>Oportuno!E156</f>
        <v>0</v>
      </c>
      <c r="F156" s="126" t="e">
        <f>Oportuno!F156</f>
        <v>#N/A</v>
      </c>
      <c r="G156" s="36">
        <f>Oportuno!G156</f>
        <v>1</v>
      </c>
      <c r="H156" s="126" t="str">
        <f>Oportuno!H156</f>
        <v>Oficinas</v>
      </c>
      <c r="I156" s="130">
        <f>Oportuno!I156</f>
        <v>0</v>
      </c>
      <c r="J156" s="174">
        <f>Oportuno!J156</f>
        <v>0</v>
      </c>
      <c r="K156" s="174">
        <f>Oportuno!K156</f>
        <v>0</v>
      </c>
      <c r="L156" s="174">
        <f>Oportuno!L156</f>
        <v>0</v>
      </c>
      <c r="M156" s="174">
        <f>Oportuno!M156</f>
        <v>0</v>
      </c>
      <c r="N156" s="174">
        <f>Oportuno!N156</f>
        <v>0</v>
      </c>
      <c r="O156" s="174">
        <f>Oportuno!O156</f>
        <v>0</v>
      </c>
      <c r="P156" s="174">
        <f>Oportuno!P156</f>
        <v>0</v>
      </c>
      <c r="Q156" s="174">
        <f>Oportuno!Q156</f>
        <v>0</v>
      </c>
      <c r="R156" s="174">
        <f>Oportuno!R156</f>
        <v>0</v>
      </c>
      <c r="S156" s="215">
        <f>Oportuno!S156</f>
        <v>0</v>
      </c>
      <c r="T156" s="71">
        <f>Oportuno!T156</f>
        <v>0</v>
      </c>
      <c r="U156" s="71">
        <f>Oportuno!U156</f>
        <v>0</v>
      </c>
      <c r="V156" s="117">
        <f>Oportuno!V156</f>
        <v>0</v>
      </c>
      <c r="W156" s="117">
        <f>Oportuno!W156</f>
        <v>0</v>
      </c>
      <c r="X156" s="71">
        <f>Oportuno!X156</f>
        <v>0</v>
      </c>
      <c r="Y156" s="71">
        <f>Oportuno!Y156</f>
        <v>0</v>
      </c>
      <c r="AA156" s="65"/>
    </row>
    <row r="157" spans="2:27 16101:16120" ht="13" customHeight="1">
      <c r="B157" s="119">
        <f>Oportuno!B157</f>
        <v>0</v>
      </c>
      <c r="C157" s="23">
        <f>Oportuno!C157</f>
        <v>2026091</v>
      </c>
      <c r="D157" s="23">
        <f>Oportuno!D157</f>
        <v>6</v>
      </c>
      <c r="E157" s="128">
        <f>Oportuno!E157</f>
        <v>0</v>
      </c>
      <c r="F157" s="126" t="e">
        <f>Oportuno!F157</f>
        <v>#N/A</v>
      </c>
      <c r="G157" s="36">
        <f>Oportuno!G157</f>
        <v>1</v>
      </c>
      <c r="H157" s="126" t="str">
        <f>Oportuno!H157</f>
        <v>Oficinas</v>
      </c>
      <c r="I157" s="130">
        <f>Oportuno!I157</f>
        <v>0</v>
      </c>
      <c r="J157" s="174">
        <f>Oportuno!J157</f>
        <v>0</v>
      </c>
      <c r="K157" s="174">
        <f>Oportuno!K157</f>
        <v>0</v>
      </c>
      <c r="L157" s="174">
        <f>Oportuno!L157</f>
        <v>0</v>
      </c>
      <c r="M157" s="174">
        <f>Oportuno!M157</f>
        <v>0</v>
      </c>
      <c r="N157" s="174">
        <f>Oportuno!N157</f>
        <v>0</v>
      </c>
      <c r="O157" s="174">
        <f>Oportuno!O157</f>
        <v>0</v>
      </c>
      <c r="P157" s="174">
        <f>Oportuno!P157</f>
        <v>0</v>
      </c>
      <c r="Q157" s="174">
        <f>Oportuno!Q157</f>
        <v>0</v>
      </c>
      <c r="R157" s="174">
        <f>Oportuno!R157</f>
        <v>0</v>
      </c>
      <c r="S157" s="215">
        <f>Oportuno!S157</f>
        <v>0</v>
      </c>
      <c r="T157" s="71">
        <f>Oportuno!T157</f>
        <v>0</v>
      </c>
      <c r="U157" s="71">
        <f>Oportuno!U157</f>
        <v>0</v>
      </c>
      <c r="V157" s="117">
        <f>Oportuno!V157</f>
        <v>0</v>
      </c>
      <c r="W157" s="117">
        <f>Oportuno!W157</f>
        <v>0</v>
      </c>
      <c r="X157" s="71">
        <f>Oportuno!X157</f>
        <v>0</v>
      </c>
      <c r="Y157" s="71">
        <f>Oportuno!Y157</f>
        <v>0</v>
      </c>
      <c r="AA157" s="65"/>
    </row>
    <row r="158" spans="2:27 16101:16120" ht="13" customHeight="1">
      <c r="B158" s="119">
        <f>Oportuno!B158</f>
        <v>0</v>
      </c>
      <c r="C158" s="23">
        <f>Oportuno!C158</f>
        <v>2026091</v>
      </c>
      <c r="D158" s="23">
        <f>Oportuno!D158</f>
        <v>6</v>
      </c>
      <c r="E158" s="128">
        <f>Oportuno!E158</f>
        <v>0</v>
      </c>
      <c r="F158" s="126" t="e">
        <f>Oportuno!F158</f>
        <v>#N/A</v>
      </c>
      <c r="G158" s="36">
        <f>Oportuno!G158</f>
        <v>1</v>
      </c>
      <c r="H158" s="126" t="str">
        <f>Oportuno!H158</f>
        <v>Oficinas</v>
      </c>
      <c r="I158" s="130">
        <f>Oportuno!I158</f>
        <v>0</v>
      </c>
      <c r="J158" s="174">
        <f>Oportuno!J158</f>
        <v>0</v>
      </c>
      <c r="K158" s="174">
        <f>Oportuno!K158</f>
        <v>0</v>
      </c>
      <c r="L158" s="174">
        <f>Oportuno!L158</f>
        <v>0</v>
      </c>
      <c r="M158" s="174">
        <f>Oportuno!M158</f>
        <v>0</v>
      </c>
      <c r="N158" s="174">
        <f>Oportuno!N158</f>
        <v>0</v>
      </c>
      <c r="O158" s="174">
        <f>Oportuno!O158</f>
        <v>0</v>
      </c>
      <c r="P158" s="174">
        <f>Oportuno!P158</f>
        <v>0</v>
      </c>
      <c r="Q158" s="174">
        <f>Oportuno!Q158</f>
        <v>0</v>
      </c>
      <c r="R158" s="174">
        <f>Oportuno!R158</f>
        <v>0</v>
      </c>
      <c r="S158" s="215">
        <f>Oportuno!S158</f>
        <v>0</v>
      </c>
      <c r="T158" s="71">
        <f>Oportuno!T158</f>
        <v>0</v>
      </c>
      <c r="U158" s="71">
        <f>Oportuno!U158</f>
        <v>0</v>
      </c>
      <c r="V158" s="117">
        <f>Oportuno!V158</f>
        <v>0</v>
      </c>
      <c r="W158" s="117">
        <f>Oportuno!W158</f>
        <v>0</v>
      </c>
      <c r="X158" s="71">
        <f>Oportuno!X158</f>
        <v>0</v>
      </c>
      <c r="Y158" s="71">
        <f>Oportuno!Y158</f>
        <v>0</v>
      </c>
      <c r="AA158" s="65"/>
    </row>
    <row r="159" spans="2:27 16101:16120" ht="13" customHeight="1">
      <c r="B159" s="119">
        <f>Oportuno!B159</f>
        <v>0</v>
      </c>
      <c r="C159" s="23">
        <f>Oportuno!C159</f>
        <v>2026091</v>
      </c>
      <c r="D159" s="23">
        <f>Oportuno!D159</f>
        <v>6</v>
      </c>
      <c r="E159" s="128">
        <f>Oportuno!E159</f>
        <v>0</v>
      </c>
      <c r="F159" s="126" t="e">
        <f>Oportuno!F159</f>
        <v>#N/A</v>
      </c>
      <c r="G159" s="36">
        <f>Oportuno!G159</f>
        <v>1</v>
      </c>
      <c r="H159" s="126" t="str">
        <f>Oportuno!H159</f>
        <v>Oficinas</v>
      </c>
      <c r="I159" s="130">
        <f>Oportuno!I159</f>
        <v>0</v>
      </c>
      <c r="J159" s="174">
        <f>Oportuno!J159</f>
        <v>0</v>
      </c>
      <c r="K159" s="174">
        <f>Oportuno!K159</f>
        <v>0</v>
      </c>
      <c r="L159" s="174">
        <f>Oportuno!L159</f>
        <v>0</v>
      </c>
      <c r="M159" s="174">
        <f>Oportuno!M159</f>
        <v>0</v>
      </c>
      <c r="N159" s="174">
        <f>Oportuno!N159</f>
        <v>0</v>
      </c>
      <c r="O159" s="174">
        <f>Oportuno!O159</f>
        <v>0</v>
      </c>
      <c r="P159" s="174">
        <f>Oportuno!P159</f>
        <v>0</v>
      </c>
      <c r="Q159" s="174">
        <f>Oportuno!Q159</f>
        <v>0</v>
      </c>
      <c r="R159" s="174">
        <f>Oportuno!R159</f>
        <v>0</v>
      </c>
      <c r="S159" s="215">
        <f>Oportuno!S159</f>
        <v>0</v>
      </c>
      <c r="T159" s="71">
        <f>Oportuno!T159</f>
        <v>0</v>
      </c>
      <c r="U159" s="71">
        <f>Oportuno!U159</f>
        <v>0</v>
      </c>
      <c r="V159" s="117">
        <f>Oportuno!V159</f>
        <v>0</v>
      </c>
      <c r="W159" s="117">
        <f>Oportuno!W159</f>
        <v>0</v>
      </c>
      <c r="X159" s="71">
        <f>Oportuno!X159</f>
        <v>0</v>
      </c>
      <c r="Y159" s="71">
        <f>Oportuno!Y159</f>
        <v>0</v>
      </c>
      <c r="AA159" s="65"/>
    </row>
    <row r="160" spans="2:27 16101:16120" ht="13" customHeight="1">
      <c r="B160" s="119">
        <f>Oportuno!B160</f>
        <v>0</v>
      </c>
      <c r="C160" s="23">
        <f>Oportuno!C160</f>
        <v>2026091</v>
      </c>
      <c r="D160" s="23">
        <f>Oportuno!D160</f>
        <v>6</v>
      </c>
      <c r="E160" s="128">
        <f>Oportuno!E160</f>
        <v>0</v>
      </c>
      <c r="F160" s="126" t="e">
        <f>Oportuno!F160</f>
        <v>#N/A</v>
      </c>
      <c r="G160" s="36">
        <f>Oportuno!G160</f>
        <v>1</v>
      </c>
      <c r="H160" s="126" t="str">
        <f>Oportuno!H160</f>
        <v>Oficinas</v>
      </c>
      <c r="I160" s="130">
        <f>Oportuno!I160</f>
        <v>0</v>
      </c>
      <c r="J160" s="174">
        <f>Oportuno!J160</f>
        <v>0</v>
      </c>
      <c r="K160" s="174">
        <f>Oportuno!K160</f>
        <v>0</v>
      </c>
      <c r="L160" s="174">
        <f>Oportuno!L160</f>
        <v>0</v>
      </c>
      <c r="M160" s="174">
        <f>Oportuno!M160</f>
        <v>0</v>
      </c>
      <c r="N160" s="174">
        <f>Oportuno!N160</f>
        <v>0</v>
      </c>
      <c r="O160" s="174">
        <f>Oportuno!O160</f>
        <v>0</v>
      </c>
      <c r="P160" s="174">
        <f>Oportuno!P160</f>
        <v>0</v>
      </c>
      <c r="Q160" s="174">
        <f>Oportuno!Q160</f>
        <v>0</v>
      </c>
      <c r="R160" s="174">
        <f>Oportuno!R160</f>
        <v>0</v>
      </c>
      <c r="S160" s="215">
        <f>Oportuno!S160</f>
        <v>0</v>
      </c>
      <c r="T160" s="71">
        <f>Oportuno!T160</f>
        <v>0</v>
      </c>
      <c r="U160" s="71">
        <f>Oportuno!U160</f>
        <v>0</v>
      </c>
      <c r="V160" s="117">
        <f>Oportuno!V160</f>
        <v>0</v>
      </c>
      <c r="W160" s="117">
        <f>Oportuno!W160</f>
        <v>0</v>
      </c>
      <c r="X160" s="71">
        <f>Oportuno!X160</f>
        <v>0</v>
      </c>
      <c r="Y160" s="71">
        <f>Oportuno!Y160</f>
        <v>0</v>
      </c>
      <c r="AA160" s="65"/>
    </row>
    <row r="161" spans="2:27" ht="13" customHeight="1">
      <c r="B161" s="119">
        <f>Oportuno!B161</f>
        <v>0</v>
      </c>
      <c r="C161" s="23">
        <f>Oportuno!C161</f>
        <v>2026091</v>
      </c>
      <c r="D161" s="23">
        <f>Oportuno!D161</f>
        <v>6</v>
      </c>
      <c r="E161" s="128">
        <f>Oportuno!E161</f>
        <v>0</v>
      </c>
      <c r="F161" s="126" t="e">
        <f>Oportuno!F161</f>
        <v>#N/A</v>
      </c>
      <c r="G161" s="36">
        <f>Oportuno!G161</f>
        <v>1</v>
      </c>
      <c r="H161" s="126" t="str">
        <f>Oportuno!H161</f>
        <v>Oficinas</v>
      </c>
      <c r="I161" s="130">
        <f>Oportuno!I161</f>
        <v>0</v>
      </c>
      <c r="J161" s="174">
        <f>Oportuno!J161</f>
        <v>0</v>
      </c>
      <c r="K161" s="174">
        <f>Oportuno!K161</f>
        <v>0</v>
      </c>
      <c r="L161" s="174">
        <f>Oportuno!L161</f>
        <v>0</v>
      </c>
      <c r="M161" s="174">
        <f>Oportuno!M161</f>
        <v>0</v>
      </c>
      <c r="N161" s="174">
        <f>Oportuno!N161</f>
        <v>0</v>
      </c>
      <c r="O161" s="174">
        <f>Oportuno!O161</f>
        <v>0</v>
      </c>
      <c r="P161" s="174">
        <f>Oportuno!P161</f>
        <v>0</v>
      </c>
      <c r="Q161" s="174">
        <f>Oportuno!Q161</f>
        <v>0</v>
      </c>
      <c r="R161" s="174">
        <f>Oportuno!R161</f>
        <v>0</v>
      </c>
      <c r="S161" s="215">
        <f>Oportuno!S161</f>
        <v>0</v>
      </c>
      <c r="T161" s="71">
        <f>Oportuno!T161</f>
        <v>0</v>
      </c>
      <c r="U161" s="71">
        <f>Oportuno!U161</f>
        <v>0</v>
      </c>
      <c r="V161" s="117">
        <f>Oportuno!V161</f>
        <v>0</v>
      </c>
      <c r="W161" s="117">
        <f>Oportuno!W161</f>
        <v>0</v>
      </c>
      <c r="X161" s="71">
        <f>Oportuno!X161</f>
        <v>0</v>
      </c>
      <c r="Y161" s="71">
        <f>Oportuno!Y161</f>
        <v>0</v>
      </c>
      <c r="AA161" s="65"/>
    </row>
    <row r="162" spans="2:27" ht="13" customHeight="1">
      <c r="B162" s="119">
        <f>Oportuno!B162</f>
        <v>0</v>
      </c>
      <c r="C162" s="23">
        <f>Oportuno!C162</f>
        <v>2026091</v>
      </c>
      <c r="D162" s="23">
        <f>Oportuno!D162</f>
        <v>6</v>
      </c>
      <c r="E162" s="128">
        <f>Oportuno!E162</f>
        <v>0</v>
      </c>
      <c r="F162" s="126" t="e">
        <f>Oportuno!F162</f>
        <v>#N/A</v>
      </c>
      <c r="G162" s="36">
        <f>Oportuno!G162</f>
        <v>1</v>
      </c>
      <c r="H162" s="126" t="str">
        <f>Oportuno!H162</f>
        <v>Oficinas</v>
      </c>
      <c r="I162" s="130">
        <f>Oportuno!I162</f>
        <v>0</v>
      </c>
      <c r="J162" s="174">
        <f>Oportuno!J162</f>
        <v>0</v>
      </c>
      <c r="K162" s="174">
        <f>Oportuno!K162</f>
        <v>0</v>
      </c>
      <c r="L162" s="174">
        <f>Oportuno!L162</f>
        <v>0</v>
      </c>
      <c r="M162" s="174">
        <f>Oportuno!M162</f>
        <v>0</v>
      </c>
      <c r="N162" s="174">
        <f>Oportuno!N162</f>
        <v>0</v>
      </c>
      <c r="O162" s="174">
        <f>Oportuno!O162</f>
        <v>0</v>
      </c>
      <c r="P162" s="174">
        <f>Oportuno!P162</f>
        <v>0</v>
      </c>
      <c r="Q162" s="174">
        <f>Oportuno!Q162</f>
        <v>0</v>
      </c>
      <c r="R162" s="174">
        <f>Oportuno!R162</f>
        <v>0</v>
      </c>
      <c r="S162" s="215">
        <f>Oportuno!S162</f>
        <v>0</v>
      </c>
      <c r="T162" s="71">
        <f>Oportuno!T162</f>
        <v>0</v>
      </c>
      <c r="U162" s="71">
        <f>Oportuno!U162</f>
        <v>0</v>
      </c>
      <c r="V162" s="117">
        <f>Oportuno!V162</f>
        <v>0</v>
      </c>
      <c r="W162" s="117">
        <f>Oportuno!W162</f>
        <v>0</v>
      </c>
      <c r="X162" s="71">
        <f>Oportuno!X162</f>
        <v>0</v>
      </c>
      <c r="Y162" s="71">
        <f>Oportuno!Y162</f>
        <v>0</v>
      </c>
      <c r="AA162" s="65"/>
    </row>
    <row r="163" spans="2:27" ht="13" customHeight="1">
      <c r="B163" s="119">
        <f>Oportuno!B163</f>
        <v>0</v>
      </c>
      <c r="C163" s="23">
        <f>Oportuno!C163</f>
        <v>2026091</v>
      </c>
      <c r="D163" s="23">
        <f>Oportuno!D163</f>
        <v>6</v>
      </c>
      <c r="E163" s="128">
        <f>Oportuno!E163</f>
        <v>0</v>
      </c>
      <c r="F163" s="126" t="e">
        <f>Oportuno!F163</f>
        <v>#N/A</v>
      </c>
      <c r="G163" s="36">
        <f>Oportuno!G163</f>
        <v>1</v>
      </c>
      <c r="H163" s="126" t="str">
        <f>Oportuno!H163</f>
        <v>Oficinas</v>
      </c>
      <c r="I163" s="130">
        <f>Oportuno!I163</f>
        <v>0</v>
      </c>
      <c r="J163" s="174">
        <f>Oportuno!J163</f>
        <v>0</v>
      </c>
      <c r="K163" s="174">
        <f>Oportuno!K163</f>
        <v>0</v>
      </c>
      <c r="L163" s="174">
        <f>Oportuno!L163</f>
        <v>0</v>
      </c>
      <c r="M163" s="174">
        <f>Oportuno!M163</f>
        <v>0</v>
      </c>
      <c r="N163" s="174">
        <f>Oportuno!N163</f>
        <v>0</v>
      </c>
      <c r="O163" s="174">
        <f>Oportuno!O163</f>
        <v>0</v>
      </c>
      <c r="P163" s="174">
        <f>Oportuno!P163</f>
        <v>0</v>
      </c>
      <c r="Q163" s="174">
        <f>Oportuno!Q163</f>
        <v>0</v>
      </c>
      <c r="R163" s="174">
        <f>Oportuno!R163</f>
        <v>0</v>
      </c>
      <c r="S163" s="215">
        <f>Oportuno!S163</f>
        <v>0</v>
      </c>
      <c r="T163" s="71">
        <f>Oportuno!T163</f>
        <v>0</v>
      </c>
      <c r="U163" s="71">
        <f>Oportuno!U163</f>
        <v>0</v>
      </c>
      <c r="V163" s="117">
        <f>Oportuno!V163</f>
        <v>0</v>
      </c>
      <c r="W163" s="117">
        <f>Oportuno!W163</f>
        <v>0</v>
      </c>
      <c r="X163" s="71">
        <f>Oportuno!X163</f>
        <v>0</v>
      </c>
      <c r="Y163" s="71">
        <f>Oportuno!Y163</f>
        <v>0</v>
      </c>
      <c r="AA163" s="65"/>
    </row>
    <row r="164" spans="2:27" ht="13" customHeight="1">
      <c r="B164" s="119">
        <f>Oportuno!B164</f>
        <v>0</v>
      </c>
      <c r="C164" s="23">
        <f>Oportuno!C164</f>
        <v>2026091</v>
      </c>
      <c r="D164" s="23">
        <f>Oportuno!D164</f>
        <v>6</v>
      </c>
      <c r="E164" s="128">
        <f>Oportuno!E164</f>
        <v>0</v>
      </c>
      <c r="F164" s="126" t="e">
        <f>Oportuno!F164</f>
        <v>#N/A</v>
      </c>
      <c r="G164" s="36">
        <f>Oportuno!G164</f>
        <v>1</v>
      </c>
      <c r="H164" s="126" t="str">
        <f>Oportuno!H164</f>
        <v>Oficinas</v>
      </c>
      <c r="I164" s="130">
        <f>Oportuno!I164</f>
        <v>0</v>
      </c>
      <c r="J164" s="174">
        <f>Oportuno!J164</f>
        <v>0</v>
      </c>
      <c r="K164" s="174">
        <f>Oportuno!K164</f>
        <v>0</v>
      </c>
      <c r="L164" s="174">
        <f>Oportuno!L164</f>
        <v>0</v>
      </c>
      <c r="M164" s="174">
        <f>Oportuno!M164</f>
        <v>0</v>
      </c>
      <c r="N164" s="174">
        <f>Oportuno!N164</f>
        <v>0</v>
      </c>
      <c r="O164" s="174">
        <f>Oportuno!O164</f>
        <v>0</v>
      </c>
      <c r="P164" s="174">
        <f>Oportuno!P164</f>
        <v>0</v>
      </c>
      <c r="Q164" s="174">
        <f>Oportuno!Q164</f>
        <v>0</v>
      </c>
      <c r="R164" s="174">
        <f>Oportuno!R164</f>
        <v>0</v>
      </c>
      <c r="S164" s="215">
        <f>Oportuno!S164</f>
        <v>0</v>
      </c>
      <c r="T164" s="71">
        <f>Oportuno!T164</f>
        <v>0</v>
      </c>
      <c r="U164" s="71">
        <f>Oportuno!U164</f>
        <v>0</v>
      </c>
      <c r="V164" s="117">
        <f>Oportuno!V164</f>
        <v>0</v>
      </c>
      <c r="W164" s="117">
        <f>Oportuno!W164</f>
        <v>0</v>
      </c>
      <c r="X164" s="71">
        <f>Oportuno!X164</f>
        <v>0</v>
      </c>
      <c r="Y164" s="71">
        <f>Oportuno!Y164</f>
        <v>0</v>
      </c>
      <c r="AA164" s="65"/>
    </row>
    <row r="165" spans="2:27" ht="13" customHeight="1">
      <c r="B165" s="119">
        <f>Oportuno!B165</f>
        <v>0</v>
      </c>
      <c r="C165" s="23">
        <f>Oportuno!C165</f>
        <v>2026091</v>
      </c>
      <c r="D165" s="23">
        <f>Oportuno!D165</f>
        <v>6</v>
      </c>
      <c r="E165" s="128">
        <f>Oportuno!E165</f>
        <v>0</v>
      </c>
      <c r="F165" s="126" t="e">
        <f>Oportuno!F165</f>
        <v>#N/A</v>
      </c>
      <c r="G165" s="36">
        <f>Oportuno!G165</f>
        <v>1</v>
      </c>
      <c r="H165" s="126" t="str">
        <f>Oportuno!H165</f>
        <v>Oficinas</v>
      </c>
      <c r="I165" s="130">
        <f>Oportuno!I165</f>
        <v>0</v>
      </c>
      <c r="J165" s="174">
        <f>Oportuno!J165</f>
        <v>0</v>
      </c>
      <c r="K165" s="174">
        <f>Oportuno!K165</f>
        <v>0</v>
      </c>
      <c r="L165" s="174">
        <f>Oportuno!L165</f>
        <v>0</v>
      </c>
      <c r="M165" s="174">
        <f>Oportuno!M165</f>
        <v>0</v>
      </c>
      <c r="N165" s="174">
        <f>Oportuno!N165</f>
        <v>0</v>
      </c>
      <c r="O165" s="174">
        <f>Oportuno!O165</f>
        <v>0</v>
      </c>
      <c r="P165" s="174">
        <f>Oportuno!P165</f>
        <v>0</v>
      </c>
      <c r="Q165" s="174">
        <f>Oportuno!Q165</f>
        <v>0</v>
      </c>
      <c r="R165" s="174">
        <f>Oportuno!R165</f>
        <v>0</v>
      </c>
      <c r="S165" s="215">
        <f>Oportuno!S165</f>
        <v>0</v>
      </c>
      <c r="T165" s="71">
        <f>Oportuno!T165</f>
        <v>0</v>
      </c>
      <c r="U165" s="71">
        <f>Oportuno!U165</f>
        <v>0</v>
      </c>
      <c r="V165" s="117">
        <f>Oportuno!V165</f>
        <v>0</v>
      </c>
      <c r="W165" s="117">
        <f>Oportuno!W165</f>
        <v>0</v>
      </c>
      <c r="X165" s="71">
        <f>Oportuno!X165</f>
        <v>0</v>
      </c>
      <c r="Y165" s="71">
        <f>Oportuno!Y165</f>
        <v>0</v>
      </c>
      <c r="AA165" s="65"/>
    </row>
    <row r="166" spans="2:27" ht="13" customHeight="1">
      <c r="B166" s="119">
        <f>Oportuno!B166</f>
        <v>0</v>
      </c>
      <c r="C166" s="23">
        <f>Oportuno!C166</f>
        <v>2026091</v>
      </c>
      <c r="D166" s="23">
        <f>Oportuno!D166</f>
        <v>6</v>
      </c>
      <c r="E166" s="128">
        <f>Oportuno!E166</f>
        <v>0</v>
      </c>
      <c r="F166" s="126" t="e">
        <f>Oportuno!F166</f>
        <v>#N/A</v>
      </c>
      <c r="G166" s="36">
        <f>Oportuno!G166</f>
        <v>1</v>
      </c>
      <c r="H166" s="126" t="str">
        <f>Oportuno!H166</f>
        <v>Oficinas</v>
      </c>
      <c r="I166" s="130">
        <f>Oportuno!I166</f>
        <v>0</v>
      </c>
      <c r="J166" s="174">
        <f>Oportuno!J166</f>
        <v>0</v>
      </c>
      <c r="K166" s="174">
        <f>Oportuno!K166</f>
        <v>0</v>
      </c>
      <c r="L166" s="174">
        <f>Oportuno!L166</f>
        <v>0</v>
      </c>
      <c r="M166" s="174">
        <f>Oportuno!M166</f>
        <v>0</v>
      </c>
      <c r="N166" s="174">
        <f>Oportuno!N166</f>
        <v>0</v>
      </c>
      <c r="O166" s="174">
        <f>Oportuno!O166</f>
        <v>0</v>
      </c>
      <c r="P166" s="174">
        <f>Oportuno!P166</f>
        <v>0</v>
      </c>
      <c r="Q166" s="174">
        <f>Oportuno!Q166</f>
        <v>0</v>
      </c>
      <c r="R166" s="174">
        <f>Oportuno!R166</f>
        <v>0</v>
      </c>
      <c r="S166" s="215">
        <f>Oportuno!S166</f>
        <v>0</v>
      </c>
      <c r="T166" s="71">
        <f>Oportuno!T166</f>
        <v>0</v>
      </c>
      <c r="U166" s="71">
        <f>Oportuno!U166</f>
        <v>0</v>
      </c>
      <c r="V166" s="117">
        <f>Oportuno!V166</f>
        <v>0</v>
      </c>
      <c r="W166" s="117">
        <f>Oportuno!W166</f>
        <v>0</v>
      </c>
      <c r="X166" s="71">
        <f>Oportuno!X166</f>
        <v>0</v>
      </c>
      <c r="Y166" s="71">
        <f>Oportuno!Y166</f>
        <v>0</v>
      </c>
      <c r="AA166" s="65"/>
    </row>
    <row r="167" spans="2:27" ht="13" customHeight="1">
      <c r="B167" s="119">
        <f>Oportuno!B167</f>
        <v>0</v>
      </c>
      <c r="C167" s="23">
        <f>Oportuno!C167</f>
        <v>2026091</v>
      </c>
      <c r="D167" s="23">
        <f>Oportuno!D167</f>
        <v>6</v>
      </c>
      <c r="E167" s="128">
        <f>Oportuno!E167</f>
        <v>0</v>
      </c>
      <c r="F167" s="126" t="e">
        <f>Oportuno!F167</f>
        <v>#N/A</v>
      </c>
      <c r="G167" s="36">
        <f>Oportuno!G167</f>
        <v>1</v>
      </c>
      <c r="H167" s="126" t="str">
        <f>Oportuno!H167</f>
        <v>Oficinas</v>
      </c>
      <c r="I167" s="130">
        <f>Oportuno!I167</f>
        <v>0</v>
      </c>
      <c r="J167" s="174">
        <f>Oportuno!J167</f>
        <v>0</v>
      </c>
      <c r="K167" s="174">
        <f>Oportuno!K167</f>
        <v>0</v>
      </c>
      <c r="L167" s="174">
        <f>Oportuno!L167</f>
        <v>0</v>
      </c>
      <c r="M167" s="174">
        <f>Oportuno!M167</f>
        <v>0</v>
      </c>
      <c r="N167" s="174">
        <f>Oportuno!N167</f>
        <v>0</v>
      </c>
      <c r="O167" s="174">
        <f>Oportuno!O167</f>
        <v>0</v>
      </c>
      <c r="P167" s="174">
        <f>Oportuno!P167</f>
        <v>0</v>
      </c>
      <c r="Q167" s="174">
        <f>Oportuno!Q167</f>
        <v>0</v>
      </c>
      <c r="R167" s="174">
        <f>Oportuno!R167</f>
        <v>0</v>
      </c>
      <c r="S167" s="215">
        <f>Oportuno!S167</f>
        <v>0</v>
      </c>
      <c r="T167" s="71">
        <f>Oportuno!T167</f>
        <v>0</v>
      </c>
      <c r="U167" s="71">
        <f>Oportuno!U167</f>
        <v>0</v>
      </c>
      <c r="V167" s="117">
        <f>Oportuno!V167</f>
        <v>0</v>
      </c>
      <c r="W167" s="117">
        <f>Oportuno!W167</f>
        <v>0</v>
      </c>
      <c r="X167" s="71">
        <f>Oportuno!X167</f>
        <v>0</v>
      </c>
      <c r="Y167" s="71">
        <f>Oportuno!Y167</f>
        <v>0</v>
      </c>
      <c r="AA167" s="65"/>
    </row>
    <row r="168" spans="2:27" ht="12" customHeight="1">
      <c r="B168" s="119">
        <f>Oportuno!B168</f>
        <v>0</v>
      </c>
      <c r="C168" s="23">
        <f>Oportuno!C168</f>
        <v>2026091</v>
      </c>
      <c r="D168" s="23">
        <f>Oportuno!D168</f>
        <v>6</v>
      </c>
      <c r="E168" s="128">
        <f>Oportuno!E168</f>
        <v>0</v>
      </c>
      <c r="F168" s="126" t="e">
        <f>Oportuno!F168</f>
        <v>#N/A</v>
      </c>
      <c r="G168" s="36">
        <f>Oportuno!G168</f>
        <v>1</v>
      </c>
      <c r="H168" s="126" t="str">
        <f>Oportuno!H168</f>
        <v>Oficinas</v>
      </c>
      <c r="I168" s="130">
        <f>Oportuno!I168</f>
        <v>0</v>
      </c>
      <c r="J168" s="174">
        <f>Oportuno!J168</f>
        <v>0</v>
      </c>
      <c r="K168" s="174">
        <f>Oportuno!K168</f>
        <v>0</v>
      </c>
      <c r="L168" s="174">
        <f>Oportuno!L168</f>
        <v>0</v>
      </c>
      <c r="M168" s="174">
        <f>Oportuno!M168</f>
        <v>0</v>
      </c>
      <c r="N168" s="174">
        <f>Oportuno!N168</f>
        <v>0</v>
      </c>
      <c r="O168" s="174">
        <f>Oportuno!O168</f>
        <v>0</v>
      </c>
      <c r="P168" s="174">
        <f>Oportuno!P168</f>
        <v>0</v>
      </c>
      <c r="Q168" s="174">
        <f>Oportuno!Q168</f>
        <v>0</v>
      </c>
      <c r="R168" s="174">
        <f>Oportuno!R168</f>
        <v>0</v>
      </c>
      <c r="S168" s="215">
        <f>Oportuno!S168</f>
        <v>0</v>
      </c>
      <c r="T168" s="71">
        <f>Oportuno!T168</f>
        <v>0</v>
      </c>
      <c r="U168" s="71">
        <f>Oportuno!U168</f>
        <v>0</v>
      </c>
      <c r="V168" s="117">
        <f>Oportuno!V168</f>
        <v>0</v>
      </c>
      <c r="W168" s="117">
        <f>Oportuno!W168</f>
        <v>0</v>
      </c>
      <c r="X168" s="71">
        <f>Oportuno!X168</f>
        <v>0</v>
      </c>
      <c r="Y168" s="71">
        <f>Oportuno!Y168</f>
        <v>0</v>
      </c>
      <c r="AA168" s="65"/>
    </row>
    <row r="169" spans="2:27" ht="13" customHeight="1">
      <c r="B169" s="119">
        <f>Oportuno!B169</f>
        <v>0</v>
      </c>
      <c r="C169" s="23">
        <f>Oportuno!C169</f>
        <v>2026091</v>
      </c>
      <c r="D169" s="23">
        <f>Oportuno!D169</f>
        <v>6</v>
      </c>
      <c r="E169" s="128">
        <f>Oportuno!E169</f>
        <v>0</v>
      </c>
      <c r="F169" s="126" t="e">
        <f>Oportuno!F169</f>
        <v>#N/A</v>
      </c>
      <c r="G169" s="36">
        <f>Oportuno!G169</f>
        <v>1</v>
      </c>
      <c r="H169" s="126" t="str">
        <f>Oportuno!H169</f>
        <v>Oficinas</v>
      </c>
      <c r="I169" s="130">
        <f>Oportuno!I169</f>
        <v>0</v>
      </c>
      <c r="J169" s="174">
        <f>Oportuno!J169</f>
        <v>0</v>
      </c>
      <c r="K169" s="174">
        <f>Oportuno!K169</f>
        <v>0</v>
      </c>
      <c r="L169" s="174">
        <f>Oportuno!L169</f>
        <v>0</v>
      </c>
      <c r="M169" s="174">
        <f>Oportuno!M169</f>
        <v>0</v>
      </c>
      <c r="N169" s="174">
        <f>Oportuno!N169</f>
        <v>0</v>
      </c>
      <c r="O169" s="174">
        <f>Oportuno!O169</f>
        <v>0</v>
      </c>
      <c r="P169" s="174">
        <f>Oportuno!P169</f>
        <v>0</v>
      </c>
      <c r="Q169" s="174">
        <f>Oportuno!Q169</f>
        <v>0</v>
      </c>
      <c r="R169" s="174">
        <f>Oportuno!R169</f>
        <v>0</v>
      </c>
      <c r="S169" s="215">
        <f>Oportuno!S169</f>
        <v>0</v>
      </c>
      <c r="T169" s="71">
        <f>Oportuno!T169</f>
        <v>0</v>
      </c>
      <c r="U169" s="71">
        <f>Oportuno!U169</f>
        <v>0</v>
      </c>
      <c r="V169" s="117">
        <f>Oportuno!V169</f>
        <v>0</v>
      </c>
      <c r="W169" s="117">
        <f>Oportuno!W169</f>
        <v>0</v>
      </c>
      <c r="X169" s="71">
        <f>Oportuno!X169</f>
        <v>0</v>
      </c>
      <c r="Y169" s="71">
        <f>Oportuno!Y169</f>
        <v>0</v>
      </c>
      <c r="AA169" s="65"/>
    </row>
    <row r="170" spans="2:27" ht="13" customHeight="1">
      <c r="B170" s="119">
        <f>Oportuno!B170</f>
        <v>0</v>
      </c>
      <c r="C170" s="23">
        <f>Oportuno!C170</f>
        <v>2026091</v>
      </c>
      <c r="D170" s="23">
        <f>Oportuno!D170</f>
        <v>6</v>
      </c>
      <c r="E170" s="128">
        <f>Oportuno!E170</f>
        <v>0</v>
      </c>
      <c r="F170" s="126" t="e">
        <f>Oportuno!F170</f>
        <v>#N/A</v>
      </c>
      <c r="G170" s="36">
        <f>Oportuno!G170</f>
        <v>1</v>
      </c>
      <c r="H170" s="126" t="str">
        <f>Oportuno!H170</f>
        <v>Oficinas</v>
      </c>
      <c r="I170" s="130">
        <f>Oportuno!I170</f>
        <v>0</v>
      </c>
      <c r="J170" s="174">
        <f>Oportuno!J170</f>
        <v>0</v>
      </c>
      <c r="K170" s="174">
        <f>Oportuno!K170</f>
        <v>0</v>
      </c>
      <c r="L170" s="174">
        <f>Oportuno!L170</f>
        <v>0</v>
      </c>
      <c r="M170" s="174">
        <f>Oportuno!M170</f>
        <v>0</v>
      </c>
      <c r="N170" s="174">
        <f>Oportuno!N170</f>
        <v>0</v>
      </c>
      <c r="O170" s="174">
        <f>Oportuno!O170</f>
        <v>0</v>
      </c>
      <c r="P170" s="174">
        <f>Oportuno!P170</f>
        <v>0</v>
      </c>
      <c r="Q170" s="174">
        <f>Oportuno!Q170</f>
        <v>0</v>
      </c>
      <c r="R170" s="174">
        <f>Oportuno!R170</f>
        <v>0</v>
      </c>
      <c r="S170" s="215">
        <f>Oportuno!S170</f>
        <v>0</v>
      </c>
      <c r="T170" s="71">
        <f>Oportuno!T170</f>
        <v>0</v>
      </c>
      <c r="U170" s="71">
        <f>Oportuno!U170</f>
        <v>0</v>
      </c>
      <c r="V170" s="117">
        <f>Oportuno!V170</f>
        <v>0</v>
      </c>
      <c r="W170" s="117">
        <f>Oportuno!W170</f>
        <v>0</v>
      </c>
      <c r="X170" s="71">
        <f>Oportuno!X170</f>
        <v>0</v>
      </c>
      <c r="Y170" s="71">
        <f>Oportuno!Y170</f>
        <v>0</v>
      </c>
      <c r="AA170" s="65"/>
    </row>
    <row r="171" spans="2:27" ht="13" customHeight="1">
      <c r="B171" s="119">
        <f>Oportuno!B171</f>
        <v>0</v>
      </c>
      <c r="C171" s="23">
        <f>Oportuno!C171</f>
        <v>2026091</v>
      </c>
      <c r="D171" s="23">
        <f>Oportuno!D171</f>
        <v>6</v>
      </c>
      <c r="E171" s="128">
        <f>Oportuno!E171</f>
        <v>0</v>
      </c>
      <c r="F171" s="126" t="e">
        <f>Oportuno!F171</f>
        <v>#N/A</v>
      </c>
      <c r="G171" s="36">
        <f>Oportuno!G171</f>
        <v>1</v>
      </c>
      <c r="H171" s="126" t="str">
        <f>Oportuno!H171</f>
        <v>Oficinas</v>
      </c>
      <c r="I171" s="130">
        <f>Oportuno!I171</f>
        <v>0</v>
      </c>
      <c r="J171" s="174">
        <f>Oportuno!J171</f>
        <v>0</v>
      </c>
      <c r="K171" s="174">
        <f>Oportuno!K171</f>
        <v>0</v>
      </c>
      <c r="L171" s="174">
        <f>Oportuno!L171</f>
        <v>0</v>
      </c>
      <c r="M171" s="174">
        <f>Oportuno!M171</f>
        <v>0</v>
      </c>
      <c r="N171" s="174">
        <f>Oportuno!N171</f>
        <v>0</v>
      </c>
      <c r="O171" s="174">
        <f>Oportuno!O171</f>
        <v>0</v>
      </c>
      <c r="P171" s="174">
        <f>Oportuno!P171</f>
        <v>0</v>
      </c>
      <c r="Q171" s="174">
        <f>Oportuno!Q171</f>
        <v>0</v>
      </c>
      <c r="R171" s="174">
        <f>Oportuno!R171</f>
        <v>0</v>
      </c>
      <c r="S171" s="215">
        <f>Oportuno!S171</f>
        <v>0</v>
      </c>
      <c r="T171" s="71">
        <f>Oportuno!T171</f>
        <v>0</v>
      </c>
      <c r="U171" s="71">
        <f>Oportuno!U171</f>
        <v>0</v>
      </c>
      <c r="V171" s="117">
        <f>Oportuno!V171</f>
        <v>0</v>
      </c>
      <c r="W171" s="117">
        <f>Oportuno!W171</f>
        <v>0</v>
      </c>
      <c r="X171" s="71">
        <f>Oportuno!X171</f>
        <v>0</v>
      </c>
      <c r="Y171" s="71">
        <f>Oportuno!Y171</f>
        <v>0</v>
      </c>
      <c r="AA171" s="65"/>
    </row>
    <row r="172" spans="2:27" ht="13" customHeight="1">
      <c r="B172" s="119">
        <f>Oportuno!B172</f>
        <v>0</v>
      </c>
      <c r="C172" s="23">
        <f>Oportuno!C172</f>
        <v>2026091</v>
      </c>
      <c r="D172" s="23">
        <f>Oportuno!D172</f>
        <v>6</v>
      </c>
      <c r="E172" s="128">
        <f>Oportuno!E172</f>
        <v>0</v>
      </c>
      <c r="F172" s="126" t="e">
        <f>Oportuno!F172</f>
        <v>#N/A</v>
      </c>
      <c r="G172" s="36">
        <f>Oportuno!G172</f>
        <v>1</v>
      </c>
      <c r="H172" s="126" t="str">
        <f>Oportuno!H172</f>
        <v>Oficinas</v>
      </c>
      <c r="I172" s="130">
        <f>Oportuno!I172</f>
        <v>0</v>
      </c>
      <c r="J172" s="174">
        <f>Oportuno!J172</f>
        <v>0</v>
      </c>
      <c r="K172" s="174">
        <f>Oportuno!K172</f>
        <v>0</v>
      </c>
      <c r="L172" s="174">
        <f>Oportuno!L172</f>
        <v>0</v>
      </c>
      <c r="M172" s="174">
        <f>Oportuno!M172</f>
        <v>0</v>
      </c>
      <c r="N172" s="174">
        <f>Oportuno!N172</f>
        <v>0</v>
      </c>
      <c r="O172" s="174">
        <f>Oportuno!O172</f>
        <v>0</v>
      </c>
      <c r="P172" s="174">
        <f>Oportuno!P172</f>
        <v>0</v>
      </c>
      <c r="Q172" s="174">
        <f>Oportuno!Q172</f>
        <v>0</v>
      </c>
      <c r="R172" s="174">
        <f>Oportuno!R172</f>
        <v>0</v>
      </c>
      <c r="S172" s="215">
        <f>Oportuno!S172</f>
        <v>0</v>
      </c>
      <c r="T172" s="71">
        <f>Oportuno!T172</f>
        <v>0</v>
      </c>
      <c r="U172" s="71">
        <f>Oportuno!U172</f>
        <v>0</v>
      </c>
      <c r="V172" s="117">
        <f>Oportuno!V172</f>
        <v>0</v>
      </c>
      <c r="W172" s="117">
        <f>Oportuno!W172</f>
        <v>0</v>
      </c>
      <c r="X172" s="71">
        <f>Oportuno!X172</f>
        <v>0</v>
      </c>
      <c r="Y172" s="71">
        <f>Oportuno!Y172</f>
        <v>0</v>
      </c>
      <c r="AA172" s="65"/>
    </row>
    <row r="173" spans="2:27" ht="13" customHeight="1">
      <c r="B173" s="119">
        <f>Oportuno!B173</f>
        <v>0</v>
      </c>
      <c r="C173" s="23">
        <f>Oportuno!C173</f>
        <v>2026091</v>
      </c>
      <c r="D173" s="23">
        <f>Oportuno!D173</f>
        <v>6</v>
      </c>
      <c r="E173" s="128">
        <f>Oportuno!E173</f>
        <v>0</v>
      </c>
      <c r="F173" s="126" t="e">
        <f>Oportuno!F173</f>
        <v>#N/A</v>
      </c>
      <c r="G173" s="36">
        <f>Oportuno!G173</f>
        <v>1</v>
      </c>
      <c r="H173" s="126" t="str">
        <f>Oportuno!H173</f>
        <v>Oficinas</v>
      </c>
      <c r="I173" s="130">
        <f>Oportuno!I173</f>
        <v>0</v>
      </c>
      <c r="J173" s="174">
        <f>Oportuno!J173</f>
        <v>0</v>
      </c>
      <c r="K173" s="174">
        <f>Oportuno!K173</f>
        <v>0</v>
      </c>
      <c r="L173" s="174">
        <f>Oportuno!L173</f>
        <v>0</v>
      </c>
      <c r="M173" s="174">
        <f>Oportuno!M173</f>
        <v>0</v>
      </c>
      <c r="N173" s="174">
        <f>Oportuno!N173</f>
        <v>0</v>
      </c>
      <c r="O173" s="174">
        <f>Oportuno!O173</f>
        <v>0</v>
      </c>
      <c r="P173" s="174">
        <f>Oportuno!P173</f>
        <v>0</v>
      </c>
      <c r="Q173" s="174">
        <f>Oportuno!Q173</f>
        <v>0</v>
      </c>
      <c r="R173" s="174">
        <f>Oportuno!R173</f>
        <v>0</v>
      </c>
      <c r="S173" s="215">
        <f>Oportuno!S173</f>
        <v>0</v>
      </c>
      <c r="T173" s="71">
        <f>Oportuno!T173</f>
        <v>0</v>
      </c>
      <c r="U173" s="71">
        <f>Oportuno!U173</f>
        <v>0</v>
      </c>
      <c r="V173" s="117">
        <f>Oportuno!V173</f>
        <v>0</v>
      </c>
      <c r="W173" s="117">
        <f>Oportuno!W173</f>
        <v>0</v>
      </c>
      <c r="X173" s="71">
        <f>Oportuno!X173</f>
        <v>0</v>
      </c>
      <c r="Y173" s="71">
        <f>Oportuno!Y173</f>
        <v>0</v>
      </c>
      <c r="AA173" s="65"/>
    </row>
    <row r="174" spans="2:27" ht="13" customHeight="1">
      <c r="B174" s="119">
        <f>Oportuno!B174</f>
        <v>0</v>
      </c>
      <c r="C174" s="23">
        <f>Oportuno!C174</f>
        <v>2026091</v>
      </c>
      <c r="D174" s="23">
        <f>Oportuno!D174</f>
        <v>6</v>
      </c>
      <c r="E174" s="128">
        <f>Oportuno!E174</f>
        <v>0</v>
      </c>
      <c r="F174" s="126" t="e">
        <f>Oportuno!F174</f>
        <v>#N/A</v>
      </c>
      <c r="G174" s="36">
        <f>Oportuno!G174</f>
        <v>1</v>
      </c>
      <c r="H174" s="126" t="str">
        <f>Oportuno!H174</f>
        <v>Oficinas</v>
      </c>
      <c r="I174" s="130">
        <f>Oportuno!I174</f>
        <v>0</v>
      </c>
      <c r="J174" s="174">
        <f>Oportuno!J174</f>
        <v>0</v>
      </c>
      <c r="K174" s="174">
        <f>Oportuno!K174</f>
        <v>0</v>
      </c>
      <c r="L174" s="174">
        <f>Oportuno!L174</f>
        <v>0</v>
      </c>
      <c r="M174" s="174">
        <f>Oportuno!M174</f>
        <v>0</v>
      </c>
      <c r="N174" s="174">
        <f>Oportuno!N174</f>
        <v>0</v>
      </c>
      <c r="O174" s="174">
        <f>Oportuno!O174</f>
        <v>0</v>
      </c>
      <c r="P174" s="174">
        <f>Oportuno!P174</f>
        <v>0</v>
      </c>
      <c r="Q174" s="174">
        <f>Oportuno!Q174</f>
        <v>0</v>
      </c>
      <c r="R174" s="174">
        <f>Oportuno!R174</f>
        <v>0</v>
      </c>
      <c r="S174" s="215">
        <f>Oportuno!S174</f>
        <v>0</v>
      </c>
      <c r="T174" s="71">
        <f>Oportuno!T174</f>
        <v>0</v>
      </c>
      <c r="U174" s="71">
        <f>Oportuno!U174</f>
        <v>0</v>
      </c>
      <c r="V174" s="117">
        <f>Oportuno!V174</f>
        <v>0</v>
      </c>
      <c r="W174" s="117">
        <f>Oportuno!W174</f>
        <v>0</v>
      </c>
      <c r="X174" s="71">
        <f>Oportuno!X174</f>
        <v>0</v>
      </c>
      <c r="Y174" s="71">
        <f>Oportuno!Y174</f>
        <v>0</v>
      </c>
      <c r="AA174" s="65"/>
    </row>
    <row r="175" spans="2:27" ht="13" customHeight="1">
      <c r="B175" s="119">
        <f>Oportuno!B175</f>
        <v>0</v>
      </c>
      <c r="C175" s="23">
        <f>Oportuno!C175</f>
        <v>2026091</v>
      </c>
      <c r="D175" s="23">
        <f>Oportuno!D175</f>
        <v>6</v>
      </c>
      <c r="E175" s="128">
        <f>Oportuno!E175</f>
        <v>0</v>
      </c>
      <c r="F175" s="126" t="e">
        <f>Oportuno!F175</f>
        <v>#N/A</v>
      </c>
      <c r="G175" s="36">
        <f>Oportuno!G175</f>
        <v>1</v>
      </c>
      <c r="H175" s="126" t="str">
        <f>Oportuno!H175</f>
        <v>Oficinas</v>
      </c>
      <c r="I175" s="130">
        <f>Oportuno!I175</f>
        <v>0</v>
      </c>
      <c r="J175" s="174">
        <f>Oportuno!J175</f>
        <v>0</v>
      </c>
      <c r="K175" s="174">
        <f>Oportuno!K175</f>
        <v>0</v>
      </c>
      <c r="L175" s="174">
        <f>Oportuno!L175</f>
        <v>0</v>
      </c>
      <c r="M175" s="174">
        <f>Oportuno!M175</f>
        <v>0</v>
      </c>
      <c r="N175" s="174">
        <f>Oportuno!N175</f>
        <v>0</v>
      </c>
      <c r="O175" s="174">
        <f>Oportuno!O175</f>
        <v>0</v>
      </c>
      <c r="P175" s="174">
        <f>Oportuno!P175</f>
        <v>0</v>
      </c>
      <c r="Q175" s="174">
        <f>Oportuno!Q175</f>
        <v>0</v>
      </c>
      <c r="R175" s="174">
        <f>Oportuno!R175</f>
        <v>0</v>
      </c>
      <c r="S175" s="215">
        <f>Oportuno!S175</f>
        <v>0</v>
      </c>
      <c r="T175" s="71">
        <f>Oportuno!T175</f>
        <v>0</v>
      </c>
      <c r="U175" s="71">
        <f>Oportuno!U175</f>
        <v>0</v>
      </c>
      <c r="V175" s="117">
        <f>Oportuno!V175</f>
        <v>0</v>
      </c>
      <c r="W175" s="117">
        <f>Oportuno!W175</f>
        <v>0</v>
      </c>
      <c r="X175" s="71">
        <f>Oportuno!X175</f>
        <v>0</v>
      </c>
      <c r="Y175" s="71">
        <f>Oportuno!Y175</f>
        <v>0</v>
      </c>
      <c r="AA175" s="65"/>
    </row>
    <row r="176" spans="2:27" ht="13" customHeight="1">
      <c r="B176" s="119">
        <f>Oportuno!B176</f>
        <v>0</v>
      </c>
      <c r="C176" s="23">
        <f>Oportuno!C176</f>
        <v>2026091</v>
      </c>
      <c r="D176" s="23">
        <f>Oportuno!D176</f>
        <v>6</v>
      </c>
      <c r="E176" s="128">
        <f>Oportuno!E176</f>
        <v>0</v>
      </c>
      <c r="F176" s="126" t="e">
        <f>Oportuno!F176</f>
        <v>#N/A</v>
      </c>
      <c r="G176" s="36">
        <f>Oportuno!G176</f>
        <v>1</v>
      </c>
      <c r="H176" s="126" t="str">
        <f>Oportuno!H176</f>
        <v>Oficinas</v>
      </c>
      <c r="I176" s="130">
        <f>Oportuno!I176</f>
        <v>0</v>
      </c>
      <c r="J176" s="174">
        <f>Oportuno!J176</f>
        <v>0</v>
      </c>
      <c r="K176" s="174">
        <f>Oportuno!K176</f>
        <v>0</v>
      </c>
      <c r="L176" s="174">
        <f>Oportuno!L176</f>
        <v>0</v>
      </c>
      <c r="M176" s="174">
        <f>Oportuno!M176</f>
        <v>0</v>
      </c>
      <c r="N176" s="174">
        <f>Oportuno!N176</f>
        <v>0</v>
      </c>
      <c r="O176" s="174">
        <f>Oportuno!O176</f>
        <v>0</v>
      </c>
      <c r="P176" s="174">
        <f>Oportuno!P176</f>
        <v>0</v>
      </c>
      <c r="Q176" s="174">
        <f>Oportuno!Q176</f>
        <v>0</v>
      </c>
      <c r="R176" s="174">
        <f>Oportuno!R176</f>
        <v>0</v>
      </c>
      <c r="S176" s="215">
        <f>Oportuno!S176</f>
        <v>0</v>
      </c>
      <c r="T176" s="71">
        <f>Oportuno!T176</f>
        <v>0</v>
      </c>
      <c r="U176" s="71">
        <f>Oportuno!U176</f>
        <v>0</v>
      </c>
      <c r="V176" s="117">
        <f>Oportuno!V176</f>
        <v>0</v>
      </c>
      <c r="W176" s="117">
        <f>Oportuno!W176</f>
        <v>0</v>
      </c>
      <c r="X176" s="71">
        <f>Oportuno!X176</f>
        <v>0</v>
      </c>
      <c r="Y176" s="71">
        <f>Oportuno!Y176</f>
        <v>0</v>
      </c>
      <c r="AA176" s="65"/>
    </row>
    <row r="177" spans="2:27 16101:16120" ht="13" customHeight="1" thickBot="1">
      <c r="B177" s="119">
        <f>Oportuno!B177</f>
        <v>0</v>
      </c>
      <c r="C177" s="23">
        <f>Oportuno!C177</f>
        <v>2026091</v>
      </c>
      <c r="D177" s="23">
        <f>Oportuno!D177</f>
        <v>6</v>
      </c>
      <c r="E177" s="128">
        <f>Oportuno!E177</f>
        <v>0</v>
      </c>
      <c r="F177" s="126" t="e">
        <f>Oportuno!F177</f>
        <v>#N/A</v>
      </c>
      <c r="G177" s="36">
        <f>Oportuno!G177</f>
        <v>1</v>
      </c>
      <c r="H177" s="126" t="str">
        <f>Oportuno!H177</f>
        <v>Oficinas</v>
      </c>
      <c r="I177" s="130">
        <f>Oportuno!I177</f>
        <v>0</v>
      </c>
      <c r="J177" s="174">
        <f>Oportuno!J177</f>
        <v>0</v>
      </c>
      <c r="K177" s="174">
        <f>Oportuno!K177</f>
        <v>0</v>
      </c>
      <c r="L177" s="174">
        <f>Oportuno!L177</f>
        <v>0</v>
      </c>
      <c r="M177" s="174">
        <f>Oportuno!M177</f>
        <v>0</v>
      </c>
      <c r="N177" s="174">
        <f>Oportuno!N177</f>
        <v>0</v>
      </c>
      <c r="O177" s="174">
        <f>Oportuno!O177</f>
        <v>0</v>
      </c>
      <c r="P177" s="174">
        <f>Oportuno!P177</f>
        <v>0</v>
      </c>
      <c r="Q177" s="174">
        <f>Oportuno!Q177</f>
        <v>0</v>
      </c>
      <c r="R177" s="174">
        <f>Oportuno!R177</f>
        <v>0</v>
      </c>
      <c r="S177" s="215">
        <f>Oportuno!S177</f>
        <v>0</v>
      </c>
      <c r="T177" s="71">
        <f>Oportuno!T177</f>
        <v>0</v>
      </c>
      <c r="U177" s="71">
        <f>Oportuno!U177</f>
        <v>0</v>
      </c>
      <c r="V177" s="117">
        <f>Oportuno!V177</f>
        <v>0</v>
      </c>
      <c r="W177" s="117">
        <f>Oportuno!W177</f>
        <v>0</v>
      </c>
      <c r="X177" s="71">
        <f>Oportuno!X177</f>
        <v>0</v>
      </c>
      <c r="Y177" s="71">
        <f>Oportuno!Y177</f>
        <v>0</v>
      </c>
      <c r="AA177" s="65"/>
    </row>
    <row r="178" spans="2:27 16101:16120" ht="13" customHeight="1" thickBot="1">
      <c r="B178" s="1" t="s">
        <v>0</v>
      </c>
      <c r="C178" s="1" t="s">
        <v>0</v>
      </c>
      <c r="D178" s="20" t="s">
        <v>0</v>
      </c>
      <c r="E178" s="120" t="str">
        <f>Oportuno!E178</f>
        <v xml:space="preserve"> </v>
      </c>
      <c r="F178" s="121" t="str">
        <f>Oportuno!F178</f>
        <v>TOTAL RECAUDO</v>
      </c>
      <c r="G178" s="121" t="s">
        <v>0</v>
      </c>
      <c r="H178" s="121" t="s">
        <v>0</v>
      </c>
      <c r="I178" s="121" t="s">
        <v>0</v>
      </c>
      <c r="J178" s="122">
        <f>Oportuno!J178</f>
        <v>0</v>
      </c>
      <c r="K178" s="122">
        <f>Oportuno!K178</f>
        <v>0</v>
      </c>
      <c r="L178" s="122">
        <f>Oportuno!L178</f>
        <v>0</v>
      </c>
      <c r="M178" s="122">
        <f>Oportuno!M178</f>
        <v>0</v>
      </c>
      <c r="N178" s="122">
        <f>Oportuno!N178</f>
        <v>0</v>
      </c>
      <c r="O178" s="122">
        <f>Oportuno!O178</f>
        <v>0</v>
      </c>
      <c r="P178" s="122">
        <f>Oportuno!P178</f>
        <v>0</v>
      </c>
      <c r="Q178" s="122">
        <f>Oportuno!Q178</f>
        <v>0</v>
      </c>
      <c r="R178" s="122">
        <f>Oportuno!R178</f>
        <v>143</v>
      </c>
      <c r="S178" s="122">
        <f>Oportuno!S178</f>
        <v>6433210</v>
      </c>
      <c r="T178" s="122">
        <f>Oportuno!T178</f>
        <v>143</v>
      </c>
      <c r="U178" s="122">
        <f>Oportuno!U178</f>
        <v>6433210</v>
      </c>
      <c r="V178" s="123">
        <f>Oportuno!V178</f>
        <v>143</v>
      </c>
      <c r="W178" s="123">
        <f>Oportuno!W178</f>
        <v>6433210</v>
      </c>
      <c r="X178" s="122">
        <f>Oportuno!X178</f>
        <v>0</v>
      </c>
      <c r="Y178" s="123">
        <f>Oportuno!Y178</f>
        <v>0</v>
      </c>
      <c r="AA178" s="65"/>
    </row>
    <row r="179" spans="2:27 16101:16120" ht="13" thickBot="1">
      <c r="AA179" s="65"/>
    </row>
    <row r="180" spans="2:27 16101:16120" ht="41.25" customHeight="1" thickBot="1">
      <c r="B180" s="112" t="s">
        <v>4</v>
      </c>
      <c r="C180" s="34" t="s">
        <v>6</v>
      </c>
      <c r="D180" s="34" t="s">
        <v>7</v>
      </c>
      <c r="E180" s="34" t="s">
        <v>49</v>
      </c>
      <c r="F180" s="34" t="s">
        <v>50</v>
      </c>
      <c r="G180" s="34" t="s">
        <v>51</v>
      </c>
      <c r="H180" s="34" t="s">
        <v>52</v>
      </c>
      <c r="I180" s="34" t="s">
        <v>13</v>
      </c>
      <c r="J180" s="231" t="s">
        <v>8</v>
      </c>
      <c r="K180" s="231" t="s">
        <v>36</v>
      </c>
      <c r="L180" s="12" t="s">
        <v>9</v>
      </c>
      <c r="M180" s="12" t="s">
        <v>37</v>
      </c>
      <c r="N180" s="87" t="s">
        <v>10</v>
      </c>
      <c r="O180" s="88" t="s">
        <v>38</v>
      </c>
      <c r="P180" s="87" t="s">
        <v>11</v>
      </c>
      <c r="Q180" s="88" t="s">
        <v>39</v>
      </c>
      <c r="R180" s="232" t="s">
        <v>12</v>
      </c>
      <c r="S180" s="233" t="s">
        <v>40</v>
      </c>
      <c r="T180" s="64" t="s">
        <v>41</v>
      </c>
      <c r="U180" s="64" t="s">
        <v>42</v>
      </c>
      <c r="V180" s="35" t="s">
        <v>32</v>
      </c>
      <c r="W180" s="67" t="s">
        <v>35</v>
      </c>
      <c r="X180" s="12" t="s">
        <v>34</v>
      </c>
      <c r="Y180" s="68" t="s">
        <v>33</v>
      </c>
      <c r="AA180" s="66"/>
      <c r="WUG180" s="1"/>
      <c r="WUH180" s="1"/>
      <c r="WUY180"/>
      <c r="WUZ180"/>
    </row>
    <row r="181" spans="2:27 16101:16120" ht="13" customHeight="1">
      <c r="B181" s="119" t="str">
        <f>Oportuno!B181</f>
        <v>8/09/2026</v>
      </c>
      <c r="C181" s="24">
        <f>Oportuno!C181</f>
        <v>2026091</v>
      </c>
      <c r="D181" s="24">
        <f>Oportuno!D181</f>
        <v>7</v>
      </c>
      <c r="E181" s="127">
        <f>Oportuno!E181</f>
        <v>20</v>
      </c>
      <c r="F181" s="125" t="str">
        <f>Oportuno!F181</f>
        <v>Bancolombia ENERBIT</v>
      </c>
      <c r="G181" s="18">
        <f>Oportuno!G181</f>
        <v>1</v>
      </c>
      <c r="H181" s="125" t="str">
        <f>Oportuno!H181</f>
        <v>Oficinas</v>
      </c>
      <c r="I181" s="129">
        <f>Oportuno!I181</f>
        <v>0</v>
      </c>
      <c r="J181" s="213">
        <f>Oportuno!J181</f>
        <v>0</v>
      </c>
      <c r="K181" s="213">
        <f>Oportuno!K181</f>
        <v>0</v>
      </c>
      <c r="L181" s="213">
        <f>Oportuno!L181</f>
        <v>0</v>
      </c>
      <c r="M181" s="213">
        <f>Oportuno!M181</f>
        <v>0</v>
      </c>
      <c r="N181" s="213">
        <f>Oportuno!N181</f>
        <v>0</v>
      </c>
      <c r="O181" s="213">
        <f>Oportuno!O181</f>
        <v>0</v>
      </c>
      <c r="P181" s="213">
        <f>Oportuno!P181</f>
        <v>0</v>
      </c>
      <c r="Q181" s="213">
        <f>Oportuno!Q181</f>
        <v>0</v>
      </c>
      <c r="R181" s="213">
        <f>Oportuno!R181</f>
        <v>226</v>
      </c>
      <c r="S181" s="214">
        <f>Oportuno!S181</f>
        <v>10280100</v>
      </c>
      <c r="T181" s="70">
        <f>Oportuno!T181</f>
        <v>226</v>
      </c>
      <c r="U181" s="70">
        <f>Oportuno!U181</f>
        <v>10280100</v>
      </c>
      <c r="V181" s="116">
        <f>Oportuno!V181</f>
        <v>226</v>
      </c>
      <c r="W181" s="116">
        <f>Oportuno!W181</f>
        <v>10280100</v>
      </c>
      <c r="X181" s="70">
        <f>Oportuno!X181</f>
        <v>0</v>
      </c>
      <c r="Y181" s="70">
        <f>Oportuno!Y181</f>
        <v>0</v>
      </c>
      <c r="AA181" s="65"/>
    </row>
    <row r="182" spans="2:27 16101:16120" ht="13" customHeight="1">
      <c r="B182" s="119">
        <f>Oportuno!B182</f>
        <v>0</v>
      </c>
      <c r="C182" s="23">
        <f>Oportuno!C182</f>
        <v>2026091</v>
      </c>
      <c r="D182" s="23">
        <f>Oportuno!D182</f>
        <v>7</v>
      </c>
      <c r="E182" s="128">
        <f>Oportuno!E182</f>
        <v>0</v>
      </c>
      <c r="F182" s="126" t="e">
        <f>Oportuno!F182</f>
        <v>#N/A</v>
      </c>
      <c r="G182" s="36">
        <f>Oportuno!G182</f>
        <v>1</v>
      </c>
      <c r="H182" s="126" t="str">
        <f>Oportuno!H182</f>
        <v>Oficinas</v>
      </c>
      <c r="I182" s="130">
        <f>Oportuno!I182</f>
        <v>0</v>
      </c>
      <c r="J182" s="174">
        <f>Oportuno!J182</f>
        <v>0</v>
      </c>
      <c r="K182" s="174">
        <f>Oportuno!K182</f>
        <v>0</v>
      </c>
      <c r="L182" s="174">
        <f>Oportuno!L182</f>
        <v>0</v>
      </c>
      <c r="M182" s="174">
        <f>Oportuno!M182</f>
        <v>0</v>
      </c>
      <c r="N182" s="174">
        <f>Oportuno!N182</f>
        <v>0</v>
      </c>
      <c r="O182" s="174">
        <f>Oportuno!O182</f>
        <v>0</v>
      </c>
      <c r="P182" s="174">
        <f>Oportuno!P182</f>
        <v>0</v>
      </c>
      <c r="Q182" s="174">
        <f>Oportuno!Q182</f>
        <v>0</v>
      </c>
      <c r="R182" s="174">
        <f>Oportuno!R182</f>
        <v>0</v>
      </c>
      <c r="S182" s="215">
        <f>Oportuno!S182</f>
        <v>0</v>
      </c>
      <c r="T182" s="71">
        <f>Oportuno!T182</f>
        <v>0</v>
      </c>
      <c r="U182" s="71">
        <f>Oportuno!U182</f>
        <v>0</v>
      </c>
      <c r="V182" s="117">
        <f>Oportuno!V182</f>
        <v>0</v>
      </c>
      <c r="W182" s="117">
        <f>Oportuno!W182</f>
        <v>0</v>
      </c>
      <c r="X182" s="71">
        <f>Oportuno!X182</f>
        <v>0</v>
      </c>
      <c r="Y182" s="71">
        <f>Oportuno!Y182</f>
        <v>0</v>
      </c>
      <c r="AA182" s="65"/>
    </row>
    <row r="183" spans="2:27 16101:16120" ht="13" customHeight="1">
      <c r="B183" s="119">
        <f>Oportuno!B183</f>
        <v>0</v>
      </c>
      <c r="C183" s="23">
        <f>Oportuno!C183</f>
        <v>2026091</v>
      </c>
      <c r="D183" s="23">
        <f>Oportuno!D183</f>
        <v>7</v>
      </c>
      <c r="E183" s="128">
        <f>Oportuno!E183</f>
        <v>0</v>
      </c>
      <c r="F183" s="126" t="e">
        <f>Oportuno!F183</f>
        <v>#N/A</v>
      </c>
      <c r="G183" s="36">
        <f>Oportuno!G183</f>
        <v>1</v>
      </c>
      <c r="H183" s="126" t="str">
        <f>Oportuno!H183</f>
        <v>Oficinas</v>
      </c>
      <c r="I183" s="130">
        <f>Oportuno!I183</f>
        <v>0</v>
      </c>
      <c r="J183" s="174">
        <f>Oportuno!J183</f>
        <v>0</v>
      </c>
      <c r="K183" s="174">
        <f>Oportuno!K183</f>
        <v>0</v>
      </c>
      <c r="L183" s="174">
        <f>Oportuno!L183</f>
        <v>0</v>
      </c>
      <c r="M183" s="174">
        <f>Oportuno!M183</f>
        <v>0</v>
      </c>
      <c r="N183" s="174">
        <f>Oportuno!N183</f>
        <v>0</v>
      </c>
      <c r="O183" s="174">
        <f>Oportuno!O183</f>
        <v>0</v>
      </c>
      <c r="P183" s="174">
        <f>Oportuno!P183</f>
        <v>0</v>
      </c>
      <c r="Q183" s="174">
        <f>Oportuno!Q183</f>
        <v>0</v>
      </c>
      <c r="R183" s="174">
        <f>Oportuno!R183</f>
        <v>0</v>
      </c>
      <c r="S183" s="215">
        <f>Oportuno!S183</f>
        <v>0</v>
      </c>
      <c r="T183" s="71">
        <f>Oportuno!T183</f>
        <v>0</v>
      </c>
      <c r="U183" s="71">
        <f>Oportuno!U183</f>
        <v>0</v>
      </c>
      <c r="V183" s="117">
        <f>Oportuno!V183</f>
        <v>0</v>
      </c>
      <c r="W183" s="117">
        <f>Oportuno!W183</f>
        <v>0</v>
      </c>
      <c r="X183" s="71">
        <f>Oportuno!X183</f>
        <v>0</v>
      </c>
      <c r="Y183" s="71">
        <f>Oportuno!Y183</f>
        <v>0</v>
      </c>
      <c r="AA183" s="65"/>
    </row>
    <row r="184" spans="2:27 16101:16120" ht="13" customHeight="1">
      <c r="B184" s="119">
        <f>Oportuno!B184</f>
        <v>0</v>
      </c>
      <c r="C184" s="23">
        <f>Oportuno!C184</f>
        <v>2026091</v>
      </c>
      <c r="D184" s="23">
        <f>Oportuno!D184</f>
        <v>7</v>
      </c>
      <c r="E184" s="128">
        <f>Oportuno!E184</f>
        <v>0</v>
      </c>
      <c r="F184" s="126" t="e">
        <f>Oportuno!F184</f>
        <v>#N/A</v>
      </c>
      <c r="G184" s="36">
        <f>Oportuno!G184</f>
        <v>1</v>
      </c>
      <c r="H184" s="126" t="str">
        <f>Oportuno!H184</f>
        <v>Oficinas</v>
      </c>
      <c r="I184" s="130">
        <f>Oportuno!I184</f>
        <v>0</v>
      </c>
      <c r="J184" s="174">
        <f>Oportuno!J184</f>
        <v>0</v>
      </c>
      <c r="K184" s="174">
        <f>Oportuno!K184</f>
        <v>0</v>
      </c>
      <c r="L184" s="174">
        <f>Oportuno!L184</f>
        <v>0</v>
      </c>
      <c r="M184" s="174">
        <f>Oportuno!M184</f>
        <v>0</v>
      </c>
      <c r="N184" s="174">
        <f>Oportuno!N184</f>
        <v>0</v>
      </c>
      <c r="O184" s="174">
        <f>Oportuno!O184</f>
        <v>0</v>
      </c>
      <c r="P184" s="174">
        <f>Oportuno!P184</f>
        <v>0</v>
      </c>
      <c r="Q184" s="174">
        <f>Oportuno!Q184</f>
        <v>0</v>
      </c>
      <c r="R184" s="174">
        <f>Oportuno!R184</f>
        <v>0</v>
      </c>
      <c r="S184" s="215">
        <f>Oportuno!S184</f>
        <v>0</v>
      </c>
      <c r="T184" s="71">
        <f>Oportuno!T184</f>
        <v>0</v>
      </c>
      <c r="U184" s="71">
        <f>Oportuno!U184</f>
        <v>0</v>
      </c>
      <c r="V184" s="117">
        <f>Oportuno!V184</f>
        <v>0</v>
      </c>
      <c r="W184" s="117">
        <f>Oportuno!W184</f>
        <v>0</v>
      </c>
      <c r="X184" s="71">
        <f>Oportuno!X184</f>
        <v>0</v>
      </c>
      <c r="Y184" s="71">
        <f>Oportuno!Y184</f>
        <v>0</v>
      </c>
      <c r="AA184" s="65"/>
    </row>
    <row r="185" spans="2:27 16101:16120" ht="13" customHeight="1">
      <c r="B185" s="119">
        <f>Oportuno!B185</f>
        <v>0</v>
      </c>
      <c r="C185" s="23">
        <f>Oportuno!C185</f>
        <v>2026091</v>
      </c>
      <c r="D185" s="23">
        <f>Oportuno!D185</f>
        <v>7</v>
      </c>
      <c r="E185" s="128">
        <f>Oportuno!E185</f>
        <v>0</v>
      </c>
      <c r="F185" s="126" t="e">
        <f>Oportuno!F185</f>
        <v>#N/A</v>
      </c>
      <c r="G185" s="36">
        <f>Oportuno!G185</f>
        <v>1</v>
      </c>
      <c r="H185" s="126" t="str">
        <f>Oportuno!H185</f>
        <v>Oficinas</v>
      </c>
      <c r="I185" s="130">
        <f>Oportuno!I185</f>
        <v>0</v>
      </c>
      <c r="J185" s="174">
        <f>Oportuno!J185</f>
        <v>0</v>
      </c>
      <c r="K185" s="174">
        <f>Oportuno!K185</f>
        <v>0</v>
      </c>
      <c r="L185" s="174">
        <f>Oportuno!L185</f>
        <v>0</v>
      </c>
      <c r="M185" s="174">
        <f>Oportuno!M185</f>
        <v>0</v>
      </c>
      <c r="N185" s="174">
        <f>Oportuno!N185</f>
        <v>0</v>
      </c>
      <c r="O185" s="174">
        <f>Oportuno!O185</f>
        <v>0</v>
      </c>
      <c r="P185" s="174">
        <f>Oportuno!P185</f>
        <v>0</v>
      </c>
      <c r="Q185" s="174">
        <f>Oportuno!Q185</f>
        <v>0</v>
      </c>
      <c r="R185" s="174">
        <f>Oportuno!R185</f>
        <v>0</v>
      </c>
      <c r="S185" s="215">
        <f>Oportuno!S185</f>
        <v>0</v>
      </c>
      <c r="T185" s="71">
        <f>Oportuno!T185</f>
        <v>0</v>
      </c>
      <c r="U185" s="71">
        <f>Oportuno!U185</f>
        <v>0</v>
      </c>
      <c r="V185" s="117">
        <f>Oportuno!V185</f>
        <v>0</v>
      </c>
      <c r="W185" s="117">
        <f>Oportuno!W185</f>
        <v>0</v>
      </c>
      <c r="X185" s="71">
        <f>Oportuno!X185</f>
        <v>0</v>
      </c>
      <c r="Y185" s="71">
        <f>Oportuno!Y185</f>
        <v>0</v>
      </c>
      <c r="AA185" s="65"/>
    </row>
    <row r="186" spans="2:27 16101:16120" ht="13" customHeight="1">
      <c r="B186" s="119">
        <f>Oportuno!B186</f>
        <v>0</v>
      </c>
      <c r="C186" s="23">
        <f>Oportuno!C186</f>
        <v>2026091</v>
      </c>
      <c r="D186" s="23">
        <f>Oportuno!D186</f>
        <v>7</v>
      </c>
      <c r="E186" s="128">
        <f>Oportuno!E186</f>
        <v>0</v>
      </c>
      <c r="F186" s="126" t="e">
        <f>Oportuno!F186</f>
        <v>#N/A</v>
      </c>
      <c r="G186" s="36">
        <f>Oportuno!G186</f>
        <v>1</v>
      </c>
      <c r="H186" s="126" t="str">
        <f>Oportuno!H186</f>
        <v>Oficinas</v>
      </c>
      <c r="I186" s="130">
        <f>Oportuno!I186</f>
        <v>0</v>
      </c>
      <c r="J186" s="174">
        <f>Oportuno!J186</f>
        <v>0</v>
      </c>
      <c r="K186" s="174">
        <f>Oportuno!K186</f>
        <v>0</v>
      </c>
      <c r="L186" s="174">
        <f>Oportuno!L186</f>
        <v>0</v>
      </c>
      <c r="M186" s="174">
        <f>Oportuno!M186</f>
        <v>0</v>
      </c>
      <c r="N186" s="174">
        <f>Oportuno!N186</f>
        <v>0</v>
      </c>
      <c r="O186" s="174">
        <f>Oportuno!O186</f>
        <v>0</v>
      </c>
      <c r="P186" s="174">
        <f>Oportuno!P186</f>
        <v>0</v>
      </c>
      <c r="Q186" s="174">
        <f>Oportuno!Q186</f>
        <v>0</v>
      </c>
      <c r="R186" s="174">
        <f>Oportuno!R186</f>
        <v>0</v>
      </c>
      <c r="S186" s="215">
        <f>Oportuno!S186</f>
        <v>0</v>
      </c>
      <c r="T186" s="71">
        <f>Oportuno!T186</f>
        <v>0</v>
      </c>
      <c r="U186" s="71">
        <f>Oportuno!U186</f>
        <v>0</v>
      </c>
      <c r="V186" s="117">
        <f>Oportuno!V186</f>
        <v>0</v>
      </c>
      <c r="W186" s="117">
        <f>Oportuno!W186</f>
        <v>0</v>
      </c>
      <c r="X186" s="71">
        <f>Oportuno!X186</f>
        <v>0</v>
      </c>
      <c r="Y186" s="71">
        <f>Oportuno!Y186</f>
        <v>0</v>
      </c>
      <c r="AA186" s="65"/>
    </row>
    <row r="187" spans="2:27 16101:16120" ht="13" customHeight="1">
      <c r="B187" s="119">
        <f>Oportuno!B187</f>
        <v>0</v>
      </c>
      <c r="C187" s="23">
        <f>Oportuno!C187</f>
        <v>2026091</v>
      </c>
      <c r="D187" s="23">
        <f>Oportuno!D187</f>
        <v>7</v>
      </c>
      <c r="E187" s="128">
        <f>Oportuno!E187</f>
        <v>0</v>
      </c>
      <c r="F187" s="126" t="e">
        <f>Oportuno!F187</f>
        <v>#N/A</v>
      </c>
      <c r="G187" s="36">
        <f>Oportuno!G187</f>
        <v>1</v>
      </c>
      <c r="H187" s="126" t="str">
        <f>Oportuno!H187</f>
        <v>Oficinas</v>
      </c>
      <c r="I187" s="130">
        <f>Oportuno!I187</f>
        <v>0</v>
      </c>
      <c r="J187" s="174">
        <f>Oportuno!J187</f>
        <v>0</v>
      </c>
      <c r="K187" s="174">
        <f>Oportuno!K187</f>
        <v>0</v>
      </c>
      <c r="L187" s="174">
        <f>Oportuno!L187</f>
        <v>0</v>
      </c>
      <c r="M187" s="174">
        <f>Oportuno!M187</f>
        <v>0</v>
      </c>
      <c r="N187" s="174">
        <f>Oportuno!N187</f>
        <v>0</v>
      </c>
      <c r="O187" s="174">
        <f>Oportuno!O187</f>
        <v>0</v>
      </c>
      <c r="P187" s="174">
        <f>Oportuno!P187</f>
        <v>0</v>
      </c>
      <c r="Q187" s="174">
        <f>Oportuno!Q187</f>
        <v>0</v>
      </c>
      <c r="R187" s="174">
        <f>Oportuno!R187</f>
        <v>0</v>
      </c>
      <c r="S187" s="215">
        <f>Oportuno!S187</f>
        <v>0</v>
      </c>
      <c r="T187" s="71">
        <f>Oportuno!T187</f>
        <v>0</v>
      </c>
      <c r="U187" s="71">
        <f>Oportuno!U187</f>
        <v>0</v>
      </c>
      <c r="V187" s="117">
        <f>Oportuno!V187</f>
        <v>0</v>
      </c>
      <c r="W187" s="117">
        <f>Oportuno!W187</f>
        <v>0</v>
      </c>
      <c r="X187" s="71">
        <f>Oportuno!X187</f>
        <v>0</v>
      </c>
      <c r="Y187" s="71">
        <f>Oportuno!Y187</f>
        <v>0</v>
      </c>
      <c r="AA187" s="65"/>
    </row>
    <row r="188" spans="2:27 16101:16120" ht="13" customHeight="1">
      <c r="B188" s="119">
        <f>Oportuno!B188</f>
        <v>0</v>
      </c>
      <c r="C188" s="23">
        <f>Oportuno!C188</f>
        <v>2026091</v>
      </c>
      <c r="D188" s="23">
        <f>Oportuno!D188</f>
        <v>7</v>
      </c>
      <c r="E188" s="128">
        <f>Oportuno!E188</f>
        <v>0</v>
      </c>
      <c r="F188" s="126" t="e">
        <f>Oportuno!F188</f>
        <v>#N/A</v>
      </c>
      <c r="G188" s="36">
        <f>Oportuno!G188</f>
        <v>1</v>
      </c>
      <c r="H188" s="126" t="str">
        <f>Oportuno!H188</f>
        <v>Oficinas</v>
      </c>
      <c r="I188" s="130">
        <f>Oportuno!I188</f>
        <v>0</v>
      </c>
      <c r="J188" s="174">
        <f>Oportuno!J188</f>
        <v>0</v>
      </c>
      <c r="K188" s="174">
        <f>Oportuno!K188</f>
        <v>0</v>
      </c>
      <c r="L188" s="174">
        <f>Oportuno!L188</f>
        <v>0</v>
      </c>
      <c r="M188" s="174">
        <f>Oportuno!M188</f>
        <v>0</v>
      </c>
      <c r="N188" s="174">
        <f>Oportuno!N188</f>
        <v>0</v>
      </c>
      <c r="O188" s="174">
        <f>Oportuno!O188</f>
        <v>0</v>
      </c>
      <c r="P188" s="174">
        <f>Oportuno!P188</f>
        <v>0</v>
      </c>
      <c r="Q188" s="174">
        <f>Oportuno!Q188</f>
        <v>0</v>
      </c>
      <c r="R188" s="174">
        <f>Oportuno!R188</f>
        <v>0</v>
      </c>
      <c r="S188" s="215">
        <f>Oportuno!S188</f>
        <v>0</v>
      </c>
      <c r="T188" s="71">
        <f>Oportuno!T188</f>
        <v>0</v>
      </c>
      <c r="U188" s="71">
        <f>Oportuno!U188</f>
        <v>0</v>
      </c>
      <c r="V188" s="117">
        <f>Oportuno!V188</f>
        <v>0</v>
      </c>
      <c r="W188" s="117">
        <f>Oportuno!W188</f>
        <v>0</v>
      </c>
      <c r="X188" s="71">
        <f>Oportuno!X188</f>
        <v>0</v>
      </c>
      <c r="Y188" s="71">
        <f>Oportuno!Y188</f>
        <v>0</v>
      </c>
      <c r="AA188" s="65"/>
    </row>
    <row r="189" spans="2:27 16101:16120" ht="13" customHeight="1">
      <c r="B189" s="119">
        <f>Oportuno!B189</f>
        <v>0</v>
      </c>
      <c r="C189" s="23">
        <f>Oportuno!C189</f>
        <v>2026091</v>
      </c>
      <c r="D189" s="23">
        <f>Oportuno!D189</f>
        <v>7</v>
      </c>
      <c r="E189" s="128">
        <f>Oportuno!E189</f>
        <v>0</v>
      </c>
      <c r="F189" s="126" t="e">
        <f>Oportuno!F189</f>
        <v>#N/A</v>
      </c>
      <c r="G189" s="36">
        <f>Oportuno!G189</f>
        <v>1</v>
      </c>
      <c r="H189" s="126" t="str">
        <f>Oportuno!H189</f>
        <v>Oficinas</v>
      </c>
      <c r="I189" s="130">
        <f>Oportuno!I189</f>
        <v>0</v>
      </c>
      <c r="J189" s="174">
        <f>Oportuno!J189</f>
        <v>0</v>
      </c>
      <c r="K189" s="174">
        <f>Oportuno!K189</f>
        <v>0</v>
      </c>
      <c r="L189" s="174">
        <f>Oportuno!L189</f>
        <v>0</v>
      </c>
      <c r="M189" s="174">
        <f>Oportuno!M189</f>
        <v>0</v>
      </c>
      <c r="N189" s="174">
        <f>Oportuno!N189</f>
        <v>0</v>
      </c>
      <c r="O189" s="174">
        <f>Oportuno!O189</f>
        <v>0</v>
      </c>
      <c r="P189" s="174">
        <f>Oportuno!P189</f>
        <v>0</v>
      </c>
      <c r="Q189" s="174">
        <f>Oportuno!Q189</f>
        <v>0</v>
      </c>
      <c r="R189" s="174">
        <f>Oportuno!R189</f>
        <v>0</v>
      </c>
      <c r="S189" s="215">
        <f>Oportuno!S189</f>
        <v>0</v>
      </c>
      <c r="T189" s="71">
        <f>Oportuno!T189</f>
        <v>0</v>
      </c>
      <c r="U189" s="71">
        <f>Oportuno!U189</f>
        <v>0</v>
      </c>
      <c r="V189" s="117">
        <f>Oportuno!V189</f>
        <v>0</v>
      </c>
      <c r="W189" s="117">
        <f>Oportuno!W189</f>
        <v>0</v>
      </c>
      <c r="X189" s="71">
        <f>Oportuno!X189</f>
        <v>0</v>
      </c>
      <c r="Y189" s="71">
        <f>Oportuno!Y189</f>
        <v>0</v>
      </c>
      <c r="AA189" s="65"/>
    </row>
    <row r="190" spans="2:27 16101:16120" ht="13" customHeight="1">
      <c r="B190" s="119">
        <f>Oportuno!B190</f>
        <v>0</v>
      </c>
      <c r="C190" s="23">
        <f>Oportuno!C190</f>
        <v>2026091</v>
      </c>
      <c r="D190" s="23">
        <f>Oportuno!D190</f>
        <v>7</v>
      </c>
      <c r="E190" s="128">
        <f>Oportuno!E190</f>
        <v>0</v>
      </c>
      <c r="F190" s="126" t="e">
        <f>Oportuno!F190</f>
        <v>#N/A</v>
      </c>
      <c r="G190" s="36">
        <f>Oportuno!G190</f>
        <v>1</v>
      </c>
      <c r="H190" s="126" t="str">
        <f>Oportuno!H190</f>
        <v>Oficinas</v>
      </c>
      <c r="I190" s="130">
        <f>Oportuno!I190</f>
        <v>0</v>
      </c>
      <c r="J190" s="174">
        <f>Oportuno!J190</f>
        <v>0</v>
      </c>
      <c r="K190" s="174">
        <f>Oportuno!K190</f>
        <v>0</v>
      </c>
      <c r="L190" s="174">
        <f>Oportuno!L190</f>
        <v>0</v>
      </c>
      <c r="M190" s="174">
        <f>Oportuno!M190</f>
        <v>0</v>
      </c>
      <c r="N190" s="174">
        <f>Oportuno!N190</f>
        <v>0</v>
      </c>
      <c r="O190" s="174">
        <f>Oportuno!O190</f>
        <v>0</v>
      </c>
      <c r="P190" s="174">
        <f>Oportuno!P190</f>
        <v>0</v>
      </c>
      <c r="Q190" s="174">
        <f>Oportuno!Q190</f>
        <v>0</v>
      </c>
      <c r="R190" s="174">
        <f>Oportuno!R190</f>
        <v>0</v>
      </c>
      <c r="S190" s="215">
        <f>Oportuno!S190</f>
        <v>0</v>
      </c>
      <c r="T190" s="71">
        <f>Oportuno!T190</f>
        <v>0</v>
      </c>
      <c r="U190" s="71">
        <f>Oportuno!U190</f>
        <v>0</v>
      </c>
      <c r="V190" s="117">
        <f>Oportuno!V190</f>
        <v>0</v>
      </c>
      <c r="W190" s="117">
        <f>Oportuno!W190</f>
        <v>0</v>
      </c>
      <c r="X190" s="71">
        <f>Oportuno!X190</f>
        <v>0</v>
      </c>
      <c r="Y190" s="71">
        <f>Oportuno!Y190</f>
        <v>0</v>
      </c>
      <c r="AA190" s="65"/>
    </row>
    <row r="191" spans="2:27 16101:16120" ht="13" customHeight="1">
      <c r="B191" s="119">
        <f>Oportuno!B191</f>
        <v>0</v>
      </c>
      <c r="C191" s="23">
        <f>Oportuno!C191</f>
        <v>2026091</v>
      </c>
      <c r="D191" s="23">
        <f>Oportuno!D191</f>
        <v>7</v>
      </c>
      <c r="E191" s="128">
        <f>Oportuno!E191</f>
        <v>0</v>
      </c>
      <c r="F191" s="126" t="e">
        <f>Oportuno!F191</f>
        <v>#N/A</v>
      </c>
      <c r="G191" s="36">
        <f>Oportuno!G191</f>
        <v>1</v>
      </c>
      <c r="H191" s="126" t="str">
        <f>Oportuno!H191</f>
        <v>Oficinas</v>
      </c>
      <c r="I191" s="130">
        <f>Oportuno!I191</f>
        <v>0</v>
      </c>
      <c r="J191" s="174">
        <f>Oportuno!J191</f>
        <v>0</v>
      </c>
      <c r="K191" s="174">
        <f>Oportuno!K191</f>
        <v>0</v>
      </c>
      <c r="L191" s="174">
        <f>Oportuno!L191</f>
        <v>0</v>
      </c>
      <c r="M191" s="174">
        <f>Oportuno!M191</f>
        <v>0</v>
      </c>
      <c r="N191" s="174">
        <f>Oportuno!N191</f>
        <v>0</v>
      </c>
      <c r="O191" s="174">
        <f>Oportuno!O191</f>
        <v>0</v>
      </c>
      <c r="P191" s="174">
        <f>Oportuno!P191</f>
        <v>0</v>
      </c>
      <c r="Q191" s="174">
        <f>Oportuno!Q191</f>
        <v>0</v>
      </c>
      <c r="R191" s="174">
        <f>Oportuno!R191</f>
        <v>0</v>
      </c>
      <c r="S191" s="215">
        <f>Oportuno!S191</f>
        <v>0</v>
      </c>
      <c r="T191" s="71">
        <f>Oportuno!T191</f>
        <v>0</v>
      </c>
      <c r="U191" s="71">
        <f>Oportuno!U191</f>
        <v>0</v>
      </c>
      <c r="V191" s="117">
        <f>Oportuno!V191</f>
        <v>0</v>
      </c>
      <c r="W191" s="117">
        <f>Oportuno!W191</f>
        <v>0</v>
      </c>
      <c r="X191" s="71">
        <f>Oportuno!X191</f>
        <v>0</v>
      </c>
      <c r="Y191" s="71">
        <f>Oportuno!Y191</f>
        <v>0</v>
      </c>
      <c r="AA191" s="65"/>
    </row>
    <row r="192" spans="2:27 16101:16120" ht="13" customHeight="1">
      <c r="B192" s="119">
        <f>Oportuno!B192</f>
        <v>0</v>
      </c>
      <c r="C192" s="23">
        <f>Oportuno!C192</f>
        <v>2026091</v>
      </c>
      <c r="D192" s="23">
        <f>Oportuno!D192</f>
        <v>7</v>
      </c>
      <c r="E192" s="128">
        <f>Oportuno!E192</f>
        <v>0</v>
      </c>
      <c r="F192" s="126" t="e">
        <f>Oportuno!F192</f>
        <v>#N/A</v>
      </c>
      <c r="G192" s="36">
        <f>Oportuno!G192</f>
        <v>1</v>
      </c>
      <c r="H192" s="126" t="str">
        <f>Oportuno!H192</f>
        <v>Oficinas</v>
      </c>
      <c r="I192" s="130">
        <f>Oportuno!I192</f>
        <v>0</v>
      </c>
      <c r="J192" s="174">
        <f>Oportuno!J192</f>
        <v>0</v>
      </c>
      <c r="K192" s="174">
        <f>Oportuno!K192</f>
        <v>0</v>
      </c>
      <c r="L192" s="174">
        <f>Oportuno!L192</f>
        <v>0</v>
      </c>
      <c r="M192" s="174">
        <f>Oportuno!M192</f>
        <v>0</v>
      </c>
      <c r="N192" s="174">
        <f>Oportuno!N192</f>
        <v>0</v>
      </c>
      <c r="O192" s="174">
        <f>Oportuno!O192</f>
        <v>0</v>
      </c>
      <c r="P192" s="174">
        <f>Oportuno!P192</f>
        <v>0</v>
      </c>
      <c r="Q192" s="174">
        <f>Oportuno!Q192</f>
        <v>0</v>
      </c>
      <c r="R192" s="174">
        <f>Oportuno!R192</f>
        <v>0</v>
      </c>
      <c r="S192" s="215">
        <f>Oportuno!S192</f>
        <v>0</v>
      </c>
      <c r="T192" s="71">
        <f>Oportuno!T192</f>
        <v>0</v>
      </c>
      <c r="U192" s="71">
        <f>Oportuno!U192</f>
        <v>0</v>
      </c>
      <c r="V192" s="117">
        <f>Oportuno!V192</f>
        <v>0</v>
      </c>
      <c r="W192" s="117">
        <f>Oportuno!W192</f>
        <v>0</v>
      </c>
      <c r="X192" s="71">
        <f>Oportuno!X192</f>
        <v>0</v>
      </c>
      <c r="Y192" s="71">
        <f>Oportuno!Y192</f>
        <v>0</v>
      </c>
      <c r="AA192" s="65"/>
    </row>
    <row r="193" spans="2:27 16101:16120" ht="13" customHeight="1">
      <c r="B193" s="119">
        <f>Oportuno!B193</f>
        <v>0</v>
      </c>
      <c r="C193" s="23">
        <f>Oportuno!C193</f>
        <v>2026091</v>
      </c>
      <c r="D193" s="23">
        <f>Oportuno!D193</f>
        <v>7</v>
      </c>
      <c r="E193" s="128">
        <f>Oportuno!E193</f>
        <v>0</v>
      </c>
      <c r="F193" s="126" t="e">
        <f>Oportuno!F193</f>
        <v>#N/A</v>
      </c>
      <c r="G193" s="36">
        <f>Oportuno!G193</f>
        <v>1</v>
      </c>
      <c r="H193" s="126" t="str">
        <f>Oportuno!H193</f>
        <v>Oficinas</v>
      </c>
      <c r="I193" s="130">
        <f>Oportuno!I193</f>
        <v>0</v>
      </c>
      <c r="J193" s="174">
        <f>Oportuno!J193</f>
        <v>0</v>
      </c>
      <c r="K193" s="174">
        <f>Oportuno!K193</f>
        <v>0</v>
      </c>
      <c r="L193" s="174">
        <f>Oportuno!L193</f>
        <v>0</v>
      </c>
      <c r="M193" s="174">
        <f>Oportuno!M193</f>
        <v>0</v>
      </c>
      <c r="N193" s="174">
        <f>Oportuno!N193</f>
        <v>0</v>
      </c>
      <c r="O193" s="174">
        <f>Oportuno!O193</f>
        <v>0</v>
      </c>
      <c r="P193" s="174">
        <f>Oportuno!P193</f>
        <v>0</v>
      </c>
      <c r="Q193" s="174">
        <f>Oportuno!Q193</f>
        <v>0</v>
      </c>
      <c r="R193" s="174">
        <f>Oportuno!R193</f>
        <v>0</v>
      </c>
      <c r="S193" s="215">
        <f>Oportuno!S193</f>
        <v>0</v>
      </c>
      <c r="T193" s="71">
        <f>Oportuno!T193</f>
        <v>0</v>
      </c>
      <c r="U193" s="71">
        <f>Oportuno!U193</f>
        <v>0</v>
      </c>
      <c r="V193" s="117">
        <f>Oportuno!V193</f>
        <v>0</v>
      </c>
      <c r="W193" s="117">
        <f>Oportuno!W193</f>
        <v>0</v>
      </c>
      <c r="X193" s="71">
        <f>Oportuno!X193</f>
        <v>0</v>
      </c>
      <c r="Y193" s="71">
        <f>Oportuno!Y193</f>
        <v>0</v>
      </c>
      <c r="AA193" s="65"/>
    </row>
    <row r="194" spans="2:27 16101:16120" ht="13" customHeight="1">
      <c r="B194" s="119">
        <f>Oportuno!B194</f>
        <v>0</v>
      </c>
      <c r="C194" s="23">
        <f>Oportuno!C194</f>
        <v>2026091</v>
      </c>
      <c r="D194" s="23">
        <f>Oportuno!D194</f>
        <v>7</v>
      </c>
      <c r="E194" s="128">
        <f>Oportuno!E194</f>
        <v>0</v>
      </c>
      <c r="F194" s="126" t="e">
        <f>Oportuno!F194</f>
        <v>#N/A</v>
      </c>
      <c r="G194" s="36">
        <f>Oportuno!G194</f>
        <v>1</v>
      </c>
      <c r="H194" s="126" t="str">
        <f>Oportuno!H194</f>
        <v>Oficinas</v>
      </c>
      <c r="I194" s="130">
        <f>Oportuno!I194</f>
        <v>0</v>
      </c>
      <c r="J194" s="174">
        <f>Oportuno!J194</f>
        <v>0</v>
      </c>
      <c r="K194" s="174">
        <f>Oportuno!K194</f>
        <v>0</v>
      </c>
      <c r="L194" s="174">
        <f>Oportuno!L194</f>
        <v>0</v>
      </c>
      <c r="M194" s="174">
        <f>Oportuno!M194</f>
        <v>0</v>
      </c>
      <c r="N194" s="174">
        <f>Oportuno!N194</f>
        <v>0</v>
      </c>
      <c r="O194" s="174">
        <f>Oportuno!O194</f>
        <v>0</v>
      </c>
      <c r="P194" s="174">
        <f>Oportuno!P194</f>
        <v>0</v>
      </c>
      <c r="Q194" s="174">
        <f>Oportuno!Q194</f>
        <v>0</v>
      </c>
      <c r="R194" s="174">
        <f>Oportuno!R194</f>
        <v>0</v>
      </c>
      <c r="S194" s="215">
        <f>Oportuno!S194</f>
        <v>0</v>
      </c>
      <c r="T194" s="71">
        <f>Oportuno!T194</f>
        <v>0</v>
      </c>
      <c r="U194" s="71">
        <f>Oportuno!U194</f>
        <v>0</v>
      </c>
      <c r="V194" s="117">
        <f>Oportuno!V194</f>
        <v>0</v>
      </c>
      <c r="W194" s="117">
        <f>Oportuno!W194</f>
        <v>0</v>
      </c>
      <c r="X194" s="71">
        <f>Oportuno!X194</f>
        <v>0</v>
      </c>
      <c r="Y194" s="71">
        <f>Oportuno!Y194</f>
        <v>0</v>
      </c>
      <c r="AA194" s="65"/>
    </row>
    <row r="195" spans="2:27 16101:16120" ht="13" customHeight="1">
      <c r="B195" s="119">
        <f>Oportuno!B195</f>
        <v>0</v>
      </c>
      <c r="C195" s="23">
        <f>Oportuno!C195</f>
        <v>2026091</v>
      </c>
      <c r="D195" s="23">
        <f>Oportuno!D195</f>
        <v>7</v>
      </c>
      <c r="E195" s="128">
        <f>Oportuno!E195</f>
        <v>0</v>
      </c>
      <c r="F195" s="126" t="e">
        <f>Oportuno!F195</f>
        <v>#N/A</v>
      </c>
      <c r="G195" s="36">
        <f>Oportuno!G195</f>
        <v>1</v>
      </c>
      <c r="H195" s="126" t="str">
        <f>Oportuno!H195</f>
        <v>Oficinas</v>
      </c>
      <c r="I195" s="130">
        <f>Oportuno!I195</f>
        <v>0</v>
      </c>
      <c r="J195" s="174">
        <f>Oportuno!J195</f>
        <v>0</v>
      </c>
      <c r="K195" s="174">
        <f>Oportuno!K195</f>
        <v>0</v>
      </c>
      <c r="L195" s="174">
        <f>Oportuno!L195</f>
        <v>0</v>
      </c>
      <c r="M195" s="174">
        <f>Oportuno!M195</f>
        <v>0</v>
      </c>
      <c r="N195" s="174">
        <f>Oportuno!N195</f>
        <v>0</v>
      </c>
      <c r="O195" s="174">
        <f>Oportuno!O195</f>
        <v>0</v>
      </c>
      <c r="P195" s="174">
        <f>Oportuno!P195</f>
        <v>0</v>
      </c>
      <c r="Q195" s="174">
        <f>Oportuno!Q195</f>
        <v>0</v>
      </c>
      <c r="R195" s="174">
        <f>Oportuno!R195</f>
        <v>0</v>
      </c>
      <c r="S195" s="215">
        <f>Oportuno!S195</f>
        <v>0</v>
      </c>
      <c r="T195" s="71">
        <f>Oportuno!T195</f>
        <v>0</v>
      </c>
      <c r="U195" s="71">
        <f>Oportuno!U195</f>
        <v>0</v>
      </c>
      <c r="V195" s="117">
        <f>Oportuno!V195</f>
        <v>0</v>
      </c>
      <c r="W195" s="117">
        <f>Oportuno!W195</f>
        <v>0</v>
      </c>
      <c r="X195" s="71">
        <f>Oportuno!X195</f>
        <v>0</v>
      </c>
      <c r="Y195" s="71">
        <f>Oportuno!Y195</f>
        <v>0</v>
      </c>
      <c r="AA195" s="65"/>
    </row>
    <row r="196" spans="2:27 16101:16120" ht="12" customHeight="1">
      <c r="B196" s="119">
        <f>Oportuno!B196</f>
        <v>0</v>
      </c>
      <c r="C196" s="23">
        <f>Oportuno!C196</f>
        <v>2026091</v>
      </c>
      <c r="D196" s="23">
        <f>Oportuno!D196</f>
        <v>7</v>
      </c>
      <c r="E196" s="128">
        <f>Oportuno!E196</f>
        <v>0</v>
      </c>
      <c r="F196" s="126" t="e">
        <f>Oportuno!F196</f>
        <v>#N/A</v>
      </c>
      <c r="G196" s="36">
        <f>Oportuno!G196</f>
        <v>1</v>
      </c>
      <c r="H196" s="126" t="str">
        <f>Oportuno!H196</f>
        <v>Oficinas</v>
      </c>
      <c r="I196" s="130">
        <f>Oportuno!I196</f>
        <v>0</v>
      </c>
      <c r="J196" s="174">
        <f>Oportuno!J196</f>
        <v>0</v>
      </c>
      <c r="K196" s="174">
        <f>Oportuno!K196</f>
        <v>0</v>
      </c>
      <c r="L196" s="174">
        <f>Oportuno!L196</f>
        <v>0</v>
      </c>
      <c r="M196" s="174">
        <f>Oportuno!M196</f>
        <v>0</v>
      </c>
      <c r="N196" s="174">
        <f>Oportuno!N196</f>
        <v>0</v>
      </c>
      <c r="O196" s="174">
        <f>Oportuno!O196</f>
        <v>0</v>
      </c>
      <c r="P196" s="174">
        <f>Oportuno!P196</f>
        <v>0</v>
      </c>
      <c r="Q196" s="174">
        <f>Oportuno!Q196</f>
        <v>0</v>
      </c>
      <c r="R196" s="174">
        <f>Oportuno!R196</f>
        <v>0</v>
      </c>
      <c r="S196" s="215">
        <f>Oportuno!S196</f>
        <v>0</v>
      </c>
      <c r="T196" s="71">
        <f>Oportuno!T196</f>
        <v>0</v>
      </c>
      <c r="U196" s="71">
        <f>Oportuno!U196</f>
        <v>0</v>
      </c>
      <c r="V196" s="117">
        <f>Oportuno!V196</f>
        <v>0</v>
      </c>
      <c r="W196" s="117">
        <f>Oportuno!W196</f>
        <v>0</v>
      </c>
      <c r="X196" s="71">
        <f>Oportuno!X196</f>
        <v>0</v>
      </c>
      <c r="Y196" s="71">
        <f>Oportuno!Y196</f>
        <v>0</v>
      </c>
      <c r="AA196" s="65"/>
    </row>
    <row r="197" spans="2:27 16101:16120" ht="13" customHeight="1">
      <c r="B197" s="119">
        <f>Oportuno!B197</f>
        <v>0</v>
      </c>
      <c r="C197" s="23">
        <f>Oportuno!C197</f>
        <v>2026091</v>
      </c>
      <c r="D197" s="23">
        <f>Oportuno!D197</f>
        <v>7</v>
      </c>
      <c r="E197" s="128">
        <f>Oportuno!E197</f>
        <v>0</v>
      </c>
      <c r="F197" s="126" t="e">
        <f>Oportuno!F197</f>
        <v>#N/A</v>
      </c>
      <c r="G197" s="36">
        <f>Oportuno!G197</f>
        <v>1</v>
      </c>
      <c r="H197" s="126" t="str">
        <f>Oportuno!H197</f>
        <v>Oficinas</v>
      </c>
      <c r="I197" s="130">
        <f>Oportuno!I197</f>
        <v>0</v>
      </c>
      <c r="J197" s="174">
        <f>Oportuno!J197</f>
        <v>0</v>
      </c>
      <c r="K197" s="174">
        <f>Oportuno!K197</f>
        <v>0</v>
      </c>
      <c r="L197" s="174">
        <f>Oportuno!L197</f>
        <v>0</v>
      </c>
      <c r="M197" s="174">
        <f>Oportuno!M197</f>
        <v>0</v>
      </c>
      <c r="N197" s="174">
        <f>Oportuno!N197</f>
        <v>0</v>
      </c>
      <c r="O197" s="174">
        <f>Oportuno!O197</f>
        <v>0</v>
      </c>
      <c r="P197" s="174">
        <f>Oportuno!P197</f>
        <v>0</v>
      </c>
      <c r="Q197" s="174">
        <f>Oportuno!Q197</f>
        <v>0</v>
      </c>
      <c r="R197" s="174">
        <f>Oportuno!R197</f>
        <v>0</v>
      </c>
      <c r="S197" s="215">
        <f>Oportuno!S197</f>
        <v>0</v>
      </c>
      <c r="T197" s="71">
        <f>Oportuno!T197</f>
        <v>0</v>
      </c>
      <c r="U197" s="71">
        <f>Oportuno!U197</f>
        <v>0</v>
      </c>
      <c r="V197" s="117">
        <f>Oportuno!V197</f>
        <v>0</v>
      </c>
      <c r="W197" s="117">
        <f>Oportuno!W197</f>
        <v>0</v>
      </c>
      <c r="X197" s="71">
        <f>Oportuno!X197</f>
        <v>0</v>
      </c>
      <c r="Y197" s="71">
        <f>Oportuno!Y197</f>
        <v>0</v>
      </c>
      <c r="AA197" s="65"/>
    </row>
    <row r="198" spans="2:27 16101:16120" ht="13" customHeight="1">
      <c r="B198" s="119">
        <f>Oportuno!B198</f>
        <v>0</v>
      </c>
      <c r="C198" s="23">
        <f>Oportuno!C198</f>
        <v>2026091</v>
      </c>
      <c r="D198" s="23">
        <f>Oportuno!D198</f>
        <v>7</v>
      </c>
      <c r="E198" s="128">
        <f>Oportuno!E198</f>
        <v>0</v>
      </c>
      <c r="F198" s="126" t="e">
        <f>Oportuno!F198</f>
        <v>#N/A</v>
      </c>
      <c r="G198" s="36">
        <f>Oportuno!G198</f>
        <v>1</v>
      </c>
      <c r="H198" s="126" t="str">
        <f>Oportuno!H198</f>
        <v>Oficinas</v>
      </c>
      <c r="I198" s="130">
        <f>Oportuno!I198</f>
        <v>0</v>
      </c>
      <c r="J198" s="174">
        <f>Oportuno!J198</f>
        <v>0</v>
      </c>
      <c r="K198" s="174">
        <f>Oportuno!K198</f>
        <v>0</v>
      </c>
      <c r="L198" s="174">
        <f>Oportuno!L198</f>
        <v>0</v>
      </c>
      <c r="M198" s="174">
        <f>Oportuno!M198</f>
        <v>0</v>
      </c>
      <c r="N198" s="174">
        <f>Oportuno!N198</f>
        <v>0</v>
      </c>
      <c r="O198" s="174">
        <f>Oportuno!O198</f>
        <v>0</v>
      </c>
      <c r="P198" s="174">
        <f>Oportuno!P198</f>
        <v>0</v>
      </c>
      <c r="Q198" s="174">
        <f>Oportuno!Q198</f>
        <v>0</v>
      </c>
      <c r="R198" s="174">
        <f>Oportuno!R198</f>
        <v>0</v>
      </c>
      <c r="S198" s="215">
        <f>Oportuno!S198</f>
        <v>0</v>
      </c>
      <c r="T198" s="71">
        <f>Oportuno!T198</f>
        <v>0</v>
      </c>
      <c r="U198" s="71">
        <f>Oportuno!U198</f>
        <v>0</v>
      </c>
      <c r="V198" s="117">
        <f>Oportuno!V198</f>
        <v>0</v>
      </c>
      <c r="W198" s="117">
        <f>Oportuno!W198</f>
        <v>0</v>
      </c>
      <c r="X198" s="71">
        <f>Oportuno!X198</f>
        <v>0</v>
      </c>
      <c r="Y198" s="71">
        <f>Oportuno!Y198</f>
        <v>0</v>
      </c>
      <c r="AA198" s="65"/>
    </row>
    <row r="199" spans="2:27 16101:16120" ht="13" customHeight="1">
      <c r="B199" s="119">
        <f>Oportuno!B199</f>
        <v>0</v>
      </c>
      <c r="C199" s="23">
        <f>Oportuno!C199</f>
        <v>2026091</v>
      </c>
      <c r="D199" s="23">
        <f>Oportuno!D199</f>
        <v>7</v>
      </c>
      <c r="E199" s="128">
        <f>Oportuno!E199</f>
        <v>0</v>
      </c>
      <c r="F199" s="126" t="e">
        <f>Oportuno!F199</f>
        <v>#N/A</v>
      </c>
      <c r="G199" s="36">
        <f>Oportuno!G199</f>
        <v>1</v>
      </c>
      <c r="H199" s="126" t="str">
        <f>Oportuno!H199</f>
        <v>Oficinas</v>
      </c>
      <c r="I199" s="130">
        <f>Oportuno!I199</f>
        <v>0</v>
      </c>
      <c r="J199" s="174">
        <f>Oportuno!J199</f>
        <v>0</v>
      </c>
      <c r="K199" s="174">
        <f>Oportuno!K199</f>
        <v>0</v>
      </c>
      <c r="L199" s="174">
        <f>Oportuno!L199</f>
        <v>0</v>
      </c>
      <c r="M199" s="174">
        <f>Oportuno!M199</f>
        <v>0</v>
      </c>
      <c r="N199" s="174">
        <f>Oportuno!N199</f>
        <v>0</v>
      </c>
      <c r="O199" s="174">
        <f>Oportuno!O199</f>
        <v>0</v>
      </c>
      <c r="P199" s="174">
        <f>Oportuno!P199</f>
        <v>0</v>
      </c>
      <c r="Q199" s="174">
        <f>Oportuno!Q199</f>
        <v>0</v>
      </c>
      <c r="R199" s="174">
        <f>Oportuno!R199</f>
        <v>0</v>
      </c>
      <c r="S199" s="215">
        <f>Oportuno!S199</f>
        <v>0</v>
      </c>
      <c r="T199" s="71">
        <f>Oportuno!T199</f>
        <v>0</v>
      </c>
      <c r="U199" s="71">
        <f>Oportuno!U199</f>
        <v>0</v>
      </c>
      <c r="V199" s="117">
        <f>Oportuno!V199</f>
        <v>0</v>
      </c>
      <c r="W199" s="117">
        <f>Oportuno!W199</f>
        <v>0</v>
      </c>
      <c r="X199" s="71">
        <f>Oportuno!X199</f>
        <v>0</v>
      </c>
      <c r="Y199" s="71">
        <f>Oportuno!Y199</f>
        <v>0</v>
      </c>
      <c r="AA199" s="65"/>
    </row>
    <row r="200" spans="2:27 16101:16120" ht="13" customHeight="1">
      <c r="B200" s="119">
        <f>Oportuno!B200</f>
        <v>0</v>
      </c>
      <c r="C200" s="23">
        <f>Oportuno!C200</f>
        <v>2026091</v>
      </c>
      <c r="D200" s="23">
        <f>Oportuno!D200</f>
        <v>7</v>
      </c>
      <c r="E200" s="128">
        <f>Oportuno!E200</f>
        <v>0</v>
      </c>
      <c r="F200" s="126" t="e">
        <f>Oportuno!F200</f>
        <v>#N/A</v>
      </c>
      <c r="G200" s="36">
        <f>Oportuno!G200</f>
        <v>1</v>
      </c>
      <c r="H200" s="126" t="str">
        <f>Oportuno!H200</f>
        <v>Oficinas</v>
      </c>
      <c r="I200" s="130">
        <f>Oportuno!I200</f>
        <v>0</v>
      </c>
      <c r="J200" s="174">
        <f>Oportuno!J200</f>
        <v>0</v>
      </c>
      <c r="K200" s="174">
        <f>Oportuno!K200</f>
        <v>0</v>
      </c>
      <c r="L200" s="174">
        <f>Oportuno!L200</f>
        <v>0</v>
      </c>
      <c r="M200" s="174">
        <f>Oportuno!M200</f>
        <v>0</v>
      </c>
      <c r="N200" s="174">
        <f>Oportuno!N200</f>
        <v>0</v>
      </c>
      <c r="O200" s="174">
        <f>Oportuno!O200</f>
        <v>0</v>
      </c>
      <c r="P200" s="174">
        <f>Oportuno!P200</f>
        <v>0</v>
      </c>
      <c r="Q200" s="174">
        <f>Oportuno!Q200</f>
        <v>0</v>
      </c>
      <c r="R200" s="174">
        <f>Oportuno!R200</f>
        <v>0</v>
      </c>
      <c r="S200" s="215">
        <f>Oportuno!S200</f>
        <v>0</v>
      </c>
      <c r="T200" s="71">
        <f>Oportuno!T200</f>
        <v>0</v>
      </c>
      <c r="U200" s="71">
        <f>Oportuno!U200</f>
        <v>0</v>
      </c>
      <c r="V200" s="117">
        <f>Oportuno!V200</f>
        <v>0</v>
      </c>
      <c r="W200" s="117">
        <f>Oportuno!W200</f>
        <v>0</v>
      </c>
      <c r="X200" s="71">
        <f>Oportuno!X200</f>
        <v>0</v>
      </c>
      <c r="Y200" s="71">
        <f>Oportuno!Y200</f>
        <v>0</v>
      </c>
      <c r="AA200" s="65"/>
    </row>
    <row r="201" spans="2:27 16101:16120" ht="13" customHeight="1">
      <c r="B201" s="119">
        <f>Oportuno!B201</f>
        <v>0</v>
      </c>
      <c r="C201" s="23">
        <f>Oportuno!C201</f>
        <v>2026091</v>
      </c>
      <c r="D201" s="23">
        <f>Oportuno!D201</f>
        <v>7</v>
      </c>
      <c r="E201" s="128">
        <f>Oportuno!E201</f>
        <v>0</v>
      </c>
      <c r="F201" s="126" t="e">
        <f>Oportuno!F201</f>
        <v>#N/A</v>
      </c>
      <c r="G201" s="36">
        <f>Oportuno!G201</f>
        <v>1</v>
      </c>
      <c r="H201" s="126" t="str">
        <f>Oportuno!H201</f>
        <v>Oficinas</v>
      </c>
      <c r="I201" s="130">
        <f>Oportuno!I201</f>
        <v>0</v>
      </c>
      <c r="J201" s="174">
        <f>Oportuno!J201</f>
        <v>0</v>
      </c>
      <c r="K201" s="174">
        <f>Oportuno!K201</f>
        <v>0</v>
      </c>
      <c r="L201" s="174">
        <f>Oportuno!L201</f>
        <v>0</v>
      </c>
      <c r="M201" s="174">
        <f>Oportuno!M201</f>
        <v>0</v>
      </c>
      <c r="N201" s="174">
        <f>Oportuno!N201</f>
        <v>0</v>
      </c>
      <c r="O201" s="174">
        <f>Oportuno!O201</f>
        <v>0</v>
      </c>
      <c r="P201" s="174">
        <f>Oportuno!P201</f>
        <v>0</v>
      </c>
      <c r="Q201" s="174">
        <f>Oportuno!Q201</f>
        <v>0</v>
      </c>
      <c r="R201" s="174">
        <f>Oportuno!R201</f>
        <v>0</v>
      </c>
      <c r="S201" s="215">
        <f>Oportuno!S201</f>
        <v>0</v>
      </c>
      <c r="T201" s="71">
        <f>Oportuno!T201</f>
        <v>0</v>
      </c>
      <c r="U201" s="71">
        <f>Oportuno!U201</f>
        <v>0</v>
      </c>
      <c r="V201" s="117">
        <f>Oportuno!V201</f>
        <v>0</v>
      </c>
      <c r="W201" s="117">
        <f>Oportuno!W201</f>
        <v>0</v>
      </c>
      <c r="X201" s="71">
        <f>Oportuno!X201</f>
        <v>0</v>
      </c>
      <c r="Y201" s="71">
        <f>Oportuno!Y201</f>
        <v>0</v>
      </c>
      <c r="AA201" s="65"/>
    </row>
    <row r="202" spans="2:27 16101:16120" ht="13" customHeight="1">
      <c r="B202" s="119">
        <f>Oportuno!B202</f>
        <v>0</v>
      </c>
      <c r="C202" s="23">
        <f>Oportuno!C202</f>
        <v>2026091</v>
      </c>
      <c r="D202" s="23">
        <f>Oportuno!D202</f>
        <v>7</v>
      </c>
      <c r="E202" s="128">
        <f>Oportuno!E202</f>
        <v>0</v>
      </c>
      <c r="F202" s="126" t="e">
        <f>Oportuno!F202</f>
        <v>#N/A</v>
      </c>
      <c r="G202" s="36">
        <f>Oportuno!G202</f>
        <v>1</v>
      </c>
      <c r="H202" s="126" t="str">
        <f>Oportuno!H202</f>
        <v>Oficinas</v>
      </c>
      <c r="I202" s="130">
        <f>Oportuno!I202</f>
        <v>0</v>
      </c>
      <c r="J202" s="174">
        <f>Oportuno!J202</f>
        <v>0</v>
      </c>
      <c r="K202" s="174">
        <f>Oportuno!K202</f>
        <v>0</v>
      </c>
      <c r="L202" s="174">
        <f>Oportuno!L202</f>
        <v>0</v>
      </c>
      <c r="M202" s="174">
        <f>Oportuno!M202</f>
        <v>0</v>
      </c>
      <c r="N202" s="174">
        <f>Oportuno!N202</f>
        <v>0</v>
      </c>
      <c r="O202" s="174">
        <f>Oportuno!O202</f>
        <v>0</v>
      </c>
      <c r="P202" s="174">
        <f>Oportuno!P202</f>
        <v>0</v>
      </c>
      <c r="Q202" s="174">
        <f>Oportuno!Q202</f>
        <v>0</v>
      </c>
      <c r="R202" s="174">
        <f>Oportuno!R202</f>
        <v>0</v>
      </c>
      <c r="S202" s="215">
        <f>Oportuno!S202</f>
        <v>0</v>
      </c>
      <c r="T202" s="71">
        <f>Oportuno!T202</f>
        <v>0</v>
      </c>
      <c r="U202" s="71">
        <f>Oportuno!U202</f>
        <v>0</v>
      </c>
      <c r="V202" s="117">
        <f>Oportuno!V202</f>
        <v>0</v>
      </c>
      <c r="W202" s="117">
        <f>Oportuno!W202</f>
        <v>0</v>
      </c>
      <c r="X202" s="71">
        <f>Oportuno!X202</f>
        <v>0</v>
      </c>
      <c r="Y202" s="71">
        <f>Oportuno!Y202</f>
        <v>0</v>
      </c>
      <c r="AA202" s="65"/>
    </row>
    <row r="203" spans="2:27 16101:16120" ht="13" customHeight="1">
      <c r="B203" s="119">
        <f>Oportuno!B203</f>
        <v>0</v>
      </c>
      <c r="C203" s="23">
        <f>Oportuno!C203</f>
        <v>2026091</v>
      </c>
      <c r="D203" s="23">
        <f>Oportuno!D203</f>
        <v>7</v>
      </c>
      <c r="E203" s="128">
        <f>Oportuno!E203</f>
        <v>0</v>
      </c>
      <c r="F203" s="126" t="e">
        <f>Oportuno!F203</f>
        <v>#N/A</v>
      </c>
      <c r="G203" s="36">
        <f>Oportuno!G203</f>
        <v>1</v>
      </c>
      <c r="H203" s="126" t="str">
        <f>Oportuno!H203</f>
        <v>Oficinas</v>
      </c>
      <c r="I203" s="130">
        <f>Oportuno!I203</f>
        <v>0</v>
      </c>
      <c r="J203" s="174">
        <f>Oportuno!J203</f>
        <v>0</v>
      </c>
      <c r="K203" s="174">
        <f>Oportuno!K203</f>
        <v>0</v>
      </c>
      <c r="L203" s="174">
        <f>Oportuno!L203</f>
        <v>0</v>
      </c>
      <c r="M203" s="174">
        <f>Oportuno!M203</f>
        <v>0</v>
      </c>
      <c r="N203" s="174">
        <f>Oportuno!N203</f>
        <v>0</v>
      </c>
      <c r="O203" s="174">
        <f>Oportuno!O203</f>
        <v>0</v>
      </c>
      <c r="P203" s="174">
        <f>Oportuno!P203</f>
        <v>0</v>
      </c>
      <c r="Q203" s="174">
        <f>Oportuno!Q203</f>
        <v>0</v>
      </c>
      <c r="R203" s="174">
        <f>Oportuno!R203</f>
        <v>0</v>
      </c>
      <c r="S203" s="215">
        <f>Oportuno!S203</f>
        <v>0</v>
      </c>
      <c r="T203" s="71">
        <f>Oportuno!T203</f>
        <v>0</v>
      </c>
      <c r="U203" s="71">
        <f>Oportuno!U203</f>
        <v>0</v>
      </c>
      <c r="V203" s="117">
        <f>Oportuno!V203</f>
        <v>0</v>
      </c>
      <c r="W203" s="117">
        <f>Oportuno!W203</f>
        <v>0</v>
      </c>
      <c r="X203" s="71">
        <f>Oportuno!X203</f>
        <v>0</v>
      </c>
      <c r="Y203" s="71">
        <f>Oportuno!Y203</f>
        <v>0</v>
      </c>
      <c r="AA203" s="65"/>
    </row>
    <row r="204" spans="2:27 16101:16120" ht="13" customHeight="1">
      <c r="B204" s="119">
        <f>Oportuno!B204</f>
        <v>0</v>
      </c>
      <c r="C204" s="23">
        <f>Oportuno!C204</f>
        <v>2026091</v>
      </c>
      <c r="D204" s="23">
        <f>Oportuno!D204</f>
        <v>7</v>
      </c>
      <c r="E204" s="128">
        <f>Oportuno!E204</f>
        <v>0</v>
      </c>
      <c r="F204" s="126" t="e">
        <f>Oportuno!F204</f>
        <v>#N/A</v>
      </c>
      <c r="G204" s="36">
        <f>Oportuno!G204</f>
        <v>1</v>
      </c>
      <c r="H204" s="126" t="str">
        <f>Oportuno!H204</f>
        <v>Oficinas</v>
      </c>
      <c r="I204" s="130">
        <f>Oportuno!I204</f>
        <v>0</v>
      </c>
      <c r="J204" s="174">
        <f>Oportuno!J204</f>
        <v>0</v>
      </c>
      <c r="K204" s="174">
        <f>Oportuno!K204</f>
        <v>0</v>
      </c>
      <c r="L204" s="174">
        <f>Oportuno!L204</f>
        <v>0</v>
      </c>
      <c r="M204" s="174">
        <f>Oportuno!M204</f>
        <v>0</v>
      </c>
      <c r="N204" s="174">
        <f>Oportuno!N204</f>
        <v>0</v>
      </c>
      <c r="O204" s="174">
        <f>Oportuno!O204</f>
        <v>0</v>
      </c>
      <c r="P204" s="174">
        <f>Oportuno!P204</f>
        <v>0</v>
      </c>
      <c r="Q204" s="174">
        <f>Oportuno!Q204</f>
        <v>0</v>
      </c>
      <c r="R204" s="174">
        <f>Oportuno!R204</f>
        <v>0</v>
      </c>
      <c r="S204" s="215">
        <f>Oportuno!S204</f>
        <v>0</v>
      </c>
      <c r="T204" s="71">
        <f>Oportuno!T204</f>
        <v>0</v>
      </c>
      <c r="U204" s="71">
        <f>Oportuno!U204</f>
        <v>0</v>
      </c>
      <c r="V204" s="117">
        <f>Oportuno!V204</f>
        <v>0</v>
      </c>
      <c r="W204" s="117">
        <f>Oportuno!W204</f>
        <v>0</v>
      </c>
      <c r="X204" s="71">
        <f>Oportuno!X204</f>
        <v>0</v>
      </c>
      <c r="Y204" s="71">
        <f>Oportuno!Y204</f>
        <v>0</v>
      </c>
      <c r="AA204" s="65"/>
    </row>
    <row r="205" spans="2:27 16101:16120" ht="13" customHeight="1" thickBot="1">
      <c r="B205" s="119">
        <f>Oportuno!B205</f>
        <v>0</v>
      </c>
      <c r="C205" s="23">
        <f>Oportuno!C205</f>
        <v>2026091</v>
      </c>
      <c r="D205" s="23">
        <f>Oportuno!D205</f>
        <v>7</v>
      </c>
      <c r="E205" s="128">
        <f>Oportuno!E205</f>
        <v>0</v>
      </c>
      <c r="F205" s="126" t="e">
        <f>Oportuno!F205</f>
        <v>#N/A</v>
      </c>
      <c r="G205" s="36">
        <f>Oportuno!G205</f>
        <v>1</v>
      </c>
      <c r="H205" s="126" t="str">
        <f>Oportuno!H205</f>
        <v>Oficinas</v>
      </c>
      <c r="I205" s="130">
        <f>Oportuno!I205</f>
        <v>0</v>
      </c>
      <c r="J205" s="174">
        <f>Oportuno!J205</f>
        <v>0</v>
      </c>
      <c r="K205" s="174">
        <f>Oportuno!K205</f>
        <v>0</v>
      </c>
      <c r="L205" s="174">
        <f>Oportuno!L205</f>
        <v>0</v>
      </c>
      <c r="M205" s="174">
        <f>Oportuno!M205</f>
        <v>0</v>
      </c>
      <c r="N205" s="174">
        <f>Oportuno!N205</f>
        <v>0</v>
      </c>
      <c r="O205" s="174">
        <f>Oportuno!O205</f>
        <v>0</v>
      </c>
      <c r="P205" s="174">
        <f>Oportuno!P205</f>
        <v>0</v>
      </c>
      <c r="Q205" s="174">
        <f>Oportuno!Q205</f>
        <v>0</v>
      </c>
      <c r="R205" s="174">
        <f>Oportuno!R205</f>
        <v>0</v>
      </c>
      <c r="S205" s="215">
        <f>Oportuno!S205</f>
        <v>0</v>
      </c>
      <c r="T205" s="71">
        <f>Oportuno!T205</f>
        <v>0</v>
      </c>
      <c r="U205" s="71">
        <f>Oportuno!U205</f>
        <v>0</v>
      </c>
      <c r="V205" s="117">
        <f>Oportuno!V205</f>
        <v>0</v>
      </c>
      <c r="W205" s="117">
        <f>Oportuno!W205</f>
        <v>0</v>
      </c>
      <c r="X205" s="71">
        <f>Oportuno!X205</f>
        <v>0</v>
      </c>
      <c r="Y205" s="71">
        <f>Oportuno!Y205</f>
        <v>0</v>
      </c>
      <c r="AA205" s="65"/>
    </row>
    <row r="206" spans="2:27 16101:16120" ht="13" customHeight="1" thickBot="1">
      <c r="B206" s="1" t="s">
        <v>0</v>
      </c>
      <c r="C206" s="1" t="s">
        <v>0</v>
      </c>
      <c r="D206" s="20" t="s">
        <v>0</v>
      </c>
      <c r="E206" s="120" t="str">
        <f>Oportuno!E206</f>
        <v xml:space="preserve"> </v>
      </c>
      <c r="F206" s="121" t="str">
        <f>Oportuno!F206</f>
        <v>TOTAL RECAUDO</v>
      </c>
      <c r="G206" s="121" t="s">
        <v>0</v>
      </c>
      <c r="H206" s="121" t="s">
        <v>0</v>
      </c>
      <c r="I206" s="121" t="s">
        <v>0</v>
      </c>
      <c r="J206" s="122">
        <f>Oportuno!J206</f>
        <v>0</v>
      </c>
      <c r="K206" s="122">
        <f>Oportuno!K206</f>
        <v>0</v>
      </c>
      <c r="L206" s="122">
        <f>Oportuno!L206</f>
        <v>0</v>
      </c>
      <c r="M206" s="122">
        <f>Oportuno!M206</f>
        <v>0</v>
      </c>
      <c r="N206" s="122">
        <f>Oportuno!N206</f>
        <v>0</v>
      </c>
      <c r="O206" s="122">
        <f>Oportuno!O206</f>
        <v>0</v>
      </c>
      <c r="P206" s="122">
        <f>Oportuno!P206</f>
        <v>0</v>
      </c>
      <c r="Q206" s="122">
        <f>Oportuno!Q206</f>
        <v>0</v>
      </c>
      <c r="R206" s="122">
        <f>Oportuno!R206</f>
        <v>226</v>
      </c>
      <c r="S206" s="122">
        <f>Oportuno!S206</f>
        <v>10280100</v>
      </c>
      <c r="T206" s="122">
        <f>Oportuno!T206</f>
        <v>226</v>
      </c>
      <c r="U206" s="122">
        <f>Oportuno!U206</f>
        <v>10280100</v>
      </c>
      <c r="V206" s="123">
        <f>Oportuno!V206</f>
        <v>226</v>
      </c>
      <c r="W206" s="123">
        <f>Oportuno!W206</f>
        <v>10280100</v>
      </c>
      <c r="X206" s="122">
        <f>Oportuno!X206</f>
        <v>0</v>
      </c>
      <c r="Y206" s="123">
        <f>Oportuno!Y206</f>
        <v>0</v>
      </c>
      <c r="AA206" s="65"/>
    </row>
    <row r="207" spans="2:27 16101:16120" ht="13" thickBot="1">
      <c r="AA207" s="65"/>
    </row>
    <row r="208" spans="2:27 16101:16120" ht="41.25" customHeight="1" thickBot="1">
      <c r="B208" s="112" t="s">
        <v>4</v>
      </c>
      <c r="C208" s="34" t="s">
        <v>6</v>
      </c>
      <c r="D208" s="34" t="s">
        <v>7</v>
      </c>
      <c r="E208" s="34" t="s">
        <v>49</v>
      </c>
      <c r="F208" s="34" t="s">
        <v>50</v>
      </c>
      <c r="G208" s="34" t="s">
        <v>51</v>
      </c>
      <c r="H208" s="34" t="s">
        <v>52</v>
      </c>
      <c r="I208" s="34" t="s">
        <v>13</v>
      </c>
      <c r="J208" s="231" t="s">
        <v>8</v>
      </c>
      <c r="K208" s="231" t="s">
        <v>36</v>
      </c>
      <c r="L208" s="12" t="s">
        <v>9</v>
      </c>
      <c r="M208" s="12" t="s">
        <v>37</v>
      </c>
      <c r="N208" s="87" t="s">
        <v>10</v>
      </c>
      <c r="O208" s="88" t="s">
        <v>38</v>
      </c>
      <c r="P208" s="87" t="s">
        <v>11</v>
      </c>
      <c r="Q208" s="88" t="s">
        <v>39</v>
      </c>
      <c r="R208" s="232" t="s">
        <v>12</v>
      </c>
      <c r="S208" s="233" t="s">
        <v>40</v>
      </c>
      <c r="T208" s="64" t="s">
        <v>41</v>
      </c>
      <c r="U208" s="64" t="s">
        <v>42</v>
      </c>
      <c r="V208" s="35" t="s">
        <v>32</v>
      </c>
      <c r="W208" s="67" t="s">
        <v>35</v>
      </c>
      <c r="X208" s="12" t="s">
        <v>34</v>
      </c>
      <c r="Y208" s="68" t="s">
        <v>33</v>
      </c>
      <c r="AA208" s="66"/>
      <c r="WUG208" s="1"/>
      <c r="WUH208" s="1"/>
      <c r="WUY208"/>
      <c r="WUZ208"/>
    </row>
    <row r="209" spans="2:27" ht="13" customHeight="1">
      <c r="B209" s="119" t="str">
        <f>Oportuno!B209</f>
        <v>10/09/2026</v>
      </c>
      <c r="C209" s="24">
        <f>Oportuno!C209</f>
        <v>2026091</v>
      </c>
      <c r="D209" s="24">
        <f>Oportuno!D209</f>
        <v>8</v>
      </c>
      <c r="E209" s="127">
        <f>Oportuno!E209</f>
        <v>20</v>
      </c>
      <c r="F209" s="125" t="str">
        <f>Oportuno!F209</f>
        <v>Bancolombia ENERBIT</v>
      </c>
      <c r="G209" s="18">
        <f>Oportuno!G209</f>
        <v>1</v>
      </c>
      <c r="H209" s="125" t="str">
        <f>Oportuno!H209</f>
        <v>Oficinas</v>
      </c>
      <c r="I209" s="129">
        <f>Oportuno!I209</f>
        <v>0</v>
      </c>
      <c r="J209" s="213">
        <f>Oportuno!J209</f>
        <v>0</v>
      </c>
      <c r="K209" s="213">
        <f>Oportuno!K209</f>
        <v>0</v>
      </c>
      <c r="L209" s="213">
        <f>Oportuno!L209</f>
        <v>0</v>
      </c>
      <c r="M209" s="213">
        <f>Oportuno!M209</f>
        <v>0</v>
      </c>
      <c r="N209" s="213">
        <f>Oportuno!N209</f>
        <v>0</v>
      </c>
      <c r="O209" s="213">
        <f>Oportuno!O209</f>
        <v>0</v>
      </c>
      <c r="P209" s="213">
        <f>Oportuno!P209</f>
        <v>0</v>
      </c>
      <c r="Q209" s="213">
        <f>Oportuno!Q209</f>
        <v>0</v>
      </c>
      <c r="R209" s="213">
        <f>Oportuno!R209</f>
        <v>207</v>
      </c>
      <c r="S209" s="214">
        <f>Oportuno!S209</f>
        <v>9922340</v>
      </c>
      <c r="T209" s="70">
        <f>Oportuno!T209</f>
        <v>207</v>
      </c>
      <c r="U209" s="70">
        <f>Oportuno!U209</f>
        <v>9922340</v>
      </c>
      <c r="V209" s="116">
        <f>Oportuno!V209</f>
        <v>207</v>
      </c>
      <c r="W209" s="116">
        <f>Oportuno!W209</f>
        <v>9922340</v>
      </c>
      <c r="X209" s="70">
        <f>Oportuno!X209</f>
        <v>0</v>
      </c>
      <c r="Y209" s="70">
        <f>Oportuno!Y209</f>
        <v>0</v>
      </c>
      <c r="AA209" s="65"/>
    </row>
    <row r="210" spans="2:27" ht="13" customHeight="1">
      <c r="B210" s="119">
        <f>Oportuno!B210</f>
        <v>0</v>
      </c>
      <c r="C210" s="23">
        <f>Oportuno!C210</f>
        <v>2026091</v>
      </c>
      <c r="D210" s="23">
        <f>Oportuno!D210</f>
        <v>8</v>
      </c>
      <c r="E210" s="128">
        <f>Oportuno!E210</f>
        <v>0</v>
      </c>
      <c r="F210" s="126" t="e">
        <f>Oportuno!F210</f>
        <v>#N/A</v>
      </c>
      <c r="G210" s="36">
        <f>Oportuno!G210</f>
        <v>1</v>
      </c>
      <c r="H210" s="126" t="str">
        <f>Oportuno!H210</f>
        <v>Oficinas</v>
      </c>
      <c r="I210" s="130">
        <f>Oportuno!I210</f>
        <v>0</v>
      </c>
      <c r="J210" s="174">
        <f>Oportuno!J210</f>
        <v>0</v>
      </c>
      <c r="K210" s="174">
        <f>Oportuno!K210</f>
        <v>0</v>
      </c>
      <c r="L210" s="174">
        <f>Oportuno!L210</f>
        <v>0</v>
      </c>
      <c r="M210" s="174">
        <f>Oportuno!M210</f>
        <v>0</v>
      </c>
      <c r="N210" s="174">
        <f>Oportuno!N210</f>
        <v>0</v>
      </c>
      <c r="O210" s="174">
        <f>Oportuno!O210</f>
        <v>0</v>
      </c>
      <c r="P210" s="174">
        <f>Oportuno!P210</f>
        <v>0</v>
      </c>
      <c r="Q210" s="174">
        <f>Oportuno!Q210</f>
        <v>0</v>
      </c>
      <c r="R210" s="174">
        <f>Oportuno!R210</f>
        <v>0</v>
      </c>
      <c r="S210" s="215">
        <f>Oportuno!S210</f>
        <v>0</v>
      </c>
      <c r="T210" s="71">
        <f>Oportuno!T210</f>
        <v>0</v>
      </c>
      <c r="U210" s="71">
        <f>Oportuno!U210</f>
        <v>0</v>
      </c>
      <c r="V210" s="117">
        <f>Oportuno!V210</f>
        <v>0</v>
      </c>
      <c r="W210" s="117">
        <f>Oportuno!W210</f>
        <v>0</v>
      </c>
      <c r="X210" s="71">
        <f>Oportuno!X210</f>
        <v>0</v>
      </c>
      <c r="Y210" s="71">
        <f>Oportuno!Y210</f>
        <v>0</v>
      </c>
      <c r="AA210" s="65"/>
    </row>
    <row r="211" spans="2:27" ht="13" customHeight="1">
      <c r="B211" s="119">
        <f>Oportuno!B211</f>
        <v>0</v>
      </c>
      <c r="C211" s="23">
        <f>Oportuno!C211</f>
        <v>2026091</v>
      </c>
      <c r="D211" s="23">
        <f>Oportuno!D211</f>
        <v>8</v>
      </c>
      <c r="E211" s="128">
        <f>Oportuno!E211</f>
        <v>0</v>
      </c>
      <c r="F211" s="126" t="e">
        <f>Oportuno!F211</f>
        <v>#N/A</v>
      </c>
      <c r="G211" s="36">
        <f>Oportuno!G211</f>
        <v>1</v>
      </c>
      <c r="H211" s="126" t="str">
        <f>Oportuno!H211</f>
        <v>Oficinas</v>
      </c>
      <c r="I211" s="130">
        <f>Oportuno!I211</f>
        <v>0</v>
      </c>
      <c r="J211" s="174">
        <f>Oportuno!J211</f>
        <v>0</v>
      </c>
      <c r="K211" s="174">
        <f>Oportuno!K211</f>
        <v>0</v>
      </c>
      <c r="L211" s="174">
        <f>Oportuno!L211</f>
        <v>0</v>
      </c>
      <c r="M211" s="174">
        <f>Oportuno!M211</f>
        <v>0</v>
      </c>
      <c r="N211" s="174">
        <f>Oportuno!N211</f>
        <v>0</v>
      </c>
      <c r="O211" s="174">
        <f>Oportuno!O211</f>
        <v>0</v>
      </c>
      <c r="P211" s="174">
        <f>Oportuno!P211</f>
        <v>0</v>
      </c>
      <c r="Q211" s="174">
        <f>Oportuno!Q211</f>
        <v>0</v>
      </c>
      <c r="R211" s="174">
        <f>Oportuno!R211</f>
        <v>0</v>
      </c>
      <c r="S211" s="215">
        <f>Oportuno!S211</f>
        <v>0</v>
      </c>
      <c r="T211" s="71">
        <f>Oportuno!T211</f>
        <v>0</v>
      </c>
      <c r="U211" s="71">
        <f>Oportuno!U211</f>
        <v>0</v>
      </c>
      <c r="V211" s="117">
        <f>Oportuno!V211</f>
        <v>0</v>
      </c>
      <c r="W211" s="117">
        <f>Oportuno!W211</f>
        <v>0</v>
      </c>
      <c r="X211" s="71">
        <f>Oportuno!X211</f>
        <v>0</v>
      </c>
      <c r="Y211" s="71">
        <f>Oportuno!Y211</f>
        <v>0</v>
      </c>
      <c r="AA211" s="65"/>
    </row>
    <row r="212" spans="2:27" ht="13" customHeight="1">
      <c r="B212" s="119">
        <f>Oportuno!B212</f>
        <v>0</v>
      </c>
      <c r="C212" s="23">
        <f>Oportuno!C212</f>
        <v>2026091</v>
      </c>
      <c r="D212" s="23">
        <f>Oportuno!D212</f>
        <v>8</v>
      </c>
      <c r="E212" s="128">
        <f>Oportuno!E212</f>
        <v>0</v>
      </c>
      <c r="F212" s="126" t="e">
        <f>Oportuno!F212</f>
        <v>#N/A</v>
      </c>
      <c r="G212" s="36">
        <f>Oportuno!G212</f>
        <v>1</v>
      </c>
      <c r="H212" s="126" t="str">
        <f>Oportuno!H212</f>
        <v>Oficinas</v>
      </c>
      <c r="I212" s="130">
        <f>Oportuno!I212</f>
        <v>0</v>
      </c>
      <c r="J212" s="174">
        <f>Oportuno!J212</f>
        <v>0</v>
      </c>
      <c r="K212" s="174">
        <f>Oportuno!K212</f>
        <v>0</v>
      </c>
      <c r="L212" s="174">
        <f>Oportuno!L212</f>
        <v>0</v>
      </c>
      <c r="M212" s="174">
        <f>Oportuno!M212</f>
        <v>0</v>
      </c>
      <c r="N212" s="174">
        <f>Oportuno!N212</f>
        <v>0</v>
      </c>
      <c r="O212" s="174">
        <f>Oportuno!O212</f>
        <v>0</v>
      </c>
      <c r="P212" s="174">
        <f>Oportuno!P212</f>
        <v>0</v>
      </c>
      <c r="Q212" s="174">
        <f>Oportuno!Q212</f>
        <v>0</v>
      </c>
      <c r="R212" s="174">
        <f>Oportuno!R212</f>
        <v>0</v>
      </c>
      <c r="S212" s="215">
        <f>Oportuno!S212</f>
        <v>0</v>
      </c>
      <c r="T212" s="71">
        <f>Oportuno!T212</f>
        <v>0</v>
      </c>
      <c r="U212" s="71">
        <f>Oportuno!U212</f>
        <v>0</v>
      </c>
      <c r="V212" s="117">
        <f>Oportuno!V212</f>
        <v>0</v>
      </c>
      <c r="W212" s="117">
        <f>Oportuno!W212</f>
        <v>0</v>
      </c>
      <c r="X212" s="71">
        <f>Oportuno!X212</f>
        <v>0</v>
      </c>
      <c r="Y212" s="71">
        <f>Oportuno!Y212</f>
        <v>0</v>
      </c>
      <c r="AA212" s="65"/>
    </row>
    <row r="213" spans="2:27" ht="13" customHeight="1">
      <c r="B213" s="119">
        <f>Oportuno!B213</f>
        <v>0</v>
      </c>
      <c r="C213" s="23">
        <f>Oportuno!C213</f>
        <v>2026091</v>
      </c>
      <c r="D213" s="23">
        <f>Oportuno!D213</f>
        <v>8</v>
      </c>
      <c r="E213" s="128">
        <f>Oportuno!E213</f>
        <v>0</v>
      </c>
      <c r="F213" s="126" t="e">
        <f>Oportuno!F213</f>
        <v>#N/A</v>
      </c>
      <c r="G213" s="36">
        <f>Oportuno!G213</f>
        <v>1</v>
      </c>
      <c r="H213" s="126" t="str">
        <f>Oportuno!H213</f>
        <v>Oficinas</v>
      </c>
      <c r="I213" s="130">
        <f>Oportuno!I213</f>
        <v>0</v>
      </c>
      <c r="J213" s="174">
        <f>Oportuno!J213</f>
        <v>0</v>
      </c>
      <c r="K213" s="174">
        <f>Oportuno!K213</f>
        <v>0</v>
      </c>
      <c r="L213" s="174">
        <f>Oportuno!L213</f>
        <v>0</v>
      </c>
      <c r="M213" s="174">
        <f>Oportuno!M213</f>
        <v>0</v>
      </c>
      <c r="N213" s="174">
        <f>Oportuno!N213</f>
        <v>0</v>
      </c>
      <c r="O213" s="174">
        <f>Oportuno!O213</f>
        <v>0</v>
      </c>
      <c r="P213" s="174">
        <f>Oportuno!P213</f>
        <v>0</v>
      </c>
      <c r="Q213" s="174">
        <f>Oportuno!Q213</f>
        <v>0</v>
      </c>
      <c r="R213" s="174">
        <f>Oportuno!R213</f>
        <v>0</v>
      </c>
      <c r="S213" s="215">
        <f>Oportuno!S213</f>
        <v>0</v>
      </c>
      <c r="T213" s="71">
        <f>Oportuno!T213</f>
        <v>0</v>
      </c>
      <c r="U213" s="71">
        <f>Oportuno!U213</f>
        <v>0</v>
      </c>
      <c r="V213" s="117">
        <f>Oportuno!V213</f>
        <v>0</v>
      </c>
      <c r="W213" s="117">
        <f>Oportuno!W213</f>
        <v>0</v>
      </c>
      <c r="X213" s="71">
        <f>Oportuno!X213</f>
        <v>0</v>
      </c>
      <c r="Y213" s="71">
        <f>Oportuno!Y213</f>
        <v>0</v>
      </c>
      <c r="AA213" s="65"/>
    </row>
    <row r="214" spans="2:27" ht="13" customHeight="1">
      <c r="B214" s="119">
        <f>Oportuno!B214</f>
        <v>0</v>
      </c>
      <c r="C214" s="23">
        <f>Oportuno!C214</f>
        <v>2026091</v>
      </c>
      <c r="D214" s="23">
        <f>Oportuno!D214</f>
        <v>8</v>
      </c>
      <c r="E214" s="128">
        <f>Oportuno!E214</f>
        <v>0</v>
      </c>
      <c r="F214" s="126" t="e">
        <f>Oportuno!F214</f>
        <v>#N/A</v>
      </c>
      <c r="G214" s="36">
        <f>Oportuno!G214</f>
        <v>1</v>
      </c>
      <c r="H214" s="126" t="str">
        <f>Oportuno!H214</f>
        <v>Oficinas</v>
      </c>
      <c r="I214" s="130">
        <f>Oportuno!I214</f>
        <v>0</v>
      </c>
      <c r="J214" s="174">
        <f>Oportuno!J214</f>
        <v>0</v>
      </c>
      <c r="K214" s="174">
        <f>Oportuno!K214</f>
        <v>0</v>
      </c>
      <c r="L214" s="174">
        <f>Oportuno!L214</f>
        <v>0</v>
      </c>
      <c r="M214" s="174">
        <f>Oportuno!M214</f>
        <v>0</v>
      </c>
      <c r="N214" s="174">
        <f>Oportuno!N214</f>
        <v>0</v>
      </c>
      <c r="O214" s="174">
        <f>Oportuno!O214</f>
        <v>0</v>
      </c>
      <c r="P214" s="174">
        <f>Oportuno!P214</f>
        <v>0</v>
      </c>
      <c r="Q214" s="174">
        <f>Oportuno!Q214</f>
        <v>0</v>
      </c>
      <c r="R214" s="174">
        <f>Oportuno!R214</f>
        <v>0</v>
      </c>
      <c r="S214" s="215">
        <f>Oportuno!S214</f>
        <v>0</v>
      </c>
      <c r="T214" s="71">
        <f>Oportuno!T214</f>
        <v>0</v>
      </c>
      <c r="U214" s="71">
        <f>Oportuno!U214</f>
        <v>0</v>
      </c>
      <c r="V214" s="117">
        <f>Oportuno!V214</f>
        <v>0</v>
      </c>
      <c r="W214" s="117">
        <f>Oportuno!W214</f>
        <v>0</v>
      </c>
      <c r="X214" s="71">
        <f>Oportuno!X214</f>
        <v>0</v>
      </c>
      <c r="Y214" s="71">
        <f>Oportuno!Y214</f>
        <v>0</v>
      </c>
      <c r="AA214" s="65"/>
    </row>
    <row r="215" spans="2:27" ht="13" customHeight="1">
      <c r="B215" s="119">
        <f>Oportuno!B215</f>
        <v>0</v>
      </c>
      <c r="C215" s="23">
        <f>Oportuno!C215</f>
        <v>2026091</v>
      </c>
      <c r="D215" s="23">
        <f>Oportuno!D215</f>
        <v>8</v>
      </c>
      <c r="E215" s="128">
        <f>Oportuno!E215</f>
        <v>0</v>
      </c>
      <c r="F215" s="126" t="e">
        <f>Oportuno!F215</f>
        <v>#N/A</v>
      </c>
      <c r="G215" s="36">
        <f>Oportuno!G215</f>
        <v>1</v>
      </c>
      <c r="H215" s="126" t="str">
        <f>Oportuno!H215</f>
        <v>Oficinas</v>
      </c>
      <c r="I215" s="130">
        <f>Oportuno!I215</f>
        <v>0</v>
      </c>
      <c r="J215" s="174">
        <f>Oportuno!J215</f>
        <v>0</v>
      </c>
      <c r="K215" s="174">
        <f>Oportuno!K215</f>
        <v>0</v>
      </c>
      <c r="L215" s="174">
        <f>Oportuno!L215</f>
        <v>0</v>
      </c>
      <c r="M215" s="174">
        <f>Oportuno!M215</f>
        <v>0</v>
      </c>
      <c r="N215" s="174">
        <f>Oportuno!N215</f>
        <v>0</v>
      </c>
      <c r="O215" s="174">
        <f>Oportuno!O215</f>
        <v>0</v>
      </c>
      <c r="P215" s="174">
        <f>Oportuno!P215</f>
        <v>0</v>
      </c>
      <c r="Q215" s="174">
        <f>Oportuno!Q215</f>
        <v>0</v>
      </c>
      <c r="R215" s="174">
        <f>Oportuno!R215</f>
        <v>0</v>
      </c>
      <c r="S215" s="215">
        <f>Oportuno!S215</f>
        <v>0</v>
      </c>
      <c r="T215" s="71">
        <f>Oportuno!T215</f>
        <v>0</v>
      </c>
      <c r="U215" s="71">
        <f>Oportuno!U215</f>
        <v>0</v>
      </c>
      <c r="V215" s="117">
        <f>Oportuno!V215</f>
        <v>0</v>
      </c>
      <c r="W215" s="117">
        <f>Oportuno!W215</f>
        <v>0</v>
      </c>
      <c r="X215" s="71">
        <f>Oportuno!X215</f>
        <v>0</v>
      </c>
      <c r="Y215" s="71">
        <f>Oportuno!Y215</f>
        <v>0</v>
      </c>
      <c r="AA215" s="65"/>
    </row>
    <row r="216" spans="2:27" ht="13" customHeight="1">
      <c r="B216" s="119">
        <f>Oportuno!B216</f>
        <v>0</v>
      </c>
      <c r="C216" s="23">
        <f>Oportuno!C216</f>
        <v>2026091</v>
      </c>
      <c r="D216" s="23">
        <f>Oportuno!D216</f>
        <v>8</v>
      </c>
      <c r="E216" s="128">
        <f>Oportuno!E216</f>
        <v>0</v>
      </c>
      <c r="F216" s="126" t="e">
        <f>Oportuno!F216</f>
        <v>#N/A</v>
      </c>
      <c r="G216" s="36">
        <f>Oportuno!G216</f>
        <v>1</v>
      </c>
      <c r="H216" s="126" t="str">
        <f>Oportuno!H216</f>
        <v>Oficinas</v>
      </c>
      <c r="I216" s="130">
        <f>Oportuno!I216</f>
        <v>0</v>
      </c>
      <c r="J216" s="174">
        <f>Oportuno!J216</f>
        <v>0</v>
      </c>
      <c r="K216" s="174">
        <f>Oportuno!K216</f>
        <v>0</v>
      </c>
      <c r="L216" s="174">
        <f>Oportuno!L216</f>
        <v>0</v>
      </c>
      <c r="M216" s="174">
        <f>Oportuno!M216</f>
        <v>0</v>
      </c>
      <c r="N216" s="174">
        <f>Oportuno!N216</f>
        <v>0</v>
      </c>
      <c r="O216" s="174">
        <f>Oportuno!O216</f>
        <v>0</v>
      </c>
      <c r="P216" s="174">
        <f>Oportuno!P216</f>
        <v>0</v>
      </c>
      <c r="Q216" s="174">
        <f>Oportuno!Q216</f>
        <v>0</v>
      </c>
      <c r="R216" s="174">
        <f>Oportuno!R216</f>
        <v>0</v>
      </c>
      <c r="S216" s="215">
        <f>Oportuno!S216</f>
        <v>0</v>
      </c>
      <c r="T216" s="71">
        <f>Oportuno!T216</f>
        <v>0</v>
      </c>
      <c r="U216" s="71">
        <f>Oportuno!U216</f>
        <v>0</v>
      </c>
      <c r="V216" s="117">
        <f>Oportuno!V216</f>
        <v>0</v>
      </c>
      <c r="W216" s="117">
        <f>Oportuno!W216</f>
        <v>0</v>
      </c>
      <c r="X216" s="71">
        <f>Oportuno!X216</f>
        <v>0</v>
      </c>
      <c r="Y216" s="71">
        <f>Oportuno!Y216</f>
        <v>0</v>
      </c>
      <c r="AA216" s="65"/>
    </row>
    <row r="217" spans="2:27" ht="13" customHeight="1">
      <c r="B217" s="119">
        <f>Oportuno!B217</f>
        <v>0</v>
      </c>
      <c r="C217" s="23">
        <f>Oportuno!C217</f>
        <v>2026091</v>
      </c>
      <c r="D217" s="23">
        <f>Oportuno!D217</f>
        <v>8</v>
      </c>
      <c r="E217" s="128">
        <f>Oportuno!E217</f>
        <v>0</v>
      </c>
      <c r="F217" s="126" t="e">
        <f>Oportuno!F217</f>
        <v>#N/A</v>
      </c>
      <c r="G217" s="36">
        <f>Oportuno!G217</f>
        <v>1</v>
      </c>
      <c r="H217" s="126" t="str">
        <f>Oportuno!H217</f>
        <v>Oficinas</v>
      </c>
      <c r="I217" s="130">
        <f>Oportuno!I217</f>
        <v>0</v>
      </c>
      <c r="J217" s="174">
        <f>Oportuno!J217</f>
        <v>0</v>
      </c>
      <c r="K217" s="174">
        <f>Oportuno!K217</f>
        <v>0</v>
      </c>
      <c r="L217" s="174">
        <f>Oportuno!L217</f>
        <v>0</v>
      </c>
      <c r="M217" s="174">
        <f>Oportuno!M217</f>
        <v>0</v>
      </c>
      <c r="N217" s="174">
        <f>Oportuno!N217</f>
        <v>0</v>
      </c>
      <c r="O217" s="174">
        <f>Oportuno!O217</f>
        <v>0</v>
      </c>
      <c r="P217" s="174">
        <f>Oportuno!P217</f>
        <v>0</v>
      </c>
      <c r="Q217" s="174">
        <f>Oportuno!Q217</f>
        <v>0</v>
      </c>
      <c r="R217" s="174">
        <f>Oportuno!R217</f>
        <v>0</v>
      </c>
      <c r="S217" s="215">
        <f>Oportuno!S217</f>
        <v>0</v>
      </c>
      <c r="T217" s="71">
        <f>Oportuno!T217</f>
        <v>0</v>
      </c>
      <c r="U217" s="71">
        <f>Oportuno!U217</f>
        <v>0</v>
      </c>
      <c r="V217" s="117">
        <f>Oportuno!V217</f>
        <v>0</v>
      </c>
      <c r="W217" s="117">
        <f>Oportuno!W217</f>
        <v>0</v>
      </c>
      <c r="X217" s="71">
        <f>Oportuno!X217</f>
        <v>0</v>
      </c>
      <c r="Y217" s="71">
        <f>Oportuno!Y217</f>
        <v>0</v>
      </c>
      <c r="AA217" s="65"/>
    </row>
    <row r="218" spans="2:27" ht="13" customHeight="1">
      <c r="B218" s="119">
        <f>Oportuno!B218</f>
        <v>0</v>
      </c>
      <c r="C218" s="23">
        <f>Oportuno!C218</f>
        <v>2026091</v>
      </c>
      <c r="D218" s="23">
        <f>Oportuno!D218</f>
        <v>8</v>
      </c>
      <c r="E218" s="128">
        <f>Oportuno!E218</f>
        <v>0</v>
      </c>
      <c r="F218" s="126" t="e">
        <f>Oportuno!F218</f>
        <v>#N/A</v>
      </c>
      <c r="G218" s="36">
        <f>Oportuno!G218</f>
        <v>1</v>
      </c>
      <c r="H218" s="126" t="str">
        <f>Oportuno!H218</f>
        <v>Oficinas</v>
      </c>
      <c r="I218" s="130">
        <f>Oportuno!I218</f>
        <v>0</v>
      </c>
      <c r="J218" s="174">
        <f>Oportuno!J218</f>
        <v>0</v>
      </c>
      <c r="K218" s="174">
        <f>Oportuno!K218</f>
        <v>0</v>
      </c>
      <c r="L218" s="174">
        <f>Oportuno!L218</f>
        <v>0</v>
      </c>
      <c r="M218" s="174">
        <f>Oportuno!M218</f>
        <v>0</v>
      </c>
      <c r="N218" s="174">
        <f>Oportuno!N218</f>
        <v>0</v>
      </c>
      <c r="O218" s="174">
        <f>Oportuno!O218</f>
        <v>0</v>
      </c>
      <c r="P218" s="174">
        <f>Oportuno!P218</f>
        <v>0</v>
      </c>
      <c r="Q218" s="174">
        <f>Oportuno!Q218</f>
        <v>0</v>
      </c>
      <c r="R218" s="174">
        <f>Oportuno!R218</f>
        <v>0</v>
      </c>
      <c r="S218" s="215">
        <f>Oportuno!S218</f>
        <v>0</v>
      </c>
      <c r="T218" s="71">
        <f>Oportuno!T218</f>
        <v>0</v>
      </c>
      <c r="U218" s="71">
        <f>Oportuno!U218</f>
        <v>0</v>
      </c>
      <c r="V218" s="117">
        <f>Oportuno!V218</f>
        <v>0</v>
      </c>
      <c r="W218" s="117">
        <f>Oportuno!W218</f>
        <v>0</v>
      </c>
      <c r="X218" s="71">
        <f>Oportuno!X218</f>
        <v>0</v>
      </c>
      <c r="Y218" s="71">
        <f>Oportuno!Y218</f>
        <v>0</v>
      </c>
      <c r="AA218" s="65"/>
    </row>
    <row r="219" spans="2:27" ht="13" customHeight="1">
      <c r="B219" s="119">
        <f>Oportuno!B219</f>
        <v>0</v>
      </c>
      <c r="C219" s="23">
        <f>Oportuno!C219</f>
        <v>2026091</v>
      </c>
      <c r="D219" s="23">
        <f>Oportuno!D219</f>
        <v>8</v>
      </c>
      <c r="E219" s="128">
        <f>Oportuno!E219</f>
        <v>0</v>
      </c>
      <c r="F219" s="126" t="e">
        <f>Oportuno!F219</f>
        <v>#N/A</v>
      </c>
      <c r="G219" s="36">
        <f>Oportuno!G219</f>
        <v>1</v>
      </c>
      <c r="H219" s="126" t="str">
        <f>Oportuno!H219</f>
        <v>Oficinas</v>
      </c>
      <c r="I219" s="130">
        <f>Oportuno!I219</f>
        <v>0</v>
      </c>
      <c r="J219" s="174">
        <f>Oportuno!J219</f>
        <v>0</v>
      </c>
      <c r="K219" s="174">
        <f>Oportuno!K219</f>
        <v>0</v>
      </c>
      <c r="L219" s="174">
        <f>Oportuno!L219</f>
        <v>0</v>
      </c>
      <c r="M219" s="174">
        <f>Oportuno!M219</f>
        <v>0</v>
      </c>
      <c r="N219" s="174">
        <f>Oportuno!N219</f>
        <v>0</v>
      </c>
      <c r="O219" s="174">
        <f>Oportuno!O219</f>
        <v>0</v>
      </c>
      <c r="P219" s="174">
        <f>Oportuno!P219</f>
        <v>0</v>
      </c>
      <c r="Q219" s="174">
        <f>Oportuno!Q219</f>
        <v>0</v>
      </c>
      <c r="R219" s="174">
        <f>Oportuno!R219</f>
        <v>0</v>
      </c>
      <c r="S219" s="215">
        <f>Oportuno!S219</f>
        <v>0</v>
      </c>
      <c r="T219" s="71">
        <f>Oportuno!T219</f>
        <v>0</v>
      </c>
      <c r="U219" s="71">
        <f>Oportuno!U219</f>
        <v>0</v>
      </c>
      <c r="V219" s="117">
        <f>Oportuno!V219</f>
        <v>0</v>
      </c>
      <c r="W219" s="117">
        <f>Oportuno!W219</f>
        <v>0</v>
      </c>
      <c r="X219" s="71">
        <f>Oportuno!X219</f>
        <v>0</v>
      </c>
      <c r="Y219" s="71">
        <f>Oportuno!Y219</f>
        <v>0</v>
      </c>
      <c r="AA219" s="65"/>
    </row>
    <row r="220" spans="2:27" ht="13" customHeight="1">
      <c r="B220" s="119">
        <f>Oportuno!B220</f>
        <v>0</v>
      </c>
      <c r="C220" s="23">
        <f>Oportuno!C220</f>
        <v>2026091</v>
      </c>
      <c r="D220" s="23">
        <f>Oportuno!D220</f>
        <v>8</v>
      </c>
      <c r="E220" s="128">
        <f>Oportuno!E220</f>
        <v>0</v>
      </c>
      <c r="F220" s="126" t="e">
        <f>Oportuno!F220</f>
        <v>#N/A</v>
      </c>
      <c r="G220" s="36">
        <f>Oportuno!G220</f>
        <v>1</v>
      </c>
      <c r="H220" s="126" t="str">
        <f>Oportuno!H220</f>
        <v>Oficinas</v>
      </c>
      <c r="I220" s="130">
        <f>Oportuno!I220</f>
        <v>0</v>
      </c>
      <c r="J220" s="174">
        <f>Oportuno!J220</f>
        <v>0</v>
      </c>
      <c r="K220" s="174">
        <f>Oportuno!K220</f>
        <v>0</v>
      </c>
      <c r="L220" s="174">
        <f>Oportuno!L220</f>
        <v>0</v>
      </c>
      <c r="M220" s="174">
        <f>Oportuno!M220</f>
        <v>0</v>
      </c>
      <c r="N220" s="174">
        <f>Oportuno!N220</f>
        <v>0</v>
      </c>
      <c r="O220" s="174">
        <f>Oportuno!O220</f>
        <v>0</v>
      </c>
      <c r="P220" s="174">
        <f>Oportuno!P220</f>
        <v>0</v>
      </c>
      <c r="Q220" s="174">
        <f>Oportuno!Q220</f>
        <v>0</v>
      </c>
      <c r="R220" s="174">
        <f>Oportuno!R220</f>
        <v>0</v>
      </c>
      <c r="S220" s="215">
        <f>Oportuno!S220</f>
        <v>0</v>
      </c>
      <c r="T220" s="71">
        <f>Oportuno!T220</f>
        <v>0</v>
      </c>
      <c r="U220" s="71">
        <f>Oportuno!U220</f>
        <v>0</v>
      </c>
      <c r="V220" s="117">
        <f>Oportuno!V220</f>
        <v>0</v>
      </c>
      <c r="W220" s="117">
        <f>Oportuno!W220</f>
        <v>0</v>
      </c>
      <c r="X220" s="71">
        <f>Oportuno!X220</f>
        <v>0</v>
      </c>
      <c r="Y220" s="71">
        <f>Oportuno!Y220</f>
        <v>0</v>
      </c>
      <c r="AA220" s="65"/>
    </row>
    <row r="221" spans="2:27" ht="13" customHeight="1">
      <c r="B221" s="119">
        <f>Oportuno!B221</f>
        <v>0</v>
      </c>
      <c r="C221" s="23">
        <f>Oportuno!C221</f>
        <v>2026091</v>
      </c>
      <c r="D221" s="23">
        <f>Oportuno!D221</f>
        <v>8</v>
      </c>
      <c r="E221" s="128">
        <f>Oportuno!E221</f>
        <v>0</v>
      </c>
      <c r="F221" s="126" t="e">
        <f>Oportuno!F221</f>
        <v>#N/A</v>
      </c>
      <c r="G221" s="36">
        <f>Oportuno!G221</f>
        <v>1</v>
      </c>
      <c r="H221" s="126" t="str">
        <f>Oportuno!H221</f>
        <v>Oficinas</v>
      </c>
      <c r="I221" s="130">
        <f>Oportuno!I221</f>
        <v>0</v>
      </c>
      <c r="J221" s="174">
        <f>Oportuno!J221</f>
        <v>0</v>
      </c>
      <c r="K221" s="174">
        <f>Oportuno!K221</f>
        <v>0</v>
      </c>
      <c r="L221" s="174">
        <f>Oportuno!L221</f>
        <v>0</v>
      </c>
      <c r="M221" s="174">
        <f>Oportuno!M221</f>
        <v>0</v>
      </c>
      <c r="N221" s="174">
        <f>Oportuno!N221</f>
        <v>0</v>
      </c>
      <c r="O221" s="174">
        <f>Oportuno!O221</f>
        <v>0</v>
      </c>
      <c r="P221" s="174">
        <f>Oportuno!P221</f>
        <v>0</v>
      </c>
      <c r="Q221" s="174">
        <f>Oportuno!Q221</f>
        <v>0</v>
      </c>
      <c r="R221" s="174">
        <f>Oportuno!R221</f>
        <v>0</v>
      </c>
      <c r="S221" s="215">
        <f>Oportuno!S221</f>
        <v>0</v>
      </c>
      <c r="T221" s="71">
        <f>Oportuno!T221</f>
        <v>0</v>
      </c>
      <c r="U221" s="71">
        <f>Oportuno!U221</f>
        <v>0</v>
      </c>
      <c r="V221" s="117">
        <f>Oportuno!V221</f>
        <v>0</v>
      </c>
      <c r="W221" s="117">
        <f>Oportuno!W221</f>
        <v>0</v>
      </c>
      <c r="X221" s="71">
        <f>Oportuno!X221</f>
        <v>0</v>
      </c>
      <c r="Y221" s="71">
        <f>Oportuno!Y221</f>
        <v>0</v>
      </c>
      <c r="AA221" s="65"/>
    </row>
    <row r="222" spans="2:27" ht="13" customHeight="1">
      <c r="B222" s="119">
        <f>Oportuno!B222</f>
        <v>0</v>
      </c>
      <c r="C222" s="23">
        <f>Oportuno!C222</f>
        <v>2026091</v>
      </c>
      <c r="D222" s="23">
        <f>Oportuno!D222</f>
        <v>8</v>
      </c>
      <c r="E222" s="128">
        <f>Oportuno!E222</f>
        <v>0</v>
      </c>
      <c r="F222" s="126" t="e">
        <f>Oportuno!F222</f>
        <v>#N/A</v>
      </c>
      <c r="G222" s="36">
        <f>Oportuno!G222</f>
        <v>1</v>
      </c>
      <c r="H222" s="126" t="str">
        <f>Oportuno!H222</f>
        <v>Oficinas</v>
      </c>
      <c r="I222" s="130">
        <f>Oportuno!I222</f>
        <v>0</v>
      </c>
      <c r="J222" s="174">
        <f>Oportuno!J222</f>
        <v>0</v>
      </c>
      <c r="K222" s="174">
        <f>Oportuno!K222</f>
        <v>0</v>
      </c>
      <c r="L222" s="174">
        <f>Oportuno!L222</f>
        <v>0</v>
      </c>
      <c r="M222" s="174">
        <f>Oportuno!M222</f>
        <v>0</v>
      </c>
      <c r="N222" s="174">
        <f>Oportuno!N222</f>
        <v>0</v>
      </c>
      <c r="O222" s="174">
        <f>Oportuno!O222</f>
        <v>0</v>
      </c>
      <c r="P222" s="174">
        <f>Oportuno!P222</f>
        <v>0</v>
      </c>
      <c r="Q222" s="174">
        <f>Oportuno!Q222</f>
        <v>0</v>
      </c>
      <c r="R222" s="174">
        <f>Oportuno!R222</f>
        <v>0</v>
      </c>
      <c r="S222" s="215">
        <f>Oportuno!S222</f>
        <v>0</v>
      </c>
      <c r="T222" s="71">
        <f>Oportuno!T222</f>
        <v>0</v>
      </c>
      <c r="U222" s="71">
        <f>Oportuno!U222</f>
        <v>0</v>
      </c>
      <c r="V222" s="117">
        <f>Oportuno!V222</f>
        <v>0</v>
      </c>
      <c r="W222" s="117">
        <f>Oportuno!W222</f>
        <v>0</v>
      </c>
      <c r="X222" s="71">
        <f>Oportuno!X222</f>
        <v>0</v>
      </c>
      <c r="Y222" s="71">
        <f>Oportuno!Y222</f>
        <v>0</v>
      </c>
      <c r="AA222" s="65"/>
    </row>
    <row r="223" spans="2:27" ht="13" customHeight="1">
      <c r="B223" s="119">
        <f>Oportuno!B223</f>
        <v>0</v>
      </c>
      <c r="C223" s="23">
        <f>Oportuno!C223</f>
        <v>2026091</v>
      </c>
      <c r="D223" s="23">
        <f>Oportuno!D223</f>
        <v>8</v>
      </c>
      <c r="E223" s="128">
        <f>Oportuno!E223</f>
        <v>0</v>
      </c>
      <c r="F223" s="126" t="e">
        <f>Oportuno!F223</f>
        <v>#N/A</v>
      </c>
      <c r="G223" s="36">
        <f>Oportuno!G223</f>
        <v>1</v>
      </c>
      <c r="H223" s="126" t="str">
        <f>Oportuno!H223</f>
        <v>Oficinas</v>
      </c>
      <c r="I223" s="130">
        <f>Oportuno!I223</f>
        <v>0</v>
      </c>
      <c r="J223" s="174">
        <f>Oportuno!J223</f>
        <v>0</v>
      </c>
      <c r="K223" s="174">
        <f>Oportuno!K223</f>
        <v>0</v>
      </c>
      <c r="L223" s="174">
        <f>Oportuno!L223</f>
        <v>0</v>
      </c>
      <c r="M223" s="174">
        <f>Oportuno!M223</f>
        <v>0</v>
      </c>
      <c r="N223" s="174">
        <f>Oportuno!N223</f>
        <v>0</v>
      </c>
      <c r="O223" s="174">
        <f>Oportuno!O223</f>
        <v>0</v>
      </c>
      <c r="P223" s="174">
        <f>Oportuno!P223</f>
        <v>0</v>
      </c>
      <c r="Q223" s="174">
        <f>Oportuno!Q223</f>
        <v>0</v>
      </c>
      <c r="R223" s="174">
        <f>Oportuno!R223</f>
        <v>0</v>
      </c>
      <c r="S223" s="215">
        <f>Oportuno!S223</f>
        <v>0</v>
      </c>
      <c r="T223" s="71">
        <f>Oportuno!T223</f>
        <v>0</v>
      </c>
      <c r="U223" s="71">
        <f>Oportuno!U223</f>
        <v>0</v>
      </c>
      <c r="V223" s="117">
        <f>Oportuno!V223</f>
        <v>0</v>
      </c>
      <c r="W223" s="117">
        <f>Oportuno!W223</f>
        <v>0</v>
      </c>
      <c r="X223" s="71">
        <f>Oportuno!X223</f>
        <v>0</v>
      </c>
      <c r="Y223" s="71">
        <f>Oportuno!Y223</f>
        <v>0</v>
      </c>
      <c r="AA223" s="65"/>
    </row>
    <row r="224" spans="2:27" ht="12" customHeight="1">
      <c r="B224" s="119">
        <f>Oportuno!B224</f>
        <v>0</v>
      </c>
      <c r="C224" s="23">
        <f>Oportuno!C224</f>
        <v>2026091</v>
      </c>
      <c r="D224" s="23">
        <f>Oportuno!D224</f>
        <v>8</v>
      </c>
      <c r="E224" s="128">
        <f>Oportuno!E224</f>
        <v>0</v>
      </c>
      <c r="F224" s="126" t="e">
        <f>Oportuno!F224</f>
        <v>#N/A</v>
      </c>
      <c r="G224" s="36">
        <f>Oportuno!G224</f>
        <v>1</v>
      </c>
      <c r="H224" s="126" t="str">
        <f>Oportuno!H224</f>
        <v>Oficinas</v>
      </c>
      <c r="I224" s="130">
        <f>Oportuno!I224</f>
        <v>0</v>
      </c>
      <c r="J224" s="174">
        <f>Oportuno!J224</f>
        <v>0</v>
      </c>
      <c r="K224" s="174">
        <f>Oportuno!K224</f>
        <v>0</v>
      </c>
      <c r="L224" s="174">
        <f>Oportuno!L224</f>
        <v>0</v>
      </c>
      <c r="M224" s="174">
        <f>Oportuno!M224</f>
        <v>0</v>
      </c>
      <c r="N224" s="174">
        <f>Oportuno!N224</f>
        <v>0</v>
      </c>
      <c r="O224" s="174">
        <f>Oportuno!O224</f>
        <v>0</v>
      </c>
      <c r="P224" s="174">
        <f>Oportuno!P224</f>
        <v>0</v>
      </c>
      <c r="Q224" s="174">
        <f>Oportuno!Q224</f>
        <v>0</v>
      </c>
      <c r="R224" s="174">
        <f>Oportuno!R224</f>
        <v>0</v>
      </c>
      <c r="S224" s="215">
        <f>Oportuno!S224</f>
        <v>0</v>
      </c>
      <c r="T224" s="71">
        <f>Oportuno!T224</f>
        <v>0</v>
      </c>
      <c r="U224" s="71">
        <f>Oportuno!U224</f>
        <v>0</v>
      </c>
      <c r="V224" s="117">
        <f>Oportuno!V224</f>
        <v>0</v>
      </c>
      <c r="W224" s="117">
        <f>Oportuno!W224</f>
        <v>0</v>
      </c>
      <c r="X224" s="71">
        <f>Oportuno!X224</f>
        <v>0</v>
      </c>
      <c r="Y224" s="71">
        <f>Oportuno!Y224</f>
        <v>0</v>
      </c>
      <c r="AA224" s="65"/>
    </row>
    <row r="225" spans="2:27 16101:16120" ht="13" customHeight="1">
      <c r="B225" s="119">
        <f>Oportuno!B225</f>
        <v>0</v>
      </c>
      <c r="C225" s="23">
        <f>Oportuno!C225</f>
        <v>2026091</v>
      </c>
      <c r="D225" s="23">
        <f>Oportuno!D225</f>
        <v>8</v>
      </c>
      <c r="E225" s="128">
        <f>Oportuno!E225</f>
        <v>0</v>
      </c>
      <c r="F225" s="126" t="e">
        <f>Oportuno!F225</f>
        <v>#N/A</v>
      </c>
      <c r="G225" s="36">
        <f>Oportuno!G225</f>
        <v>1</v>
      </c>
      <c r="H225" s="126" t="str">
        <f>Oportuno!H225</f>
        <v>Oficinas</v>
      </c>
      <c r="I225" s="130">
        <f>Oportuno!I225</f>
        <v>0</v>
      </c>
      <c r="J225" s="174">
        <f>Oportuno!J225</f>
        <v>0</v>
      </c>
      <c r="K225" s="174">
        <f>Oportuno!K225</f>
        <v>0</v>
      </c>
      <c r="L225" s="174">
        <f>Oportuno!L225</f>
        <v>0</v>
      </c>
      <c r="M225" s="174">
        <f>Oportuno!M225</f>
        <v>0</v>
      </c>
      <c r="N225" s="174">
        <f>Oportuno!N225</f>
        <v>0</v>
      </c>
      <c r="O225" s="174">
        <f>Oportuno!O225</f>
        <v>0</v>
      </c>
      <c r="P225" s="174">
        <f>Oportuno!P225</f>
        <v>0</v>
      </c>
      <c r="Q225" s="174">
        <f>Oportuno!Q225</f>
        <v>0</v>
      </c>
      <c r="R225" s="174">
        <f>Oportuno!R225</f>
        <v>0</v>
      </c>
      <c r="S225" s="215">
        <f>Oportuno!S225</f>
        <v>0</v>
      </c>
      <c r="T225" s="71">
        <f>Oportuno!T225</f>
        <v>0</v>
      </c>
      <c r="U225" s="71">
        <f>Oportuno!U225</f>
        <v>0</v>
      </c>
      <c r="V225" s="117">
        <f>Oportuno!V225</f>
        <v>0</v>
      </c>
      <c r="W225" s="117">
        <f>Oportuno!W225</f>
        <v>0</v>
      </c>
      <c r="X225" s="71">
        <f>Oportuno!X225</f>
        <v>0</v>
      </c>
      <c r="Y225" s="71">
        <f>Oportuno!Y225</f>
        <v>0</v>
      </c>
      <c r="AA225" s="65"/>
    </row>
    <row r="226" spans="2:27 16101:16120" ht="13" customHeight="1">
      <c r="B226" s="119">
        <f>Oportuno!B226</f>
        <v>0</v>
      </c>
      <c r="C226" s="23">
        <f>Oportuno!C226</f>
        <v>2026091</v>
      </c>
      <c r="D226" s="23">
        <f>Oportuno!D226</f>
        <v>8</v>
      </c>
      <c r="E226" s="128">
        <f>Oportuno!E226</f>
        <v>0</v>
      </c>
      <c r="F226" s="126" t="e">
        <f>Oportuno!F226</f>
        <v>#N/A</v>
      </c>
      <c r="G226" s="36">
        <f>Oportuno!G226</f>
        <v>1</v>
      </c>
      <c r="H226" s="126" t="str">
        <f>Oportuno!H226</f>
        <v>Oficinas</v>
      </c>
      <c r="I226" s="130">
        <f>Oportuno!I226</f>
        <v>0</v>
      </c>
      <c r="J226" s="174">
        <f>Oportuno!J226</f>
        <v>0</v>
      </c>
      <c r="K226" s="174">
        <f>Oportuno!K226</f>
        <v>0</v>
      </c>
      <c r="L226" s="174">
        <f>Oportuno!L226</f>
        <v>0</v>
      </c>
      <c r="M226" s="174">
        <f>Oportuno!M226</f>
        <v>0</v>
      </c>
      <c r="N226" s="174">
        <f>Oportuno!N226</f>
        <v>0</v>
      </c>
      <c r="O226" s="174">
        <f>Oportuno!O226</f>
        <v>0</v>
      </c>
      <c r="P226" s="174">
        <f>Oportuno!P226</f>
        <v>0</v>
      </c>
      <c r="Q226" s="174">
        <f>Oportuno!Q226</f>
        <v>0</v>
      </c>
      <c r="R226" s="174">
        <f>Oportuno!R226</f>
        <v>0</v>
      </c>
      <c r="S226" s="215">
        <f>Oportuno!S226</f>
        <v>0</v>
      </c>
      <c r="T226" s="71">
        <f>Oportuno!T226</f>
        <v>0</v>
      </c>
      <c r="U226" s="71">
        <f>Oportuno!U226</f>
        <v>0</v>
      </c>
      <c r="V226" s="117">
        <f>Oportuno!V226</f>
        <v>0</v>
      </c>
      <c r="W226" s="117">
        <f>Oportuno!W226</f>
        <v>0</v>
      </c>
      <c r="X226" s="71">
        <f>Oportuno!X226</f>
        <v>0</v>
      </c>
      <c r="Y226" s="71">
        <f>Oportuno!Y226</f>
        <v>0</v>
      </c>
      <c r="AA226" s="65"/>
    </row>
    <row r="227" spans="2:27 16101:16120" ht="13" customHeight="1">
      <c r="B227" s="119">
        <f>Oportuno!B227</f>
        <v>0</v>
      </c>
      <c r="C227" s="23">
        <f>Oportuno!C227</f>
        <v>2026091</v>
      </c>
      <c r="D227" s="23">
        <f>Oportuno!D227</f>
        <v>8</v>
      </c>
      <c r="E227" s="128">
        <f>Oportuno!E227</f>
        <v>0</v>
      </c>
      <c r="F227" s="126" t="e">
        <f>Oportuno!F227</f>
        <v>#N/A</v>
      </c>
      <c r="G227" s="36">
        <f>Oportuno!G227</f>
        <v>1</v>
      </c>
      <c r="H227" s="126" t="str">
        <f>Oportuno!H227</f>
        <v>Oficinas</v>
      </c>
      <c r="I227" s="130">
        <f>Oportuno!I227</f>
        <v>0</v>
      </c>
      <c r="J227" s="174">
        <f>Oportuno!J227</f>
        <v>0</v>
      </c>
      <c r="K227" s="174">
        <f>Oportuno!K227</f>
        <v>0</v>
      </c>
      <c r="L227" s="174">
        <f>Oportuno!L227</f>
        <v>0</v>
      </c>
      <c r="M227" s="174">
        <f>Oportuno!M227</f>
        <v>0</v>
      </c>
      <c r="N227" s="174">
        <f>Oportuno!N227</f>
        <v>0</v>
      </c>
      <c r="O227" s="174">
        <f>Oportuno!O227</f>
        <v>0</v>
      </c>
      <c r="P227" s="174">
        <f>Oportuno!P227</f>
        <v>0</v>
      </c>
      <c r="Q227" s="174">
        <f>Oportuno!Q227</f>
        <v>0</v>
      </c>
      <c r="R227" s="174">
        <f>Oportuno!R227</f>
        <v>0</v>
      </c>
      <c r="S227" s="215">
        <f>Oportuno!S227</f>
        <v>0</v>
      </c>
      <c r="T227" s="71">
        <f>Oportuno!T227</f>
        <v>0</v>
      </c>
      <c r="U227" s="71">
        <f>Oportuno!U227</f>
        <v>0</v>
      </c>
      <c r="V227" s="117">
        <f>Oportuno!V227</f>
        <v>0</v>
      </c>
      <c r="W227" s="117">
        <f>Oportuno!W227</f>
        <v>0</v>
      </c>
      <c r="X227" s="71">
        <f>Oportuno!X227</f>
        <v>0</v>
      </c>
      <c r="Y227" s="71">
        <f>Oportuno!Y227</f>
        <v>0</v>
      </c>
      <c r="AA227" s="65"/>
    </row>
    <row r="228" spans="2:27 16101:16120" ht="13" customHeight="1">
      <c r="B228" s="119">
        <f>Oportuno!B228</f>
        <v>0</v>
      </c>
      <c r="C228" s="23">
        <f>Oportuno!C228</f>
        <v>2026091</v>
      </c>
      <c r="D228" s="23">
        <f>Oportuno!D228</f>
        <v>8</v>
      </c>
      <c r="E228" s="128">
        <f>Oportuno!E228</f>
        <v>0</v>
      </c>
      <c r="F228" s="126" t="e">
        <f>Oportuno!F228</f>
        <v>#N/A</v>
      </c>
      <c r="G228" s="36">
        <f>Oportuno!G228</f>
        <v>1</v>
      </c>
      <c r="H228" s="126" t="str">
        <f>Oportuno!H228</f>
        <v>Oficinas</v>
      </c>
      <c r="I228" s="130">
        <f>Oportuno!I228</f>
        <v>0</v>
      </c>
      <c r="J228" s="174">
        <f>Oportuno!J228</f>
        <v>0</v>
      </c>
      <c r="K228" s="174">
        <f>Oportuno!K228</f>
        <v>0</v>
      </c>
      <c r="L228" s="174">
        <f>Oportuno!L228</f>
        <v>0</v>
      </c>
      <c r="M228" s="174">
        <f>Oportuno!M228</f>
        <v>0</v>
      </c>
      <c r="N228" s="174">
        <f>Oportuno!N228</f>
        <v>0</v>
      </c>
      <c r="O228" s="174">
        <f>Oportuno!O228</f>
        <v>0</v>
      </c>
      <c r="P228" s="174">
        <f>Oportuno!P228</f>
        <v>0</v>
      </c>
      <c r="Q228" s="174">
        <f>Oportuno!Q228</f>
        <v>0</v>
      </c>
      <c r="R228" s="174">
        <f>Oportuno!R228</f>
        <v>0</v>
      </c>
      <c r="S228" s="215">
        <f>Oportuno!S228</f>
        <v>0</v>
      </c>
      <c r="T228" s="71">
        <f>Oportuno!T228</f>
        <v>0</v>
      </c>
      <c r="U228" s="71">
        <f>Oportuno!U228</f>
        <v>0</v>
      </c>
      <c r="V228" s="117">
        <f>Oportuno!V228</f>
        <v>0</v>
      </c>
      <c r="W228" s="117">
        <f>Oportuno!W228</f>
        <v>0</v>
      </c>
      <c r="X228" s="71">
        <f>Oportuno!X228</f>
        <v>0</v>
      </c>
      <c r="Y228" s="71">
        <f>Oportuno!Y228</f>
        <v>0</v>
      </c>
      <c r="AA228" s="65"/>
    </row>
    <row r="229" spans="2:27 16101:16120" ht="13" customHeight="1">
      <c r="B229" s="119">
        <f>Oportuno!B229</f>
        <v>0</v>
      </c>
      <c r="C229" s="23">
        <f>Oportuno!C229</f>
        <v>2026091</v>
      </c>
      <c r="D229" s="23">
        <f>Oportuno!D229</f>
        <v>8</v>
      </c>
      <c r="E229" s="128">
        <f>Oportuno!E229</f>
        <v>0</v>
      </c>
      <c r="F229" s="126" t="e">
        <f>Oportuno!F229</f>
        <v>#N/A</v>
      </c>
      <c r="G229" s="36">
        <f>Oportuno!G229</f>
        <v>1</v>
      </c>
      <c r="H229" s="126" t="str">
        <f>Oportuno!H229</f>
        <v>Oficinas</v>
      </c>
      <c r="I229" s="130">
        <f>Oportuno!I229</f>
        <v>0</v>
      </c>
      <c r="J229" s="174">
        <f>Oportuno!J229</f>
        <v>0</v>
      </c>
      <c r="K229" s="174">
        <f>Oportuno!K229</f>
        <v>0</v>
      </c>
      <c r="L229" s="174">
        <f>Oportuno!L229</f>
        <v>0</v>
      </c>
      <c r="M229" s="174">
        <f>Oportuno!M229</f>
        <v>0</v>
      </c>
      <c r="N229" s="174">
        <f>Oportuno!N229</f>
        <v>0</v>
      </c>
      <c r="O229" s="174">
        <f>Oportuno!O229</f>
        <v>0</v>
      </c>
      <c r="P229" s="174">
        <f>Oportuno!P229</f>
        <v>0</v>
      </c>
      <c r="Q229" s="174">
        <f>Oportuno!Q229</f>
        <v>0</v>
      </c>
      <c r="R229" s="174">
        <f>Oportuno!R229</f>
        <v>0</v>
      </c>
      <c r="S229" s="215">
        <f>Oportuno!S229</f>
        <v>0</v>
      </c>
      <c r="T229" s="71">
        <f>Oportuno!T229</f>
        <v>0</v>
      </c>
      <c r="U229" s="71">
        <f>Oportuno!U229</f>
        <v>0</v>
      </c>
      <c r="V229" s="117">
        <f>Oportuno!V229</f>
        <v>0</v>
      </c>
      <c r="W229" s="117">
        <f>Oportuno!W229</f>
        <v>0</v>
      </c>
      <c r="X229" s="71">
        <f>Oportuno!X229</f>
        <v>0</v>
      </c>
      <c r="Y229" s="71">
        <f>Oportuno!Y229</f>
        <v>0</v>
      </c>
      <c r="AA229" s="65"/>
    </row>
    <row r="230" spans="2:27 16101:16120" ht="13" customHeight="1">
      <c r="B230" s="119">
        <f>Oportuno!B230</f>
        <v>0</v>
      </c>
      <c r="C230" s="23">
        <f>Oportuno!C230</f>
        <v>2026091</v>
      </c>
      <c r="D230" s="23">
        <f>Oportuno!D230</f>
        <v>8</v>
      </c>
      <c r="E230" s="128">
        <f>Oportuno!E230</f>
        <v>0</v>
      </c>
      <c r="F230" s="126" t="e">
        <f>Oportuno!F230</f>
        <v>#N/A</v>
      </c>
      <c r="G230" s="36">
        <f>Oportuno!G230</f>
        <v>1</v>
      </c>
      <c r="H230" s="126" t="str">
        <f>Oportuno!H230</f>
        <v>Oficinas</v>
      </c>
      <c r="I230" s="130">
        <f>Oportuno!I230</f>
        <v>0</v>
      </c>
      <c r="J230" s="174">
        <f>Oportuno!J230</f>
        <v>0</v>
      </c>
      <c r="K230" s="174">
        <f>Oportuno!K230</f>
        <v>0</v>
      </c>
      <c r="L230" s="174">
        <f>Oportuno!L230</f>
        <v>0</v>
      </c>
      <c r="M230" s="174">
        <f>Oportuno!M230</f>
        <v>0</v>
      </c>
      <c r="N230" s="174">
        <f>Oportuno!N230</f>
        <v>0</v>
      </c>
      <c r="O230" s="174">
        <f>Oportuno!O230</f>
        <v>0</v>
      </c>
      <c r="P230" s="174">
        <f>Oportuno!P230</f>
        <v>0</v>
      </c>
      <c r="Q230" s="174">
        <f>Oportuno!Q230</f>
        <v>0</v>
      </c>
      <c r="R230" s="174">
        <f>Oportuno!R230</f>
        <v>0</v>
      </c>
      <c r="S230" s="215">
        <f>Oportuno!S230</f>
        <v>0</v>
      </c>
      <c r="T230" s="71">
        <f>Oportuno!T230</f>
        <v>0</v>
      </c>
      <c r="U230" s="71">
        <f>Oportuno!U230</f>
        <v>0</v>
      </c>
      <c r="V230" s="117">
        <f>Oportuno!V230</f>
        <v>0</v>
      </c>
      <c r="W230" s="117">
        <f>Oportuno!W230</f>
        <v>0</v>
      </c>
      <c r="X230" s="71">
        <f>Oportuno!X230</f>
        <v>0</v>
      </c>
      <c r="Y230" s="71">
        <f>Oportuno!Y230</f>
        <v>0</v>
      </c>
      <c r="AA230" s="65"/>
    </row>
    <row r="231" spans="2:27 16101:16120" ht="13" customHeight="1">
      <c r="B231" s="119">
        <f>Oportuno!B231</f>
        <v>0</v>
      </c>
      <c r="C231" s="23">
        <f>Oportuno!C231</f>
        <v>2026091</v>
      </c>
      <c r="D231" s="23">
        <f>Oportuno!D231</f>
        <v>8</v>
      </c>
      <c r="E231" s="128">
        <f>Oportuno!E231</f>
        <v>0</v>
      </c>
      <c r="F231" s="126" t="e">
        <f>Oportuno!F231</f>
        <v>#N/A</v>
      </c>
      <c r="G231" s="36">
        <f>Oportuno!G231</f>
        <v>1</v>
      </c>
      <c r="H231" s="126" t="str">
        <f>Oportuno!H231</f>
        <v>Oficinas</v>
      </c>
      <c r="I231" s="130">
        <f>Oportuno!I231</f>
        <v>0</v>
      </c>
      <c r="J231" s="174">
        <f>Oportuno!J231</f>
        <v>0</v>
      </c>
      <c r="K231" s="174">
        <f>Oportuno!K231</f>
        <v>0</v>
      </c>
      <c r="L231" s="174">
        <f>Oportuno!L231</f>
        <v>0</v>
      </c>
      <c r="M231" s="174">
        <f>Oportuno!M231</f>
        <v>0</v>
      </c>
      <c r="N231" s="174">
        <f>Oportuno!N231</f>
        <v>0</v>
      </c>
      <c r="O231" s="174">
        <f>Oportuno!O231</f>
        <v>0</v>
      </c>
      <c r="P231" s="174">
        <f>Oportuno!P231</f>
        <v>0</v>
      </c>
      <c r="Q231" s="174">
        <f>Oportuno!Q231</f>
        <v>0</v>
      </c>
      <c r="R231" s="174">
        <f>Oportuno!R231</f>
        <v>0</v>
      </c>
      <c r="S231" s="215">
        <f>Oportuno!S231</f>
        <v>0</v>
      </c>
      <c r="T231" s="71">
        <f>Oportuno!T231</f>
        <v>0</v>
      </c>
      <c r="U231" s="71">
        <f>Oportuno!U231</f>
        <v>0</v>
      </c>
      <c r="V231" s="117">
        <f>Oportuno!V231</f>
        <v>0</v>
      </c>
      <c r="W231" s="117">
        <f>Oportuno!W231</f>
        <v>0</v>
      </c>
      <c r="X231" s="71">
        <f>Oportuno!X231</f>
        <v>0</v>
      </c>
      <c r="Y231" s="71">
        <f>Oportuno!Y231</f>
        <v>0</v>
      </c>
      <c r="AA231" s="65"/>
    </row>
    <row r="232" spans="2:27 16101:16120" ht="13" customHeight="1">
      <c r="B232" s="119">
        <f>Oportuno!B232</f>
        <v>0</v>
      </c>
      <c r="C232" s="23">
        <f>Oportuno!C232</f>
        <v>2026091</v>
      </c>
      <c r="D232" s="23">
        <f>Oportuno!D232</f>
        <v>8</v>
      </c>
      <c r="E232" s="128">
        <f>Oportuno!E232</f>
        <v>0</v>
      </c>
      <c r="F232" s="126" t="e">
        <f>Oportuno!F232</f>
        <v>#N/A</v>
      </c>
      <c r="G232" s="36">
        <f>Oportuno!G232</f>
        <v>1</v>
      </c>
      <c r="H232" s="126" t="str">
        <f>Oportuno!H232</f>
        <v>Oficinas</v>
      </c>
      <c r="I232" s="130">
        <f>Oportuno!I232</f>
        <v>0</v>
      </c>
      <c r="J232" s="174">
        <f>Oportuno!J232</f>
        <v>0</v>
      </c>
      <c r="K232" s="174">
        <f>Oportuno!K232</f>
        <v>0</v>
      </c>
      <c r="L232" s="174">
        <f>Oportuno!L232</f>
        <v>0</v>
      </c>
      <c r="M232" s="174">
        <f>Oportuno!M232</f>
        <v>0</v>
      </c>
      <c r="N232" s="174">
        <f>Oportuno!N232</f>
        <v>0</v>
      </c>
      <c r="O232" s="174">
        <f>Oportuno!O232</f>
        <v>0</v>
      </c>
      <c r="P232" s="174">
        <f>Oportuno!P232</f>
        <v>0</v>
      </c>
      <c r="Q232" s="174">
        <f>Oportuno!Q232</f>
        <v>0</v>
      </c>
      <c r="R232" s="174">
        <f>Oportuno!R232</f>
        <v>0</v>
      </c>
      <c r="S232" s="215">
        <f>Oportuno!S232</f>
        <v>0</v>
      </c>
      <c r="T232" s="71">
        <f>Oportuno!T232</f>
        <v>0</v>
      </c>
      <c r="U232" s="71">
        <f>Oportuno!U232</f>
        <v>0</v>
      </c>
      <c r="V232" s="117">
        <f>Oportuno!V232</f>
        <v>0</v>
      </c>
      <c r="W232" s="117">
        <f>Oportuno!W232</f>
        <v>0</v>
      </c>
      <c r="X232" s="71">
        <f>Oportuno!X232</f>
        <v>0</v>
      </c>
      <c r="Y232" s="71">
        <f>Oportuno!Y232</f>
        <v>0</v>
      </c>
      <c r="AA232" s="65"/>
    </row>
    <row r="233" spans="2:27 16101:16120" ht="13" customHeight="1" thickBot="1">
      <c r="B233" s="119">
        <f>Oportuno!B233</f>
        <v>0</v>
      </c>
      <c r="C233" s="23">
        <f>Oportuno!C233</f>
        <v>2026091</v>
      </c>
      <c r="D233" s="23">
        <f>Oportuno!D233</f>
        <v>8</v>
      </c>
      <c r="E233" s="128">
        <f>Oportuno!E233</f>
        <v>0</v>
      </c>
      <c r="F233" s="126" t="e">
        <f>Oportuno!F233</f>
        <v>#N/A</v>
      </c>
      <c r="G233" s="36">
        <f>Oportuno!G233</f>
        <v>1</v>
      </c>
      <c r="H233" s="126" t="str">
        <f>Oportuno!H233</f>
        <v>Oficinas</v>
      </c>
      <c r="I233" s="130">
        <f>Oportuno!I233</f>
        <v>0</v>
      </c>
      <c r="J233" s="174">
        <f>Oportuno!J233</f>
        <v>0</v>
      </c>
      <c r="K233" s="174">
        <f>Oportuno!K233</f>
        <v>0</v>
      </c>
      <c r="L233" s="174">
        <f>Oportuno!L233</f>
        <v>0</v>
      </c>
      <c r="M233" s="174">
        <f>Oportuno!M233</f>
        <v>0</v>
      </c>
      <c r="N233" s="174">
        <f>Oportuno!N233</f>
        <v>0</v>
      </c>
      <c r="O233" s="174">
        <f>Oportuno!O233</f>
        <v>0</v>
      </c>
      <c r="P233" s="174">
        <f>Oportuno!P233</f>
        <v>0</v>
      </c>
      <c r="Q233" s="174">
        <f>Oportuno!Q233</f>
        <v>0</v>
      </c>
      <c r="R233" s="174">
        <f>Oportuno!R233</f>
        <v>0</v>
      </c>
      <c r="S233" s="215">
        <f>Oportuno!S233</f>
        <v>0</v>
      </c>
      <c r="T233" s="71">
        <f>Oportuno!T233</f>
        <v>0</v>
      </c>
      <c r="U233" s="71">
        <f>Oportuno!U233</f>
        <v>0</v>
      </c>
      <c r="V233" s="117">
        <f>Oportuno!V233</f>
        <v>0</v>
      </c>
      <c r="W233" s="117">
        <f>Oportuno!W233</f>
        <v>0</v>
      </c>
      <c r="X233" s="71">
        <f>Oportuno!X233</f>
        <v>0</v>
      </c>
      <c r="Y233" s="71">
        <f>Oportuno!Y233</f>
        <v>0</v>
      </c>
      <c r="AA233" s="65"/>
    </row>
    <row r="234" spans="2:27 16101:16120" ht="13" customHeight="1" thickBot="1">
      <c r="B234" s="1" t="s">
        <v>0</v>
      </c>
      <c r="C234" s="1" t="s">
        <v>0</v>
      </c>
      <c r="D234" s="20" t="s">
        <v>0</v>
      </c>
      <c r="E234" s="120" t="str">
        <f>Oportuno!E234</f>
        <v xml:space="preserve"> </v>
      </c>
      <c r="F234" s="121" t="str">
        <f>Oportuno!F234</f>
        <v>TOTAL RECAUDO</v>
      </c>
      <c r="G234" s="121" t="s">
        <v>0</v>
      </c>
      <c r="H234" s="121" t="s">
        <v>0</v>
      </c>
      <c r="I234" s="121" t="s">
        <v>0</v>
      </c>
      <c r="J234" s="122">
        <f>Oportuno!J234</f>
        <v>0</v>
      </c>
      <c r="K234" s="122">
        <f>Oportuno!K234</f>
        <v>0</v>
      </c>
      <c r="L234" s="122">
        <f>Oportuno!L234</f>
        <v>0</v>
      </c>
      <c r="M234" s="122">
        <f>Oportuno!M234</f>
        <v>0</v>
      </c>
      <c r="N234" s="122">
        <f>Oportuno!N234</f>
        <v>0</v>
      </c>
      <c r="O234" s="122">
        <f>Oportuno!O234</f>
        <v>0</v>
      </c>
      <c r="P234" s="122">
        <f>Oportuno!P234</f>
        <v>0</v>
      </c>
      <c r="Q234" s="122">
        <f>Oportuno!Q234</f>
        <v>0</v>
      </c>
      <c r="R234" s="122">
        <f>Oportuno!R234</f>
        <v>207</v>
      </c>
      <c r="S234" s="122">
        <f>Oportuno!S234</f>
        <v>9922340</v>
      </c>
      <c r="T234" s="122">
        <f>Oportuno!T234</f>
        <v>207</v>
      </c>
      <c r="U234" s="122">
        <f>Oportuno!U234</f>
        <v>9922340</v>
      </c>
      <c r="V234" s="123">
        <f>Oportuno!V234</f>
        <v>207</v>
      </c>
      <c r="W234" s="123">
        <f>Oportuno!W234</f>
        <v>9922340</v>
      </c>
      <c r="X234" s="122">
        <f>Oportuno!X234</f>
        <v>0</v>
      </c>
      <c r="Y234" s="123">
        <f>Oportuno!Y234</f>
        <v>0</v>
      </c>
      <c r="AA234" s="65"/>
    </row>
    <row r="235" spans="2:27 16101:16120" ht="13" thickBot="1">
      <c r="AA235" s="65"/>
    </row>
    <row r="236" spans="2:27 16101:16120" ht="41.25" customHeight="1" thickBot="1">
      <c r="B236" s="112" t="s">
        <v>4</v>
      </c>
      <c r="C236" s="34" t="s">
        <v>6</v>
      </c>
      <c r="D236" s="34" t="s">
        <v>7</v>
      </c>
      <c r="E236" s="34" t="s">
        <v>49</v>
      </c>
      <c r="F236" s="34" t="s">
        <v>50</v>
      </c>
      <c r="G236" s="34" t="s">
        <v>51</v>
      </c>
      <c r="H236" s="34" t="s">
        <v>52</v>
      </c>
      <c r="I236" s="34" t="s">
        <v>13</v>
      </c>
      <c r="J236" s="231" t="s">
        <v>8</v>
      </c>
      <c r="K236" s="231" t="s">
        <v>36</v>
      </c>
      <c r="L236" s="12" t="s">
        <v>9</v>
      </c>
      <c r="M236" s="12" t="s">
        <v>37</v>
      </c>
      <c r="N236" s="87" t="s">
        <v>10</v>
      </c>
      <c r="O236" s="88" t="s">
        <v>38</v>
      </c>
      <c r="P236" s="87" t="s">
        <v>11</v>
      </c>
      <c r="Q236" s="88" t="s">
        <v>39</v>
      </c>
      <c r="R236" s="232" t="s">
        <v>12</v>
      </c>
      <c r="S236" s="233" t="s">
        <v>40</v>
      </c>
      <c r="T236" s="64" t="s">
        <v>41</v>
      </c>
      <c r="U236" s="64" t="s">
        <v>42</v>
      </c>
      <c r="V236" s="35" t="s">
        <v>32</v>
      </c>
      <c r="W236" s="67" t="s">
        <v>35</v>
      </c>
      <c r="X236" s="12" t="s">
        <v>34</v>
      </c>
      <c r="Y236" s="68" t="s">
        <v>33</v>
      </c>
      <c r="AA236" s="66"/>
      <c r="WUG236" s="1"/>
      <c r="WUH236" s="1"/>
      <c r="WUY236"/>
      <c r="WUZ236"/>
    </row>
    <row r="237" spans="2:27 16101:16120" ht="13" customHeight="1">
      <c r="B237" s="119" t="str">
        <f>Oportuno!B237</f>
        <v>10/09/2026</v>
      </c>
      <c r="C237" s="24">
        <f>Oportuno!C237</f>
        <v>2026091</v>
      </c>
      <c r="D237" s="24">
        <f>Oportuno!D237</f>
        <v>9</v>
      </c>
      <c r="E237" s="127">
        <f>Oportuno!E237</f>
        <v>20</v>
      </c>
      <c r="F237" s="125" t="str">
        <f>Oportuno!F237</f>
        <v>Bancolombia ENERBIT</v>
      </c>
      <c r="G237" s="18">
        <f>Oportuno!G237</f>
        <v>1</v>
      </c>
      <c r="H237" s="125" t="str">
        <f>Oportuno!H237</f>
        <v>Oficinas</v>
      </c>
      <c r="I237" s="129">
        <f>Oportuno!I237</f>
        <v>0</v>
      </c>
      <c r="J237" s="213">
        <f>Oportuno!J237</f>
        <v>0</v>
      </c>
      <c r="K237" s="213">
        <f>Oportuno!K237</f>
        <v>0</v>
      </c>
      <c r="L237" s="213">
        <f>Oportuno!L237</f>
        <v>0</v>
      </c>
      <c r="M237" s="213">
        <f>Oportuno!M237</f>
        <v>0</v>
      </c>
      <c r="N237" s="213">
        <f>Oportuno!N237</f>
        <v>0</v>
      </c>
      <c r="O237" s="213">
        <f>Oportuno!O237</f>
        <v>0</v>
      </c>
      <c r="P237" s="213">
        <f>Oportuno!P237</f>
        <v>0</v>
      </c>
      <c r="Q237" s="213">
        <f>Oportuno!Q237</f>
        <v>0</v>
      </c>
      <c r="R237" s="213">
        <f>Oportuno!R237</f>
        <v>166</v>
      </c>
      <c r="S237" s="214">
        <f>Oportuno!S237</f>
        <v>7456710</v>
      </c>
      <c r="T237" s="70">
        <f>Oportuno!T237</f>
        <v>166</v>
      </c>
      <c r="U237" s="70">
        <f>Oportuno!U237</f>
        <v>7456710</v>
      </c>
      <c r="V237" s="116">
        <f>Oportuno!V237</f>
        <v>166</v>
      </c>
      <c r="W237" s="116">
        <f>Oportuno!W237</f>
        <v>7456710</v>
      </c>
      <c r="X237" s="70">
        <f>Oportuno!X237</f>
        <v>0</v>
      </c>
      <c r="Y237" s="70">
        <f>Oportuno!Y237</f>
        <v>0</v>
      </c>
      <c r="AA237" s="65"/>
    </row>
    <row r="238" spans="2:27 16101:16120" ht="13" customHeight="1">
      <c r="B238" s="119">
        <f>Oportuno!B238</f>
        <v>0</v>
      </c>
      <c r="C238" s="23">
        <f>Oportuno!C238</f>
        <v>2026091</v>
      </c>
      <c r="D238" s="23">
        <f>Oportuno!D238</f>
        <v>9</v>
      </c>
      <c r="E238" s="128">
        <f>Oportuno!E238</f>
        <v>0</v>
      </c>
      <c r="F238" s="126" t="e">
        <f>Oportuno!F238</f>
        <v>#N/A</v>
      </c>
      <c r="G238" s="36">
        <f>Oportuno!G238</f>
        <v>1</v>
      </c>
      <c r="H238" s="126" t="str">
        <f>Oportuno!H238</f>
        <v>Oficinas</v>
      </c>
      <c r="I238" s="130">
        <f>Oportuno!I238</f>
        <v>0</v>
      </c>
      <c r="J238" s="174">
        <f>Oportuno!J238</f>
        <v>0</v>
      </c>
      <c r="K238" s="174">
        <f>Oportuno!K238</f>
        <v>0</v>
      </c>
      <c r="L238" s="174">
        <f>Oportuno!L238</f>
        <v>0</v>
      </c>
      <c r="M238" s="174">
        <f>Oportuno!M238</f>
        <v>0</v>
      </c>
      <c r="N238" s="174">
        <f>Oportuno!N238</f>
        <v>0</v>
      </c>
      <c r="O238" s="174">
        <f>Oportuno!O238</f>
        <v>0</v>
      </c>
      <c r="P238" s="174">
        <f>Oportuno!P238</f>
        <v>0</v>
      </c>
      <c r="Q238" s="174">
        <f>Oportuno!Q238</f>
        <v>0</v>
      </c>
      <c r="R238" s="174">
        <f>Oportuno!R238</f>
        <v>0</v>
      </c>
      <c r="S238" s="215">
        <f>Oportuno!S238</f>
        <v>0</v>
      </c>
      <c r="T238" s="71">
        <f>Oportuno!T238</f>
        <v>0</v>
      </c>
      <c r="U238" s="71">
        <f>Oportuno!U238</f>
        <v>0</v>
      </c>
      <c r="V238" s="117">
        <f>Oportuno!V238</f>
        <v>0</v>
      </c>
      <c r="W238" s="117">
        <f>Oportuno!W238</f>
        <v>0</v>
      </c>
      <c r="X238" s="71">
        <f>Oportuno!X238</f>
        <v>0</v>
      </c>
      <c r="Y238" s="71">
        <f>Oportuno!Y238</f>
        <v>0</v>
      </c>
      <c r="AA238" s="65"/>
    </row>
    <row r="239" spans="2:27 16101:16120" ht="13" customHeight="1">
      <c r="B239" s="119">
        <f>Oportuno!B239</f>
        <v>0</v>
      </c>
      <c r="C239" s="23">
        <f>Oportuno!C239</f>
        <v>2026091</v>
      </c>
      <c r="D239" s="23">
        <f>Oportuno!D239</f>
        <v>9</v>
      </c>
      <c r="E239" s="128">
        <f>Oportuno!E239</f>
        <v>0</v>
      </c>
      <c r="F239" s="126" t="e">
        <f>Oportuno!F239</f>
        <v>#N/A</v>
      </c>
      <c r="G239" s="36">
        <f>Oportuno!G239</f>
        <v>1</v>
      </c>
      <c r="H239" s="126" t="str">
        <f>Oportuno!H239</f>
        <v>Oficinas</v>
      </c>
      <c r="I239" s="130">
        <f>Oportuno!I239</f>
        <v>0</v>
      </c>
      <c r="J239" s="174">
        <f>Oportuno!J239</f>
        <v>0</v>
      </c>
      <c r="K239" s="174">
        <f>Oportuno!K239</f>
        <v>0</v>
      </c>
      <c r="L239" s="174">
        <f>Oportuno!L239</f>
        <v>0</v>
      </c>
      <c r="M239" s="174">
        <f>Oportuno!M239</f>
        <v>0</v>
      </c>
      <c r="N239" s="174">
        <f>Oportuno!N239</f>
        <v>0</v>
      </c>
      <c r="O239" s="174">
        <f>Oportuno!O239</f>
        <v>0</v>
      </c>
      <c r="P239" s="174">
        <f>Oportuno!P239</f>
        <v>0</v>
      </c>
      <c r="Q239" s="174">
        <f>Oportuno!Q239</f>
        <v>0</v>
      </c>
      <c r="R239" s="174">
        <f>Oportuno!R239</f>
        <v>0</v>
      </c>
      <c r="S239" s="215">
        <f>Oportuno!S239</f>
        <v>0</v>
      </c>
      <c r="T239" s="71">
        <f>Oportuno!T239</f>
        <v>0</v>
      </c>
      <c r="U239" s="71">
        <f>Oportuno!U239</f>
        <v>0</v>
      </c>
      <c r="V239" s="117">
        <f>Oportuno!V239</f>
        <v>0</v>
      </c>
      <c r="W239" s="117">
        <f>Oportuno!W239</f>
        <v>0</v>
      </c>
      <c r="X239" s="71">
        <f>Oportuno!X239</f>
        <v>0</v>
      </c>
      <c r="Y239" s="71">
        <f>Oportuno!Y239</f>
        <v>0</v>
      </c>
      <c r="AA239" s="65"/>
    </row>
    <row r="240" spans="2:27 16101:16120" ht="13" customHeight="1">
      <c r="B240" s="119">
        <f>Oportuno!B240</f>
        <v>0</v>
      </c>
      <c r="C240" s="23">
        <f>Oportuno!C240</f>
        <v>2026091</v>
      </c>
      <c r="D240" s="23">
        <f>Oportuno!D240</f>
        <v>9</v>
      </c>
      <c r="E240" s="128">
        <f>Oportuno!E240</f>
        <v>0</v>
      </c>
      <c r="F240" s="126" t="e">
        <f>Oportuno!F240</f>
        <v>#N/A</v>
      </c>
      <c r="G240" s="36">
        <f>Oportuno!G240</f>
        <v>1</v>
      </c>
      <c r="H240" s="126" t="str">
        <f>Oportuno!H240</f>
        <v>Oficinas</v>
      </c>
      <c r="I240" s="130">
        <f>Oportuno!I240</f>
        <v>0</v>
      </c>
      <c r="J240" s="174">
        <f>Oportuno!J240</f>
        <v>0</v>
      </c>
      <c r="K240" s="174">
        <f>Oportuno!K240</f>
        <v>0</v>
      </c>
      <c r="L240" s="174">
        <f>Oportuno!L240</f>
        <v>0</v>
      </c>
      <c r="M240" s="174">
        <f>Oportuno!M240</f>
        <v>0</v>
      </c>
      <c r="N240" s="174">
        <f>Oportuno!N240</f>
        <v>0</v>
      </c>
      <c r="O240" s="174">
        <f>Oportuno!O240</f>
        <v>0</v>
      </c>
      <c r="P240" s="174">
        <f>Oportuno!P240</f>
        <v>0</v>
      </c>
      <c r="Q240" s="174">
        <f>Oportuno!Q240</f>
        <v>0</v>
      </c>
      <c r="R240" s="174">
        <f>Oportuno!R240</f>
        <v>0</v>
      </c>
      <c r="S240" s="215">
        <f>Oportuno!S240</f>
        <v>0</v>
      </c>
      <c r="T240" s="71">
        <f>Oportuno!T240</f>
        <v>0</v>
      </c>
      <c r="U240" s="71">
        <f>Oportuno!U240</f>
        <v>0</v>
      </c>
      <c r="V240" s="117">
        <f>Oportuno!V240</f>
        <v>0</v>
      </c>
      <c r="W240" s="117">
        <f>Oportuno!W240</f>
        <v>0</v>
      </c>
      <c r="X240" s="71">
        <f>Oportuno!X240</f>
        <v>0</v>
      </c>
      <c r="Y240" s="71">
        <f>Oportuno!Y240</f>
        <v>0</v>
      </c>
      <c r="AA240" s="65"/>
    </row>
    <row r="241" spans="2:27" ht="13" customHeight="1">
      <c r="B241" s="119">
        <f>Oportuno!B241</f>
        <v>0</v>
      </c>
      <c r="C241" s="23">
        <f>Oportuno!C241</f>
        <v>2026091</v>
      </c>
      <c r="D241" s="23">
        <f>Oportuno!D241</f>
        <v>9</v>
      </c>
      <c r="E241" s="128">
        <f>Oportuno!E241</f>
        <v>0</v>
      </c>
      <c r="F241" s="126" t="e">
        <f>Oportuno!F241</f>
        <v>#N/A</v>
      </c>
      <c r="G241" s="36">
        <f>Oportuno!G241</f>
        <v>1</v>
      </c>
      <c r="H241" s="126" t="str">
        <f>Oportuno!H241</f>
        <v>Oficinas</v>
      </c>
      <c r="I241" s="130">
        <f>Oportuno!I241</f>
        <v>0</v>
      </c>
      <c r="J241" s="174">
        <f>Oportuno!J241</f>
        <v>0</v>
      </c>
      <c r="K241" s="174">
        <f>Oportuno!K241</f>
        <v>0</v>
      </c>
      <c r="L241" s="174">
        <f>Oportuno!L241</f>
        <v>0</v>
      </c>
      <c r="M241" s="174">
        <f>Oportuno!M241</f>
        <v>0</v>
      </c>
      <c r="N241" s="174">
        <f>Oportuno!N241</f>
        <v>0</v>
      </c>
      <c r="O241" s="174">
        <f>Oportuno!O241</f>
        <v>0</v>
      </c>
      <c r="P241" s="174">
        <f>Oportuno!P241</f>
        <v>0</v>
      </c>
      <c r="Q241" s="174">
        <f>Oportuno!Q241</f>
        <v>0</v>
      </c>
      <c r="R241" s="174">
        <f>Oportuno!R241</f>
        <v>0</v>
      </c>
      <c r="S241" s="215">
        <f>Oportuno!S241</f>
        <v>0</v>
      </c>
      <c r="T241" s="71">
        <f>Oportuno!T241</f>
        <v>0</v>
      </c>
      <c r="U241" s="71">
        <f>Oportuno!U241</f>
        <v>0</v>
      </c>
      <c r="V241" s="117">
        <f>Oportuno!V241</f>
        <v>0</v>
      </c>
      <c r="W241" s="117">
        <f>Oportuno!W241</f>
        <v>0</v>
      </c>
      <c r="X241" s="71">
        <f>Oportuno!X241</f>
        <v>0</v>
      </c>
      <c r="Y241" s="71">
        <f>Oportuno!Y241</f>
        <v>0</v>
      </c>
      <c r="AA241" s="65"/>
    </row>
    <row r="242" spans="2:27" ht="13" customHeight="1">
      <c r="B242" s="119">
        <f>Oportuno!B242</f>
        <v>0</v>
      </c>
      <c r="C242" s="23">
        <f>Oportuno!C242</f>
        <v>2026091</v>
      </c>
      <c r="D242" s="23">
        <f>Oportuno!D242</f>
        <v>9</v>
      </c>
      <c r="E242" s="128">
        <f>Oportuno!E242</f>
        <v>0</v>
      </c>
      <c r="F242" s="126" t="e">
        <f>Oportuno!F242</f>
        <v>#N/A</v>
      </c>
      <c r="G242" s="36">
        <f>Oportuno!G242</f>
        <v>1</v>
      </c>
      <c r="H242" s="126" t="str">
        <f>Oportuno!H242</f>
        <v>Oficinas</v>
      </c>
      <c r="I242" s="130">
        <f>Oportuno!I242</f>
        <v>0</v>
      </c>
      <c r="J242" s="174">
        <f>Oportuno!J242</f>
        <v>0</v>
      </c>
      <c r="K242" s="174">
        <f>Oportuno!K242</f>
        <v>0</v>
      </c>
      <c r="L242" s="174">
        <f>Oportuno!L242</f>
        <v>0</v>
      </c>
      <c r="M242" s="174">
        <f>Oportuno!M242</f>
        <v>0</v>
      </c>
      <c r="N242" s="174">
        <f>Oportuno!N242</f>
        <v>0</v>
      </c>
      <c r="O242" s="174">
        <f>Oportuno!O242</f>
        <v>0</v>
      </c>
      <c r="P242" s="174">
        <f>Oportuno!P242</f>
        <v>0</v>
      </c>
      <c r="Q242" s="174">
        <f>Oportuno!Q242</f>
        <v>0</v>
      </c>
      <c r="R242" s="174">
        <f>Oportuno!R242</f>
        <v>0</v>
      </c>
      <c r="S242" s="215">
        <f>Oportuno!S242</f>
        <v>0</v>
      </c>
      <c r="T242" s="71">
        <f>Oportuno!T242</f>
        <v>0</v>
      </c>
      <c r="U242" s="71">
        <f>Oportuno!U242</f>
        <v>0</v>
      </c>
      <c r="V242" s="117">
        <f>Oportuno!V242</f>
        <v>0</v>
      </c>
      <c r="W242" s="117">
        <f>Oportuno!W242</f>
        <v>0</v>
      </c>
      <c r="X242" s="71">
        <f>Oportuno!X242</f>
        <v>0</v>
      </c>
      <c r="Y242" s="71">
        <f>Oportuno!Y242</f>
        <v>0</v>
      </c>
      <c r="AA242" s="65"/>
    </row>
    <row r="243" spans="2:27" ht="13" customHeight="1">
      <c r="B243" s="119">
        <f>Oportuno!B243</f>
        <v>0</v>
      </c>
      <c r="C243" s="23">
        <f>Oportuno!C243</f>
        <v>2026091</v>
      </c>
      <c r="D243" s="23">
        <f>Oportuno!D243</f>
        <v>9</v>
      </c>
      <c r="E243" s="128">
        <f>Oportuno!E243</f>
        <v>0</v>
      </c>
      <c r="F243" s="126" t="e">
        <f>Oportuno!F243</f>
        <v>#N/A</v>
      </c>
      <c r="G243" s="36">
        <f>Oportuno!G243</f>
        <v>1</v>
      </c>
      <c r="H243" s="126" t="str">
        <f>Oportuno!H243</f>
        <v>Oficinas</v>
      </c>
      <c r="I243" s="130">
        <f>Oportuno!I243</f>
        <v>0</v>
      </c>
      <c r="J243" s="174">
        <f>Oportuno!J243</f>
        <v>0</v>
      </c>
      <c r="K243" s="174">
        <f>Oportuno!K243</f>
        <v>0</v>
      </c>
      <c r="L243" s="174">
        <f>Oportuno!L243</f>
        <v>0</v>
      </c>
      <c r="M243" s="174">
        <f>Oportuno!M243</f>
        <v>0</v>
      </c>
      <c r="N243" s="174">
        <f>Oportuno!N243</f>
        <v>0</v>
      </c>
      <c r="O243" s="174">
        <f>Oportuno!O243</f>
        <v>0</v>
      </c>
      <c r="P243" s="174">
        <f>Oportuno!P243</f>
        <v>0</v>
      </c>
      <c r="Q243" s="174">
        <f>Oportuno!Q243</f>
        <v>0</v>
      </c>
      <c r="R243" s="174">
        <f>Oportuno!R243</f>
        <v>0</v>
      </c>
      <c r="S243" s="215">
        <f>Oportuno!S243</f>
        <v>0</v>
      </c>
      <c r="T243" s="71">
        <f>Oportuno!T243</f>
        <v>0</v>
      </c>
      <c r="U243" s="71">
        <f>Oportuno!U243</f>
        <v>0</v>
      </c>
      <c r="V243" s="117">
        <f>Oportuno!V243</f>
        <v>0</v>
      </c>
      <c r="W243" s="117">
        <f>Oportuno!W243</f>
        <v>0</v>
      </c>
      <c r="X243" s="71">
        <f>Oportuno!X243</f>
        <v>0</v>
      </c>
      <c r="Y243" s="71">
        <f>Oportuno!Y243</f>
        <v>0</v>
      </c>
      <c r="AA243" s="65"/>
    </row>
    <row r="244" spans="2:27" ht="13" customHeight="1">
      <c r="B244" s="119">
        <f>Oportuno!B244</f>
        <v>0</v>
      </c>
      <c r="C244" s="23">
        <f>Oportuno!C244</f>
        <v>2026091</v>
      </c>
      <c r="D244" s="23">
        <f>Oportuno!D244</f>
        <v>9</v>
      </c>
      <c r="E244" s="128">
        <f>Oportuno!E244</f>
        <v>0</v>
      </c>
      <c r="F244" s="126" t="e">
        <f>Oportuno!F244</f>
        <v>#N/A</v>
      </c>
      <c r="G244" s="36">
        <f>Oportuno!G244</f>
        <v>1</v>
      </c>
      <c r="H244" s="126" t="str">
        <f>Oportuno!H244</f>
        <v>Oficinas</v>
      </c>
      <c r="I244" s="130">
        <f>Oportuno!I244</f>
        <v>0</v>
      </c>
      <c r="J244" s="174">
        <f>Oportuno!J244</f>
        <v>0</v>
      </c>
      <c r="K244" s="174">
        <f>Oportuno!K244</f>
        <v>0</v>
      </c>
      <c r="L244" s="174">
        <f>Oportuno!L244</f>
        <v>0</v>
      </c>
      <c r="M244" s="174">
        <f>Oportuno!M244</f>
        <v>0</v>
      </c>
      <c r="N244" s="174">
        <f>Oportuno!N244</f>
        <v>0</v>
      </c>
      <c r="O244" s="174">
        <f>Oportuno!O244</f>
        <v>0</v>
      </c>
      <c r="P244" s="174">
        <f>Oportuno!P244</f>
        <v>0</v>
      </c>
      <c r="Q244" s="174">
        <f>Oportuno!Q244</f>
        <v>0</v>
      </c>
      <c r="R244" s="174">
        <f>Oportuno!R244</f>
        <v>0</v>
      </c>
      <c r="S244" s="215">
        <f>Oportuno!S244</f>
        <v>0</v>
      </c>
      <c r="T244" s="71">
        <f>Oportuno!T244</f>
        <v>0</v>
      </c>
      <c r="U244" s="71">
        <f>Oportuno!U244</f>
        <v>0</v>
      </c>
      <c r="V244" s="117">
        <f>Oportuno!V244</f>
        <v>0</v>
      </c>
      <c r="W244" s="117">
        <f>Oportuno!W244</f>
        <v>0</v>
      </c>
      <c r="X244" s="71">
        <f>Oportuno!X244</f>
        <v>0</v>
      </c>
      <c r="Y244" s="71">
        <f>Oportuno!Y244</f>
        <v>0</v>
      </c>
      <c r="AA244" s="65"/>
    </row>
    <row r="245" spans="2:27" ht="13" customHeight="1">
      <c r="B245" s="119">
        <f>Oportuno!B245</f>
        <v>0</v>
      </c>
      <c r="C245" s="23">
        <f>Oportuno!C245</f>
        <v>2026091</v>
      </c>
      <c r="D245" s="23">
        <f>Oportuno!D245</f>
        <v>9</v>
      </c>
      <c r="E245" s="128">
        <f>Oportuno!E245</f>
        <v>0</v>
      </c>
      <c r="F245" s="126" t="e">
        <f>Oportuno!F245</f>
        <v>#N/A</v>
      </c>
      <c r="G245" s="36">
        <f>Oportuno!G245</f>
        <v>1</v>
      </c>
      <c r="H245" s="126" t="str">
        <f>Oportuno!H245</f>
        <v>Oficinas</v>
      </c>
      <c r="I245" s="130">
        <f>Oportuno!I245</f>
        <v>0</v>
      </c>
      <c r="J245" s="174">
        <f>Oportuno!J245</f>
        <v>0</v>
      </c>
      <c r="K245" s="174">
        <f>Oportuno!K245</f>
        <v>0</v>
      </c>
      <c r="L245" s="174">
        <f>Oportuno!L245</f>
        <v>0</v>
      </c>
      <c r="M245" s="174">
        <f>Oportuno!M245</f>
        <v>0</v>
      </c>
      <c r="N245" s="174">
        <f>Oportuno!N245</f>
        <v>0</v>
      </c>
      <c r="O245" s="174">
        <f>Oportuno!O245</f>
        <v>0</v>
      </c>
      <c r="P245" s="174">
        <f>Oportuno!P245</f>
        <v>0</v>
      </c>
      <c r="Q245" s="174">
        <f>Oportuno!Q245</f>
        <v>0</v>
      </c>
      <c r="R245" s="174">
        <f>Oportuno!R245</f>
        <v>0</v>
      </c>
      <c r="S245" s="215">
        <f>Oportuno!S245</f>
        <v>0</v>
      </c>
      <c r="T245" s="71">
        <f>Oportuno!T245</f>
        <v>0</v>
      </c>
      <c r="U245" s="71">
        <f>Oportuno!U245</f>
        <v>0</v>
      </c>
      <c r="V245" s="117">
        <f>Oportuno!V245</f>
        <v>0</v>
      </c>
      <c r="W245" s="117">
        <f>Oportuno!W245</f>
        <v>0</v>
      </c>
      <c r="X245" s="71">
        <f>Oportuno!X245</f>
        <v>0</v>
      </c>
      <c r="Y245" s="71">
        <f>Oportuno!Y245</f>
        <v>0</v>
      </c>
      <c r="AA245" s="65"/>
    </row>
    <row r="246" spans="2:27" ht="13" customHeight="1">
      <c r="B246" s="119">
        <f>Oportuno!B246</f>
        <v>0</v>
      </c>
      <c r="C246" s="23">
        <f>Oportuno!C246</f>
        <v>2026091</v>
      </c>
      <c r="D246" s="23">
        <f>Oportuno!D246</f>
        <v>9</v>
      </c>
      <c r="E246" s="128">
        <f>Oportuno!E246</f>
        <v>0</v>
      </c>
      <c r="F246" s="126" t="e">
        <f>Oportuno!F246</f>
        <v>#N/A</v>
      </c>
      <c r="G246" s="36">
        <f>Oportuno!G246</f>
        <v>1</v>
      </c>
      <c r="H246" s="126" t="str">
        <f>Oportuno!H246</f>
        <v>Oficinas</v>
      </c>
      <c r="I246" s="130">
        <f>Oportuno!I246</f>
        <v>0</v>
      </c>
      <c r="J246" s="174">
        <f>Oportuno!J246</f>
        <v>0</v>
      </c>
      <c r="K246" s="174">
        <f>Oportuno!K246</f>
        <v>0</v>
      </c>
      <c r="L246" s="174">
        <f>Oportuno!L246</f>
        <v>0</v>
      </c>
      <c r="M246" s="174">
        <f>Oportuno!M246</f>
        <v>0</v>
      </c>
      <c r="N246" s="174">
        <f>Oportuno!N246</f>
        <v>0</v>
      </c>
      <c r="O246" s="174">
        <f>Oportuno!O246</f>
        <v>0</v>
      </c>
      <c r="P246" s="174">
        <f>Oportuno!P246</f>
        <v>0</v>
      </c>
      <c r="Q246" s="174">
        <f>Oportuno!Q246</f>
        <v>0</v>
      </c>
      <c r="R246" s="174">
        <f>Oportuno!R246</f>
        <v>0</v>
      </c>
      <c r="S246" s="215">
        <f>Oportuno!S246</f>
        <v>0</v>
      </c>
      <c r="T246" s="71">
        <f>Oportuno!T246</f>
        <v>0</v>
      </c>
      <c r="U246" s="71">
        <f>Oportuno!U246</f>
        <v>0</v>
      </c>
      <c r="V246" s="117">
        <f>Oportuno!V246</f>
        <v>0</v>
      </c>
      <c r="W246" s="117">
        <f>Oportuno!W246</f>
        <v>0</v>
      </c>
      <c r="X246" s="71">
        <f>Oportuno!X246</f>
        <v>0</v>
      </c>
      <c r="Y246" s="71">
        <f>Oportuno!Y246</f>
        <v>0</v>
      </c>
      <c r="AA246" s="65"/>
    </row>
    <row r="247" spans="2:27" ht="13" customHeight="1">
      <c r="B247" s="119">
        <f>Oportuno!B247</f>
        <v>0</v>
      </c>
      <c r="C247" s="23">
        <f>Oportuno!C247</f>
        <v>2026091</v>
      </c>
      <c r="D247" s="23">
        <f>Oportuno!D247</f>
        <v>9</v>
      </c>
      <c r="E247" s="128">
        <f>Oportuno!E247</f>
        <v>0</v>
      </c>
      <c r="F247" s="126" t="e">
        <f>Oportuno!F247</f>
        <v>#N/A</v>
      </c>
      <c r="G247" s="36">
        <f>Oportuno!G247</f>
        <v>1</v>
      </c>
      <c r="H247" s="126" t="str">
        <f>Oportuno!H247</f>
        <v>Oficinas</v>
      </c>
      <c r="I247" s="130">
        <f>Oportuno!I247</f>
        <v>0</v>
      </c>
      <c r="J247" s="174">
        <f>Oportuno!J247</f>
        <v>0</v>
      </c>
      <c r="K247" s="174">
        <f>Oportuno!K247</f>
        <v>0</v>
      </c>
      <c r="L247" s="174">
        <f>Oportuno!L247</f>
        <v>0</v>
      </c>
      <c r="M247" s="174">
        <f>Oportuno!M247</f>
        <v>0</v>
      </c>
      <c r="N247" s="174">
        <f>Oportuno!N247</f>
        <v>0</v>
      </c>
      <c r="O247" s="174">
        <f>Oportuno!O247</f>
        <v>0</v>
      </c>
      <c r="P247" s="174">
        <f>Oportuno!P247</f>
        <v>0</v>
      </c>
      <c r="Q247" s="174">
        <f>Oportuno!Q247</f>
        <v>0</v>
      </c>
      <c r="R247" s="174">
        <f>Oportuno!R247</f>
        <v>0</v>
      </c>
      <c r="S247" s="215">
        <f>Oportuno!S247</f>
        <v>0</v>
      </c>
      <c r="T247" s="71">
        <f>Oportuno!T247</f>
        <v>0</v>
      </c>
      <c r="U247" s="71">
        <f>Oportuno!U247</f>
        <v>0</v>
      </c>
      <c r="V247" s="117">
        <f>Oportuno!V247</f>
        <v>0</v>
      </c>
      <c r="W247" s="117">
        <f>Oportuno!W247</f>
        <v>0</v>
      </c>
      <c r="X247" s="71">
        <f>Oportuno!X247</f>
        <v>0</v>
      </c>
      <c r="Y247" s="71">
        <f>Oportuno!Y247</f>
        <v>0</v>
      </c>
      <c r="AA247" s="65"/>
    </row>
    <row r="248" spans="2:27" ht="13" customHeight="1">
      <c r="B248" s="119">
        <f>Oportuno!B248</f>
        <v>0</v>
      </c>
      <c r="C248" s="23">
        <f>Oportuno!C248</f>
        <v>2026091</v>
      </c>
      <c r="D248" s="23">
        <f>Oportuno!D248</f>
        <v>9</v>
      </c>
      <c r="E248" s="128">
        <f>Oportuno!E248</f>
        <v>0</v>
      </c>
      <c r="F248" s="126" t="e">
        <f>Oportuno!F248</f>
        <v>#N/A</v>
      </c>
      <c r="G248" s="36">
        <f>Oportuno!G248</f>
        <v>1</v>
      </c>
      <c r="H248" s="126" t="str">
        <f>Oportuno!H248</f>
        <v>Oficinas</v>
      </c>
      <c r="I248" s="130">
        <f>Oportuno!I248</f>
        <v>0</v>
      </c>
      <c r="J248" s="174">
        <f>Oportuno!J248</f>
        <v>0</v>
      </c>
      <c r="K248" s="174">
        <f>Oportuno!K248</f>
        <v>0</v>
      </c>
      <c r="L248" s="174">
        <f>Oportuno!L248</f>
        <v>0</v>
      </c>
      <c r="M248" s="174">
        <f>Oportuno!M248</f>
        <v>0</v>
      </c>
      <c r="N248" s="174">
        <f>Oportuno!N248</f>
        <v>0</v>
      </c>
      <c r="O248" s="174">
        <f>Oportuno!O248</f>
        <v>0</v>
      </c>
      <c r="P248" s="174">
        <f>Oportuno!P248</f>
        <v>0</v>
      </c>
      <c r="Q248" s="174">
        <f>Oportuno!Q248</f>
        <v>0</v>
      </c>
      <c r="R248" s="174">
        <f>Oportuno!R248</f>
        <v>0</v>
      </c>
      <c r="S248" s="215">
        <f>Oportuno!S248</f>
        <v>0</v>
      </c>
      <c r="T248" s="71">
        <f>Oportuno!T248</f>
        <v>0</v>
      </c>
      <c r="U248" s="71">
        <f>Oportuno!U248</f>
        <v>0</v>
      </c>
      <c r="V248" s="117">
        <f>Oportuno!V248</f>
        <v>0</v>
      </c>
      <c r="W248" s="117">
        <f>Oportuno!W248</f>
        <v>0</v>
      </c>
      <c r="X248" s="71">
        <f>Oportuno!X248</f>
        <v>0</v>
      </c>
      <c r="Y248" s="71">
        <f>Oportuno!Y248</f>
        <v>0</v>
      </c>
      <c r="AA248" s="65"/>
    </row>
    <row r="249" spans="2:27" ht="13" customHeight="1">
      <c r="B249" s="119">
        <f>Oportuno!B249</f>
        <v>0</v>
      </c>
      <c r="C249" s="23">
        <f>Oportuno!C249</f>
        <v>2026091</v>
      </c>
      <c r="D249" s="23">
        <f>Oportuno!D249</f>
        <v>9</v>
      </c>
      <c r="E249" s="128">
        <f>Oportuno!E249</f>
        <v>0</v>
      </c>
      <c r="F249" s="126" t="e">
        <f>Oportuno!F249</f>
        <v>#N/A</v>
      </c>
      <c r="G249" s="36">
        <f>Oportuno!G249</f>
        <v>1</v>
      </c>
      <c r="H249" s="126" t="str">
        <f>Oportuno!H249</f>
        <v>Oficinas</v>
      </c>
      <c r="I249" s="130">
        <f>Oportuno!I249</f>
        <v>0</v>
      </c>
      <c r="J249" s="174">
        <f>Oportuno!J249</f>
        <v>0</v>
      </c>
      <c r="K249" s="174">
        <f>Oportuno!K249</f>
        <v>0</v>
      </c>
      <c r="L249" s="174">
        <f>Oportuno!L249</f>
        <v>0</v>
      </c>
      <c r="M249" s="174">
        <f>Oportuno!M249</f>
        <v>0</v>
      </c>
      <c r="N249" s="174">
        <f>Oportuno!N249</f>
        <v>0</v>
      </c>
      <c r="O249" s="174">
        <f>Oportuno!O249</f>
        <v>0</v>
      </c>
      <c r="P249" s="174">
        <f>Oportuno!P249</f>
        <v>0</v>
      </c>
      <c r="Q249" s="174">
        <f>Oportuno!Q249</f>
        <v>0</v>
      </c>
      <c r="R249" s="174">
        <f>Oportuno!R249</f>
        <v>0</v>
      </c>
      <c r="S249" s="215">
        <f>Oportuno!S249</f>
        <v>0</v>
      </c>
      <c r="T249" s="71">
        <f>Oportuno!T249</f>
        <v>0</v>
      </c>
      <c r="U249" s="71">
        <f>Oportuno!U249</f>
        <v>0</v>
      </c>
      <c r="V249" s="117">
        <f>Oportuno!V249</f>
        <v>0</v>
      </c>
      <c r="W249" s="117">
        <f>Oportuno!W249</f>
        <v>0</v>
      </c>
      <c r="X249" s="71">
        <f>Oportuno!X249</f>
        <v>0</v>
      </c>
      <c r="Y249" s="71">
        <f>Oportuno!Y249</f>
        <v>0</v>
      </c>
      <c r="AA249" s="65"/>
    </row>
    <row r="250" spans="2:27" ht="13" customHeight="1">
      <c r="B250" s="119">
        <f>Oportuno!B250</f>
        <v>0</v>
      </c>
      <c r="C250" s="23">
        <f>Oportuno!C250</f>
        <v>2026091</v>
      </c>
      <c r="D250" s="23">
        <f>Oportuno!D250</f>
        <v>9</v>
      </c>
      <c r="E250" s="128">
        <f>Oportuno!E250</f>
        <v>0</v>
      </c>
      <c r="F250" s="126" t="e">
        <f>Oportuno!F250</f>
        <v>#N/A</v>
      </c>
      <c r="G250" s="36">
        <f>Oportuno!G250</f>
        <v>1</v>
      </c>
      <c r="H250" s="126" t="str">
        <f>Oportuno!H250</f>
        <v>Oficinas</v>
      </c>
      <c r="I250" s="130">
        <f>Oportuno!I250</f>
        <v>0</v>
      </c>
      <c r="J250" s="174">
        <f>Oportuno!J250</f>
        <v>0</v>
      </c>
      <c r="K250" s="174">
        <f>Oportuno!K250</f>
        <v>0</v>
      </c>
      <c r="L250" s="174">
        <f>Oportuno!L250</f>
        <v>0</v>
      </c>
      <c r="M250" s="174">
        <f>Oportuno!M250</f>
        <v>0</v>
      </c>
      <c r="N250" s="174">
        <f>Oportuno!N250</f>
        <v>0</v>
      </c>
      <c r="O250" s="174">
        <f>Oportuno!O250</f>
        <v>0</v>
      </c>
      <c r="P250" s="174">
        <f>Oportuno!P250</f>
        <v>0</v>
      </c>
      <c r="Q250" s="174">
        <f>Oportuno!Q250</f>
        <v>0</v>
      </c>
      <c r="R250" s="174">
        <f>Oportuno!R250</f>
        <v>0</v>
      </c>
      <c r="S250" s="215">
        <f>Oportuno!S250</f>
        <v>0</v>
      </c>
      <c r="T250" s="71">
        <f>Oportuno!T250</f>
        <v>0</v>
      </c>
      <c r="U250" s="71">
        <f>Oportuno!U250</f>
        <v>0</v>
      </c>
      <c r="V250" s="117">
        <f>Oportuno!V250</f>
        <v>0</v>
      </c>
      <c r="W250" s="117">
        <f>Oportuno!W250</f>
        <v>0</v>
      </c>
      <c r="X250" s="71">
        <f>Oportuno!X250</f>
        <v>0</v>
      </c>
      <c r="Y250" s="71">
        <f>Oportuno!Y250</f>
        <v>0</v>
      </c>
      <c r="AA250" s="65"/>
    </row>
    <row r="251" spans="2:27" ht="13" customHeight="1">
      <c r="B251" s="119">
        <f>Oportuno!B251</f>
        <v>0</v>
      </c>
      <c r="C251" s="23">
        <f>Oportuno!C251</f>
        <v>2026091</v>
      </c>
      <c r="D251" s="23">
        <f>Oportuno!D251</f>
        <v>9</v>
      </c>
      <c r="E251" s="128">
        <f>Oportuno!E251</f>
        <v>0</v>
      </c>
      <c r="F251" s="126" t="e">
        <f>Oportuno!F251</f>
        <v>#N/A</v>
      </c>
      <c r="G251" s="36">
        <f>Oportuno!G251</f>
        <v>1</v>
      </c>
      <c r="H251" s="126" t="str">
        <f>Oportuno!H251</f>
        <v>Oficinas</v>
      </c>
      <c r="I251" s="130">
        <f>Oportuno!I251</f>
        <v>0</v>
      </c>
      <c r="J251" s="174">
        <f>Oportuno!J251</f>
        <v>0</v>
      </c>
      <c r="K251" s="174">
        <f>Oportuno!K251</f>
        <v>0</v>
      </c>
      <c r="L251" s="174">
        <f>Oportuno!L251</f>
        <v>0</v>
      </c>
      <c r="M251" s="174">
        <f>Oportuno!M251</f>
        <v>0</v>
      </c>
      <c r="N251" s="174">
        <f>Oportuno!N251</f>
        <v>0</v>
      </c>
      <c r="O251" s="174">
        <f>Oportuno!O251</f>
        <v>0</v>
      </c>
      <c r="P251" s="174">
        <f>Oportuno!P251</f>
        <v>0</v>
      </c>
      <c r="Q251" s="174">
        <f>Oportuno!Q251</f>
        <v>0</v>
      </c>
      <c r="R251" s="174">
        <f>Oportuno!R251</f>
        <v>0</v>
      </c>
      <c r="S251" s="215">
        <f>Oportuno!S251</f>
        <v>0</v>
      </c>
      <c r="T251" s="71">
        <f>Oportuno!T251</f>
        <v>0</v>
      </c>
      <c r="U251" s="71">
        <f>Oportuno!U251</f>
        <v>0</v>
      </c>
      <c r="V251" s="117">
        <f>Oportuno!V251</f>
        <v>0</v>
      </c>
      <c r="W251" s="117">
        <f>Oportuno!W251</f>
        <v>0</v>
      </c>
      <c r="X251" s="71">
        <f>Oportuno!X251</f>
        <v>0</v>
      </c>
      <c r="Y251" s="71">
        <f>Oportuno!Y251</f>
        <v>0</v>
      </c>
      <c r="AA251" s="65"/>
    </row>
    <row r="252" spans="2:27" ht="12" customHeight="1">
      <c r="B252" s="119">
        <f>Oportuno!B252</f>
        <v>0</v>
      </c>
      <c r="C252" s="23">
        <f>Oportuno!C252</f>
        <v>2026091</v>
      </c>
      <c r="D252" s="23">
        <f>Oportuno!D252</f>
        <v>9</v>
      </c>
      <c r="E252" s="128">
        <f>Oportuno!E252</f>
        <v>0</v>
      </c>
      <c r="F252" s="126" t="e">
        <f>Oportuno!F252</f>
        <v>#N/A</v>
      </c>
      <c r="G252" s="36">
        <f>Oportuno!G252</f>
        <v>1</v>
      </c>
      <c r="H252" s="126" t="str">
        <f>Oportuno!H252</f>
        <v>Oficinas</v>
      </c>
      <c r="I252" s="130">
        <f>Oportuno!I252</f>
        <v>0</v>
      </c>
      <c r="J252" s="174">
        <f>Oportuno!J252</f>
        <v>0</v>
      </c>
      <c r="K252" s="174">
        <f>Oportuno!K252</f>
        <v>0</v>
      </c>
      <c r="L252" s="174">
        <f>Oportuno!L252</f>
        <v>0</v>
      </c>
      <c r="M252" s="174">
        <f>Oportuno!M252</f>
        <v>0</v>
      </c>
      <c r="N252" s="174">
        <f>Oportuno!N252</f>
        <v>0</v>
      </c>
      <c r="O252" s="174">
        <f>Oportuno!O252</f>
        <v>0</v>
      </c>
      <c r="P252" s="174">
        <f>Oportuno!P252</f>
        <v>0</v>
      </c>
      <c r="Q252" s="174">
        <f>Oportuno!Q252</f>
        <v>0</v>
      </c>
      <c r="R252" s="174">
        <f>Oportuno!R252</f>
        <v>0</v>
      </c>
      <c r="S252" s="215">
        <f>Oportuno!S252</f>
        <v>0</v>
      </c>
      <c r="T252" s="71">
        <f>Oportuno!T252</f>
        <v>0</v>
      </c>
      <c r="U252" s="71">
        <f>Oportuno!U252</f>
        <v>0</v>
      </c>
      <c r="V252" s="117">
        <f>Oportuno!V252</f>
        <v>0</v>
      </c>
      <c r="W252" s="117">
        <f>Oportuno!W252</f>
        <v>0</v>
      </c>
      <c r="X252" s="71">
        <f>Oportuno!X252</f>
        <v>0</v>
      </c>
      <c r="Y252" s="71">
        <f>Oportuno!Y252</f>
        <v>0</v>
      </c>
      <c r="AA252" s="65"/>
    </row>
    <row r="253" spans="2:27" ht="13" customHeight="1">
      <c r="B253" s="119">
        <f>Oportuno!B253</f>
        <v>0</v>
      </c>
      <c r="C253" s="23">
        <f>Oportuno!C253</f>
        <v>2026091</v>
      </c>
      <c r="D253" s="23">
        <f>Oportuno!D253</f>
        <v>9</v>
      </c>
      <c r="E253" s="128">
        <f>Oportuno!E253</f>
        <v>0</v>
      </c>
      <c r="F253" s="126" t="e">
        <f>Oportuno!F253</f>
        <v>#N/A</v>
      </c>
      <c r="G253" s="36">
        <f>Oportuno!G253</f>
        <v>1</v>
      </c>
      <c r="H253" s="126" t="str">
        <f>Oportuno!H253</f>
        <v>Oficinas</v>
      </c>
      <c r="I253" s="130">
        <f>Oportuno!I253</f>
        <v>0</v>
      </c>
      <c r="J253" s="174">
        <f>Oportuno!J253</f>
        <v>0</v>
      </c>
      <c r="K253" s="174">
        <f>Oportuno!K253</f>
        <v>0</v>
      </c>
      <c r="L253" s="174">
        <f>Oportuno!L253</f>
        <v>0</v>
      </c>
      <c r="M253" s="174">
        <f>Oportuno!M253</f>
        <v>0</v>
      </c>
      <c r="N253" s="174">
        <f>Oportuno!N253</f>
        <v>0</v>
      </c>
      <c r="O253" s="174">
        <f>Oportuno!O253</f>
        <v>0</v>
      </c>
      <c r="P253" s="174">
        <f>Oportuno!P253</f>
        <v>0</v>
      </c>
      <c r="Q253" s="174">
        <f>Oportuno!Q253</f>
        <v>0</v>
      </c>
      <c r="R253" s="174">
        <f>Oportuno!R253</f>
        <v>0</v>
      </c>
      <c r="S253" s="215">
        <f>Oportuno!S253</f>
        <v>0</v>
      </c>
      <c r="T253" s="71">
        <f>Oportuno!T253</f>
        <v>0</v>
      </c>
      <c r="U253" s="71">
        <f>Oportuno!U253</f>
        <v>0</v>
      </c>
      <c r="V253" s="117">
        <f>Oportuno!V253</f>
        <v>0</v>
      </c>
      <c r="W253" s="117">
        <f>Oportuno!W253</f>
        <v>0</v>
      </c>
      <c r="X253" s="71">
        <f>Oportuno!X253</f>
        <v>0</v>
      </c>
      <c r="Y253" s="71">
        <f>Oportuno!Y253</f>
        <v>0</v>
      </c>
      <c r="AA253" s="65"/>
    </row>
    <row r="254" spans="2:27" ht="13" customHeight="1">
      <c r="B254" s="119">
        <f>Oportuno!B254</f>
        <v>0</v>
      </c>
      <c r="C254" s="23">
        <f>Oportuno!C254</f>
        <v>2026091</v>
      </c>
      <c r="D254" s="23">
        <f>Oportuno!D254</f>
        <v>9</v>
      </c>
      <c r="E254" s="128">
        <f>Oportuno!E254</f>
        <v>0</v>
      </c>
      <c r="F254" s="126" t="e">
        <f>Oportuno!F254</f>
        <v>#N/A</v>
      </c>
      <c r="G254" s="36">
        <f>Oportuno!G254</f>
        <v>1</v>
      </c>
      <c r="H254" s="126" t="str">
        <f>Oportuno!H254</f>
        <v>Oficinas</v>
      </c>
      <c r="I254" s="130">
        <f>Oportuno!I254</f>
        <v>0</v>
      </c>
      <c r="J254" s="174">
        <f>Oportuno!J254</f>
        <v>0</v>
      </c>
      <c r="K254" s="174">
        <f>Oportuno!K254</f>
        <v>0</v>
      </c>
      <c r="L254" s="174">
        <f>Oportuno!L254</f>
        <v>0</v>
      </c>
      <c r="M254" s="174">
        <f>Oportuno!M254</f>
        <v>0</v>
      </c>
      <c r="N254" s="174">
        <f>Oportuno!N254</f>
        <v>0</v>
      </c>
      <c r="O254" s="174">
        <f>Oportuno!O254</f>
        <v>0</v>
      </c>
      <c r="P254" s="174">
        <f>Oportuno!P254</f>
        <v>0</v>
      </c>
      <c r="Q254" s="174">
        <f>Oportuno!Q254</f>
        <v>0</v>
      </c>
      <c r="R254" s="174">
        <f>Oportuno!R254</f>
        <v>0</v>
      </c>
      <c r="S254" s="215">
        <f>Oportuno!S254</f>
        <v>0</v>
      </c>
      <c r="T254" s="71">
        <f>Oportuno!T254</f>
        <v>0</v>
      </c>
      <c r="U254" s="71">
        <f>Oportuno!U254</f>
        <v>0</v>
      </c>
      <c r="V254" s="117">
        <f>Oportuno!V254</f>
        <v>0</v>
      </c>
      <c r="W254" s="117">
        <f>Oportuno!W254</f>
        <v>0</v>
      </c>
      <c r="X254" s="71">
        <f>Oportuno!X254</f>
        <v>0</v>
      </c>
      <c r="Y254" s="71">
        <f>Oportuno!Y254</f>
        <v>0</v>
      </c>
      <c r="AA254" s="65"/>
    </row>
    <row r="255" spans="2:27" ht="13" customHeight="1">
      <c r="B255" s="119">
        <f>Oportuno!B255</f>
        <v>0</v>
      </c>
      <c r="C255" s="23">
        <f>Oportuno!C255</f>
        <v>2026091</v>
      </c>
      <c r="D255" s="23">
        <f>Oportuno!D255</f>
        <v>9</v>
      </c>
      <c r="E255" s="128">
        <f>Oportuno!E255</f>
        <v>0</v>
      </c>
      <c r="F255" s="126" t="e">
        <f>Oportuno!F255</f>
        <v>#N/A</v>
      </c>
      <c r="G255" s="36">
        <f>Oportuno!G255</f>
        <v>1</v>
      </c>
      <c r="H255" s="126" t="str">
        <f>Oportuno!H255</f>
        <v>Oficinas</v>
      </c>
      <c r="I255" s="130">
        <f>Oportuno!I255</f>
        <v>0</v>
      </c>
      <c r="J255" s="174">
        <f>Oportuno!J255</f>
        <v>0</v>
      </c>
      <c r="K255" s="174">
        <f>Oportuno!K255</f>
        <v>0</v>
      </c>
      <c r="L255" s="174">
        <f>Oportuno!L255</f>
        <v>0</v>
      </c>
      <c r="M255" s="174">
        <f>Oportuno!M255</f>
        <v>0</v>
      </c>
      <c r="N255" s="174">
        <f>Oportuno!N255</f>
        <v>0</v>
      </c>
      <c r="O255" s="174">
        <f>Oportuno!O255</f>
        <v>0</v>
      </c>
      <c r="P255" s="174">
        <f>Oportuno!P255</f>
        <v>0</v>
      </c>
      <c r="Q255" s="174">
        <f>Oportuno!Q255</f>
        <v>0</v>
      </c>
      <c r="R255" s="174">
        <f>Oportuno!R255</f>
        <v>0</v>
      </c>
      <c r="S255" s="215">
        <f>Oportuno!S255</f>
        <v>0</v>
      </c>
      <c r="T255" s="71">
        <f>Oportuno!T255</f>
        <v>0</v>
      </c>
      <c r="U255" s="71">
        <f>Oportuno!U255</f>
        <v>0</v>
      </c>
      <c r="V255" s="117">
        <f>Oportuno!V255</f>
        <v>0</v>
      </c>
      <c r="W255" s="117">
        <f>Oportuno!W255</f>
        <v>0</v>
      </c>
      <c r="X255" s="71">
        <f>Oportuno!X255</f>
        <v>0</v>
      </c>
      <c r="Y255" s="71">
        <f>Oportuno!Y255</f>
        <v>0</v>
      </c>
      <c r="AA255" s="65"/>
    </row>
    <row r="256" spans="2:27" ht="13" customHeight="1">
      <c r="B256" s="119">
        <f>Oportuno!B256</f>
        <v>0</v>
      </c>
      <c r="C256" s="23">
        <f>Oportuno!C256</f>
        <v>2026091</v>
      </c>
      <c r="D256" s="23">
        <f>Oportuno!D256</f>
        <v>9</v>
      </c>
      <c r="E256" s="128">
        <f>Oportuno!E256</f>
        <v>0</v>
      </c>
      <c r="F256" s="126" t="e">
        <f>Oportuno!F256</f>
        <v>#N/A</v>
      </c>
      <c r="G256" s="36">
        <f>Oportuno!G256</f>
        <v>1</v>
      </c>
      <c r="H256" s="126" t="str">
        <f>Oportuno!H256</f>
        <v>Oficinas</v>
      </c>
      <c r="I256" s="130">
        <f>Oportuno!I256</f>
        <v>0</v>
      </c>
      <c r="J256" s="174">
        <f>Oportuno!J256</f>
        <v>0</v>
      </c>
      <c r="K256" s="174">
        <f>Oportuno!K256</f>
        <v>0</v>
      </c>
      <c r="L256" s="174">
        <f>Oportuno!L256</f>
        <v>0</v>
      </c>
      <c r="M256" s="174">
        <f>Oportuno!M256</f>
        <v>0</v>
      </c>
      <c r="N256" s="174">
        <f>Oportuno!N256</f>
        <v>0</v>
      </c>
      <c r="O256" s="174">
        <f>Oportuno!O256</f>
        <v>0</v>
      </c>
      <c r="P256" s="174">
        <f>Oportuno!P256</f>
        <v>0</v>
      </c>
      <c r="Q256" s="174">
        <f>Oportuno!Q256</f>
        <v>0</v>
      </c>
      <c r="R256" s="174">
        <f>Oportuno!R256</f>
        <v>0</v>
      </c>
      <c r="S256" s="215">
        <f>Oportuno!S256</f>
        <v>0</v>
      </c>
      <c r="T256" s="71">
        <f>Oportuno!T256</f>
        <v>0</v>
      </c>
      <c r="U256" s="71">
        <f>Oportuno!U256</f>
        <v>0</v>
      </c>
      <c r="V256" s="117">
        <f>Oportuno!V256</f>
        <v>0</v>
      </c>
      <c r="W256" s="117">
        <f>Oportuno!W256</f>
        <v>0</v>
      </c>
      <c r="X256" s="71">
        <f>Oportuno!X256</f>
        <v>0</v>
      </c>
      <c r="Y256" s="71">
        <f>Oportuno!Y256</f>
        <v>0</v>
      </c>
      <c r="AA256" s="65"/>
    </row>
    <row r="257" spans="2:27 16101:16120" ht="13" customHeight="1">
      <c r="B257" s="119">
        <f>Oportuno!B257</f>
        <v>0</v>
      </c>
      <c r="C257" s="23">
        <f>Oportuno!C257</f>
        <v>2026091</v>
      </c>
      <c r="D257" s="23">
        <f>Oportuno!D257</f>
        <v>9</v>
      </c>
      <c r="E257" s="128">
        <f>Oportuno!E257</f>
        <v>0</v>
      </c>
      <c r="F257" s="126" t="e">
        <f>Oportuno!F257</f>
        <v>#N/A</v>
      </c>
      <c r="G257" s="36">
        <f>Oportuno!G257</f>
        <v>1</v>
      </c>
      <c r="H257" s="126" t="str">
        <f>Oportuno!H257</f>
        <v>Oficinas</v>
      </c>
      <c r="I257" s="130">
        <f>Oportuno!I257</f>
        <v>0</v>
      </c>
      <c r="J257" s="174">
        <f>Oportuno!J257</f>
        <v>0</v>
      </c>
      <c r="K257" s="174">
        <f>Oportuno!K257</f>
        <v>0</v>
      </c>
      <c r="L257" s="174">
        <f>Oportuno!L257</f>
        <v>0</v>
      </c>
      <c r="M257" s="174">
        <f>Oportuno!M257</f>
        <v>0</v>
      </c>
      <c r="N257" s="174">
        <f>Oportuno!N257</f>
        <v>0</v>
      </c>
      <c r="O257" s="174">
        <f>Oportuno!O257</f>
        <v>0</v>
      </c>
      <c r="P257" s="174">
        <f>Oportuno!P257</f>
        <v>0</v>
      </c>
      <c r="Q257" s="174">
        <f>Oportuno!Q257</f>
        <v>0</v>
      </c>
      <c r="R257" s="174">
        <f>Oportuno!R257</f>
        <v>0</v>
      </c>
      <c r="S257" s="215">
        <f>Oportuno!S257</f>
        <v>0</v>
      </c>
      <c r="T257" s="71">
        <f>Oportuno!T257</f>
        <v>0</v>
      </c>
      <c r="U257" s="71">
        <f>Oportuno!U257</f>
        <v>0</v>
      </c>
      <c r="V257" s="117">
        <f>Oportuno!V257</f>
        <v>0</v>
      </c>
      <c r="W257" s="117">
        <f>Oportuno!W257</f>
        <v>0</v>
      </c>
      <c r="X257" s="71">
        <f>Oportuno!X257</f>
        <v>0</v>
      </c>
      <c r="Y257" s="71">
        <f>Oportuno!Y257</f>
        <v>0</v>
      </c>
      <c r="AA257" s="65"/>
    </row>
    <row r="258" spans="2:27 16101:16120" ht="13" customHeight="1">
      <c r="B258" s="119">
        <f>Oportuno!B258</f>
        <v>0</v>
      </c>
      <c r="C258" s="23">
        <f>Oportuno!C258</f>
        <v>2026091</v>
      </c>
      <c r="D258" s="23">
        <f>Oportuno!D258</f>
        <v>9</v>
      </c>
      <c r="E258" s="128">
        <f>Oportuno!E258</f>
        <v>0</v>
      </c>
      <c r="F258" s="126" t="e">
        <f>Oportuno!F258</f>
        <v>#N/A</v>
      </c>
      <c r="G258" s="36">
        <f>Oportuno!G258</f>
        <v>1</v>
      </c>
      <c r="H258" s="126" t="str">
        <f>Oportuno!H258</f>
        <v>Oficinas</v>
      </c>
      <c r="I258" s="130">
        <f>Oportuno!I258</f>
        <v>0</v>
      </c>
      <c r="J258" s="174">
        <f>Oportuno!J258</f>
        <v>0</v>
      </c>
      <c r="K258" s="174">
        <f>Oportuno!K258</f>
        <v>0</v>
      </c>
      <c r="L258" s="174">
        <f>Oportuno!L258</f>
        <v>0</v>
      </c>
      <c r="M258" s="174">
        <f>Oportuno!M258</f>
        <v>0</v>
      </c>
      <c r="N258" s="174">
        <f>Oportuno!N258</f>
        <v>0</v>
      </c>
      <c r="O258" s="174">
        <f>Oportuno!O258</f>
        <v>0</v>
      </c>
      <c r="P258" s="174">
        <f>Oportuno!P258</f>
        <v>0</v>
      </c>
      <c r="Q258" s="174">
        <f>Oportuno!Q258</f>
        <v>0</v>
      </c>
      <c r="R258" s="174">
        <f>Oportuno!R258</f>
        <v>0</v>
      </c>
      <c r="S258" s="215">
        <f>Oportuno!S258</f>
        <v>0</v>
      </c>
      <c r="T258" s="71">
        <f>Oportuno!T258</f>
        <v>0</v>
      </c>
      <c r="U258" s="71">
        <f>Oportuno!U258</f>
        <v>0</v>
      </c>
      <c r="V258" s="117">
        <f>Oportuno!V258</f>
        <v>0</v>
      </c>
      <c r="W258" s="117">
        <f>Oportuno!W258</f>
        <v>0</v>
      </c>
      <c r="X258" s="71">
        <f>Oportuno!X258</f>
        <v>0</v>
      </c>
      <c r="Y258" s="71">
        <f>Oportuno!Y258</f>
        <v>0</v>
      </c>
      <c r="AA258" s="65"/>
    </row>
    <row r="259" spans="2:27 16101:16120" ht="13" customHeight="1">
      <c r="B259" s="119">
        <f>Oportuno!B259</f>
        <v>0</v>
      </c>
      <c r="C259" s="23">
        <f>Oportuno!C259</f>
        <v>2026091</v>
      </c>
      <c r="D259" s="23">
        <f>Oportuno!D259</f>
        <v>9</v>
      </c>
      <c r="E259" s="128">
        <f>Oportuno!E259</f>
        <v>0</v>
      </c>
      <c r="F259" s="126" t="e">
        <f>Oportuno!F259</f>
        <v>#N/A</v>
      </c>
      <c r="G259" s="36">
        <f>Oportuno!G259</f>
        <v>1</v>
      </c>
      <c r="H259" s="126" t="str">
        <f>Oportuno!H259</f>
        <v>Oficinas</v>
      </c>
      <c r="I259" s="130">
        <f>Oportuno!I259</f>
        <v>0</v>
      </c>
      <c r="J259" s="174">
        <f>Oportuno!J259</f>
        <v>0</v>
      </c>
      <c r="K259" s="174">
        <f>Oportuno!K259</f>
        <v>0</v>
      </c>
      <c r="L259" s="174">
        <f>Oportuno!L259</f>
        <v>0</v>
      </c>
      <c r="M259" s="174">
        <f>Oportuno!M259</f>
        <v>0</v>
      </c>
      <c r="N259" s="174">
        <f>Oportuno!N259</f>
        <v>0</v>
      </c>
      <c r="O259" s="174">
        <f>Oportuno!O259</f>
        <v>0</v>
      </c>
      <c r="P259" s="174">
        <f>Oportuno!P259</f>
        <v>0</v>
      </c>
      <c r="Q259" s="174">
        <f>Oportuno!Q259</f>
        <v>0</v>
      </c>
      <c r="R259" s="174">
        <f>Oportuno!R259</f>
        <v>0</v>
      </c>
      <c r="S259" s="215">
        <f>Oportuno!S259</f>
        <v>0</v>
      </c>
      <c r="T259" s="71">
        <f>Oportuno!T259</f>
        <v>0</v>
      </c>
      <c r="U259" s="71">
        <f>Oportuno!U259</f>
        <v>0</v>
      </c>
      <c r="V259" s="117">
        <f>Oportuno!V259</f>
        <v>0</v>
      </c>
      <c r="W259" s="117">
        <f>Oportuno!W259</f>
        <v>0</v>
      </c>
      <c r="X259" s="71">
        <f>Oportuno!X259</f>
        <v>0</v>
      </c>
      <c r="Y259" s="71">
        <f>Oportuno!Y259</f>
        <v>0</v>
      </c>
      <c r="AA259" s="65"/>
    </row>
    <row r="260" spans="2:27 16101:16120" ht="13" customHeight="1">
      <c r="B260" s="119">
        <f>Oportuno!B260</f>
        <v>0</v>
      </c>
      <c r="C260" s="23">
        <f>Oportuno!C260</f>
        <v>2026091</v>
      </c>
      <c r="D260" s="23">
        <f>Oportuno!D260</f>
        <v>9</v>
      </c>
      <c r="E260" s="128">
        <f>Oportuno!E260</f>
        <v>0</v>
      </c>
      <c r="F260" s="126" t="e">
        <f>Oportuno!F260</f>
        <v>#N/A</v>
      </c>
      <c r="G260" s="36">
        <f>Oportuno!G260</f>
        <v>1</v>
      </c>
      <c r="H260" s="126" t="str">
        <f>Oportuno!H260</f>
        <v>Oficinas</v>
      </c>
      <c r="I260" s="130">
        <f>Oportuno!I260</f>
        <v>0</v>
      </c>
      <c r="J260" s="174">
        <f>Oportuno!J260</f>
        <v>0</v>
      </c>
      <c r="K260" s="174">
        <f>Oportuno!K260</f>
        <v>0</v>
      </c>
      <c r="L260" s="174">
        <f>Oportuno!L260</f>
        <v>0</v>
      </c>
      <c r="M260" s="174">
        <f>Oportuno!M260</f>
        <v>0</v>
      </c>
      <c r="N260" s="174">
        <f>Oportuno!N260</f>
        <v>0</v>
      </c>
      <c r="O260" s="174">
        <f>Oportuno!O260</f>
        <v>0</v>
      </c>
      <c r="P260" s="174">
        <f>Oportuno!P260</f>
        <v>0</v>
      </c>
      <c r="Q260" s="174">
        <f>Oportuno!Q260</f>
        <v>0</v>
      </c>
      <c r="R260" s="174">
        <f>Oportuno!R260</f>
        <v>0</v>
      </c>
      <c r="S260" s="215">
        <f>Oportuno!S260</f>
        <v>0</v>
      </c>
      <c r="T260" s="71">
        <f>Oportuno!T260</f>
        <v>0</v>
      </c>
      <c r="U260" s="71">
        <f>Oportuno!U260</f>
        <v>0</v>
      </c>
      <c r="V260" s="117">
        <f>Oportuno!V260</f>
        <v>0</v>
      </c>
      <c r="W260" s="117">
        <f>Oportuno!W260</f>
        <v>0</v>
      </c>
      <c r="X260" s="71">
        <f>Oportuno!X260</f>
        <v>0</v>
      </c>
      <c r="Y260" s="71">
        <f>Oportuno!Y260</f>
        <v>0</v>
      </c>
      <c r="AA260" s="65"/>
    </row>
    <row r="261" spans="2:27 16101:16120" ht="13" customHeight="1" thickBot="1">
      <c r="B261" s="119">
        <f>Oportuno!B261</f>
        <v>0</v>
      </c>
      <c r="C261" s="23">
        <f>Oportuno!C261</f>
        <v>2026091</v>
      </c>
      <c r="D261" s="23">
        <f>Oportuno!D261</f>
        <v>9</v>
      </c>
      <c r="E261" s="128">
        <f>Oportuno!E261</f>
        <v>0</v>
      </c>
      <c r="F261" s="126" t="e">
        <f>Oportuno!F261</f>
        <v>#N/A</v>
      </c>
      <c r="G261" s="36">
        <f>Oportuno!G261</f>
        <v>1</v>
      </c>
      <c r="H261" s="126" t="str">
        <f>Oportuno!H261</f>
        <v>Oficinas</v>
      </c>
      <c r="I261" s="130">
        <f>Oportuno!I261</f>
        <v>0</v>
      </c>
      <c r="J261" s="174">
        <f>Oportuno!J261</f>
        <v>0</v>
      </c>
      <c r="K261" s="174">
        <f>Oportuno!K261</f>
        <v>0</v>
      </c>
      <c r="L261" s="174">
        <f>Oportuno!L261</f>
        <v>0</v>
      </c>
      <c r="M261" s="174">
        <f>Oportuno!M261</f>
        <v>0</v>
      </c>
      <c r="N261" s="174">
        <f>Oportuno!N261</f>
        <v>0</v>
      </c>
      <c r="O261" s="174">
        <f>Oportuno!O261</f>
        <v>0</v>
      </c>
      <c r="P261" s="174">
        <f>Oportuno!P261</f>
        <v>0</v>
      </c>
      <c r="Q261" s="174">
        <f>Oportuno!Q261</f>
        <v>0</v>
      </c>
      <c r="R261" s="174">
        <f>Oportuno!R261</f>
        <v>0</v>
      </c>
      <c r="S261" s="215">
        <f>Oportuno!S261</f>
        <v>0</v>
      </c>
      <c r="T261" s="71">
        <f>Oportuno!T261</f>
        <v>0</v>
      </c>
      <c r="U261" s="71">
        <f>Oportuno!U261</f>
        <v>0</v>
      </c>
      <c r="V261" s="117">
        <f>Oportuno!V261</f>
        <v>0</v>
      </c>
      <c r="W261" s="117">
        <f>Oportuno!W261</f>
        <v>0</v>
      </c>
      <c r="X261" s="71">
        <f>Oportuno!X261</f>
        <v>0</v>
      </c>
      <c r="Y261" s="71">
        <f>Oportuno!Y261</f>
        <v>0</v>
      </c>
      <c r="AA261" s="65"/>
    </row>
    <row r="262" spans="2:27 16101:16120" ht="13" customHeight="1" thickBot="1">
      <c r="B262" s="1" t="s">
        <v>0</v>
      </c>
      <c r="C262" s="1" t="s">
        <v>0</v>
      </c>
      <c r="D262" s="20" t="s">
        <v>0</v>
      </c>
      <c r="E262" s="120" t="str">
        <f>Oportuno!E262</f>
        <v xml:space="preserve"> </v>
      </c>
      <c r="F262" s="121" t="str">
        <f>Oportuno!F262</f>
        <v>TOTAL RECAUDO</v>
      </c>
      <c r="G262" s="121" t="s">
        <v>0</v>
      </c>
      <c r="H262" s="121" t="s">
        <v>0</v>
      </c>
      <c r="I262" s="121" t="s">
        <v>0</v>
      </c>
      <c r="J262" s="122">
        <f>Oportuno!J262</f>
        <v>0</v>
      </c>
      <c r="K262" s="122">
        <f>Oportuno!K262</f>
        <v>0</v>
      </c>
      <c r="L262" s="122">
        <f>Oportuno!L262</f>
        <v>0</v>
      </c>
      <c r="M262" s="122">
        <f>Oportuno!M262</f>
        <v>0</v>
      </c>
      <c r="N262" s="122">
        <f>Oportuno!N262</f>
        <v>0</v>
      </c>
      <c r="O262" s="122">
        <f>Oportuno!O262</f>
        <v>0</v>
      </c>
      <c r="P262" s="122">
        <f>Oportuno!P262</f>
        <v>0</v>
      </c>
      <c r="Q262" s="122">
        <f>Oportuno!Q262</f>
        <v>0</v>
      </c>
      <c r="R262" s="122">
        <f>Oportuno!R262</f>
        <v>166</v>
      </c>
      <c r="S262" s="122">
        <f>Oportuno!S262</f>
        <v>7456710</v>
      </c>
      <c r="T262" s="122">
        <f>Oportuno!T262</f>
        <v>166</v>
      </c>
      <c r="U262" s="122">
        <f>Oportuno!U262</f>
        <v>7456710</v>
      </c>
      <c r="V262" s="123">
        <f>Oportuno!V262</f>
        <v>166</v>
      </c>
      <c r="W262" s="123">
        <f>Oportuno!W262</f>
        <v>7456710</v>
      </c>
      <c r="X262" s="122">
        <f>Oportuno!X262</f>
        <v>0</v>
      </c>
      <c r="Y262" s="123">
        <f>Oportuno!Y262</f>
        <v>0</v>
      </c>
      <c r="AA262" s="65"/>
    </row>
    <row r="263" spans="2:27 16101:16120" ht="13" thickBot="1">
      <c r="AA263" s="65"/>
    </row>
    <row r="264" spans="2:27 16101:16120" ht="41.25" customHeight="1" thickBot="1">
      <c r="B264" s="112" t="s">
        <v>4</v>
      </c>
      <c r="C264" s="34" t="s">
        <v>6</v>
      </c>
      <c r="D264" s="34" t="s">
        <v>7</v>
      </c>
      <c r="E264" s="34" t="s">
        <v>49</v>
      </c>
      <c r="F264" s="34" t="s">
        <v>50</v>
      </c>
      <c r="G264" s="34" t="s">
        <v>51</v>
      </c>
      <c r="H264" s="34" t="s">
        <v>52</v>
      </c>
      <c r="I264" s="34" t="s">
        <v>13</v>
      </c>
      <c r="J264" s="231" t="s">
        <v>8</v>
      </c>
      <c r="K264" s="231" t="s">
        <v>36</v>
      </c>
      <c r="L264" s="12" t="s">
        <v>9</v>
      </c>
      <c r="M264" s="12" t="s">
        <v>37</v>
      </c>
      <c r="N264" s="87" t="s">
        <v>10</v>
      </c>
      <c r="O264" s="88" t="s">
        <v>38</v>
      </c>
      <c r="P264" s="87" t="s">
        <v>11</v>
      </c>
      <c r="Q264" s="88" t="s">
        <v>39</v>
      </c>
      <c r="R264" s="232" t="s">
        <v>12</v>
      </c>
      <c r="S264" s="233" t="s">
        <v>40</v>
      </c>
      <c r="T264" s="64" t="s">
        <v>41</v>
      </c>
      <c r="U264" s="64" t="s">
        <v>42</v>
      </c>
      <c r="V264" s="35" t="s">
        <v>32</v>
      </c>
      <c r="W264" s="67" t="s">
        <v>35</v>
      </c>
      <c r="X264" s="12" t="s">
        <v>34</v>
      </c>
      <c r="Y264" s="68" t="s">
        <v>33</v>
      </c>
      <c r="AA264" s="66"/>
      <c r="WUG264" s="1"/>
      <c r="WUH264" s="1"/>
      <c r="WUY264"/>
      <c r="WUZ264"/>
    </row>
    <row r="265" spans="2:27 16101:16120" ht="13" customHeight="1">
      <c r="B265" s="119" t="str">
        <f>Oportuno!B265</f>
        <v>11/09/2026</v>
      </c>
      <c r="C265" s="24">
        <f>Oportuno!C265</f>
        <v>2026091</v>
      </c>
      <c r="D265" s="24">
        <f>Oportuno!D265</f>
        <v>10</v>
      </c>
      <c r="E265" s="127">
        <f>Oportuno!E265</f>
        <v>20</v>
      </c>
      <c r="F265" s="125" t="str">
        <f>Oportuno!F265</f>
        <v>Bancolombia ENERBIT</v>
      </c>
      <c r="G265" s="18">
        <f>Oportuno!G265</f>
        <v>1</v>
      </c>
      <c r="H265" s="125" t="str">
        <f>Oportuno!H265</f>
        <v>Oficinas</v>
      </c>
      <c r="I265" s="129">
        <f>Oportuno!I265</f>
        <v>0</v>
      </c>
      <c r="J265" s="213">
        <f>Oportuno!J265</f>
        <v>0</v>
      </c>
      <c r="K265" s="213">
        <f>Oportuno!K265</f>
        <v>0</v>
      </c>
      <c r="L265" s="213">
        <f>Oportuno!L265</f>
        <v>0</v>
      </c>
      <c r="M265" s="213">
        <f>Oportuno!M265</f>
        <v>0</v>
      </c>
      <c r="N265" s="213">
        <f>Oportuno!N265</f>
        <v>0</v>
      </c>
      <c r="O265" s="213">
        <f>Oportuno!O265</f>
        <v>0</v>
      </c>
      <c r="P265" s="213">
        <f>Oportuno!P265</f>
        <v>0</v>
      </c>
      <c r="Q265" s="213">
        <f>Oportuno!Q265</f>
        <v>0</v>
      </c>
      <c r="R265" s="213">
        <f>Oportuno!R265</f>
        <v>199</v>
      </c>
      <c r="S265" s="214">
        <f>Oportuno!S265</f>
        <v>9984190</v>
      </c>
      <c r="T265" s="70">
        <f>Oportuno!T265</f>
        <v>199</v>
      </c>
      <c r="U265" s="70">
        <f>Oportuno!U265</f>
        <v>9984190</v>
      </c>
      <c r="V265" s="116">
        <f>Oportuno!V265</f>
        <v>199</v>
      </c>
      <c r="W265" s="116">
        <f>Oportuno!W265</f>
        <v>9984190</v>
      </c>
      <c r="X265" s="70">
        <f>Oportuno!X265</f>
        <v>0</v>
      </c>
      <c r="Y265" s="70">
        <f>Oportuno!Y265</f>
        <v>0</v>
      </c>
      <c r="AA265" s="65"/>
    </row>
    <row r="266" spans="2:27 16101:16120" ht="13" customHeight="1">
      <c r="B266" s="119">
        <f>Oportuno!B266</f>
        <v>0</v>
      </c>
      <c r="C266" s="23">
        <f>Oportuno!C266</f>
        <v>2026091</v>
      </c>
      <c r="D266" s="23">
        <f>Oportuno!D266</f>
        <v>10</v>
      </c>
      <c r="E266" s="128">
        <f>Oportuno!E266</f>
        <v>0</v>
      </c>
      <c r="F266" s="126" t="e">
        <f>Oportuno!F266</f>
        <v>#N/A</v>
      </c>
      <c r="G266" s="36">
        <f>Oportuno!G266</f>
        <v>1</v>
      </c>
      <c r="H266" s="126" t="str">
        <f>Oportuno!H266</f>
        <v>Oficinas</v>
      </c>
      <c r="I266" s="130">
        <f>Oportuno!I266</f>
        <v>0</v>
      </c>
      <c r="J266" s="174">
        <f>Oportuno!J266</f>
        <v>0</v>
      </c>
      <c r="K266" s="174">
        <f>Oportuno!K266</f>
        <v>0</v>
      </c>
      <c r="L266" s="174">
        <f>Oportuno!L266</f>
        <v>0</v>
      </c>
      <c r="M266" s="174">
        <f>Oportuno!M266</f>
        <v>0</v>
      </c>
      <c r="N266" s="174">
        <f>Oportuno!N266</f>
        <v>0</v>
      </c>
      <c r="O266" s="174">
        <f>Oportuno!O266</f>
        <v>0</v>
      </c>
      <c r="P266" s="174">
        <f>Oportuno!P266</f>
        <v>0</v>
      </c>
      <c r="Q266" s="174">
        <f>Oportuno!Q266</f>
        <v>0</v>
      </c>
      <c r="R266" s="174">
        <f>Oportuno!R266</f>
        <v>0</v>
      </c>
      <c r="S266" s="215">
        <f>Oportuno!S266</f>
        <v>0</v>
      </c>
      <c r="T266" s="71">
        <f>Oportuno!T266</f>
        <v>0</v>
      </c>
      <c r="U266" s="71">
        <f>Oportuno!U266</f>
        <v>0</v>
      </c>
      <c r="V266" s="117">
        <f>Oportuno!V266</f>
        <v>0</v>
      </c>
      <c r="W266" s="117">
        <f>Oportuno!W266</f>
        <v>0</v>
      </c>
      <c r="X266" s="71">
        <f>Oportuno!X266</f>
        <v>0</v>
      </c>
      <c r="Y266" s="71">
        <f>Oportuno!Y266</f>
        <v>0</v>
      </c>
      <c r="AA266" s="65"/>
    </row>
    <row r="267" spans="2:27 16101:16120" ht="13" customHeight="1">
      <c r="B267" s="119">
        <f>Oportuno!B267</f>
        <v>0</v>
      </c>
      <c r="C267" s="23">
        <f>Oportuno!C267</f>
        <v>2026091</v>
      </c>
      <c r="D267" s="23">
        <f>Oportuno!D267</f>
        <v>10</v>
      </c>
      <c r="E267" s="128">
        <f>Oportuno!E267</f>
        <v>0</v>
      </c>
      <c r="F267" s="126" t="e">
        <f>Oportuno!F267</f>
        <v>#N/A</v>
      </c>
      <c r="G267" s="36">
        <f>Oportuno!G267</f>
        <v>1</v>
      </c>
      <c r="H267" s="126" t="str">
        <f>Oportuno!H267</f>
        <v>Oficinas</v>
      </c>
      <c r="I267" s="130">
        <f>Oportuno!I267</f>
        <v>0</v>
      </c>
      <c r="J267" s="174">
        <f>Oportuno!J267</f>
        <v>0</v>
      </c>
      <c r="K267" s="174">
        <f>Oportuno!K267</f>
        <v>0</v>
      </c>
      <c r="L267" s="174">
        <f>Oportuno!L267</f>
        <v>0</v>
      </c>
      <c r="M267" s="174">
        <f>Oportuno!M267</f>
        <v>0</v>
      </c>
      <c r="N267" s="174">
        <f>Oportuno!N267</f>
        <v>0</v>
      </c>
      <c r="O267" s="174">
        <f>Oportuno!O267</f>
        <v>0</v>
      </c>
      <c r="P267" s="174">
        <f>Oportuno!P267</f>
        <v>0</v>
      </c>
      <c r="Q267" s="174">
        <f>Oportuno!Q267</f>
        <v>0</v>
      </c>
      <c r="R267" s="174">
        <f>Oportuno!R267</f>
        <v>0</v>
      </c>
      <c r="S267" s="215">
        <f>Oportuno!S267</f>
        <v>0</v>
      </c>
      <c r="T267" s="71">
        <f>Oportuno!T267</f>
        <v>0</v>
      </c>
      <c r="U267" s="71">
        <f>Oportuno!U267</f>
        <v>0</v>
      </c>
      <c r="V267" s="117">
        <f>Oportuno!V267</f>
        <v>0</v>
      </c>
      <c r="W267" s="117">
        <f>Oportuno!W267</f>
        <v>0</v>
      </c>
      <c r="X267" s="71">
        <f>Oportuno!X267</f>
        <v>0</v>
      </c>
      <c r="Y267" s="71">
        <f>Oportuno!Y267</f>
        <v>0</v>
      </c>
      <c r="AA267" s="65"/>
    </row>
    <row r="268" spans="2:27 16101:16120" ht="13" customHeight="1">
      <c r="B268" s="119">
        <f>Oportuno!B268</f>
        <v>0</v>
      </c>
      <c r="C268" s="23">
        <f>Oportuno!C268</f>
        <v>2026091</v>
      </c>
      <c r="D268" s="23">
        <f>Oportuno!D268</f>
        <v>10</v>
      </c>
      <c r="E268" s="128">
        <f>Oportuno!E268</f>
        <v>0</v>
      </c>
      <c r="F268" s="126" t="e">
        <f>Oportuno!F268</f>
        <v>#N/A</v>
      </c>
      <c r="G268" s="36">
        <f>Oportuno!G268</f>
        <v>1</v>
      </c>
      <c r="H268" s="126" t="str">
        <f>Oportuno!H268</f>
        <v>Oficinas</v>
      </c>
      <c r="I268" s="130">
        <f>Oportuno!I268</f>
        <v>0</v>
      </c>
      <c r="J268" s="174">
        <f>Oportuno!J268</f>
        <v>0</v>
      </c>
      <c r="K268" s="174">
        <f>Oportuno!K268</f>
        <v>0</v>
      </c>
      <c r="L268" s="174">
        <f>Oportuno!L268</f>
        <v>0</v>
      </c>
      <c r="M268" s="174">
        <f>Oportuno!M268</f>
        <v>0</v>
      </c>
      <c r="N268" s="174">
        <f>Oportuno!N268</f>
        <v>0</v>
      </c>
      <c r="O268" s="174">
        <f>Oportuno!O268</f>
        <v>0</v>
      </c>
      <c r="P268" s="174">
        <f>Oportuno!P268</f>
        <v>0</v>
      </c>
      <c r="Q268" s="174">
        <f>Oportuno!Q268</f>
        <v>0</v>
      </c>
      <c r="R268" s="174">
        <f>Oportuno!R268</f>
        <v>0</v>
      </c>
      <c r="S268" s="215">
        <f>Oportuno!S268</f>
        <v>0</v>
      </c>
      <c r="T268" s="71">
        <f>Oportuno!T268</f>
        <v>0</v>
      </c>
      <c r="U268" s="71">
        <f>Oportuno!U268</f>
        <v>0</v>
      </c>
      <c r="V268" s="117">
        <f>Oportuno!V268</f>
        <v>0</v>
      </c>
      <c r="W268" s="117">
        <f>Oportuno!W268</f>
        <v>0</v>
      </c>
      <c r="X268" s="71">
        <f>Oportuno!X268</f>
        <v>0</v>
      </c>
      <c r="Y268" s="71">
        <f>Oportuno!Y268</f>
        <v>0</v>
      </c>
      <c r="AA268" s="65"/>
    </row>
    <row r="269" spans="2:27 16101:16120" ht="13" customHeight="1">
      <c r="B269" s="119">
        <f>Oportuno!B269</f>
        <v>0</v>
      </c>
      <c r="C269" s="23">
        <f>Oportuno!C269</f>
        <v>2026091</v>
      </c>
      <c r="D269" s="23">
        <f>Oportuno!D269</f>
        <v>10</v>
      </c>
      <c r="E269" s="128">
        <f>Oportuno!E269</f>
        <v>0</v>
      </c>
      <c r="F269" s="126" t="e">
        <f>Oportuno!F269</f>
        <v>#N/A</v>
      </c>
      <c r="G269" s="36">
        <f>Oportuno!G269</f>
        <v>1</v>
      </c>
      <c r="H269" s="126" t="str">
        <f>Oportuno!H269</f>
        <v>Oficinas</v>
      </c>
      <c r="I269" s="130">
        <f>Oportuno!I269</f>
        <v>0</v>
      </c>
      <c r="J269" s="174">
        <f>Oportuno!J269</f>
        <v>0</v>
      </c>
      <c r="K269" s="174">
        <f>Oportuno!K269</f>
        <v>0</v>
      </c>
      <c r="L269" s="174">
        <f>Oportuno!L269</f>
        <v>0</v>
      </c>
      <c r="M269" s="174">
        <f>Oportuno!M269</f>
        <v>0</v>
      </c>
      <c r="N269" s="174">
        <f>Oportuno!N269</f>
        <v>0</v>
      </c>
      <c r="O269" s="174">
        <f>Oportuno!O269</f>
        <v>0</v>
      </c>
      <c r="P269" s="174">
        <f>Oportuno!P269</f>
        <v>0</v>
      </c>
      <c r="Q269" s="174">
        <f>Oportuno!Q269</f>
        <v>0</v>
      </c>
      <c r="R269" s="174">
        <f>Oportuno!R269</f>
        <v>0</v>
      </c>
      <c r="S269" s="215">
        <f>Oportuno!S269</f>
        <v>0</v>
      </c>
      <c r="T269" s="71">
        <f>Oportuno!T269</f>
        <v>0</v>
      </c>
      <c r="U269" s="71">
        <f>Oportuno!U269</f>
        <v>0</v>
      </c>
      <c r="V269" s="117">
        <f>Oportuno!V269</f>
        <v>0</v>
      </c>
      <c r="W269" s="117">
        <f>Oportuno!W269</f>
        <v>0</v>
      </c>
      <c r="X269" s="71">
        <f>Oportuno!X269</f>
        <v>0</v>
      </c>
      <c r="Y269" s="71">
        <f>Oportuno!Y269</f>
        <v>0</v>
      </c>
      <c r="AA269" s="65"/>
    </row>
    <row r="270" spans="2:27 16101:16120" ht="13" customHeight="1">
      <c r="B270" s="119">
        <f>Oportuno!B270</f>
        <v>0</v>
      </c>
      <c r="C270" s="23">
        <f>Oportuno!C270</f>
        <v>2026091</v>
      </c>
      <c r="D270" s="23">
        <f>Oportuno!D270</f>
        <v>10</v>
      </c>
      <c r="E270" s="128">
        <f>Oportuno!E270</f>
        <v>0</v>
      </c>
      <c r="F270" s="126" t="e">
        <f>Oportuno!F270</f>
        <v>#N/A</v>
      </c>
      <c r="G270" s="36">
        <f>Oportuno!G270</f>
        <v>1</v>
      </c>
      <c r="H270" s="126" t="str">
        <f>Oportuno!H270</f>
        <v>Oficinas</v>
      </c>
      <c r="I270" s="130">
        <f>Oportuno!I270</f>
        <v>0</v>
      </c>
      <c r="J270" s="174">
        <f>Oportuno!J270</f>
        <v>0</v>
      </c>
      <c r="K270" s="174">
        <f>Oportuno!K270</f>
        <v>0</v>
      </c>
      <c r="L270" s="174">
        <f>Oportuno!L270</f>
        <v>0</v>
      </c>
      <c r="M270" s="174">
        <f>Oportuno!M270</f>
        <v>0</v>
      </c>
      <c r="N270" s="174">
        <f>Oportuno!N270</f>
        <v>0</v>
      </c>
      <c r="O270" s="174">
        <f>Oportuno!O270</f>
        <v>0</v>
      </c>
      <c r="P270" s="174">
        <f>Oportuno!P270</f>
        <v>0</v>
      </c>
      <c r="Q270" s="174">
        <f>Oportuno!Q270</f>
        <v>0</v>
      </c>
      <c r="R270" s="174">
        <f>Oportuno!R270</f>
        <v>0</v>
      </c>
      <c r="S270" s="215">
        <f>Oportuno!S270</f>
        <v>0</v>
      </c>
      <c r="T270" s="71">
        <f>Oportuno!T270</f>
        <v>0</v>
      </c>
      <c r="U270" s="71">
        <f>Oportuno!U270</f>
        <v>0</v>
      </c>
      <c r="V270" s="117">
        <f>Oportuno!V270</f>
        <v>0</v>
      </c>
      <c r="W270" s="117">
        <f>Oportuno!W270</f>
        <v>0</v>
      </c>
      <c r="X270" s="71">
        <f>Oportuno!X270</f>
        <v>0</v>
      </c>
      <c r="Y270" s="71">
        <f>Oportuno!Y270</f>
        <v>0</v>
      </c>
      <c r="AA270" s="65"/>
    </row>
    <row r="271" spans="2:27 16101:16120" ht="13" customHeight="1">
      <c r="B271" s="119">
        <f>Oportuno!B271</f>
        <v>0</v>
      </c>
      <c r="C271" s="23">
        <f>Oportuno!C271</f>
        <v>2026091</v>
      </c>
      <c r="D271" s="23">
        <f>Oportuno!D271</f>
        <v>10</v>
      </c>
      <c r="E271" s="128">
        <f>Oportuno!E271</f>
        <v>0</v>
      </c>
      <c r="F271" s="126" t="e">
        <f>Oportuno!F271</f>
        <v>#N/A</v>
      </c>
      <c r="G271" s="36">
        <f>Oportuno!G271</f>
        <v>1</v>
      </c>
      <c r="H271" s="126" t="str">
        <f>Oportuno!H271</f>
        <v>Oficinas</v>
      </c>
      <c r="I271" s="130">
        <f>Oportuno!I271</f>
        <v>0</v>
      </c>
      <c r="J271" s="174">
        <f>Oportuno!J271</f>
        <v>0</v>
      </c>
      <c r="K271" s="174">
        <f>Oportuno!K271</f>
        <v>0</v>
      </c>
      <c r="L271" s="174">
        <f>Oportuno!L271</f>
        <v>0</v>
      </c>
      <c r="M271" s="174">
        <f>Oportuno!M271</f>
        <v>0</v>
      </c>
      <c r="N271" s="174">
        <f>Oportuno!N271</f>
        <v>0</v>
      </c>
      <c r="O271" s="174">
        <f>Oportuno!O271</f>
        <v>0</v>
      </c>
      <c r="P271" s="174">
        <f>Oportuno!P271</f>
        <v>0</v>
      </c>
      <c r="Q271" s="174">
        <f>Oportuno!Q271</f>
        <v>0</v>
      </c>
      <c r="R271" s="174">
        <f>Oportuno!R271</f>
        <v>0</v>
      </c>
      <c r="S271" s="215">
        <f>Oportuno!S271</f>
        <v>0</v>
      </c>
      <c r="T271" s="71">
        <f>Oportuno!T271</f>
        <v>0</v>
      </c>
      <c r="U271" s="71">
        <f>Oportuno!U271</f>
        <v>0</v>
      </c>
      <c r="V271" s="117">
        <f>Oportuno!V271</f>
        <v>0</v>
      </c>
      <c r="W271" s="117">
        <f>Oportuno!W271</f>
        <v>0</v>
      </c>
      <c r="X271" s="71">
        <f>Oportuno!X271</f>
        <v>0</v>
      </c>
      <c r="Y271" s="71">
        <f>Oportuno!Y271</f>
        <v>0</v>
      </c>
      <c r="AA271" s="65"/>
    </row>
    <row r="272" spans="2:27 16101:16120" ht="13" customHeight="1">
      <c r="B272" s="119">
        <f>Oportuno!B272</f>
        <v>0</v>
      </c>
      <c r="C272" s="23">
        <f>Oportuno!C272</f>
        <v>2026091</v>
      </c>
      <c r="D272" s="23">
        <f>Oportuno!D272</f>
        <v>10</v>
      </c>
      <c r="E272" s="128">
        <f>Oportuno!E272</f>
        <v>0</v>
      </c>
      <c r="F272" s="126" t="e">
        <f>Oportuno!F272</f>
        <v>#N/A</v>
      </c>
      <c r="G272" s="36">
        <f>Oportuno!G272</f>
        <v>1</v>
      </c>
      <c r="H272" s="126" t="str">
        <f>Oportuno!H272</f>
        <v>Oficinas</v>
      </c>
      <c r="I272" s="130">
        <f>Oportuno!I272</f>
        <v>0</v>
      </c>
      <c r="J272" s="174">
        <f>Oportuno!J272</f>
        <v>0</v>
      </c>
      <c r="K272" s="174">
        <f>Oportuno!K272</f>
        <v>0</v>
      </c>
      <c r="L272" s="174">
        <f>Oportuno!L272</f>
        <v>0</v>
      </c>
      <c r="M272" s="174">
        <f>Oportuno!M272</f>
        <v>0</v>
      </c>
      <c r="N272" s="174">
        <f>Oportuno!N272</f>
        <v>0</v>
      </c>
      <c r="O272" s="174">
        <f>Oportuno!O272</f>
        <v>0</v>
      </c>
      <c r="P272" s="174">
        <f>Oportuno!P272</f>
        <v>0</v>
      </c>
      <c r="Q272" s="174">
        <f>Oportuno!Q272</f>
        <v>0</v>
      </c>
      <c r="R272" s="174">
        <f>Oportuno!R272</f>
        <v>0</v>
      </c>
      <c r="S272" s="215">
        <f>Oportuno!S272</f>
        <v>0</v>
      </c>
      <c r="T272" s="71">
        <f>Oportuno!T272</f>
        <v>0</v>
      </c>
      <c r="U272" s="71">
        <f>Oportuno!U272</f>
        <v>0</v>
      </c>
      <c r="V272" s="117">
        <f>Oportuno!V272</f>
        <v>0</v>
      </c>
      <c r="W272" s="117">
        <f>Oportuno!W272</f>
        <v>0</v>
      </c>
      <c r="X272" s="71">
        <f>Oportuno!X272</f>
        <v>0</v>
      </c>
      <c r="Y272" s="71">
        <f>Oportuno!Y272</f>
        <v>0</v>
      </c>
      <c r="AA272" s="65"/>
    </row>
    <row r="273" spans="2:27" ht="13" customHeight="1">
      <c r="B273" s="119">
        <f>Oportuno!B273</f>
        <v>0</v>
      </c>
      <c r="C273" s="23">
        <f>Oportuno!C273</f>
        <v>2026091</v>
      </c>
      <c r="D273" s="23">
        <f>Oportuno!D273</f>
        <v>10</v>
      </c>
      <c r="E273" s="128">
        <f>Oportuno!E273</f>
        <v>0</v>
      </c>
      <c r="F273" s="126" t="e">
        <f>Oportuno!F273</f>
        <v>#N/A</v>
      </c>
      <c r="G273" s="36">
        <f>Oportuno!G273</f>
        <v>1</v>
      </c>
      <c r="H273" s="126" t="str">
        <f>Oportuno!H273</f>
        <v>Oficinas</v>
      </c>
      <c r="I273" s="130">
        <f>Oportuno!I273</f>
        <v>0</v>
      </c>
      <c r="J273" s="174">
        <f>Oportuno!J273</f>
        <v>0</v>
      </c>
      <c r="K273" s="174">
        <f>Oportuno!K273</f>
        <v>0</v>
      </c>
      <c r="L273" s="174">
        <f>Oportuno!L273</f>
        <v>0</v>
      </c>
      <c r="M273" s="174">
        <f>Oportuno!M273</f>
        <v>0</v>
      </c>
      <c r="N273" s="174">
        <f>Oportuno!N273</f>
        <v>0</v>
      </c>
      <c r="O273" s="174">
        <f>Oportuno!O273</f>
        <v>0</v>
      </c>
      <c r="P273" s="174">
        <f>Oportuno!P273</f>
        <v>0</v>
      </c>
      <c r="Q273" s="174">
        <f>Oportuno!Q273</f>
        <v>0</v>
      </c>
      <c r="R273" s="174">
        <f>Oportuno!R273</f>
        <v>0</v>
      </c>
      <c r="S273" s="215">
        <f>Oportuno!S273</f>
        <v>0</v>
      </c>
      <c r="T273" s="71">
        <f>Oportuno!T273</f>
        <v>0</v>
      </c>
      <c r="U273" s="71">
        <f>Oportuno!U273</f>
        <v>0</v>
      </c>
      <c r="V273" s="117">
        <f>Oportuno!V273</f>
        <v>0</v>
      </c>
      <c r="W273" s="117">
        <f>Oportuno!W273</f>
        <v>0</v>
      </c>
      <c r="X273" s="71">
        <f>Oportuno!X273</f>
        <v>0</v>
      </c>
      <c r="Y273" s="71">
        <f>Oportuno!Y273</f>
        <v>0</v>
      </c>
      <c r="AA273" s="65"/>
    </row>
    <row r="274" spans="2:27" ht="13" customHeight="1">
      <c r="B274" s="119">
        <f>Oportuno!B274</f>
        <v>0</v>
      </c>
      <c r="C274" s="23">
        <f>Oportuno!C274</f>
        <v>2026091</v>
      </c>
      <c r="D274" s="23">
        <f>Oportuno!D274</f>
        <v>10</v>
      </c>
      <c r="E274" s="128">
        <f>Oportuno!E274</f>
        <v>0</v>
      </c>
      <c r="F274" s="126" t="e">
        <f>Oportuno!F274</f>
        <v>#N/A</v>
      </c>
      <c r="G274" s="36">
        <f>Oportuno!G274</f>
        <v>1</v>
      </c>
      <c r="H274" s="126" t="str">
        <f>Oportuno!H274</f>
        <v>Oficinas</v>
      </c>
      <c r="I274" s="130">
        <f>Oportuno!I274</f>
        <v>0</v>
      </c>
      <c r="J274" s="174">
        <f>Oportuno!J274</f>
        <v>0</v>
      </c>
      <c r="K274" s="174">
        <f>Oportuno!K274</f>
        <v>0</v>
      </c>
      <c r="L274" s="174">
        <f>Oportuno!L274</f>
        <v>0</v>
      </c>
      <c r="M274" s="174">
        <f>Oportuno!M274</f>
        <v>0</v>
      </c>
      <c r="N274" s="174">
        <f>Oportuno!N274</f>
        <v>0</v>
      </c>
      <c r="O274" s="174">
        <f>Oportuno!O274</f>
        <v>0</v>
      </c>
      <c r="P274" s="174">
        <f>Oportuno!P274</f>
        <v>0</v>
      </c>
      <c r="Q274" s="174">
        <f>Oportuno!Q274</f>
        <v>0</v>
      </c>
      <c r="R274" s="174">
        <f>Oportuno!R274</f>
        <v>0</v>
      </c>
      <c r="S274" s="215">
        <f>Oportuno!S274</f>
        <v>0</v>
      </c>
      <c r="T274" s="71">
        <f>Oportuno!T274</f>
        <v>0</v>
      </c>
      <c r="U274" s="71">
        <f>Oportuno!U274</f>
        <v>0</v>
      </c>
      <c r="V274" s="117">
        <f>Oportuno!V274</f>
        <v>0</v>
      </c>
      <c r="W274" s="117">
        <f>Oportuno!W274</f>
        <v>0</v>
      </c>
      <c r="X274" s="71">
        <f>Oportuno!X274</f>
        <v>0</v>
      </c>
      <c r="Y274" s="71">
        <f>Oportuno!Y274</f>
        <v>0</v>
      </c>
      <c r="AA274" s="65"/>
    </row>
    <row r="275" spans="2:27" ht="13" customHeight="1">
      <c r="B275" s="119">
        <f>Oportuno!B275</f>
        <v>0</v>
      </c>
      <c r="C275" s="23">
        <f>Oportuno!C275</f>
        <v>2026091</v>
      </c>
      <c r="D275" s="23">
        <f>Oportuno!D275</f>
        <v>10</v>
      </c>
      <c r="E275" s="128">
        <f>Oportuno!E275</f>
        <v>0</v>
      </c>
      <c r="F275" s="126" t="e">
        <f>Oportuno!F275</f>
        <v>#N/A</v>
      </c>
      <c r="G275" s="36">
        <f>Oportuno!G275</f>
        <v>1</v>
      </c>
      <c r="H275" s="126" t="str">
        <f>Oportuno!H275</f>
        <v>Oficinas</v>
      </c>
      <c r="I275" s="130">
        <f>Oportuno!I275</f>
        <v>0</v>
      </c>
      <c r="J275" s="174">
        <f>Oportuno!J275</f>
        <v>0</v>
      </c>
      <c r="K275" s="174">
        <f>Oportuno!K275</f>
        <v>0</v>
      </c>
      <c r="L275" s="174">
        <f>Oportuno!L275</f>
        <v>0</v>
      </c>
      <c r="M275" s="174">
        <f>Oportuno!M275</f>
        <v>0</v>
      </c>
      <c r="N275" s="174">
        <f>Oportuno!N275</f>
        <v>0</v>
      </c>
      <c r="O275" s="174">
        <f>Oportuno!O275</f>
        <v>0</v>
      </c>
      <c r="P275" s="174">
        <f>Oportuno!P275</f>
        <v>0</v>
      </c>
      <c r="Q275" s="174">
        <f>Oportuno!Q275</f>
        <v>0</v>
      </c>
      <c r="R275" s="174">
        <f>Oportuno!R275</f>
        <v>0</v>
      </c>
      <c r="S275" s="215">
        <f>Oportuno!S275</f>
        <v>0</v>
      </c>
      <c r="T275" s="71">
        <f>Oportuno!T275</f>
        <v>0</v>
      </c>
      <c r="U275" s="71">
        <f>Oportuno!U275</f>
        <v>0</v>
      </c>
      <c r="V275" s="117">
        <f>Oportuno!V275</f>
        <v>0</v>
      </c>
      <c r="W275" s="117">
        <f>Oportuno!W275</f>
        <v>0</v>
      </c>
      <c r="X275" s="71">
        <f>Oportuno!X275</f>
        <v>0</v>
      </c>
      <c r="Y275" s="71">
        <f>Oportuno!Y275</f>
        <v>0</v>
      </c>
      <c r="AA275" s="65"/>
    </row>
    <row r="276" spans="2:27" ht="13" customHeight="1">
      <c r="B276" s="119">
        <f>Oportuno!B276</f>
        <v>0</v>
      </c>
      <c r="C276" s="23">
        <f>Oportuno!C276</f>
        <v>2026091</v>
      </c>
      <c r="D276" s="23">
        <f>Oportuno!D276</f>
        <v>10</v>
      </c>
      <c r="E276" s="128">
        <f>Oportuno!E276</f>
        <v>0</v>
      </c>
      <c r="F276" s="126" t="e">
        <f>Oportuno!F276</f>
        <v>#N/A</v>
      </c>
      <c r="G276" s="36">
        <f>Oportuno!G276</f>
        <v>1</v>
      </c>
      <c r="H276" s="126" t="str">
        <f>Oportuno!H276</f>
        <v>Oficinas</v>
      </c>
      <c r="I276" s="130">
        <f>Oportuno!I276</f>
        <v>0</v>
      </c>
      <c r="J276" s="174">
        <f>Oportuno!J276</f>
        <v>0</v>
      </c>
      <c r="K276" s="174">
        <f>Oportuno!K276</f>
        <v>0</v>
      </c>
      <c r="L276" s="174">
        <f>Oportuno!L276</f>
        <v>0</v>
      </c>
      <c r="M276" s="174">
        <f>Oportuno!M276</f>
        <v>0</v>
      </c>
      <c r="N276" s="174">
        <f>Oportuno!N276</f>
        <v>0</v>
      </c>
      <c r="O276" s="174">
        <f>Oportuno!O276</f>
        <v>0</v>
      </c>
      <c r="P276" s="174">
        <f>Oportuno!P276</f>
        <v>0</v>
      </c>
      <c r="Q276" s="174">
        <f>Oportuno!Q276</f>
        <v>0</v>
      </c>
      <c r="R276" s="174">
        <f>Oportuno!R276</f>
        <v>0</v>
      </c>
      <c r="S276" s="215">
        <f>Oportuno!S276</f>
        <v>0</v>
      </c>
      <c r="T276" s="71">
        <f>Oportuno!T276</f>
        <v>0</v>
      </c>
      <c r="U276" s="71">
        <f>Oportuno!U276</f>
        <v>0</v>
      </c>
      <c r="V276" s="117">
        <f>Oportuno!V276</f>
        <v>0</v>
      </c>
      <c r="W276" s="117">
        <f>Oportuno!W276</f>
        <v>0</v>
      </c>
      <c r="X276" s="71">
        <f>Oportuno!X276</f>
        <v>0</v>
      </c>
      <c r="Y276" s="71">
        <f>Oportuno!Y276</f>
        <v>0</v>
      </c>
      <c r="AA276" s="65"/>
    </row>
    <row r="277" spans="2:27" ht="13" customHeight="1">
      <c r="B277" s="119">
        <f>Oportuno!B277</f>
        <v>0</v>
      </c>
      <c r="C277" s="23">
        <f>Oportuno!C277</f>
        <v>2026091</v>
      </c>
      <c r="D277" s="23">
        <f>Oportuno!D277</f>
        <v>10</v>
      </c>
      <c r="E277" s="128">
        <f>Oportuno!E277</f>
        <v>0</v>
      </c>
      <c r="F277" s="126" t="e">
        <f>Oportuno!F277</f>
        <v>#N/A</v>
      </c>
      <c r="G277" s="36">
        <f>Oportuno!G277</f>
        <v>1</v>
      </c>
      <c r="H277" s="126" t="str">
        <f>Oportuno!H277</f>
        <v>Oficinas</v>
      </c>
      <c r="I277" s="130">
        <f>Oportuno!I277</f>
        <v>0</v>
      </c>
      <c r="J277" s="174">
        <f>Oportuno!J277</f>
        <v>0</v>
      </c>
      <c r="K277" s="174">
        <f>Oportuno!K277</f>
        <v>0</v>
      </c>
      <c r="L277" s="174">
        <f>Oportuno!L277</f>
        <v>0</v>
      </c>
      <c r="M277" s="174">
        <f>Oportuno!M277</f>
        <v>0</v>
      </c>
      <c r="N277" s="174">
        <f>Oportuno!N277</f>
        <v>0</v>
      </c>
      <c r="O277" s="174">
        <f>Oportuno!O277</f>
        <v>0</v>
      </c>
      <c r="P277" s="174">
        <f>Oportuno!P277</f>
        <v>0</v>
      </c>
      <c r="Q277" s="174">
        <f>Oportuno!Q277</f>
        <v>0</v>
      </c>
      <c r="R277" s="174">
        <f>Oportuno!R277</f>
        <v>0</v>
      </c>
      <c r="S277" s="215">
        <f>Oportuno!S277</f>
        <v>0</v>
      </c>
      <c r="T277" s="71">
        <f>Oportuno!T277</f>
        <v>0</v>
      </c>
      <c r="U277" s="71">
        <f>Oportuno!U277</f>
        <v>0</v>
      </c>
      <c r="V277" s="117">
        <f>Oportuno!V277</f>
        <v>0</v>
      </c>
      <c r="W277" s="117">
        <f>Oportuno!W277</f>
        <v>0</v>
      </c>
      <c r="X277" s="71">
        <f>Oportuno!X277</f>
        <v>0</v>
      </c>
      <c r="Y277" s="71">
        <f>Oportuno!Y277</f>
        <v>0</v>
      </c>
      <c r="AA277" s="65"/>
    </row>
    <row r="278" spans="2:27" ht="13" customHeight="1">
      <c r="B278" s="119">
        <f>Oportuno!B278</f>
        <v>0</v>
      </c>
      <c r="C278" s="23">
        <f>Oportuno!C278</f>
        <v>2026091</v>
      </c>
      <c r="D278" s="23">
        <f>Oportuno!D278</f>
        <v>10</v>
      </c>
      <c r="E278" s="128">
        <f>Oportuno!E278</f>
        <v>0</v>
      </c>
      <c r="F278" s="126" t="e">
        <f>Oportuno!F278</f>
        <v>#N/A</v>
      </c>
      <c r="G278" s="36">
        <f>Oportuno!G278</f>
        <v>1</v>
      </c>
      <c r="H278" s="126" t="str">
        <f>Oportuno!H278</f>
        <v>Oficinas</v>
      </c>
      <c r="I278" s="130">
        <f>Oportuno!I278</f>
        <v>0</v>
      </c>
      <c r="J278" s="174">
        <f>Oportuno!J278</f>
        <v>0</v>
      </c>
      <c r="K278" s="174">
        <f>Oportuno!K278</f>
        <v>0</v>
      </c>
      <c r="L278" s="174">
        <f>Oportuno!L278</f>
        <v>0</v>
      </c>
      <c r="M278" s="174">
        <f>Oportuno!M278</f>
        <v>0</v>
      </c>
      <c r="N278" s="174">
        <f>Oportuno!N278</f>
        <v>0</v>
      </c>
      <c r="O278" s="174">
        <f>Oportuno!O278</f>
        <v>0</v>
      </c>
      <c r="P278" s="174">
        <f>Oportuno!P278</f>
        <v>0</v>
      </c>
      <c r="Q278" s="174">
        <f>Oportuno!Q278</f>
        <v>0</v>
      </c>
      <c r="R278" s="174">
        <f>Oportuno!R278</f>
        <v>0</v>
      </c>
      <c r="S278" s="215">
        <f>Oportuno!S278</f>
        <v>0</v>
      </c>
      <c r="T278" s="71">
        <f>Oportuno!T278</f>
        <v>0</v>
      </c>
      <c r="U278" s="71">
        <f>Oportuno!U278</f>
        <v>0</v>
      </c>
      <c r="V278" s="117">
        <f>Oportuno!V278</f>
        <v>0</v>
      </c>
      <c r="W278" s="117">
        <f>Oportuno!W278</f>
        <v>0</v>
      </c>
      <c r="X278" s="71">
        <f>Oportuno!X278</f>
        <v>0</v>
      </c>
      <c r="Y278" s="71">
        <f>Oportuno!Y278</f>
        <v>0</v>
      </c>
      <c r="AA278" s="65"/>
    </row>
    <row r="279" spans="2:27" ht="13" customHeight="1">
      <c r="B279" s="119">
        <f>Oportuno!B279</f>
        <v>0</v>
      </c>
      <c r="C279" s="23">
        <f>Oportuno!C279</f>
        <v>2026091</v>
      </c>
      <c r="D279" s="23">
        <f>Oportuno!D279</f>
        <v>10</v>
      </c>
      <c r="E279" s="128">
        <f>Oportuno!E279</f>
        <v>0</v>
      </c>
      <c r="F279" s="126" t="e">
        <f>Oportuno!F279</f>
        <v>#N/A</v>
      </c>
      <c r="G279" s="36">
        <f>Oportuno!G279</f>
        <v>1</v>
      </c>
      <c r="H279" s="126" t="str">
        <f>Oportuno!H279</f>
        <v>Oficinas</v>
      </c>
      <c r="I279" s="130">
        <f>Oportuno!I279</f>
        <v>0</v>
      </c>
      <c r="J279" s="174">
        <f>Oportuno!J279</f>
        <v>0</v>
      </c>
      <c r="K279" s="174">
        <f>Oportuno!K279</f>
        <v>0</v>
      </c>
      <c r="L279" s="174">
        <f>Oportuno!L279</f>
        <v>0</v>
      </c>
      <c r="M279" s="174">
        <f>Oportuno!M279</f>
        <v>0</v>
      </c>
      <c r="N279" s="174">
        <f>Oportuno!N279</f>
        <v>0</v>
      </c>
      <c r="O279" s="174">
        <f>Oportuno!O279</f>
        <v>0</v>
      </c>
      <c r="P279" s="174">
        <f>Oportuno!P279</f>
        <v>0</v>
      </c>
      <c r="Q279" s="174">
        <f>Oportuno!Q279</f>
        <v>0</v>
      </c>
      <c r="R279" s="174">
        <f>Oportuno!R279</f>
        <v>0</v>
      </c>
      <c r="S279" s="215">
        <f>Oportuno!S279</f>
        <v>0</v>
      </c>
      <c r="T279" s="71">
        <f>Oportuno!T279</f>
        <v>0</v>
      </c>
      <c r="U279" s="71">
        <f>Oportuno!U279</f>
        <v>0</v>
      </c>
      <c r="V279" s="117">
        <f>Oportuno!V279</f>
        <v>0</v>
      </c>
      <c r="W279" s="117">
        <f>Oportuno!W279</f>
        <v>0</v>
      </c>
      <c r="X279" s="71">
        <f>Oportuno!X279</f>
        <v>0</v>
      </c>
      <c r="Y279" s="71">
        <f>Oportuno!Y279</f>
        <v>0</v>
      </c>
      <c r="AA279" s="65"/>
    </row>
    <row r="280" spans="2:27" ht="12" customHeight="1">
      <c r="B280" s="119">
        <f>Oportuno!B280</f>
        <v>0</v>
      </c>
      <c r="C280" s="23">
        <f>Oportuno!C280</f>
        <v>2026091</v>
      </c>
      <c r="D280" s="23">
        <f>Oportuno!D280</f>
        <v>10</v>
      </c>
      <c r="E280" s="128">
        <f>Oportuno!E280</f>
        <v>0</v>
      </c>
      <c r="F280" s="126" t="e">
        <f>Oportuno!F280</f>
        <v>#N/A</v>
      </c>
      <c r="G280" s="36">
        <f>Oportuno!G280</f>
        <v>1</v>
      </c>
      <c r="H280" s="126" t="str">
        <f>Oportuno!H280</f>
        <v>Oficinas</v>
      </c>
      <c r="I280" s="130">
        <f>Oportuno!I280</f>
        <v>0</v>
      </c>
      <c r="J280" s="174">
        <f>Oportuno!J280</f>
        <v>0</v>
      </c>
      <c r="K280" s="174">
        <f>Oportuno!K280</f>
        <v>0</v>
      </c>
      <c r="L280" s="174">
        <f>Oportuno!L280</f>
        <v>0</v>
      </c>
      <c r="M280" s="174">
        <f>Oportuno!M280</f>
        <v>0</v>
      </c>
      <c r="N280" s="174">
        <f>Oportuno!N280</f>
        <v>0</v>
      </c>
      <c r="O280" s="174">
        <f>Oportuno!O280</f>
        <v>0</v>
      </c>
      <c r="P280" s="174">
        <f>Oportuno!P280</f>
        <v>0</v>
      </c>
      <c r="Q280" s="174">
        <f>Oportuno!Q280</f>
        <v>0</v>
      </c>
      <c r="R280" s="174">
        <f>Oportuno!R280</f>
        <v>0</v>
      </c>
      <c r="S280" s="215">
        <f>Oportuno!S280</f>
        <v>0</v>
      </c>
      <c r="T280" s="71">
        <f>Oportuno!T280</f>
        <v>0</v>
      </c>
      <c r="U280" s="71">
        <f>Oportuno!U280</f>
        <v>0</v>
      </c>
      <c r="V280" s="117">
        <f>Oportuno!V280</f>
        <v>0</v>
      </c>
      <c r="W280" s="117">
        <f>Oportuno!W280</f>
        <v>0</v>
      </c>
      <c r="X280" s="71">
        <f>Oportuno!X280</f>
        <v>0</v>
      </c>
      <c r="Y280" s="71">
        <f>Oportuno!Y280</f>
        <v>0</v>
      </c>
      <c r="AA280" s="65"/>
    </row>
    <row r="281" spans="2:27" ht="13" customHeight="1">
      <c r="B281" s="119">
        <f>Oportuno!B281</f>
        <v>0</v>
      </c>
      <c r="C281" s="23">
        <f>Oportuno!C281</f>
        <v>2026091</v>
      </c>
      <c r="D281" s="23">
        <f>Oportuno!D281</f>
        <v>10</v>
      </c>
      <c r="E281" s="128">
        <f>Oportuno!E281</f>
        <v>0</v>
      </c>
      <c r="F281" s="126" t="e">
        <f>Oportuno!F281</f>
        <v>#N/A</v>
      </c>
      <c r="G281" s="36">
        <f>Oportuno!G281</f>
        <v>1</v>
      </c>
      <c r="H281" s="126" t="str">
        <f>Oportuno!H281</f>
        <v>Oficinas</v>
      </c>
      <c r="I281" s="130">
        <f>Oportuno!I281</f>
        <v>0</v>
      </c>
      <c r="J281" s="174">
        <f>Oportuno!J281</f>
        <v>0</v>
      </c>
      <c r="K281" s="174">
        <f>Oportuno!K281</f>
        <v>0</v>
      </c>
      <c r="L281" s="174">
        <f>Oportuno!L281</f>
        <v>0</v>
      </c>
      <c r="M281" s="174">
        <f>Oportuno!M281</f>
        <v>0</v>
      </c>
      <c r="N281" s="174">
        <f>Oportuno!N281</f>
        <v>0</v>
      </c>
      <c r="O281" s="174">
        <f>Oportuno!O281</f>
        <v>0</v>
      </c>
      <c r="P281" s="174">
        <f>Oportuno!P281</f>
        <v>0</v>
      </c>
      <c r="Q281" s="174">
        <f>Oportuno!Q281</f>
        <v>0</v>
      </c>
      <c r="R281" s="174">
        <f>Oportuno!R281</f>
        <v>0</v>
      </c>
      <c r="S281" s="215">
        <f>Oportuno!S281</f>
        <v>0</v>
      </c>
      <c r="T281" s="71">
        <f>Oportuno!T281</f>
        <v>0</v>
      </c>
      <c r="U281" s="71">
        <f>Oportuno!U281</f>
        <v>0</v>
      </c>
      <c r="V281" s="117">
        <f>Oportuno!V281</f>
        <v>0</v>
      </c>
      <c r="W281" s="117">
        <f>Oportuno!W281</f>
        <v>0</v>
      </c>
      <c r="X281" s="71">
        <f>Oportuno!X281</f>
        <v>0</v>
      </c>
      <c r="Y281" s="71">
        <f>Oportuno!Y281</f>
        <v>0</v>
      </c>
      <c r="AA281" s="65"/>
    </row>
    <row r="282" spans="2:27" ht="13" customHeight="1">
      <c r="B282" s="119">
        <f>Oportuno!B282</f>
        <v>0</v>
      </c>
      <c r="C282" s="23">
        <f>Oportuno!C282</f>
        <v>2026091</v>
      </c>
      <c r="D282" s="23">
        <f>Oportuno!D282</f>
        <v>10</v>
      </c>
      <c r="E282" s="128">
        <f>Oportuno!E282</f>
        <v>0</v>
      </c>
      <c r="F282" s="126" t="e">
        <f>Oportuno!F282</f>
        <v>#N/A</v>
      </c>
      <c r="G282" s="36">
        <f>Oportuno!G282</f>
        <v>1</v>
      </c>
      <c r="H282" s="126" t="str">
        <f>Oportuno!H282</f>
        <v>Oficinas</v>
      </c>
      <c r="I282" s="130">
        <f>Oportuno!I282</f>
        <v>0</v>
      </c>
      <c r="J282" s="174">
        <f>Oportuno!J282</f>
        <v>0</v>
      </c>
      <c r="K282" s="174">
        <f>Oportuno!K282</f>
        <v>0</v>
      </c>
      <c r="L282" s="174">
        <f>Oportuno!L282</f>
        <v>0</v>
      </c>
      <c r="M282" s="174">
        <f>Oportuno!M282</f>
        <v>0</v>
      </c>
      <c r="N282" s="174">
        <f>Oportuno!N282</f>
        <v>0</v>
      </c>
      <c r="O282" s="174">
        <f>Oportuno!O282</f>
        <v>0</v>
      </c>
      <c r="P282" s="174">
        <f>Oportuno!P282</f>
        <v>0</v>
      </c>
      <c r="Q282" s="174">
        <f>Oportuno!Q282</f>
        <v>0</v>
      </c>
      <c r="R282" s="174">
        <f>Oportuno!R282</f>
        <v>0</v>
      </c>
      <c r="S282" s="215">
        <f>Oportuno!S282</f>
        <v>0</v>
      </c>
      <c r="T282" s="71">
        <f>Oportuno!T282</f>
        <v>0</v>
      </c>
      <c r="U282" s="71">
        <f>Oportuno!U282</f>
        <v>0</v>
      </c>
      <c r="V282" s="117">
        <f>Oportuno!V282</f>
        <v>0</v>
      </c>
      <c r="W282" s="117">
        <f>Oportuno!W282</f>
        <v>0</v>
      </c>
      <c r="X282" s="71">
        <f>Oportuno!X282</f>
        <v>0</v>
      </c>
      <c r="Y282" s="71">
        <f>Oportuno!Y282</f>
        <v>0</v>
      </c>
      <c r="AA282" s="65"/>
    </row>
    <row r="283" spans="2:27" ht="13" customHeight="1">
      <c r="B283" s="119">
        <f>Oportuno!B283</f>
        <v>0</v>
      </c>
      <c r="C283" s="23">
        <f>Oportuno!C283</f>
        <v>2026091</v>
      </c>
      <c r="D283" s="23">
        <f>Oportuno!D283</f>
        <v>10</v>
      </c>
      <c r="E283" s="128">
        <f>Oportuno!E283</f>
        <v>0</v>
      </c>
      <c r="F283" s="126" t="e">
        <f>Oportuno!F283</f>
        <v>#N/A</v>
      </c>
      <c r="G283" s="36">
        <f>Oportuno!G283</f>
        <v>1</v>
      </c>
      <c r="H283" s="126" t="str">
        <f>Oportuno!H283</f>
        <v>Oficinas</v>
      </c>
      <c r="I283" s="130">
        <f>Oportuno!I283</f>
        <v>0</v>
      </c>
      <c r="J283" s="174">
        <f>Oportuno!J283</f>
        <v>0</v>
      </c>
      <c r="K283" s="174">
        <f>Oportuno!K283</f>
        <v>0</v>
      </c>
      <c r="L283" s="174">
        <f>Oportuno!L283</f>
        <v>0</v>
      </c>
      <c r="M283" s="174">
        <f>Oportuno!M283</f>
        <v>0</v>
      </c>
      <c r="N283" s="174">
        <f>Oportuno!N283</f>
        <v>0</v>
      </c>
      <c r="O283" s="174">
        <f>Oportuno!O283</f>
        <v>0</v>
      </c>
      <c r="P283" s="174">
        <f>Oportuno!P283</f>
        <v>0</v>
      </c>
      <c r="Q283" s="174">
        <f>Oportuno!Q283</f>
        <v>0</v>
      </c>
      <c r="R283" s="174">
        <f>Oportuno!R283</f>
        <v>0</v>
      </c>
      <c r="S283" s="215">
        <f>Oportuno!S283</f>
        <v>0</v>
      </c>
      <c r="T283" s="71">
        <f>Oportuno!T283</f>
        <v>0</v>
      </c>
      <c r="U283" s="71">
        <f>Oportuno!U283</f>
        <v>0</v>
      </c>
      <c r="V283" s="117">
        <f>Oportuno!V283</f>
        <v>0</v>
      </c>
      <c r="W283" s="117">
        <f>Oportuno!W283</f>
        <v>0</v>
      </c>
      <c r="X283" s="71">
        <f>Oportuno!X283</f>
        <v>0</v>
      </c>
      <c r="Y283" s="71">
        <f>Oportuno!Y283</f>
        <v>0</v>
      </c>
      <c r="AA283" s="65"/>
    </row>
    <row r="284" spans="2:27" ht="13" customHeight="1">
      <c r="B284" s="119">
        <f>Oportuno!B284</f>
        <v>0</v>
      </c>
      <c r="C284" s="23">
        <f>Oportuno!C284</f>
        <v>2026091</v>
      </c>
      <c r="D284" s="23">
        <f>Oportuno!D284</f>
        <v>10</v>
      </c>
      <c r="E284" s="128">
        <f>Oportuno!E284</f>
        <v>0</v>
      </c>
      <c r="F284" s="126" t="e">
        <f>Oportuno!F284</f>
        <v>#N/A</v>
      </c>
      <c r="G284" s="36">
        <f>Oportuno!G284</f>
        <v>1</v>
      </c>
      <c r="H284" s="126" t="str">
        <f>Oportuno!H284</f>
        <v>Oficinas</v>
      </c>
      <c r="I284" s="130">
        <f>Oportuno!I284</f>
        <v>0</v>
      </c>
      <c r="J284" s="174">
        <f>Oportuno!J284</f>
        <v>0</v>
      </c>
      <c r="K284" s="174">
        <f>Oportuno!K284</f>
        <v>0</v>
      </c>
      <c r="L284" s="174">
        <f>Oportuno!L284</f>
        <v>0</v>
      </c>
      <c r="M284" s="174">
        <f>Oportuno!M284</f>
        <v>0</v>
      </c>
      <c r="N284" s="174">
        <f>Oportuno!N284</f>
        <v>0</v>
      </c>
      <c r="O284" s="174">
        <f>Oportuno!O284</f>
        <v>0</v>
      </c>
      <c r="P284" s="174">
        <f>Oportuno!P284</f>
        <v>0</v>
      </c>
      <c r="Q284" s="174">
        <f>Oportuno!Q284</f>
        <v>0</v>
      </c>
      <c r="R284" s="174">
        <f>Oportuno!R284</f>
        <v>0</v>
      </c>
      <c r="S284" s="215">
        <f>Oportuno!S284</f>
        <v>0</v>
      </c>
      <c r="T284" s="71">
        <f>Oportuno!T284</f>
        <v>0</v>
      </c>
      <c r="U284" s="71">
        <f>Oportuno!U284</f>
        <v>0</v>
      </c>
      <c r="V284" s="117">
        <f>Oportuno!V284</f>
        <v>0</v>
      </c>
      <c r="W284" s="117">
        <f>Oportuno!W284</f>
        <v>0</v>
      </c>
      <c r="X284" s="71">
        <f>Oportuno!X284</f>
        <v>0</v>
      </c>
      <c r="Y284" s="71">
        <f>Oportuno!Y284</f>
        <v>0</v>
      </c>
      <c r="AA284" s="65"/>
    </row>
    <row r="285" spans="2:27" ht="13" customHeight="1">
      <c r="B285" s="119">
        <f>Oportuno!B285</f>
        <v>0</v>
      </c>
      <c r="C285" s="23">
        <f>Oportuno!C285</f>
        <v>2026091</v>
      </c>
      <c r="D285" s="23">
        <f>Oportuno!D285</f>
        <v>10</v>
      </c>
      <c r="E285" s="128">
        <f>Oportuno!E285</f>
        <v>0</v>
      </c>
      <c r="F285" s="126" t="e">
        <f>Oportuno!F285</f>
        <v>#N/A</v>
      </c>
      <c r="G285" s="36">
        <f>Oportuno!G285</f>
        <v>1</v>
      </c>
      <c r="H285" s="126" t="str">
        <f>Oportuno!H285</f>
        <v>Oficinas</v>
      </c>
      <c r="I285" s="130">
        <f>Oportuno!I285</f>
        <v>0</v>
      </c>
      <c r="J285" s="174">
        <f>Oportuno!J285</f>
        <v>0</v>
      </c>
      <c r="K285" s="174">
        <f>Oportuno!K285</f>
        <v>0</v>
      </c>
      <c r="L285" s="174">
        <f>Oportuno!L285</f>
        <v>0</v>
      </c>
      <c r="M285" s="174">
        <f>Oportuno!M285</f>
        <v>0</v>
      </c>
      <c r="N285" s="174">
        <f>Oportuno!N285</f>
        <v>0</v>
      </c>
      <c r="O285" s="174">
        <f>Oportuno!O285</f>
        <v>0</v>
      </c>
      <c r="P285" s="174">
        <f>Oportuno!P285</f>
        <v>0</v>
      </c>
      <c r="Q285" s="174">
        <f>Oportuno!Q285</f>
        <v>0</v>
      </c>
      <c r="R285" s="174">
        <f>Oportuno!R285</f>
        <v>0</v>
      </c>
      <c r="S285" s="215">
        <f>Oportuno!S285</f>
        <v>0</v>
      </c>
      <c r="T285" s="71">
        <f>Oportuno!T285</f>
        <v>0</v>
      </c>
      <c r="U285" s="71">
        <f>Oportuno!U285</f>
        <v>0</v>
      </c>
      <c r="V285" s="117">
        <f>Oportuno!V285</f>
        <v>0</v>
      </c>
      <c r="W285" s="117">
        <f>Oportuno!W285</f>
        <v>0</v>
      </c>
      <c r="X285" s="71">
        <f>Oportuno!X285</f>
        <v>0</v>
      </c>
      <c r="Y285" s="71">
        <f>Oportuno!Y285</f>
        <v>0</v>
      </c>
      <c r="AA285" s="65"/>
    </row>
    <row r="286" spans="2:27" ht="13" customHeight="1">
      <c r="B286" s="119">
        <f>Oportuno!B286</f>
        <v>0</v>
      </c>
      <c r="C286" s="23">
        <f>Oportuno!C286</f>
        <v>2026091</v>
      </c>
      <c r="D286" s="23">
        <f>Oportuno!D286</f>
        <v>10</v>
      </c>
      <c r="E286" s="128">
        <f>Oportuno!E286</f>
        <v>0</v>
      </c>
      <c r="F286" s="126" t="e">
        <f>Oportuno!F286</f>
        <v>#N/A</v>
      </c>
      <c r="G286" s="36">
        <f>Oportuno!G286</f>
        <v>1</v>
      </c>
      <c r="H286" s="126" t="str">
        <f>Oportuno!H286</f>
        <v>Oficinas</v>
      </c>
      <c r="I286" s="130">
        <f>Oportuno!I286</f>
        <v>0</v>
      </c>
      <c r="J286" s="174">
        <f>Oportuno!J286</f>
        <v>0</v>
      </c>
      <c r="K286" s="174">
        <f>Oportuno!K286</f>
        <v>0</v>
      </c>
      <c r="L286" s="174">
        <f>Oportuno!L286</f>
        <v>0</v>
      </c>
      <c r="M286" s="174">
        <f>Oportuno!M286</f>
        <v>0</v>
      </c>
      <c r="N286" s="174">
        <f>Oportuno!N286</f>
        <v>0</v>
      </c>
      <c r="O286" s="174">
        <f>Oportuno!O286</f>
        <v>0</v>
      </c>
      <c r="P286" s="174">
        <f>Oportuno!P286</f>
        <v>0</v>
      </c>
      <c r="Q286" s="174">
        <f>Oportuno!Q286</f>
        <v>0</v>
      </c>
      <c r="R286" s="174">
        <f>Oportuno!R286</f>
        <v>0</v>
      </c>
      <c r="S286" s="215">
        <f>Oportuno!S286</f>
        <v>0</v>
      </c>
      <c r="T286" s="71">
        <f>Oportuno!T286</f>
        <v>0</v>
      </c>
      <c r="U286" s="71">
        <f>Oportuno!U286</f>
        <v>0</v>
      </c>
      <c r="V286" s="117">
        <f>Oportuno!V286</f>
        <v>0</v>
      </c>
      <c r="W286" s="117">
        <f>Oportuno!W286</f>
        <v>0</v>
      </c>
      <c r="X286" s="71">
        <f>Oportuno!X286</f>
        <v>0</v>
      </c>
      <c r="Y286" s="71">
        <f>Oportuno!Y286</f>
        <v>0</v>
      </c>
      <c r="AA286" s="65"/>
    </row>
    <row r="287" spans="2:27" ht="13" customHeight="1">
      <c r="B287" s="119">
        <f>Oportuno!B287</f>
        <v>0</v>
      </c>
      <c r="C287" s="23">
        <f>Oportuno!C287</f>
        <v>2026091</v>
      </c>
      <c r="D287" s="23">
        <f>Oportuno!D287</f>
        <v>10</v>
      </c>
      <c r="E287" s="128">
        <f>Oportuno!E287</f>
        <v>0</v>
      </c>
      <c r="F287" s="126" t="e">
        <f>Oportuno!F287</f>
        <v>#N/A</v>
      </c>
      <c r="G287" s="36">
        <f>Oportuno!G287</f>
        <v>1</v>
      </c>
      <c r="H287" s="126" t="str">
        <f>Oportuno!H287</f>
        <v>Oficinas</v>
      </c>
      <c r="I287" s="130">
        <f>Oportuno!I287</f>
        <v>0</v>
      </c>
      <c r="J287" s="174">
        <f>Oportuno!J287</f>
        <v>0</v>
      </c>
      <c r="K287" s="174">
        <f>Oportuno!K287</f>
        <v>0</v>
      </c>
      <c r="L287" s="174">
        <f>Oportuno!L287</f>
        <v>0</v>
      </c>
      <c r="M287" s="174">
        <f>Oportuno!M287</f>
        <v>0</v>
      </c>
      <c r="N287" s="174">
        <f>Oportuno!N287</f>
        <v>0</v>
      </c>
      <c r="O287" s="174">
        <f>Oportuno!O287</f>
        <v>0</v>
      </c>
      <c r="P287" s="174">
        <f>Oportuno!P287</f>
        <v>0</v>
      </c>
      <c r="Q287" s="174">
        <f>Oportuno!Q287</f>
        <v>0</v>
      </c>
      <c r="R287" s="174">
        <f>Oportuno!R287</f>
        <v>0</v>
      </c>
      <c r="S287" s="215">
        <f>Oportuno!S287</f>
        <v>0</v>
      </c>
      <c r="T287" s="71">
        <f>Oportuno!T287</f>
        <v>0</v>
      </c>
      <c r="U287" s="71">
        <f>Oportuno!U287</f>
        <v>0</v>
      </c>
      <c r="V287" s="117">
        <f>Oportuno!V287</f>
        <v>0</v>
      </c>
      <c r="W287" s="117">
        <f>Oportuno!W287</f>
        <v>0</v>
      </c>
      <c r="X287" s="71">
        <f>Oportuno!X287</f>
        <v>0</v>
      </c>
      <c r="Y287" s="71">
        <f>Oportuno!Y287</f>
        <v>0</v>
      </c>
      <c r="AA287" s="65"/>
    </row>
    <row r="288" spans="2:27" ht="13" customHeight="1">
      <c r="B288" s="119">
        <f>Oportuno!B288</f>
        <v>0</v>
      </c>
      <c r="C288" s="23">
        <f>Oportuno!C288</f>
        <v>2026091</v>
      </c>
      <c r="D288" s="23">
        <f>Oportuno!D288</f>
        <v>10</v>
      </c>
      <c r="E288" s="128">
        <f>Oportuno!E288</f>
        <v>0</v>
      </c>
      <c r="F288" s="126" t="e">
        <f>Oportuno!F288</f>
        <v>#N/A</v>
      </c>
      <c r="G288" s="36">
        <f>Oportuno!G288</f>
        <v>1</v>
      </c>
      <c r="H288" s="126" t="str">
        <f>Oportuno!H288</f>
        <v>Oficinas</v>
      </c>
      <c r="I288" s="130">
        <f>Oportuno!I288</f>
        <v>0</v>
      </c>
      <c r="J288" s="174">
        <f>Oportuno!J288</f>
        <v>0</v>
      </c>
      <c r="K288" s="174">
        <f>Oportuno!K288</f>
        <v>0</v>
      </c>
      <c r="L288" s="174">
        <f>Oportuno!L288</f>
        <v>0</v>
      </c>
      <c r="M288" s="174">
        <f>Oportuno!M288</f>
        <v>0</v>
      </c>
      <c r="N288" s="174">
        <f>Oportuno!N288</f>
        <v>0</v>
      </c>
      <c r="O288" s="174">
        <f>Oportuno!O288</f>
        <v>0</v>
      </c>
      <c r="P288" s="174">
        <f>Oportuno!P288</f>
        <v>0</v>
      </c>
      <c r="Q288" s="174">
        <f>Oportuno!Q288</f>
        <v>0</v>
      </c>
      <c r="R288" s="174">
        <f>Oportuno!R288</f>
        <v>0</v>
      </c>
      <c r="S288" s="215">
        <f>Oportuno!S288</f>
        <v>0</v>
      </c>
      <c r="T288" s="71">
        <f>Oportuno!T288</f>
        <v>0</v>
      </c>
      <c r="U288" s="71">
        <f>Oportuno!U288</f>
        <v>0</v>
      </c>
      <c r="V288" s="117">
        <f>Oportuno!V288</f>
        <v>0</v>
      </c>
      <c r="W288" s="117">
        <f>Oportuno!W288</f>
        <v>0</v>
      </c>
      <c r="X288" s="71">
        <f>Oportuno!X288</f>
        <v>0</v>
      </c>
      <c r="Y288" s="71">
        <f>Oportuno!Y288</f>
        <v>0</v>
      </c>
      <c r="AA288" s="65"/>
    </row>
    <row r="289" spans="2:27 16101:16120" ht="13" customHeight="1" thickBot="1">
      <c r="B289" s="119">
        <f>Oportuno!B289</f>
        <v>0</v>
      </c>
      <c r="C289" s="23">
        <f>Oportuno!C289</f>
        <v>2026091</v>
      </c>
      <c r="D289" s="23">
        <f>Oportuno!D289</f>
        <v>10</v>
      </c>
      <c r="E289" s="128">
        <f>Oportuno!E289</f>
        <v>0</v>
      </c>
      <c r="F289" s="126" t="e">
        <f>Oportuno!F289</f>
        <v>#N/A</v>
      </c>
      <c r="G289" s="36">
        <f>Oportuno!G289</f>
        <v>1</v>
      </c>
      <c r="H289" s="126" t="str">
        <f>Oportuno!H289</f>
        <v>Oficinas</v>
      </c>
      <c r="I289" s="130">
        <f>Oportuno!I289</f>
        <v>0</v>
      </c>
      <c r="J289" s="174">
        <f>Oportuno!J289</f>
        <v>0</v>
      </c>
      <c r="K289" s="174">
        <f>Oportuno!K289</f>
        <v>0</v>
      </c>
      <c r="L289" s="174">
        <f>Oportuno!L289</f>
        <v>0</v>
      </c>
      <c r="M289" s="174">
        <f>Oportuno!M289</f>
        <v>0</v>
      </c>
      <c r="N289" s="174">
        <f>Oportuno!N289</f>
        <v>0</v>
      </c>
      <c r="O289" s="174">
        <f>Oportuno!O289</f>
        <v>0</v>
      </c>
      <c r="P289" s="174">
        <f>Oportuno!P289</f>
        <v>0</v>
      </c>
      <c r="Q289" s="174">
        <f>Oportuno!Q289</f>
        <v>0</v>
      </c>
      <c r="R289" s="174">
        <f>Oportuno!R289</f>
        <v>0</v>
      </c>
      <c r="S289" s="215">
        <f>Oportuno!S289</f>
        <v>0</v>
      </c>
      <c r="T289" s="71">
        <f>Oportuno!T289</f>
        <v>0</v>
      </c>
      <c r="U289" s="71">
        <f>Oportuno!U289</f>
        <v>0</v>
      </c>
      <c r="V289" s="117">
        <f>Oportuno!V289</f>
        <v>0</v>
      </c>
      <c r="W289" s="117">
        <f>Oportuno!W289</f>
        <v>0</v>
      </c>
      <c r="X289" s="71">
        <f>Oportuno!X289</f>
        <v>0</v>
      </c>
      <c r="Y289" s="71">
        <f>Oportuno!Y289</f>
        <v>0</v>
      </c>
      <c r="AA289" s="65"/>
    </row>
    <row r="290" spans="2:27 16101:16120" ht="13" customHeight="1" thickBot="1">
      <c r="B290" s="1" t="s">
        <v>0</v>
      </c>
      <c r="C290" s="1" t="s">
        <v>0</v>
      </c>
      <c r="D290" s="20" t="s">
        <v>0</v>
      </c>
      <c r="E290" s="120" t="str">
        <f>Oportuno!E290</f>
        <v xml:space="preserve"> </v>
      </c>
      <c r="F290" s="121" t="str">
        <f>Oportuno!F290</f>
        <v>TOTAL RECAUDO</v>
      </c>
      <c r="G290" s="121" t="s">
        <v>0</v>
      </c>
      <c r="H290" s="121" t="s">
        <v>0</v>
      </c>
      <c r="I290" s="121" t="s">
        <v>0</v>
      </c>
      <c r="J290" s="122">
        <f>Oportuno!J290</f>
        <v>0</v>
      </c>
      <c r="K290" s="122">
        <f>Oportuno!K290</f>
        <v>0</v>
      </c>
      <c r="L290" s="122">
        <f>Oportuno!L290</f>
        <v>0</v>
      </c>
      <c r="M290" s="122">
        <f>Oportuno!M290</f>
        <v>0</v>
      </c>
      <c r="N290" s="122">
        <f>Oportuno!N290</f>
        <v>0</v>
      </c>
      <c r="O290" s="122">
        <f>Oportuno!O290</f>
        <v>0</v>
      </c>
      <c r="P290" s="122">
        <f>Oportuno!P290</f>
        <v>0</v>
      </c>
      <c r="Q290" s="122">
        <f>Oportuno!Q290</f>
        <v>0</v>
      </c>
      <c r="R290" s="122">
        <f>Oportuno!R290</f>
        <v>199</v>
      </c>
      <c r="S290" s="122">
        <f>Oportuno!S290</f>
        <v>9984190</v>
      </c>
      <c r="T290" s="122">
        <f>Oportuno!T290</f>
        <v>199</v>
      </c>
      <c r="U290" s="122">
        <f>Oportuno!U290</f>
        <v>9984190</v>
      </c>
      <c r="V290" s="123">
        <f>Oportuno!V290</f>
        <v>199</v>
      </c>
      <c r="W290" s="123">
        <f>Oportuno!W290</f>
        <v>9984190</v>
      </c>
      <c r="X290" s="122">
        <f>Oportuno!X290</f>
        <v>0</v>
      </c>
      <c r="Y290" s="123">
        <f>Oportuno!Y290</f>
        <v>0</v>
      </c>
      <c r="AA290" s="65"/>
    </row>
    <row r="291" spans="2:27 16101:16120" ht="13" thickBot="1">
      <c r="AA291" s="65"/>
    </row>
    <row r="292" spans="2:27 16101:16120" ht="41.25" customHeight="1" thickBot="1">
      <c r="B292" s="112" t="s">
        <v>4</v>
      </c>
      <c r="C292" s="34" t="s">
        <v>6</v>
      </c>
      <c r="D292" s="34" t="s">
        <v>7</v>
      </c>
      <c r="E292" s="34" t="s">
        <v>49</v>
      </c>
      <c r="F292" s="34" t="s">
        <v>50</v>
      </c>
      <c r="G292" s="34" t="s">
        <v>51</v>
      </c>
      <c r="H292" s="34" t="s">
        <v>52</v>
      </c>
      <c r="I292" s="34" t="s">
        <v>13</v>
      </c>
      <c r="J292" s="231" t="s">
        <v>8</v>
      </c>
      <c r="K292" s="231" t="s">
        <v>36</v>
      </c>
      <c r="L292" s="12" t="s">
        <v>9</v>
      </c>
      <c r="M292" s="12" t="s">
        <v>37</v>
      </c>
      <c r="N292" s="87" t="s">
        <v>10</v>
      </c>
      <c r="O292" s="88" t="s">
        <v>38</v>
      </c>
      <c r="P292" s="87" t="s">
        <v>11</v>
      </c>
      <c r="Q292" s="88" t="s">
        <v>39</v>
      </c>
      <c r="R292" s="232" t="s">
        <v>12</v>
      </c>
      <c r="S292" s="233" t="s">
        <v>40</v>
      </c>
      <c r="T292" s="64" t="s">
        <v>41</v>
      </c>
      <c r="U292" s="64" t="s">
        <v>42</v>
      </c>
      <c r="V292" s="35" t="s">
        <v>32</v>
      </c>
      <c r="W292" s="67" t="s">
        <v>35</v>
      </c>
      <c r="X292" s="12" t="s">
        <v>34</v>
      </c>
      <c r="Y292" s="68" t="s">
        <v>33</v>
      </c>
      <c r="AA292" s="66"/>
      <c r="WUG292" s="1"/>
      <c r="WUH292" s="1"/>
      <c r="WUY292"/>
      <c r="WUZ292"/>
    </row>
    <row r="293" spans="2:27 16101:16120" ht="13" customHeight="1">
      <c r="B293" s="119" t="str">
        <f>Oportuno!B293</f>
        <v>14/09/2026</v>
      </c>
      <c r="C293" s="24">
        <f>Oportuno!C293</f>
        <v>2026091</v>
      </c>
      <c r="D293" s="24">
        <f>Oportuno!D293</f>
        <v>11</v>
      </c>
      <c r="E293" s="127">
        <f>Oportuno!E293</f>
        <v>20</v>
      </c>
      <c r="F293" s="125" t="str">
        <f>Oportuno!F293</f>
        <v>Bancolombia ENERBIT</v>
      </c>
      <c r="G293" s="18">
        <f>Oportuno!G293</f>
        <v>1</v>
      </c>
      <c r="H293" s="125" t="str">
        <f>Oportuno!H293</f>
        <v>Oficinas</v>
      </c>
      <c r="I293" s="129">
        <f>Oportuno!I293</f>
        <v>0</v>
      </c>
      <c r="J293" s="213">
        <f>Oportuno!J293</f>
        <v>0</v>
      </c>
      <c r="K293" s="213">
        <f>Oportuno!K293</f>
        <v>0</v>
      </c>
      <c r="L293" s="213">
        <f>Oportuno!L293</f>
        <v>0</v>
      </c>
      <c r="M293" s="213">
        <f>Oportuno!M293</f>
        <v>0</v>
      </c>
      <c r="N293" s="213">
        <f>Oportuno!N293</f>
        <v>0</v>
      </c>
      <c r="O293" s="213">
        <f>Oportuno!O293</f>
        <v>0</v>
      </c>
      <c r="P293" s="213">
        <f>Oportuno!P293</f>
        <v>0</v>
      </c>
      <c r="Q293" s="213">
        <f>Oportuno!Q293</f>
        <v>0</v>
      </c>
      <c r="R293" s="213">
        <f>Oportuno!R293</f>
        <v>190</v>
      </c>
      <c r="S293" s="214">
        <f>Oportuno!S293</f>
        <v>9005030</v>
      </c>
      <c r="T293" s="70">
        <f>Oportuno!T293</f>
        <v>190</v>
      </c>
      <c r="U293" s="70">
        <f>Oportuno!U293</f>
        <v>9005030</v>
      </c>
      <c r="V293" s="116">
        <f>Oportuno!V293</f>
        <v>190</v>
      </c>
      <c r="W293" s="116">
        <f>Oportuno!W293</f>
        <v>9005030</v>
      </c>
      <c r="X293" s="70">
        <f>Oportuno!X293</f>
        <v>0</v>
      </c>
      <c r="Y293" s="70">
        <f>Oportuno!Y293</f>
        <v>0</v>
      </c>
      <c r="AA293" s="65"/>
    </row>
    <row r="294" spans="2:27 16101:16120" ht="13" customHeight="1">
      <c r="B294" s="119">
        <f>Oportuno!B294</f>
        <v>0</v>
      </c>
      <c r="C294" s="23">
        <f>Oportuno!C294</f>
        <v>2026091</v>
      </c>
      <c r="D294" s="23">
        <f>Oportuno!D294</f>
        <v>11</v>
      </c>
      <c r="E294" s="128">
        <f>Oportuno!E294</f>
        <v>0</v>
      </c>
      <c r="F294" s="126" t="e">
        <f>Oportuno!F294</f>
        <v>#N/A</v>
      </c>
      <c r="G294" s="36">
        <f>Oportuno!G294</f>
        <v>1</v>
      </c>
      <c r="H294" s="126" t="str">
        <f>Oportuno!H294</f>
        <v>Oficinas</v>
      </c>
      <c r="I294" s="130">
        <f>Oportuno!I294</f>
        <v>0</v>
      </c>
      <c r="J294" s="174">
        <f>Oportuno!J294</f>
        <v>0</v>
      </c>
      <c r="K294" s="174">
        <f>Oportuno!K294</f>
        <v>0</v>
      </c>
      <c r="L294" s="174">
        <f>Oportuno!L294</f>
        <v>0</v>
      </c>
      <c r="M294" s="174">
        <f>Oportuno!M294</f>
        <v>0</v>
      </c>
      <c r="N294" s="174">
        <f>Oportuno!N294</f>
        <v>0</v>
      </c>
      <c r="O294" s="174">
        <f>Oportuno!O294</f>
        <v>0</v>
      </c>
      <c r="P294" s="174">
        <f>Oportuno!P294</f>
        <v>0</v>
      </c>
      <c r="Q294" s="174">
        <f>Oportuno!Q294</f>
        <v>0</v>
      </c>
      <c r="R294" s="174">
        <f>Oportuno!R294</f>
        <v>0</v>
      </c>
      <c r="S294" s="215">
        <f>Oportuno!S294</f>
        <v>0</v>
      </c>
      <c r="T294" s="71">
        <f>Oportuno!T294</f>
        <v>0</v>
      </c>
      <c r="U294" s="71">
        <f>Oportuno!U294</f>
        <v>0</v>
      </c>
      <c r="V294" s="117">
        <f>Oportuno!V294</f>
        <v>0</v>
      </c>
      <c r="W294" s="117">
        <f>Oportuno!W294</f>
        <v>0</v>
      </c>
      <c r="X294" s="71">
        <f>Oportuno!X294</f>
        <v>0</v>
      </c>
      <c r="Y294" s="71">
        <f>Oportuno!Y294</f>
        <v>0</v>
      </c>
      <c r="AA294" s="65"/>
    </row>
    <row r="295" spans="2:27 16101:16120" ht="13" customHeight="1">
      <c r="B295" s="119">
        <f>Oportuno!B295</f>
        <v>0</v>
      </c>
      <c r="C295" s="23">
        <f>Oportuno!C295</f>
        <v>2026091</v>
      </c>
      <c r="D295" s="23">
        <f>Oportuno!D295</f>
        <v>11</v>
      </c>
      <c r="E295" s="128">
        <f>Oportuno!E295</f>
        <v>0</v>
      </c>
      <c r="F295" s="126" t="e">
        <f>Oportuno!F295</f>
        <v>#N/A</v>
      </c>
      <c r="G295" s="36">
        <f>Oportuno!G295</f>
        <v>1</v>
      </c>
      <c r="H295" s="126" t="str">
        <f>Oportuno!H295</f>
        <v>Oficinas</v>
      </c>
      <c r="I295" s="130">
        <f>Oportuno!I295</f>
        <v>0</v>
      </c>
      <c r="J295" s="174">
        <f>Oportuno!J295</f>
        <v>0</v>
      </c>
      <c r="K295" s="174">
        <f>Oportuno!K295</f>
        <v>0</v>
      </c>
      <c r="L295" s="174">
        <f>Oportuno!L295</f>
        <v>0</v>
      </c>
      <c r="M295" s="174">
        <f>Oportuno!M295</f>
        <v>0</v>
      </c>
      <c r="N295" s="174">
        <f>Oportuno!N295</f>
        <v>0</v>
      </c>
      <c r="O295" s="174">
        <f>Oportuno!O295</f>
        <v>0</v>
      </c>
      <c r="P295" s="174">
        <f>Oportuno!P295</f>
        <v>0</v>
      </c>
      <c r="Q295" s="174">
        <f>Oportuno!Q295</f>
        <v>0</v>
      </c>
      <c r="R295" s="174">
        <f>Oportuno!R295</f>
        <v>0</v>
      </c>
      <c r="S295" s="215">
        <f>Oportuno!S295</f>
        <v>0</v>
      </c>
      <c r="T295" s="71">
        <f>Oportuno!T295</f>
        <v>0</v>
      </c>
      <c r="U295" s="71">
        <f>Oportuno!U295</f>
        <v>0</v>
      </c>
      <c r="V295" s="117">
        <f>Oportuno!V295</f>
        <v>0</v>
      </c>
      <c r="W295" s="117">
        <f>Oportuno!W295</f>
        <v>0</v>
      </c>
      <c r="X295" s="71">
        <f>Oportuno!X295</f>
        <v>0</v>
      </c>
      <c r="Y295" s="71">
        <f>Oportuno!Y295</f>
        <v>0</v>
      </c>
      <c r="AA295" s="65"/>
    </row>
    <row r="296" spans="2:27 16101:16120" ht="13" customHeight="1">
      <c r="B296" s="119">
        <f>Oportuno!B296</f>
        <v>0</v>
      </c>
      <c r="C296" s="23">
        <f>Oportuno!C296</f>
        <v>2026091</v>
      </c>
      <c r="D296" s="23">
        <f>Oportuno!D296</f>
        <v>11</v>
      </c>
      <c r="E296" s="128">
        <f>Oportuno!E296</f>
        <v>0</v>
      </c>
      <c r="F296" s="126" t="e">
        <f>Oportuno!F296</f>
        <v>#N/A</v>
      </c>
      <c r="G296" s="36">
        <f>Oportuno!G296</f>
        <v>1</v>
      </c>
      <c r="H296" s="126" t="str">
        <f>Oportuno!H296</f>
        <v>Oficinas</v>
      </c>
      <c r="I296" s="130">
        <f>Oportuno!I296</f>
        <v>0</v>
      </c>
      <c r="J296" s="174">
        <f>Oportuno!J296</f>
        <v>0</v>
      </c>
      <c r="K296" s="174">
        <f>Oportuno!K296</f>
        <v>0</v>
      </c>
      <c r="L296" s="174">
        <f>Oportuno!L296</f>
        <v>0</v>
      </c>
      <c r="M296" s="174">
        <f>Oportuno!M296</f>
        <v>0</v>
      </c>
      <c r="N296" s="174">
        <f>Oportuno!N296</f>
        <v>0</v>
      </c>
      <c r="O296" s="174">
        <f>Oportuno!O296</f>
        <v>0</v>
      </c>
      <c r="P296" s="174">
        <f>Oportuno!P296</f>
        <v>0</v>
      </c>
      <c r="Q296" s="174">
        <f>Oportuno!Q296</f>
        <v>0</v>
      </c>
      <c r="R296" s="174">
        <f>Oportuno!R296</f>
        <v>0</v>
      </c>
      <c r="S296" s="215">
        <f>Oportuno!S296</f>
        <v>0</v>
      </c>
      <c r="T296" s="71">
        <f>Oportuno!T296</f>
        <v>0</v>
      </c>
      <c r="U296" s="71">
        <f>Oportuno!U296</f>
        <v>0</v>
      </c>
      <c r="V296" s="117">
        <f>Oportuno!V296</f>
        <v>0</v>
      </c>
      <c r="W296" s="117">
        <f>Oportuno!W296</f>
        <v>0</v>
      </c>
      <c r="X296" s="71">
        <f>Oportuno!X296</f>
        <v>0</v>
      </c>
      <c r="Y296" s="71">
        <f>Oportuno!Y296</f>
        <v>0</v>
      </c>
      <c r="AA296" s="65"/>
    </row>
    <row r="297" spans="2:27 16101:16120" ht="13" customHeight="1">
      <c r="B297" s="119">
        <f>Oportuno!B297</f>
        <v>0</v>
      </c>
      <c r="C297" s="23">
        <f>Oportuno!C297</f>
        <v>2026091</v>
      </c>
      <c r="D297" s="23">
        <f>Oportuno!D297</f>
        <v>11</v>
      </c>
      <c r="E297" s="128">
        <f>Oportuno!E297</f>
        <v>0</v>
      </c>
      <c r="F297" s="126" t="e">
        <f>Oportuno!F297</f>
        <v>#N/A</v>
      </c>
      <c r="G297" s="36">
        <f>Oportuno!G297</f>
        <v>1</v>
      </c>
      <c r="H297" s="126" t="str">
        <f>Oportuno!H297</f>
        <v>Oficinas</v>
      </c>
      <c r="I297" s="130">
        <f>Oportuno!I297</f>
        <v>0</v>
      </c>
      <c r="J297" s="174">
        <f>Oportuno!J297</f>
        <v>0</v>
      </c>
      <c r="K297" s="174">
        <f>Oportuno!K297</f>
        <v>0</v>
      </c>
      <c r="L297" s="174">
        <f>Oportuno!L297</f>
        <v>0</v>
      </c>
      <c r="M297" s="174">
        <f>Oportuno!M297</f>
        <v>0</v>
      </c>
      <c r="N297" s="174">
        <f>Oportuno!N297</f>
        <v>0</v>
      </c>
      <c r="O297" s="174">
        <f>Oportuno!O297</f>
        <v>0</v>
      </c>
      <c r="P297" s="174">
        <f>Oportuno!P297</f>
        <v>0</v>
      </c>
      <c r="Q297" s="174">
        <f>Oportuno!Q297</f>
        <v>0</v>
      </c>
      <c r="R297" s="174">
        <f>Oportuno!R297</f>
        <v>0</v>
      </c>
      <c r="S297" s="215">
        <f>Oportuno!S297</f>
        <v>0</v>
      </c>
      <c r="T297" s="71">
        <f>Oportuno!T297</f>
        <v>0</v>
      </c>
      <c r="U297" s="71">
        <f>Oportuno!U297</f>
        <v>0</v>
      </c>
      <c r="V297" s="117">
        <f>Oportuno!V297</f>
        <v>0</v>
      </c>
      <c r="W297" s="117">
        <f>Oportuno!W297</f>
        <v>0</v>
      </c>
      <c r="X297" s="71">
        <f>Oportuno!X297</f>
        <v>0</v>
      </c>
      <c r="Y297" s="71">
        <f>Oportuno!Y297</f>
        <v>0</v>
      </c>
      <c r="AA297" s="65"/>
    </row>
    <row r="298" spans="2:27 16101:16120" ht="13" customHeight="1">
      <c r="B298" s="119">
        <f>Oportuno!B298</f>
        <v>0</v>
      </c>
      <c r="C298" s="23">
        <f>Oportuno!C298</f>
        <v>2026091</v>
      </c>
      <c r="D298" s="23">
        <f>Oportuno!D298</f>
        <v>11</v>
      </c>
      <c r="E298" s="128">
        <f>Oportuno!E298</f>
        <v>0</v>
      </c>
      <c r="F298" s="126" t="e">
        <f>Oportuno!F298</f>
        <v>#N/A</v>
      </c>
      <c r="G298" s="36">
        <f>Oportuno!G298</f>
        <v>1</v>
      </c>
      <c r="H298" s="126" t="str">
        <f>Oportuno!H298</f>
        <v>Oficinas</v>
      </c>
      <c r="I298" s="130">
        <f>Oportuno!I298</f>
        <v>0</v>
      </c>
      <c r="J298" s="174">
        <f>Oportuno!J298</f>
        <v>0</v>
      </c>
      <c r="K298" s="174">
        <f>Oportuno!K298</f>
        <v>0</v>
      </c>
      <c r="L298" s="174">
        <f>Oportuno!L298</f>
        <v>0</v>
      </c>
      <c r="M298" s="174">
        <f>Oportuno!M298</f>
        <v>0</v>
      </c>
      <c r="N298" s="174">
        <f>Oportuno!N298</f>
        <v>0</v>
      </c>
      <c r="O298" s="174">
        <f>Oportuno!O298</f>
        <v>0</v>
      </c>
      <c r="P298" s="174">
        <f>Oportuno!P298</f>
        <v>0</v>
      </c>
      <c r="Q298" s="174">
        <f>Oportuno!Q298</f>
        <v>0</v>
      </c>
      <c r="R298" s="174">
        <f>Oportuno!R298</f>
        <v>0</v>
      </c>
      <c r="S298" s="215">
        <f>Oportuno!S298</f>
        <v>0</v>
      </c>
      <c r="T298" s="71">
        <f>Oportuno!T298</f>
        <v>0</v>
      </c>
      <c r="U298" s="71">
        <f>Oportuno!U298</f>
        <v>0</v>
      </c>
      <c r="V298" s="117">
        <f>Oportuno!V298</f>
        <v>0</v>
      </c>
      <c r="W298" s="117">
        <f>Oportuno!W298</f>
        <v>0</v>
      </c>
      <c r="X298" s="71">
        <f>Oportuno!X298</f>
        <v>0</v>
      </c>
      <c r="Y298" s="71">
        <f>Oportuno!Y298</f>
        <v>0</v>
      </c>
      <c r="AA298" s="65"/>
    </row>
    <row r="299" spans="2:27 16101:16120" ht="13" customHeight="1">
      <c r="B299" s="119">
        <f>Oportuno!B299</f>
        <v>0</v>
      </c>
      <c r="C299" s="23">
        <f>Oportuno!C299</f>
        <v>2026091</v>
      </c>
      <c r="D299" s="23">
        <f>Oportuno!D299</f>
        <v>11</v>
      </c>
      <c r="E299" s="128">
        <f>Oportuno!E299</f>
        <v>0</v>
      </c>
      <c r="F299" s="126" t="e">
        <f>Oportuno!F299</f>
        <v>#N/A</v>
      </c>
      <c r="G299" s="36">
        <f>Oportuno!G299</f>
        <v>1</v>
      </c>
      <c r="H299" s="126" t="str">
        <f>Oportuno!H299</f>
        <v>Oficinas</v>
      </c>
      <c r="I299" s="130">
        <f>Oportuno!I299</f>
        <v>0</v>
      </c>
      <c r="J299" s="174">
        <f>Oportuno!J299</f>
        <v>0</v>
      </c>
      <c r="K299" s="174">
        <f>Oportuno!K299</f>
        <v>0</v>
      </c>
      <c r="L299" s="174">
        <f>Oportuno!L299</f>
        <v>0</v>
      </c>
      <c r="M299" s="174">
        <f>Oportuno!M299</f>
        <v>0</v>
      </c>
      <c r="N299" s="174">
        <f>Oportuno!N299</f>
        <v>0</v>
      </c>
      <c r="O299" s="174">
        <f>Oportuno!O299</f>
        <v>0</v>
      </c>
      <c r="P299" s="174">
        <f>Oportuno!P299</f>
        <v>0</v>
      </c>
      <c r="Q299" s="174">
        <f>Oportuno!Q299</f>
        <v>0</v>
      </c>
      <c r="R299" s="174">
        <f>Oportuno!R299</f>
        <v>0</v>
      </c>
      <c r="S299" s="215">
        <f>Oportuno!S299</f>
        <v>0</v>
      </c>
      <c r="T299" s="71">
        <f>Oportuno!T299</f>
        <v>0</v>
      </c>
      <c r="U299" s="71">
        <f>Oportuno!U299</f>
        <v>0</v>
      </c>
      <c r="V299" s="117">
        <f>Oportuno!V299</f>
        <v>0</v>
      </c>
      <c r="W299" s="117">
        <f>Oportuno!W299</f>
        <v>0</v>
      </c>
      <c r="X299" s="71">
        <f>Oportuno!X299</f>
        <v>0</v>
      </c>
      <c r="Y299" s="71">
        <f>Oportuno!Y299</f>
        <v>0</v>
      </c>
      <c r="AA299" s="65"/>
    </row>
    <row r="300" spans="2:27 16101:16120" ht="13" customHeight="1">
      <c r="B300" s="119">
        <f>Oportuno!B300</f>
        <v>0</v>
      </c>
      <c r="C300" s="23">
        <f>Oportuno!C300</f>
        <v>2026091</v>
      </c>
      <c r="D300" s="23">
        <f>Oportuno!D300</f>
        <v>11</v>
      </c>
      <c r="E300" s="128">
        <f>Oportuno!E300</f>
        <v>0</v>
      </c>
      <c r="F300" s="126" t="e">
        <f>Oportuno!F300</f>
        <v>#N/A</v>
      </c>
      <c r="G300" s="36">
        <f>Oportuno!G300</f>
        <v>1</v>
      </c>
      <c r="H300" s="126" t="str">
        <f>Oportuno!H300</f>
        <v>Oficinas</v>
      </c>
      <c r="I300" s="130">
        <f>Oportuno!I300</f>
        <v>0</v>
      </c>
      <c r="J300" s="174">
        <f>Oportuno!J300</f>
        <v>0</v>
      </c>
      <c r="K300" s="174">
        <f>Oportuno!K300</f>
        <v>0</v>
      </c>
      <c r="L300" s="174">
        <f>Oportuno!L300</f>
        <v>0</v>
      </c>
      <c r="M300" s="174">
        <f>Oportuno!M300</f>
        <v>0</v>
      </c>
      <c r="N300" s="174">
        <f>Oportuno!N300</f>
        <v>0</v>
      </c>
      <c r="O300" s="174">
        <f>Oportuno!O300</f>
        <v>0</v>
      </c>
      <c r="P300" s="174">
        <f>Oportuno!P300</f>
        <v>0</v>
      </c>
      <c r="Q300" s="174">
        <f>Oportuno!Q300</f>
        <v>0</v>
      </c>
      <c r="R300" s="174">
        <f>Oportuno!R300</f>
        <v>0</v>
      </c>
      <c r="S300" s="215">
        <f>Oportuno!S300</f>
        <v>0</v>
      </c>
      <c r="T300" s="71">
        <f>Oportuno!T300</f>
        <v>0</v>
      </c>
      <c r="U300" s="71">
        <f>Oportuno!U300</f>
        <v>0</v>
      </c>
      <c r="V300" s="117">
        <f>Oportuno!V300</f>
        <v>0</v>
      </c>
      <c r="W300" s="117">
        <f>Oportuno!W300</f>
        <v>0</v>
      </c>
      <c r="X300" s="71">
        <f>Oportuno!X300</f>
        <v>0</v>
      </c>
      <c r="Y300" s="71">
        <f>Oportuno!Y300</f>
        <v>0</v>
      </c>
      <c r="AA300" s="65"/>
    </row>
    <row r="301" spans="2:27 16101:16120" ht="13" customHeight="1">
      <c r="B301" s="119">
        <f>Oportuno!B301</f>
        <v>0</v>
      </c>
      <c r="C301" s="23">
        <f>Oportuno!C301</f>
        <v>2026091</v>
      </c>
      <c r="D301" s="23">
        <f>Oportuno!D301</f>
        <v>11</v>
      </c>
      <c r="E301" s="128">
        <f>Oportuno!E301</f>
        <v>0</v>
      </c>
      <c r="F301" s="126" t="e">
        <f>Oportuno!F301</f>
        <v>#N/A</v>
      </c>
      <c r="G301" s="36">
        <f>Oportuno!G301</f>
        <v>1</v>
      </c>
      <c r="H301" s="126" t="str">
        <f>Oportuno!H301</f>
        <v>Oficinas</v>
      </c>
      <c r="I301" s="130">
        <f>Oportuno!I301</f>
        <v>0</v>
      </c>
      <c r="J301" s="174">
        <f>Oportuno!J301</f>
        <v>0</v>
      </c>
      <c r="K301" s="174">
        <f>Oportuno!K301</f>
        <v>0</v>
      </c>
      <c r="L301" s="174">
        <f>Oportuno!L301</f>
        <v>0</v>
      </c>
      <c r="M301" s="174">
        <f>Oportuno!M301</f>
        <v>0</v>
      </c>
      <c r="N301" s="174">
        <f>Oportuno!N301</f>
        <v>0</v>
      </c>
      <c r="O301" s="174">
        <f>Oportuno!O301</f>
        <v>0</v>
      </c>
      <c r="P301" s="174">
        <f>Oportuno!P301</f>
        <v>0</v>
      </c>
      <c r="Q301" s="174">
        <f>Oportuno!Q301</f>
        <v>0</v>
      </c>
      <c r="R301" s="174">
        <f>Oportuno!R301</f>
        <v>0</v>
      </c>
      <c r="S301" s="215">
        <f>Oportuno!S301</f>
        <v>0</v>
      </c>
      <c r="T301" s="71">
        <f>Oportuno!T301</f>
        <v>0</v>
      </c>
      <c r="U301" s="71">
        <f>Oportuno!U301</f>
        <v>0</v>
      </c>
      <c r="V301" s="117">
        <f>Oportuno!V301</f>
        <v>0</v>
      </c>
      <c r="W301" s="117">
        <f>Oportuno!W301</f>
        <v>0</v>
      </c>
      <c r="X301" s="71">
        <f>Oportuno!X301</f>
        <v>0</v>
      </c>
      <c r="Y301" s="71">
        <f>Oportuno!Y301</f>
        <v>0</v>
      </c>
      <c r="AA301" s="65"/>
    </row>
    <row r="302" spans="2:27 16101:16120" ht="13" customHeight="1">
      <c r="B302" s="119">
        <f>Oportuno!B302</f>
        <v>0</v>
      </c>
      <c r="C302" s="23">
        <f>Oportuno!C302</f>
        <v>2026091</v>
      </c>
      <c r="D302" s="23">
        <f>Oportuno!D302</f>
        <v>11</v>
      </c>
      <c r="E302" s="128">
        <f>Oportuno!E302</f>
        <v>0</v>
      </c>
      <c r="F302" s="126" t="e">
        <f>Oportuno!F302</f>
        <v>#N/A</v>
      </c>
      <c r="G302" s="36">
        <f>Oportuno!G302</f>
        <v>1</v>
      </c>
      <c r="H302" s="126" t="str">
        <f>Oportuno!H302</f>
        <v>Oficinas</v>
      </c>
      <c r="I302" s="130">
        <f>Oportuno!I302</f>
        <v>0</v>
      </c>
      <c r="J302" s="174">
        <f>Oportuno!J302</f>
        <v>0</v>
      </c>
      <c r="K302" s="174">
        <f>Oportuno!K302</f>
        <v>0</v>
      </c>
      <c r="L302" s="174">
        <f>Oportuno!L302</f>
        <v>0</v>
      </c>
      <c r="M302" s="174">
        <f>Oportuno!M302</f>
        <v>0</v>
      </c>
      <c r="N302" s="174">
        <f>Oportuno!N302</f>
        <v>0</v>
      </c>
      <c r="O302" s="174">
        <f>Oportuno!O302</f>
        <v>0</v>
      </c>
      <c r="P302" s="174">
        <f>Oportuno!P302</f>
        <v>0</v>
      </c>
      <c r="Q302" s="174">
        <f>Oportuno!Q302</f>
        <v>0</v>
      </c>
      <c r="R302" s="174">
        <f>Oportuno!R302</f>
        <v>0</v>
      </c>
      <c r="S302" s="215">
        <f>Oportuno!S302</f>
        <v>0</v>
      </c>
      <c r="T302" s="71">
        <f>Oportuno!T302</f>
        <v>0</v>
      </c>
      <c r="U302" s="71">
        <f>Oportuno!U302</f>
        <v>0</v>
      </c>
      <c r="V302" s="117">
        <f>Oportuno!V302</f>
        <v>0</v>
      </c>
      <c r="W302" s="117">
        <f>Oportuno!W302</f>
        <v>0</v>
      </c>
      <c r="X302" s="71">
        <f>Oportuno!X302</f>
        <v>0</v>
      </c>
      <c r="Y302" s="71">
        <f>Oportuno!Y302</f>
        <v>0</v>
      </c>
      <c r="AA302" s="65"/>
    </row>
    <row r="303" spans="2:27 16101:16120" ht="13" customHeight="1">
      <c r="B303" s="119">
        <f>Oportuno!B303</f>
        <v>0</v>
      </c>
      <c r="C303" s="23">
        <f>Oportuno!C303</f>
        <v>2026091</v>
      </c>
      <c r="D303" s="23">
        <f>Oportuno!D303</f>
        <v>11</v>
      </c>
      <c r="E303" s="128">
        <f>Oportuno!E303</f>
        <v>0</v>
      </c>
      <c r="F303" s="126" t="e">
        <f>Oportuno!F303</f>
        <v>#N/A</v>
      </c>
      <c r="G303" s="36">
        <f>Oportuno!G303</f>
        <v>1</v>
      </c>
      <c r="H303" s="126" t="str">
        <f>Oportuno!H303</f>
        <v>Oficinas</v>
      </c>
      <c r="I303" s="130">
        <f>Oportuno!I303</f>
        <v>0</v>
      </c>
      <c r="J303" s="174">
        <f>Oportuno!J303</f>
        <v>0</v>
      </c>
      <c r="K303" s="174">
        <f>Oportuno!K303</f>
        <v>0</v>
      </c>
      <c r="L303" s="174">
        <f>Oportuno!L303</f>
        <v>0</v>
      </c>
      <c r="M303" s="174">
        <f>Oportuno!M303</f>
        <v>0</v>
      </c>
      <c r="N303" s="174">
        <f>Oportuno!N303</f>
        <v>0</v>
      </c>
      <c r="O303" s="174">
        <f>Oportuno!O303</f>
        <v>0</v>
      </c>
      <c r="P303" s="174">
        <f>Oportuno!P303</f>
        <v>0</v>
      </c>
      <c r="Q303" s="174">
        <f>Oportuno!Q303</f>
        <v>0</v>
      </c>
      <c r="R303" s="174">
        <f>Oportuno!R303</f>
        <v>0</v>
      </c>
      <c r="S303" s="215">
        <f>Oportuno!S303</f>
        <v>0</v>
      </c>
      <c r="T303" s="71">
        <f>Oportuno!T303</f>
        <v>0</v>
      </c>
      <c r="U303" s="71">
        <f>Oportuno!U303</f>
        <v>0</v>
      </c>
      <c r="V303" s="117">
        <f>Oportuno!V303</f>
        <v>0</v>
      </c>
      <c r="W303" s="117">
        <f>Oportuno!W303</f>
        <v>0</v>
      </c>
      <c r="X303" s="71">
        <f>Oportuno!X303</f>
        <v>0</v>
      </c>
      <c r="Y303" s="71">
        <f>Oportuno!Y303</f>
        <v>0</v>
      </c>
      <c r="AA303" s="65"/>
    </row>
    <row r="304" spans="2:27 16101:16120" ht="13" customHeight="1">
      <c r="B304" s="119">
        <f>Oportuno!B304</f>
        <v>0</v>
      </c>
      <c r="C304" s="23">
        <f>Oportuno!C304</f>
        <v>2026091</v>
      </c>
      <c r="D304" s="23">
        <f>Oportuno!D304</f>
        <v>11</v>
      </c>
      <c r="E304" s="128">
        <f>Oportuno!E304</f>
        <v>0</v>
      </c>
      <c r="F304" s="126" t="e">
        <f>Oportuno!F304</f>
        <v>#N/A</v>
      </c>
      <c r="G304" s="36">
        <f>Oportuno!G304</f>
        <v>1</v>
      </c>
      <c r="H304" s="126" t="str">
        <f>Oportuno!H304</f>
        <v>Oficinas</v>
      </c>
      <c r="I304" s="130">
        <f>Oportuno!I304</f>
        <v>0</v>
      </c>
      <c r="J304" s="174">
        <f>Oportuno!J304</f>
        <v>0</v>
      </c>
      <c r="K304" s="174">
        <f>Oportuno!K304</f>
        <v>0</v>
      </c>
      <c r="L304" s="174">
        <f>Oportuno!L304</f>
        <v>0</v>
      </c>
      <c r="M304" s="174">
        <f>Oportuno!M304</f>
        <v>0</v>
      </c>
      <c r="N304" s="174">
        <f>Oportuno!N304</f>
        <v>0</v>
      </c>
      <c r="O304" s="174">
        <f>Oportuno!O304</f>
        <v>0</v>
      </c>
      <c r="P304" s="174">
        <f>Oportuno!P304</f>
        <v>0</v>
      </c>
      <c r="Q304" s="174">
        <f>Oportuno!Q304</f>
        <v>0</v>
      </c>
      <c r="R304" s="174">
        <f>Oportuno!R304</f>
        <v>0</v>
      </c>
      <c r="S304" s="215">
        <f>Oportuno!S304</f>
        <v>0</v>
      </c>
      <c r="T304" s="71">
        <f>Oportuno!T304</f>
        <v>0</v>
      </c>
      <c r="U304" s="71">
        <f>Oportuno!U304</f>
        <v>0</v>
      </c>
      <c r="V304" s="117">
        <f>Oportuno!V304</f>
        <v>0</v>
      </c>
      <c r="W304" s="117">
        <f>Oportuno!W304</f>
        <v>0</v>
      </c>
      <c r="X304" s="71">
        <f>Oportuno!X304</f>
        <v>0</v>
      </c>
      <c r="Y304" s="71">
        <f>Oportuno!Y304</f>
        <v>0</v>
      </c>
      <c r="AA304" s="65"/>
    </row>
    <row r="305" spans="2:27 16101:16120" ht="13" customHeight="1">
      <c r="B305" s="119">
        <f>Oportuno!B305</f>
        <v>0</v>
      </c>
      <c r="C305" s="23">
        <f>Oportuno!C305</f>
        <v>2026091</v>
      </c>
      <c r="D305" s="23">
        <f>Oportuno!D305</f>
        <v>11</v>
      </c>
      <c r="E305" s="128">
        <f>Oportuno!E305</f>
        <v>0</v>
      </c>
      <c r="F305" s="126" t="e">
        <f>Oportuno!F305</f>
        <v>#N/A</v>
      </c>
      <c r="G305" s="36">
        <f>Oportuno!G305</f>
        <v>1</v>
      </c>
      <c r="H305" s="126" t="str">
        <f>Oportuno!H305</f>
        <v>Oficinas</v>
      </c>
      <c r="I305" s="130">
        <f>Oportuno!I305</f>
        <v>0</v>
      </c>
      <c r="J305" s="174">
        <f>Oportuno!J305</f>
        <v>0</v>
      </c>
      <c r="K305" s="174">
        <f>Oportuno!K305</f>
        <v>0</v>
      </c>
      <c r="L305" s="174">
        <f>Oportuno!L305</f>
        <v>0</v>
      </c>
      <c r="M305" s="174">
        <f>Oportuno!M305</f>
        <v>0</v>
      </c>
      <c r="N305" s="174">
        <f>Oportuno!N305</f>
        <v>0</v>
      </c>
      <c r="O305" s="174">
        <f>Oportuno!O305</f>
        <v>0</v>
      </c>
      <c r="P305" s="174">
        <f>Oportuno!P305</f>
        <v>0</v>
      </c>
      <c r="Q305" s="174">
        <f>Oportuno!Q305</f>
        <v>0</v>
      </c>
      <c r="R305" s="174">
        <f>Oportuno!R305</f>
        <v>0</v>
      </c>
      <c r="S305" s="215">
        <f>Oportuno!S305</f>
        <v>0</v>
      </c>
      <c r="T305" s="71">
        <f>Oportuno!T305</f>
        <v>0</v>
      </c>
      <c r="U305" s="71">
        <f>Oportuno!U305</f>
        <v>0</v>
      </c>
      <c r="V305" s="117">
        <f>Oportuno!V305</f>
        <v>0</v>
      </c>
      <c r="W305" s="117">
        <f>Oportuno!W305</f>
        <v>0</v>
      </c>
      <c r="X305" s="71">
        <f>Oportuno!X305</f>
        <v>0</v>
      </c>
      <c r="Y305" s="71">
        <f>Oportuno!Y305</f>
        <v>0</v>
      </c>
      <c r="AA305" s="65"/>
    </row>
    <row r="306" spans="2:27 16101:16120" ht="13" customHeight="1">
      <c r="B306" s="119">
        <f>Oportuno!B306</f>
        <v>0</v>
      </c>
      <c r="C306" s="23">
        <f>Oportuno!C306</f>
        <v>2026091</v>
      </c>
      <c r="D306" s="23">
        <f>Oportuno!D306</f>
        <v>11</v>
      </c>
      <c r="E306" s="128">
        <f>Oportuno!E306</f>
        <v>0</v>
      </c>
      <c r="F306" s="126" t="e">
        <f>Oportuno!F306</f>
        <v>#N/A</v>
      </c>
      <c r="G306" s="36">
        <f>Oportuno!G306</f>
        <v>1</v>
      </c>
      <c r="H306" s="126" t="str">
        <f>Oportuno!H306</f>
        <v>Oficinas</v>
      </c>
      <c r="I306" s="130">
        <f>Oportuno!I306</f>
        <v>0</v>
      </c>
      <c r="J306" s="174">
        <f>Oportuno!J306</f>
        <v>0</v>
      </c>
      <c r="K306" s="174">
        <f>Oportuno!K306</f>
        <v>0</v>
      </c>
      <c r="L306" s="174">
        <f>Oportuno!L306</f>
        <v>0</v>
      </c>
      <c r="M306" s="174">
        <f>Oportuno!M306</f>
        <v>0</v>
      </c>
      <c r="N306" s="174">
        <f>Oportuno!N306</f>
        <v>0</v>
      </c>
      <c r="O306" s="174">
        <f>Oportuno!O306</f>
        <v>0</v>
      </c>
      <c r="P306" s="174">
        <f>Oportuno!P306</f>
        <v>0</v>
      </c>
      <c r="Q306" s="174">
        <f>Oportuno!Q306</f>
        <v>0</v>
      </c>
      <c r="R306" s="174">
        <f>Oportuno!R306</f>
        <v>0</v>
      </c>
      <c r="S306" s="215">
        <f>Oportuno!S306</f>
        <v>0</v>
      </c>
      <c r="T306" s="71">
        <f>Oportuno!T306</f>
        <v>0</v>
      </c>
      <c r="U306" s="71">
        <f>Oportuno!U306</f>
        <v>0</v>
      </c>
      <c r="V306" s="117">
        <f>Oportuno!V306</f>
        <v>0</v>
      </c>
      <c r="W306" s="117">
        <f>Oportuno!W306</f>
        <v>0</v>
      </c>
      <c r="X306" s="71">
        <f>Oportuno!X306</f>
        <v>0</v>
      </c>
      <c r="Y306" s="71">
        <f>Oportuno!Y306</f>
        <v>0</v>
      </c>
      <c r="AA306" s="65"/>
    </row>
    <row r="307" spans="2:27 16101:16120" ht="13" customHeight="1">
      <c r="B307" s="119">
        <f>Oportuno!B307</f>
        <v>0</v>
      </c>
      <c r="C307" s="23">
        <f>Oportuno!C307</f>
        <v>2026091</v>
      </c>
      <c r="D307" s="23">
        <f>Oportuno!D307</f>
        <v>11</v>
      </c>
      <c r="E307" s="128">
        <f>Oportuno!E307</f>
        <v>0</v>
      </c>
      <c r="F307" s="126" t="e">
        <f>Oportuno!F307</f>
        <v>#N/A</v>
      </c>
      <c r="G307" s="36">
        <f>Oportuno!G307</f>
        <v>1</v>
      </c>
      <c r="H307" s="126" t="str">
        <f>Oportuno!H307</f>
        <v>Oficinas</v>
      </c>
      <c r="I307" s="130">
        <f>Oportuno!I307</f>
        <v>0</v>
      </c>
      <c r="J307" s="174">
        <f>Oportuno!J307</f>
        <v>0</v>
      </c>
      <c r="K307" s="174">
        <f>Oportuno!K307</f>
        <v>0</v>
      </c>
      <c r="L307" s="174">
        <f>Oportuno!L307</f>
        <v>0</v>
      </c>
      <c r="M307" s="174">
        <f>Oportuno!M307</f>
        <v>0</v>
      </c>
      <c r="N307" s="174">
        <f>Oportuno!N307</f>
        <v>0</v>
      </c>
      <c r="O307" s="174">
        <f>Oportuno!O307</f>
        <v>0</v>
      </c>
      <c r="P307" s="174">
        <f>Oportuno!P307</f>
        <v>0</v>
      </c>
      <c r="Q307" s="174">
        <f>Oportuno!Q307</f>
        <v>0</v>
      </c>
      <c r="R307" s="174">
        <f>Oportuno!R307</f>
        <v>0</v>
      </c>
      <c r="S307" s="215">
        <f>Oportuno!S307</f>
        <v>0</v>
      </c>
      <c r="T307" s="71">
        <f>Oportuno!T307</f>
        <v>0</v>
      </c>
      <c r="U307" s="71">
        <f>Oportuno!U307</f>
        <v>0</v>
      </c>
      <c r="V307" s="117">
        <f>Oportuno!V307</f>
        <v>0</v>
      </c>
      <c r="W307" s="117">
        <f>Oportuno!W307</f>
        <v>0</v>
      </c>
      <c r="X307" s="71">
        <f>Oportuno!X307</f>
        <v>0</v>
      </c>
      <c r="Y307" s="71">
        <f>Oportuno!Y307</f>
        <v>0</v>
      </c>
      <c r="AA307" s="65"/>
    </row>
    <row r="308" spans="2:27 16101:16120" ht="12" customHeight="1">
      <c r="B308" s="119">
        <f>Oportuno!B308</f>
        <v>0</v>
      </c>
      <c r="C308" s="23">
        <f>Oportuno!C308</f>
        <v>2026091</v>
      </c>
      <c r="D308" s="23">
        <f>Oportuno!D308</f>
        <v>11</v>
      </c>
      <c r="E308" s="128">
        <f>Oportuno!E308</f>
        <v>0</v>
      </c>
      <c r="F308" s="126" t="e">
        <f>Oportuno!F308</f>
        <v>#N/A</v>
      </c>
      <c r="G308" s="36">
        <f>Oportuno!G308</f>
        <v>1</v>
      </c>
      <c r="H308" s="126" t="str">
        <f>Oportuno!H308</f>
        <v>Oficinas</v>
      </c>
      <c r="I308" s="130">
        <f>Oportuno!I308</f>
        <v>0</v>
      </c>
      <c r="J308" s="174">
        <f>Oportuno!J308</f>
        <v>0</v>
      </c>
      <c r="K308" s="174">
        <f>Oportuno!K308</f>
        <v>0</v>
      </c>
      <c r="L308" s="174">
        <f>Oportuno!L308</f>
        <v>0</v>
      </c>
      <c r="M308" s="174">
        <f>Oportuno!M308</f>
        <v>0</v>
      </c>
      <c r="N308" s="174">
        <f>Oportuno!N308</f>
        <v>0</v>
      </c>
      <c r="O308" s="174">
        <f>Oportuno!O308</f>
        <v>0</v>
      </c>
      <c r="P308" s="174">
        <f>Oportuno!P308</f>
        <v>0</v>
      </c>
      <c r="Q308" s="174">
        <f>Oportuno!Q308</f>
        <v>0</v>
      </c>
      <c r="R308" s="174">
        <f>Oportuno!R308</f>
        <v>0</v>
      </c>
      <c r="S308" s="215">
        <f>Oportuno!S308</f>
        <v>0</v>
      </c>
      <c r="T308" s="71">
        <f>Oportuno!T308</f>
        <v>0</v>
      </c>
      <c r="U308" s="71">
        <f>Oportuno!U308</f>
        <v>0</v>
      </c>
      <c r="V308" s="117">
        <f>Oportuno!V308</f>
        <v>0</v>
      </c>
      <c r="W308" s="117">
        <f>Oportuno!W308</f>
        <v>0</v>
      </c>
      <c r="X308" s="71">
        <f>Oportuno!X308</f>
        <v>0</v>
      </c>
      <c r="Y308" s="71">
        <f>Oportuno!Y308</f>
        <v>0</v>
      </c>
      <c r="AA308" s="65"/>
    </row>
    <row r="309" spans="2:27 16101:16120" ht="13" customHeight="1">
      <c r="B309" s="119">
        <f>Oportuno!B309</f>
        <v>0</v>
      </c>
      <c r="C309" s="23">
        <f>Oportuno!C309</f>
        <v>2026091</v>
      </c>
      <c r="D309" s="23">
        <f>Oportuno!D309</f>
        <v>11</v>
      </c>
      <c r="E309" s="128">
        <f>Oportuno!E309</f>
        <v>0</v>
      </c>
      <c r="F309" s="126" t="e">
        <f>Oportuno!F309</f>
        <v>#N/A</v>
      </c>
      <c r="G309" s="36">
        <f>Oportuno!G309</f>
        <v>1</v>
      </c>
      <c r="H309" s="126" t="str">
        <f>Oportuno!H309</f>
        <v>Oficinas</v>
      </c>
      <c r="I309" s="130">
        <f>Oportuno!I309</f>
        <v>0</v>
      </c>
      <c r="J309" s="174">
        <f>Oportuno!J309</f>
        <v>0</v>
      </c>
      <c r="K309" s="174">
        <f>Oportuno!K309</f>
        <v>0</v>
      </c>
      <c r="L309" s="174">
        <f>Oportuno!L309</f>
        <v>0</v>
      </c>
      <c r="M309" s="174">
        <f>Oportuno!M309</f>
        <v>0</v>
      </c>
      <c r="N309" s="174">
        <f>Oportuno!N309</f>
        <v>0</v>
      </c>
      <c r="O309" s="174">
        <f>Oportuno!O309</f>
        <v>0</v>
      </c>
      <c r="P309" s="174">
        <f>Oportuno!P309</f>
        <v>0</v>
      </c>
      <c r="Q309" s="174">
        <f>Oportuno!Q309</f>
        <v>0</v>
      </c>
      <c r="R309" s="174">
        <f>Oportuno!R309</f>
        <v>0</v>
      </c>
      <c r="S309" s="215">
        <f>Oportuno!S309</f>
        <v>0</v>
      </c>
      <c r="T309" s="71">
        <f>Oportuno!T309</f>
        <v>0</v>
      </c>
      <c r="U309" s="71">
        <f>Oportuno!U309</f>
        <v>0</v>
      </c>
      <c r="V309" s="117">
        <f>Oportuno!V309</f>
        <v>0</v>
      </c>
      <c r="W309" s="117">
        <f>Oportuno!W309</f>
        <v>0</v>
      </c>
      <c r="X309" s="71">
        <f>Oportuno!X309</f>
        <v>0</v>
      </c>
      <c r="Y309" s="71">
        <f>Oportuno!Y309</f>
        <v>0</v>
      </c>
      <c r="AA309" s="65"/>
    </row>
    <row r="310" spans="2:27 16101:16120" ht="13" customHeight="1">
      <c r="B310" s="119">
        <f>Oportuno!B310</f>
        <v>0</v>
      </c>
      <c r="C310" s="23">
        <f>Oportuno!C310</f>
        <v>2026091</v>
      </c>
      <c r="D310" s="23">
        <f>Oportuno!D310</f>
        <v>11</v>
      </c>
      <c r="E310" s="128">
        <f>Oportuno!E310</f>
        <v>0</v>
      </c>
      <c r="F310" s="126" t="e">
        <f>Oportuno!F310</f>
        <v>#N/A</v>
      </c>
      <c r="G310" s="36">
        <f>Oportuno!G310</f>
        <v>1</v>
      </c>
      <c r="H310" s="126" t="str">
        <f>Oportuno!H310</f>
        <v>Oficinas</v>
      </c>
      <c r="I310" s="130">
        <f>Oportuno!I310</f>
        <v>0</v>
      </c>
      <c r="J310" s="174">
        <f>Oportuno!J310</f>
        <v>0</v>
      </c>
      <c r="K310" s="174">
        <f>Oportuno!K310</f>
        <v>0</v>
      </c>
      <c r="L310" s="174">
        <f>Oportuno!L310</f>
        <v>0</v>
      </c>
      <c r="M310" s="174">
        <f>Oportuno!M310</f>
        <v>0</v>
      </c>
      <c r="N310" s="174">
        <f>Oportuno!N310</f>
        <v>0</v>
      </c>
      <c r="O310" s="174">
        <f>Oportuno!O310</f>
        <v>0</v>
      </c>
      <c r="P310" s="174">
        <f>Oportuno!P310</f>
        <v>0</v>
      </c>
      <c r="Q310" s="174">
        <f>Oportuno!Q310</f>
        <v>0</v>
      </c>
      <c r="R310" s="174">
        <f>Oportuno!R310</f>
        <v>0</v>
      </c>
      <c r="S310" s="215">
        <f>Oportuno!S310</f>
        <v>0</v>
      </c>
      <c r="T310" s="71">
        <f>Oportuno!T310</f>
        <v>0</v>
      </c>
      <c r="U310" s="71">
        <f>Oportuno!U310</f>
        <v>0</v>
      </c>
      <c r="V310" s="117">
        <f>Oportuno!V310</f>
        <v>0</v>
      </c>
      <c r="W310" s="117">
        <f>Oportuno!W310</f>
        <v>0</v>
      </c>
      <c r="X310" s="71">
        <f>Oportuno!X310</f>
        <v>0</v>
      </c>
      <c r="Y310" s="71">
        <f>Oportuno!Y310</f>
        <v>0</v>
      </c>
      <c r="AA310" s="65"/>
    </row>
    <row r="311" spans="2:27 16101:16120" ht="13" customHeight="1">
      <c r="B311" s="119">
        <f>Oportuno!B311</f>
        <v>0</v>
      </c>
      <c r="C311" s="23">
        <f>Oportuno!C311</f>
        <v>2026091</v>
      </c>
      <c r="D311" s="23">
        <f>Oportuno!D311</f>
        <v>11</v>
      </c>
      <c r="E311" s="128">
        <f>Oportuno!E311</f>
        <v>0</v>
      </c>
      <c r="F311" s="126" t="e">
        <f>Oportuno!F311</f>
        <v>#N/A</v>
      </c>
      <c r="G311" s="36">
        <f>Oportuno!G311</f>
        <v>1</v>
      </c>
      <c r="H311" s="126" t="str">
        <f>Oportuno!H311</f>
        <v>Oficinas</v>
      </c>
      <c r="I311" s="130">
        <f>Oportuno!I311</f>
        <v>0</v>
      </c>
      <c r="J311" s="174">
        <f>Oportuno!J311</f>
        <v>0</v>
      </c>
      <c r="K311" s="174">
        <f>Oportuno!K311</f>
        <v>0</v>
      </c>
      <c r="L311" s="174">
        <f>Oportuno!L311</f>
        <v>0</v>
      </c>
      <c r="M311" s="174">
        <f>Oportuno!M311</f>
        <v>0</v>
      </c>
      <c r="N311" s="174">
        <f>Oportuno!N311</f>
        <v>0</v>
      </c>
      <c r="O311" s="174">
        <f>Oportuno!O311</f>
        <v>0</v>
      </c>
      <c r="P311" s="174">
        <f>Oportuno!P311</f>
        <v>0</v>
      </c>
      <c r="Q311" s="174">
        <f>Oportuno!Q311</f>
        <v>0</v>
      </c>
      <c r="R311" s="174">
        <f>Oportuno!R311</f>
        <v>0</v>
      </c>
      <c r="S311" s="215">
        <f>Oportuno!S311</f>
        <v>0</v>
      </c>
      <c r="T311" s="71">
        <f>Oportuno!T311</f>
        <v>0</v>
      </c>
      <c r="U311" s="71">
        <f>Oportuno!U311</f>
        <v>0</v>
      </c>
      <c r="V311" s="117">
        <f>Oportuno!V311</f>
        <v>0</v>
      </c>
      <c r="W311" s="117">
        <f>Oportuno!W311</f>
        <v>0</v>
      </c>
      <c r="X311" s="71">
        <f>Oportuno!X311</f>
        <v>0</v>
      </c>
      <c r="Y311" s="71">
        <f>Oportuno!Y311</f>
        <v>0</v>
      </c>
      <c r="AA311" s="65"/>
    </row>
    <row r="312" spans="2:27 16101:16120" ht="13" customHeight="1">
      <c r="B312" s="119">
        <f>Oportuno!B312</f>
        <v>0</v>
      </c>
      <c r="C312" s="23">
        <f>Oportuno!C312</f>
        <v>2026091</v>
      </c>
      <c r="D312" s="23">
        <f>Oportuno!D312</f>
        <v>11</v>
      </c>
      <c r="E312" s="128">
        <f>Oportuno!E312</f>
        <v>0</v>
      </c>
      <c r="F312" s="126" t="e">
        <f>Oportuno!F312</f>
        <v>#N/A</v>
      </c>
      <c r="G312" s="36">
        <f>Oportuno!G312</f>
        <v>1</v>
      </c>
      <c r="H312" s="126" t="str">
        <f>Oportuno!H312</f>
        <v>Oficinas</v>
      </c>
      <c r="I312" s="130">
        <f>Oportuno!I312</f>
        <v>0</v>
      </c>
      <c r="J312" s="174">
        <f>Oportuno!J312</f>
        <v>0</v>
      </c>
      <c r="K312" s="174">
        <f>Oportuno!K312</f>
        <v>0</v>
      </c>
      <c r="L312" s="174">
        <f>Oportuno!L312</f>
        <v>0</v>
      </c>
      <c r="M312" s="174">
        <f>Oportuno!M312</f>
        <v>0</v>
      </c>
      <c r="N312" s="174">
        <f>Oportuno!N312</f>
        <v>0</v>
      </c>
      <c r="O312" s="174">
        <f>Oportuno!O312</f>
        <v>0</v>
      </c>
      <c r="P312" s="174">
        <f>Oportuno!P312</f>
        <v>0</v>
      </c>
      <c r="Q312" s="174">
        <f>Oportuno!Q312</f>
        <v>0</v>
      </c>
      <c r="R312" s="174">
        <f>Oportuno!R312</f>
        <v>0</v>
      </c>
      <c r="S312" s="215">
        <f>Oportuno!S312</f>
        <v>0</v>
      </c>
      <c r="T312" s="71">
        <f>Oportuno!T312</f>
        <v>0</v>
      </c>
      <c r="U312" s="71">
        <f>Oportuno!U312</f>
        <v>0</v>
      </c>
      <c r="V312" s="117">
        <f>Oportuno!V312</f>
        <v>0</v>
      </c>
      <c r="W312" s="117">
        <f>Oportuno!W312</f>
        <v>0</v>
      </c>
      <c r="X312" s="71">
        <f>Oportuno!X312</f>
        <v>0</v>
      </c>
      <c r="Y312" s="71">
        <f>Oportuno!Y312</f>
        <v>0</v>
      </c>
      <c r="AA312" s="65"/>
    </row>
    <row r="313" spans="2:27 16101:16120" ht="13" customHeight="1">
      <c r="B313" s="119">
        <f>Oportuno!B313</f>
        <v>0</v>
      </c>
      <c r="C313" s="23">
        <f>Oportuno!C313</f>
        <v>2026091</v>
      </c>
      <c r="D313" s="23">
        <f>Oportuno!D313</f>
        <v>11</v>
      </c>
      <c r="E313" s="128">
        <f>Oportuno!E313</f>
        <v>0</v>
      </c>
      <c r="F313" s="126" t="e">
        <f>Oportuno!F313</f>
        <v>#N/A</v>
      </c>
      <c r="G313" s="36">
        <f>Oportuno!G313</f>
        <v>1</v>
      </c>
      <c r="H313" s="126" t="str">
        <f>Oportuno!H313</f>
        <v>Oficinas</v>
      </c>
      <c r="I313" s="130">
        <f>Oportuno!I313</f>
        <v>0</v>
      </c>
      <c r="J313" s="174">
        <f>Oportuno!J313</f>
        <v>0</v>
      </c>
      <c r="K313" s="174">
        <f>Oportuno!K313</f>
        <v>0</v>
      </c>
      <c r="L313" s="174">
        <f>Oportuno!L313</f>
        <v>0</v>
      </c>
      <c r="M313" s="174">
        <f>Oportuno!M313</f>
        <v>0</v>
      </c>
      <c r="N313" s="174">
        <f>Oportuno!N313</f>
        <v>0</v>
      </c>
      <c r="O313" s="174">
        <f>Oportuno!O313</f>
        <v>0</v>
      </c>
      <c r="P313" s="174">
        <f>Oportuno!P313</f>
        <v>0</v>
      </c>
      <c r="Q313" s="174">
        <f>Oportuno!Q313</f>
        <v>0</v>
      </c>
      <c r="R313" s="174">
        <f>Oportuno!R313</f>
        <v>0</v>
      </c>
      <c r="S313" s="215">
        <f>Oportuno!S313</f>
        <v>0</v>
      </c>
      <c r="T313" s="71">
        <f>Oportuno!T313</f>
        <v>0</v>
      </c>
      <c r="U313" s="71">
        <f>Oportuno!U313</f>
        <v>0</v>
      </c>
      <c r="V313" s="117">
        <f>Oportuno!V313</f>
        <v>0</v>
      </c>
      <c r="W313" s="117">
        <f>Oportuno!W313</f>
        <v>0</v>
      </c>
      <c r="X313" s="71">
        <f>Oportuno!X313</f>
        <v>0</v>
      </c>
      <c r="Y313" s="71">
        <f>Oportuno!Y313</f>
        <v>0</v>
      </c>
      <c r="AA313" s="65"/>
    </row>
    <row r="314" spans="2:27 16101:16120" ht="13" customHeight="1">
      <c r="B314" s="119">
        <f>Oportuno!B314</f>
        <v>0</v>
      </c>
      <c r="C314" s="23">
        <f>Oportuno!C314</f>
        <v>2026091</v>
      </c>
      <c r="D314" s="23">
        <f>Oportuno!D314</f>
        <v>11</v>
      </c>
      <c r="E314" s="128">
        <f>Oportuno!E314</f>
        <v>0</v>
      </c>
      <c r="F314" s="126" t="e">
        <f>Oportuno!F314</f>
        <v>#N/A</v>
      </c>
      <c r="G314" s="36">
        <f>Oportuno!G314</f>
        <v>1</v>
      </c>
      <c r="H314" s="126" t="str">
        <f>Oportuno!H314</f>
        <v>Oficinas</v>
      </c>
      <c r="I314" s="130">
        <f>Oportuno!I314</f>
        <v>0</v>
      </c>
      <c r="J314" s="174">
        <f>Oportuno!J314</f>
        <v>0</v>
      </c>
      <c r="K314" s="174">
        <f>Oportuno!K314</f>
        <v>0</v>
      </c>
      <c r="L314" s="174">
        <f>Oportuno!L314</f>
        <v>0</v>
      </c>
      <c r="M314" s="174">
        <f>Oportuno!M314</f>
        <v>0</v>
      </c>
      <c r="N314" s="174">
        <f>Oportuno!N314</f>
        <v>0</v>
      </c>
      <c r="O314" s="174">
        <f>Oportuno!O314</f>
        <v>0</v>
      </c>
      <c r="P314" s="174">
        <f>Oportuno!P314</f>
        <v>0</v>
      </c>
      <c r="Q314" s="174">
        <f>Oportuno!Q314</f>
        <v>0</v>
      </c>
      <c r="R314" s="174">
        <f>Oportuno!R314</f>
        <v>0</v>
      </c>
      <c r="S314" s="215">
        <f>Oportuno!S314</f>
        <v>0</v>
      </c>
      <c r="T314" s="71">
        <f>Oportuno!T314</f>
        <v>0</v>
      </c>
      <c r="U314" s="71">
        <f>Oportuno!U314</f>
        <v>0</v>
      </c>
      <c r="V314" s="117">
        <f>Oportuno!V314</f>
        <v>0</v>
      </c>
      <c r="W314" s="117">
        <f>Oportuno!W314</f>
        <v>0</v>
      </c>
      <c r="X314" s="71">
        <f>Oportuno!X314</f>
        <v>0</v>
      </c>
      <c r="Y314" s="71">
        <f>Oportuno!Y314</f>
        <v>0</v>
      </c>
      <c r="AA314" s="65"/>
    </row>
    <row r="315" spans="2:27 16101:16120" ht="13" customHeight="1">
      <c r="B315" s="119">
        <f>Oportuno!B315</f>
        <v>0</v>
      </c>
      <c r="C315" s="23">
        <f>Oportuno!C315</f>
        <v>2026091</v>
      </c>
      <c r="D315" s="23">
        <f>Oportuno!D315</f>
        <v>11</v>
      </c>
      <c r="E315" s="128">
        <f>Oportuno!E315</f>
        <v>0</v>
      </c>
      <c r="F315" s="126" t="e">
        <f>Oportuno!F315</f>
        <v>#N/A</v>
      </c>
      <c r="G315" s="36">
        <f>Oportuno!G315</f>
        <v>1</v>
      </c>
      <c r="H315" s="126" t="str">
        <f>Oportuno!H315</f>
        <v>Oficinas</v>
      </c>
      <c r="I315" s="130">
        <f>Oportuno!I315</f>
        <v>0</v>
      </c>
      <c r="J315" s="174">
        <f>Oportuno!J315</f>
        <v>0</v>
      </c>
      <c r="K315" s="174">
        <f>Oportuno!K315</f>
        <v>0</v>
      </c>
      <c r="L315" s="174">
        <f>Oportuno!L315</f>
        <v>0</v>
      </c>
      <c r="M315" s="174">
        <f>Oportuno!M315</f>
        <v>0</v>
      </c>
      <c r="N315" s="174">
        <f>Oportuno!N315</f>
        <v>0</v>
      </c>
      <c r="O315" s="174">
        <f>Oportuno!O315</f>
        <v>0</v>
      </c>
      <c r="P315" s="174">
        <f>Oportuno!P315</f>
        <v>0</v>
      </c>
      <c r="Q315" s="174">
        <f>Oportuno!Q315</f>
        <v>0</v>
      </c>
      <c r="R315" s="174">
        <f>Oportuno!R315</f>
        <v>0</v>
      </c>
      <c r="S315" s="215">
        <f>Oportuno!S315</f>
        <v>0</v>
      </c>
      <c r="T315" s="71">
        <f>Oportuno!T315</f>
        <v>0</v>
      </c>
      <c r="U315" s="71">
        <f>Oportuno!U315</f>
        <v>0</v>
      </c>
      <c r="V315" s="117">
        <f>Oportuno!V315</f>
        <v>0</v>
      </c>
      <c r="W315" s="117">
        <f>Oportuno!W315</f>
        <v>0</v>
      </c>
      <c r="X315" s="71">
        <f>Oportuno!X315</f>
        <v>0</v>
      </c>
      <c r="Y315" s="71">
        <f>Oportuno!Y315</f>
        <v>0</v>
      </c>
      <c r="AA315" s="65"/>
    </row>
    <row r="316" spans="2:27 16101:16120" ht="13" customHeight="1">
      <c r="B316" s="119">
        <f>Oportuno!B316</f>
        <v>0</v>
      </c>
      <c r="C316" s="23">
        <f>Oportuno!C316</f>
        <v>2026091</v>
      </c>
      <c r="D316" s="23">
        <f>Oportuno!D316</f>
        <v>11</v>
      </c>
      <c r="E316" s="128">
        <f>Oportuno!E316</f>
        <v>0</v>
      </c>
      <c r="F316" s="126" t="e">
        <f>Oportuno!F316</f>
        <v>#N/A</v>
      </c>
      <c r="G316" s="36">
        <f>Oportuno!G316</f>
        <v>1</v>
      </c>
      <c r="H316" s="126" t="str">
        <f>Oportuno!H316</f>
        <v>Oficinas</v>
      </c>
      <c r="I316" s="130">
        <f>Oportuno!I316</f>
        <v>0</v>
      </c>
      <c r="J316" s="174">
        <f>Oportuno!J316</f>
        <v>0</v>
      </c>
      <c r="K316" s="174">
        <f>Oportuno!K316</f>
        <v>0</v>
      </c>
      <c r="L316" s="174">
        <f>Oportuno!L316</f>
        <v>0</v>
      </c>
      <c r="M316" s="174">
        <f>Oportuno!M316</f>
        <v>0</v>
      </c>
      <c r="N316" s="174">
        <f>Oportuno!N316</f>
        <v>0</v>
      </c>
      <c r="O316" s="174">
        <f>Oportuno!O316</f>
        <v>0</v>
      </c>
      <c r="P316" s="174">
        <f>Oportuno!P316</f>
        <v>0</v>
      </c>
      <c r="Q316" s="174">
        <f>Oportuno!Q316</f>
        <v>0</v>
      </c>
      <c r="R316" s="174">
        <f>Oportuno!R316</f>
        <v>0</v>
      </c>
      <c r="S316" s="215">
        <f>Oportuno!S316</f>
        <v>0</v>
      </c>
      <c r="T316" s="71">
        <f>Oportuno!T316</f>
        <v>0</v>
      </c>
      <c r="U316" s="71">
        <f>Oportuno!U316</f>
        <v>0</v>
      </c>
      <c r="V316" s="117">
        <f>Oportuno!V316</f>
        <v>0</v>
      </c>
      <c r="W316" s="117">
        <f>Oportuno!W316</f>
        <v>0</v>
      </c>
      <c r="X316" s="71">
        <f>Oportuno!X316</f>
        <v>0</v>
      </c>
      <c r="Y316" s="71">
        <f>Oportuno!Y316</f>
        <v>0</v>
      </c>
      <c r="AA316" s="65"/>
    </row>
    <row r="317" spans="2:27 16101:16120" ht="13" customHeight="1" thickBot="1">
      <c r="B317" s="119">
        <f>Oportuno!B317</f>
        <v>0</v>
      </c>
      <c r="C317" s="23">
        <f>Oportuno!C317</f>
        <v>2026091</v>
      </c>
      <c r="D317" s="23">
        <f>Oportuno!D317</f>
        <v>11</v>
      </c>
      <c r="E317" s="128">
        <f>Oportuno!E317</f>
        <v>0</v>
      </c>
      <c r="F317" s="126" t="e">
        <f>Oportuno!F317</f>
        <v>#N/A</v>
      </c>
      <c r="G317" s="36">
        <f>Oportuno!G317</f>
        <v>1</v>
      </c>
      <c r="H317" s="126" t="str">
        <f>Oportuno!H317</f>
        <v>Oficinas</v>
      </c>
      <c r="I317" s="130">
        <f>Oportuno!I317</f>
        <v>0</v>
      </c>
      <c r="J317" s="174">
        <f>Oportuno!J317</f>
        <v>0</v>
      </c>
      <c r="K317" s="174">
        <f>Oportuno!K317</f>
        <v>0</v>
      </c>
      <c r="L317" s="174">
        <f>Oportuno!L317</f>
        <v>0</v>
      </c>
      <c r="M317" s="174">
        <f>Oportuno!M317</f>
        <v>0</v>
      </c>
      <c r="N317" s="174">
        <f>Oportuno!N317</f>
        <v>0</v>
      </c>
      <c r="O317" s="174">
        <f>Oportuno!O317</f>
        <v>0</v>
      </c>
      <c r="P317" s="174">
        <f>Oportuno!P317</f>
        <v>0</v>
      </c>
      <c r="Q317" s="174">
        <f>Oportuno!Q317</f>
        <v>0</v>
      </c>
      <c r="R317" s="174">
        <f>Oportuno!R317</f>
        <v>0</v>
      </c>
      <c r="S317" s="215">
        <f>Oportuno!S317</f>
        <v>0</v>
      </c>
      <c r="T317" s="71">
        <f>Oportuno!T317</f>
        <v>0</v>
      </c>
      <c r="U317" s="71">
        <f>Oportuno!U317</f>
        <v>0</v>
      </c>
      <c r="V317" s="117">
        <f>Oportuno!V317</f>
        <v>0</v>
      </c>
      <c r="W317" s="117">
        <f>Oportuno!W317</f>
        <v>0</v>
      </c>
      <c r="X317" s="71">
        <f>Oportuno!X317</f>
        <v>0</v>
      </c>
      <c r="Y317" s="71">
        <f>Oportuno!Y317</f>
        <v>0</v>
      </c>
      <c r="AA317" s="65"/>
    </row>
    <row r="318" spans="2:27 16101:16120" ht="13" customHeight="1" thickBot="1">
      <c r="B318" s="1" t="s">
        <v>0</v>
      </c>
      <c r="C318" s="1" t="s">
        <v>0</v>
      </c>
      <c r="D318" s="20" t="s">
        <v>0</v>
      </c>
      <c r="E318" s="120" t="str">
        <f>Oportuno!E318</f>
        <v xml:space="preserve"> </v>
      </c>
      <c r="F318" s="121" t="str">
        <f>Oportuno!F318</f>
        <v>TOTAL RECAUDO</v>
      </c>
      <c r="G318" s="121" t="s">
        <v>0</v>
      </c>
      <c r="H318" s="121" t="s">
        <v>0</v>
      </c>
      <c r="I318" s="121" t="s">
        <v>0</v>
      </c>
      <c r="J318" s="122">
        <f>Oportuno!J318</f>
        <v>0</v>
      </c>
      <c r="K318" s="122">
        <f>Oportuno!K318</f>
        <v>0</v>
      </c>
      <c r="L318" s="122">
        <f>Oportuno!L318</f>
        <v>0</v>
      </c>
      <c r="M318" s="122">
        <f>Oportuno!M318</f>
        <v>0</v>
      </c>
      <c r="N318" s="122">
        <f>Oportuno!N318</f>
        <v>0</v>
      </c>
      <c r="O318" s="122">
        <f>Oportuno!O318</f>
        <v>0</v>
      </c>
      <c r="P318" s="122">
        <f>Oportuno!P318</f>
        <v>0</v>
      </c>
      <c r="Q318" s="122">
        <f>Oportuno!Q318</f>
        <v>0</v>
      </c>
      <c r="R318" s="122">
        <f>Oportuno!R318</f>
        <v>190</v>
      </c>
      <c r="S318" s="122">
        <f>Oportuno!S318</f>
        <v>9005030</v>
      </c>
      <c r="T318" s="122">
        <f>Oportuno!T318</f>
        <v>190</v>
      </c>
      <c r="U318" s="122">
        <f>Oportuno!U318</f>
        <v>9005030</v>
      </c>
      <c r="V318" s="123">
        <f>Oportuno!V318</f>
        <v>190</v>
      </c>
      <c r="W318" s="123">
        <f>Oportuno!W318</f>
        <v>9005030</v>
      </c>
      <c r="X318" s="122">
        <f>Oportuno!X318</f>
        <v>0</v>
      </c>
      <c r="Y318" s="123">
        <f>Oportuno!Y318</f>
        <v>0</v>
      </c>
      <c r="AA318" s="65"/>
    </row>
    <row r="319" spans="2:27 16101:16120" ht="13" thickBot="1">
      <c r="AA319" s="65"/>
    </row>
    <row r="320" spans="2:27 16101:16120" ht="41.25" customHeight="1" thickBot="1">
      <c r="B320" s="112" t="s">
        <v>4</v>
      </c>
      <c r="C320" s="34" t="s">
        <v>6</v>
      </c>
      <c r="D320" s="34" t="s">
        <v>7</v>
      </c>
      <c r="E320" s="34" t="s">
        <v>49</v>
      </c>
      <c r="F320" s="34" t="s">
        <v>50</v>
      </c>
      <c r="G320" s="34" t="s">
        <v>51</v>
      </c>
      <c r="H320" s="34" t="s">
        <v>52</v>
      </c>
      <c r="I320" s="34" t="s">
        <v>13</v>
      </c>
      <c r="J320" s="231" t="s">
        <v>8</v>
      </c>
      <c r="K320" s="231" t="s">
        <v>36</v>
      </c>
      <c r="L320" s="12" t="s">
        <v>9</v>
      </c>
      <c r="M320" s="12" t="s">
        <v>37</v>
      </c>
      <c r="N320" s="87" t="s">
        <v>10</v>
      </c>
      <c r="O320" s="88" t="s">
        <v>38</v>
      </c>
      <c r="P320" s="87" t="s">
        <v>11</v>
      </c>
      <c r="Q320" s="88" t="s">
        <v>39</v>
      </c>
      <c r="R320" s="232" t="s">
        <v>12</v>
      </c>
      <c r="S320" s="233" t="s">
        <v>40</v>
      </c>
      <c r="T320" s="64" t="s">
        <v>41</v>
      </c>
      <c r="U320" s="64" t="s">
        <v>42</v>
      </c>
      <c r="V320" s="35" t="s">
        <v>32</v>
      </c>
      <c r="W320" s="67" t="s">
        <v>35</v>
      </c>
      <c r="X320" s="12" t="s">
        <v>34</v>
      </c>
      <c r="Y320" s="68" t="s">
        <v>33</v>
      </c>
      <c r="AA320" s="66"/>
      <c r="WUG320" s="1"/>
      <c r="WUH320" s="1"/>
      <c r="WUY320"/>
      <c r="WUZ320"/>
    </row>
    <row r="321" spans="2:27" ht="13" customHeight="1">
      <c r="B321" s="119" t="str">
        <f>Oportuno!B321</f>
        <v>14/09/2026</v>
      </c>
      <c r="C321" s="24">
        <f>Oportuno!C321</f>
        <v>2026091</v>
      </c>
      <c r="D321" s="24">
        <f>Oportuno!D321</f>
        <v>12</v>
      </c>
      <c r="E321" s="127">
        <f>Oportuno!E321</f>
        <v>20</v>
      </c>
      <c r="F321" s="125" t="str">
        <f>Oportuno!F321</f>
        <v>Bancolombia ENERBIT</v>
      </c>
      <c r="G321" s="18">
        <f>Oportuno!G321</f>
        <v>1</v>
      </c>
      <c r="H321" s="125" t="str">
        <f>Oportuno!H321</f>
        <v>Oficinas</v>
      </c>
      <c r="I321" s="129">
        <f>Oportuno!I321</f>
        <v>0</v>
      </c>
      <c r="J321" s="213">
        <f>Oportuno!J321</f>
        <v>0</v>
      </c>
      <c r="K321" s="213">
        <f>Oportuno!K321</f>
        <v>0</v>
      </c>
      <c r="L321" s="213">
        <f>Oportuno!L321</f>
        <v>0</v>
      </c>
      <c r="M321" s="213">
        <f>Oportuno!M321</f>
        <v>0</v>
      </c>
      <c r="N321" s="213">
        <f>Oportuno!N321</f>
        <v>0</v>
      </c>
      <c r="O321" s="213">
        <f>Oportuno!O321</f>
        <v>0</v>
      </c>
      <c r="P321" s="213">
        <f>Oportuno!P321</f>
        <v>0</v>
      </c>
      <c r="Q321" s="213">
        <f>Oportuno!Q321</f>
        <v>0</v>
      </c>
      <c r="R321" s="213">
        <f>Oportuno!R321</f>
        <v>133</v>
      </c>
      <c r="S321" s="214">
        <f>Oportuno!S321</f>
        <v>5833970</v>
      </c>
      <c r="T321" s="70">
        <f>Oportuno!T321</f>
        <v>133</v>
      </c>
      <c r="U321" s="70">
        <f>Oportuno!U321</f>
        <v>5833970</v>
      </c>
      <c r="V321" s="116">
        <f>Oportuno!V321</f>
        <v>133</v>
      </c>
      <c r="W321" s="116">
        <f>Oportuno!W321</f>
        <v>5833970</v>
      </c>
      <c r="X321" s="70">
        <f>Oportuno!X321</f>
        <v>0</v>
      </c>
      <c r="Y321" s="70">
        <f>Oportuno!Y321</f>
        <v>0</v>
      </c>
      <c r="AA321" s="65"/>
    </row>
    <row r="322" spans="2:27" ht="13" customHeight="1">
      <c r="B322" s="119">
        <f>Oportuno!B322</f>
        <v>0</v>
      </c>
      <c r="C322" s="23">
        <f>Oportuno!C322</f>
        <v>2026091</v>
      </c>
      <c r="D322" s="23">
        <f>Oportuno!D322</f>
        <v>12</v>
      </c>
      <c r="E322" s="128">
        <f>Oportuno!E322</f>
        <v>0</v>
      </c>
      <c r="F322" s="126" t="e">
        <f>Oportuno!F322</f>
        <v>#N/A</v>
      </c>
      <c r="G322" s="36">
        <f>Oportuno!G322</f>
        <v>1</v>
      </c>
      <c r="H322" s="126" t="str">
        <f>Oportuno!H322</f>
        <v>Oficinas</v>
      </c>
      <c r="I322" s="130">
        <f>Oportuno!I322</f>
        <v>0</v>
      </c>
      <c r="J322" s="174">
        <f>Oportuno!J322</f>
        <v>0</v>
      </c>
      <c r="K322" s="174">
        <f>Oportuno!K322</f>
        <v>0</v>
      </c>
      <c r="L322" s="174">
        <f>Oportuno!L322</f>
        <v>0</v>
      </c>
      <c r="M322" s="174">
        <f>Oportuno!M322</f>
        <v>0</v>
      </c>
      <c r="N322" s="174">
        <f>Oportuno!N322</f>
        <v>0</v>
      </c>
      <c r="O322" s="174">
        <f>Oportuno!O322</f>
        <v>0</v>
      </c>
      <c r="P322" s="174">
        <f>Oportuno!P322</f>
        <v>0</v>
      </c>
      <c r="Q322" s="174">
        <f>Oportuno!Q322</f>
        <v>0</v>
      </c>
      <c r="R322" s="174">
        <f>Oportuno!R322</f>
        <v>0</v>
      </c>
      <c r="S322" s="215">
        <f>Oportuno!S322</f>
        <v>0</v>
      </c>
      <c r="T322" s="71">
        <f>Oportuno!T322</f>
        <v>0</v>
      </c>
      <c r="U322" s="71">
        <f>Oportuno!U322</f>
        <v>0</v>
      </c>
      <c r="V322" s="117">
        <f>Oportuno!V322</f>
        <v>0</v>
      </c>
      <c r="W322" s="117">
        <f>Oportuno!W322</f>
        <v>0</v>
      </c>
      <c r="X322" s="71">
        <f>Oportuno!X322</f>
        <v>0</v>
      </c>
      <c r="Y322" s="71">
        <f>Oportuno!Y322</f>
        <v>0</v>
      </c>
      <c r="AA322" s="65"/>
    </row>
    <row r="323" spans="2:27" ht="13" customHeight="1">
      <c r="B323" s="119">
        <f>Oportuno!B323</f>
        <v>0</v>
      </c>
      <c r="C323" s="23">
        <f>Oportuno!C323</f>
        <v>2026091</v>
      </c>
      <c r="D323" s="23">
        <f>Oportuno!D323</f>
        <v>12</v>
      </c>
      <c r="E323" s="128">
        <f>Oportuno!E323</f>
        <v>0</v>
      </c>
      <c r="F323" s="126" t="e">
        <f>Oportuno!F323</f>
        <v>#N/A</v>
      </c>
      <c r="G323" s="36">
        <f>Oportuno!G323</f>
        <v>1</v>
      </c>
      <c r="H323" s="126" t="str">
        <f>Oportuno!H323</f>
        <v>Oficinas</v>
      </c>
      <c r="I323" s="130">
        <f>Oportuno!I323</f>
        <v>0</v>
      </c>
      <c r="J323" s="174">
        <f>Oportuno!J323</f>
        <v>0</v>
      </c>
      <c r="K323" s="174">
        <f>Oportuno!K323</f>
        <v>0</v>
      </c>
      <c r="L323" s="174">
        <f>Oportuno!L323</f>
        <v>0</v>
      </c>
      <c r="M323" s="174">
        <f>Oportuno!M323</f>
        <v>0</v>
      </c>
      <c r="N323" s="174">
        <f>Oportuno!N323</f>
        <v>0</v>
      </c>
      <c r="O323" s="174">
        <f>Oportuno!O323</f>
        <v>0</v>
      </c>
      <c r="P323" s="174">
        <f>Oportuno!P323</f>
        <v>0</v>
      </c>
      <c r="Q323" s="174">
        <f>Oportuno!Q323</f>
        <v>0</v>
      </c>
      <c r="R323" s="174">
        <f>Oportuno!R323</f>
        <v>0</v>
      </c>
      <c r="S323" s="215">
        <f>Oportuno!S323</f>
        <v>0</v>
      </c>
      <c r="T323" s="71">
        <f>Oportuno!T323</f>
        <v>0</v>
      </c>
      <c r="U323" s="71">
        <f>Oportuno!U323</f>
        <v>0</v>
      </c>
      <c r="V323" s="117">
        <f>Oportuno!V323</f>
        <v>0</v>
      </c>
      <c r="W323" s="117">
        <f>Oportuno!W323</f>
        <v>0</v>
      </c>
      <c r="X323" s="71">
        <f>Oportuno!X323</f>
        <v>0</v>
      </c>
      <c r="Y323" s="71">
        <f>Oportuno!Y323</f>
        <v>0</v>
      </c>
      <c r="AA323" s="65"/>
    </row>
    <row r="324" spans="2:27" ht="13" customHeight="1">
      <c r="B324" s="119">
        <f>Oportuno!B324</f>
        <v>0</v>
      </c>
      <c r="C324" s="23">
        <f>Oportuno!C324</f>
        <v>2026091</v>
      </c>
      <c r="D324" s="23">
        <f>Oportuno!D324</f>
        <v>12</v>
      </c>
      <c r="E324" s="128">
        <f>Oportuno!E324</f>
        <v>0</v>
      </c>
      <c r="F324" s="126" t="e">
        <f>Oportuno!F324</f>
        <v>#N/A</v>
      </c>
      <c r="G324" s="36">
        <f>Oportuno!G324</f>
        <v>1</v>
      </c>
      <c r="H324" s="126" t="str">
        <f>Oportuno!H324</f>
        <v>Oficinas</v>
      </c>
      <c r="I324" s="130">
        <f>Oportuno!I324</f>
        <v>0</v>
      </c>
      <c r="J324" s="174">
        <f>Oportuno!J324</f>
        <v>0</v>
      </c>
      <c r="K324" s="174">
        <f>Oportuno!K324</f>
        <v>0</v>
      </c>
      <c r="L324" s="174">
        <f>Oportuno!L324</f>
        <v>0</v>
      </c>
      <c r="M324" s="174">
        <f>Oportuno!M324</f>
        <v>0</v>
      </c>
      <c r="N324" s="174">
        <f>Oportuno!N324</f>
        <v>0</v>
      </c>
      <c r="O324" s="174">
        <f>Oportuno!O324</f>
        <v>0</v>
      </c>
      <c r="P324" s="174">
        <f>Oportuno!P324</f>
        <v>0</v>
      </c>
      <c r="Q324" s="174">
        <f>Oportuno!Q324</f>
        <v>0</v>
      </c>
      <c r="R324" s="174">
        <f>Oportuno!R324</f>
        <v>0</v>
      </c>
      <c r="S324" s="215">
        <f>Oportuno!S324</f>
        <v>0</v>
      </c>
      <c r="T324" s="71">
        <f>Oportuno!T324</f>
        <v>0</v>
      </c>
      <c r="U324" s="71">
        <f>Oportuno!U324</f>
        <v>0</v>
      </c>
      <c r="V324" s="117">
        <f>Oportuno!V324</f>
        <v>0</v>
      </c>
      <c r="W324" s="117">
        <f>Oportuno!W324</f>
        <v>0</v>
      </c>
      <c r="X324" s="71">
        <f>Oportuno!X324</f>
        <v>0</v>
      </c>
      <c r="Y324" s="71">
        <f>Oportuno!Y324</f>
        <v>0</v>
      </c>
      <c r="AA324" s="65"/>
    </row>
    <row r="325" spans="2:27" ht="13" customHeight="1">
      <c r="B325" s="119">
        <f>Oportuno!B325</f>
        <v>0</v>
      </c>
      <c r="C325" s="23">
        <f>Oportuno!C325</f>
        <v>2026091</v>
      </c>
      <c r="D325" s="23">
        <f>Oportuno!D325</f>
        <v>12</v>
      </c>
      <c r="E325" s="128">
        <f>Oportuno!E325</f>
        <v>0</v>
      </c>
      <c r="F325" s="126" t="e">
        <f>Oportuno!F325</f>
        <v>#N/A</v>
      </c>
      <c r="G325" s="36">
        <f>Oportuno!G325</f>
        <v>1</v>
      </c>
      <c r="H325" s="126" t="str">
        <f>Oportuno!H325</f>
        <v>Oficinas</v>
      </c>
      <c r="I325" s="130">
        <f>Oportuno!I325</f>
        <v>0</v>
      </c>
      <c r="J325" s="174">
        <f>Oportuno!J325</f>
        <v>0</v>
      </c>
      <c r="K325" s="174">
        <f>Oportuno!K325</f>
        <v>0</v>
      </c>
      <c r="L325" s="174">
        <f>Oportuno!L325</f>
        <v>0</v>
      </c>
      <c r="M325" s="174">
        <f>Oportuno!M325</f>
        <v>0</v>
      </c>
      <c r="N325" s="174">
        <f>Oportuno!N325</f>
        <v>0</v>
      </c>
      <c r="O325" s="174">
        <f>Oportuno!O325</f>
        <v>0</v>
      </c>
      <c r="P325" s="174">
        <f>Oportuno!P325</f>
        <v>0</v>
      </c>
      <c r="Q325" s="174">
        <f>Oportuno!Q325</f>
        <v>0</v>
      </c>
      <c r="R325" s="174">
        <f>Oportuno!R325</f>
        <v>0</v>
      </c>
      <c r="S325" s="215">
        <f>Oportuno!S325</f>
        <v>0</v>
      </c>
      <c r="T325" s="71">
        <f>Oportuno!T325</f>
        <v>0</v>
      </c>
      <c r="U325" s="71">
        <f>Oportuno!U325</f>
        <v>0</v>
      </c>
      <c r="V325" s="117">
        <f>Oportuno!V325</f>
        <v>0</v>
      </c>
      <c r="W325" s="117">
        <f>Oportuno!W325</f>
        <v>0</v>
      </c>
      <c r="X325" s="71">
        <f>Oportuno!X325</f>
        <v>0</v>
      </c>
      <c r="Y325" s="71">
        <f>Oportuno!Y325</f>
        <v>0</v>
      </c>
      <c r="AA325" s="65"/>
    </row>
    <row r="326" spans="2:27" ht="13" customHeight="1">
      <c r="B326" s="119">
        <f>Oportuno!B326</f>
        <v>0</v>
      </c>
      <c r="C326" s="23">
        <f>Oportuno!C326</f>
        <v>2026091</v>
      </c>
      <c r="D326" s="23">
        <f>Oportuno!D326</f>
        <v>12</v>
      </c>
      <c r="E326" s="128">
        <f>Oportuno!E326</f>
        <v>0</v>
      </c>
      <c r="F326" s="126" t="e">
        <f>Oportuno!F326</f>
        <v>#N/A</v>
      </c>
      <c r="G326" s="36">
        <f>Oportuno!G326</f>
        <v>1</v>
      </c>
      <c r="H326" s="126" t="str">
        <f>Oportuno!H326</f>
        <v>Oficinas</v>
      </c>
      <c r="I326" s="130">
        <f>Oportuno!I326</f>
        <v>0</v>
      </c>
      <c r="J326" s="174">
        <f>Oportuno!J326</f>
        <v>0</v>
      </c>
      <c r="K326" s="174">
        <f>Oportuno!K326</f>
        <v>0</v>
      </c>
      <c r="L326" s="174">
        <f>Oportuno!L326</f>
        <v>0</v>
      </c>
      <c r="M326" s="174">
        <f>Oportuno!M326</f>
        <v>0</v>
      </c>
      <c r="N326" s="174">
        <f>Oportuno!N326</f>
        <v>0</v>
      </c>
      <c r="O326" s="174">
        <f>Oportuno!O326</f>
        <v>0</v>
      </c>
      <c r="P326" s="174">
        <f>Oportuno!P326</f>
        <v>0</v>
      </c>
      <c r="Q326" s="174">
        <f>Oportuno!Q326</f>
        <v>0</v>
      </c>
      <c r="R326" s="174">
        <f>Oportuno!R326</f>
        <v>0</v>
      </c>
      <c r="S326" s="215">
        <f>Oportuno!S326</f>
        <v>0</v>
      </c>
      <c r="T326" s="71">
        <f>Oportuno!T326</f>
        <v>0</v>
      </c>
      <c r="U326" s="71">
        <f>Oportuno!U326</f>
        <v>0</v>
      </c>
      <c r="V326" s="117">
        <f>Oportuno!V326</f>
        <v>0</v>
      </c>
      <c r="W326" s="117">
        <f>Oportuno!W326</f>
        <v>0</v>
      </c>
      <c r="X326" s="71">
        <f>Oportuno!X326</f>
        <v>0</v>
      </c>
      <c r="Y326" s="71">
        <f>Oportuno!Y326</f>
        <v>0</v>
      </c>
      <c r="AA326" s="65"/>
    </row>
    <row r="327" spans="2:27" ht="13" customHeight="1">
      <c r="B327" s="119">
        <f>Oportuno!B327</f>
        <v>0</v>
      </c>
      <c r="C327" s="23">
        <f>Oportuno!C327</f>
        <v>2026091</v>
      </c>
      <c r="D327" s="23">
        <f>Oportuno!D327</f>
        <v>12</v>
      </c>
      <c r="E327" s="128">
        <f>Oportuno!E327</f>
        <v>0</v>
      </c>
      <c r="F327" s="126" t="e">
        <f>Oportuno!F327</f>
        <v>#N/A</v>
      </c>
      <c r="G327" s="36">
        <f>Oportuno!G327</f>
        <v>1</v>
      </c>
      <c r="H327" s="126" t="str">
        <f>Oportuno!H327</f>
        <v>Oficinas</v>
      </c>
      <c r="I327" s="130">
        <f>Oportuno!I327</f>
        <v>0</v>
      </c>
      <c r="J327" s="174">
        <f>Oportuno!J327</f>
        <v>0</v>
      </c>
      <c r="K327" s="174">
        <f>Oportuno!K327</f>
        <v>0</v>
      </c>
      <c r="L327" s="174">
        <f>Oportuno!L327</f>
        <v>0</v>
      </c>
      <c r="M327" s="174">
        <f>Oportuno!M327</f>
        <v>0</v>
      </c>
      <c r="N327" s="174">
        <f>Oportuno!N327</f>
        <v>0</v>
      </c>
      <c r="O327" s="174">
        <f>Oportuno!O327</f>
        <v>0</v>
      </c>
      <c r="P327" s="174">
        <f>Oportuno!P327</f>
        <v>0</v>
      </c>
      <c r="Q327" s="174">
        <f>Oportuno!Q327</f>
        <v>0</v>
      </c>
      <c r="R327" s="174">
        <f>Oportuno!R327</f>
        <v>0</v>
      </c>
      <c r="S327" s="215">
        <f>Oportuno!S327</f>
        <v>0</v>
      </c>
      <c r="T327" s="71">
        <f>Oportuno!T327</f>
        <v>0</v>
      </c>
      <c r="U327" s="71">
        <f>Oportuno!U327</f>
        <v>0</v>
      </c>
      <c r="V327" s="117">
        <f>Oportuno!V327</f>
        <v>0</v>
      </c>
      <c r="W327" s="117">
        <f>Oportuno!W327</f>
        <v>0</v>
      </c>
      <c r="X327" s="71">
        <f>Oportuno!X327</f>
        <v>0</v>
      </c>
      <c r="Y327" s="71">
        <f>Oportuno!Y327</f>
        <v>0</v>
      </c>
      <c r="AA327" s="65"/>
    </row>
    <row r="328" spans="2:27" ht="13" customHeight="1">
      <c r="B328" s="119">
        <f>Oportuno!B328</f>
        <v>0</v>
      </c>
      <c r="C328" s="23">
        <f>Oportuno!C328</f>
        <v>2026091</v>
      </c>
      <c r="D328" s="23">
        <f>Oportuno!D328</f>
        <v>12</v>
      </c>
      <c r="E328" s="128">
        <f>Oportuno!E328</f>
        <v>0</v>
      </c>
      <c r="F328" s="126" t="e">
        <f>Oportuno!F328</f>
        <v>#N/A</v>
      </c>
      <c r="G328" s="36">
        <f>Oportuno!G328</f>
        <v>1</v>
      </c>
      <c r="H328" s="126" t="str">
        <f>Oportuno!H328</f>
        <v>Oficinas</v>
      </c>
      <c r="I328" s="130">
        <f>Oportuno!I328</f>
        <v>0</v>
      </c>
      <c r="J328" s="174">
        <f>Oportuno!J328</f>
        <v>0</v>
      </c>
      <c r="K328" s="174">
        <f>Oportuno!K328</f>
        <v>0</v>
      </c>
      <c r="L328" s="174">
        <f>Oportuno!L328</f>
        <v>0</v>
      </c>
      <c r="M328" s="174">
        <f>Oportuno!M328</f>
        <v>0</v>
      </c>
      <c r="N328" s="174">
        <f>Oportuno!N328</f>
        <v>0</v>
      </c>
      <c r="O328" s="174">
        <f>Oportuno!O328</f>
        <v>0</v>
      </c>
      <c r="P328" s="174">
        <f>Oportuno!P328</f>
        <v>0</v>
      </c>
      <c r="Q328" s="174">
        <f>Oportuno!Q328</f>
        <v>0</v>
      </c>
      <c r="R328" s="174">
        <f>Oportuno!R328</f>
        <v>0</v>
      </c>
      <c r="S328" s="215">
        <f>Oportuno!S328</f>
        <v>0</v>
      </c>
      <c r="T328" s="71">
        <f>Oportuno!T328</f>
        <v>0</v>
      </c>
      <c r="U328" s="71">
        <f>Oportuno!U328</f>
        <v>0</v>
      </c>
      <c r="V328" s="117">
        <f>Oportuno!V328</f>
        <v>0</v>
      </c>
      <c r="W328" s="117">
        <f>Oportuno!W328</f>
        <v>0</v>
      </c>
      <c r="X328" s="71">
        <f>Oportuno!X328</f>
        <v>0</v>
      </c>
      <c r="Y328" s="71">
        <f>Oportuno!Y328</f>
        <v>0</v>
      </c>
      <c r="AA328" s="65"/>
    </row>
    <row r="329" spans="2:27" ht="13" customHeight="1">
      <c r="B329" s="119">
        <f>Oportuno!B329</f>
        <v>0</v>
      </c>
      <c r="C329" s="23">
        <f>Oportuno!C329</f>
        <v>2026091</v>
      </c>
      <c r="D329" s="23">
        <f>Oportuno!D329</f>
        <v>12</v>
      </c>
      <c r="E329" s="128">
        <f>Oportuno!E329</f>
        <v>0</v>
      </c>
      <c r="F329" s="126" t="e">
        <f>Oportuno!F329</f>
        <v>#N/A</v>
      </c>
      <c r="G329" s="36">
        <f>Oportuno!G329</f>
        <v>1</v>
      </c>
      <c r="H329" s="126" t="str">
        <f>Oportuno!H329</f>
        <v>Oficinas</v>
      </c>
      <c r="I329" s="130">
        <f>Oportuno!I329</f>
        <v>0</v>
      </c>
      <c r="J329" s="174">
        <f>Oportuno!J329</f>
        <v>0</v>
      </c>
      <c r="K329" s="174">
        <f>Oportuno!K329</f>
        <v>0</v>
      </c>
      <c r="L329" s="174">
        <f>Oportuno!L329</f>
        <v>0</v>
      </c>
      <c r="M329" s="174">
        <f>Oportuno!M329</f>
        <v>0</v>
      </c>
      <c r="N329" s="174">
        <f>Oportuno!N329</f>
        <v>0</v>
      </c>
      <c r="O329" s="174">
        <f>Oportuno!O329</f>
        <v>0</v>
      </c>
      <c r="P329" s="174">
        <f>Oportuno!P329</f>
        <v>0</v>
      </c>
      <c r="Q329" s="174">
        <f>Oportuno!Q329</f>
        <v>0</v>
      </c>
      <c r="R329" s="174">
        <f>Oportuno!R329</f>
        <v>0</v>
      </c>
      <c r="S329" s="215">
        <f>Oportuno!S329</f>
        <v>0</v>
      </c>
      <c r="T329" s="71">
        <f>Oportuno!T329</f>
        <v>0</v>
      </c>
      <c r="U329" s="71">
        <f>Oportuno!U329</f>
        <v>0</v>
      </c>
      <c r="V329" s="117">
        <f>Oportuno!V329</f>
        <v>0</v>
      </c>
      <c r="W329" s="117">
        <f>Oportuno!W329</f>
        <v>0</v>
      </c>
      <c r="X329" s="71">
        <f>Oportuno!X329</f>
        <v>0</v>
      </c>
      <c r="Y329" s="71">
        <f>Oportuno!Y329</f>
        <v>0</v>
      </c>
      <c r="AA329" s="65"/>
    </row>
    <row r="330" spans="2:27" ht="13" customHeight="1">
      <c r="B330" s="119">
        <f>Oportuno!B330</f>
        <v>0</v>
      </c>
      <c r="C330" s="23">
        <f>Oportuno!C330</f>
        <v>2026091</v>
      </c>
      <c r="D330" s="23">
        <f>Oportuno!D330</f>
        <v>12</v>
      </c>
      <c r="E330" s="128">
        <f>Oportuno!E330</f>
        <v>0</v>
      </c>
      <c r="F330" s="126" t="e">
        <f>Oportuno!F330</f>
        <v>#N/A</v>
      </c>
      <c r="G330" s="36">
        <f>Oportuno!G330</f>
        <v>1</v>
      </c>
      <c r="H330" s="126" t="str">
        <f>Oportuno!H330</f>
        <v>Oficinas</v>
      </c>
      <c r="I330" s="130">
        <f>Oportuno!I330</f>
        <v>0</v>
      </c>
      <c r="J330" s="174">
        <f>Oportuno!J330</f>
        <v>0</v>
      </c>
      <c r="K330" s="174">
        <f>Oportuno!K330</f>
        <v>0</v>
      </c>
      <c r="L330" s="174">
        <f>Oportuno!L330</f>
        <v>0</v>
      </c>
      <c r="M330" s="174">
        <f>Oportuno!M330</f>
        <v>0</v>
      </c>
      <c r="N330" s="174">
        <f>Oportuno!N330</f>
        <v>0</v>
      </c>
      <c r="O330" s="174">
        <f>Oportuno!O330</f>
        <v>0</v>
      </c>
      <c r="P330" s="174">
        <f>Oportuno!P330</f>
        <v>0</v>
      </c>
      <c r="Q330" s="174">
        <f>Oportuno!Q330</f>
        <v>0</v>
      </c>
      <c r="R330" s="174">
        <f>Oportuno!R330</f>
        <v>0</v>
      </c>
      <c r="S330" s="215">
        <f>Oportuno!S330</f>
        <v>0</v>
      </c>
      <c r="T330" s="71">
        <f>Oportuno!T330</f>
        <v>0</v>
      </c>
      <c r="U330" s="71">
        <f>Oportuno!U330</f>
        <v>0</v>
      </c>
      <c r="V330" s="117">
        <f>Oportuno!V330</f>
        <v>0</v>
      </c>
      <c r="W330" s="117">
        <f>Oportuno!W330</f>
        <v>0</v>
      </c>
      <c r="X330" s="71">
        <f>Oportuno!X330</f>
        <v>0</v>
      </c>
      <c r="Y330" s="71">
        <f>Oportuno!Y330</f>
        <v>0</v>
      </c>
      <c r="AA330" s="65"/>
    </row>
    <row r="331" spans="2:27" ht="13" customHeight="1">
      <c r="B331" s="119">
        <f>Oportuno!B331</f>
        <v>0</v>
      </c>
      <c r="C331" s="23">
        <f>Oportuno!C331</f>
        <v>2026091</v>
      </c>
      <c r="D331" s="23">
        <f>Oportuno!D331</f>
        <v>12</v>
      </c>
      <c r="E331" s="128">
        <f>Oportuno!E331</f>
        <v>0</v>
      </c>
      <c r="F331" s="126" t="e">
        <f>Oportuno!F331</f>
        <v>#N/A</v>
      </c>
      <c r="G331" s="36">
        <f>Oportuno!G331</f>
        <v>1</v>
      </c>
      <c r="H331" s="126" t="str">
        <f>Oportuno!H331</f>
        <v>Oficinas</v>
      </c>
      <c r="I331" s="130">
        <f>Oportuno!I331</f>
        <v>0</v>
      </c>
      <c r="J331" s="174">
        <f>Oportuno!J331</f>
        <v>0</v>
      </c>
      <c r="K331" s="174">
        <f>Oportuno!K331</f>
        <v>0</v>
      </c>
      <c r="L331" s="174">
        <f>Oportuno!L331</f>
        <v>0</v>
      </c>
      <c r="M331" s="174">
        <f>Oportuno!M331</f>
        <v>0</v>
      </c>
      <c r="N331" s="174">
        <f>Oportuno!N331</f>
        <v>0</v>
      </c>
      <c r="O331" s="174">
        <f>Oportuno!O331</f>
        <v>0</v>
      </c>
      <c r="P331" s="174">
        <f>Oportuno!P331</f>
        <v>0</v>
      </c>
      <c r="Q331" s="174">
        <f>Oportuno!Q331</f>
        <v>0</v>
      </c>
      <c r="R331" s="174">
        <f>Oportuno!R331</f>
        <v>0</v>
      </c>
      <c r="S331" s="215">
        <f>Oportuno!S331</f>
        <v>0</v>
      </c>
      <c r="T331" s="71">
        <f>Oportuno!T331</f>
        <v>0</v>
      </c>
      <c r="U331" s="71">
        <f>Oportuno!U331</f>
        <v>0</v>
      </c>
      <c r="V331" s="117">
        <f>Oportuno!V331</f>
        <v>0</v>
      </c>
      <c r="W331" s="117">
        <f>Oportuno!W331</f>
        <v>0</v>
      </c>
      <c r="X331" s="71">
        <f>Oportuno!X331</f>
        <v>0</v>
      </c>
      <c r="Y331" s="71">
        <f>Oportuno!Y331</f>
        <v>0</v>
      </c>
      <c r="AA331" s="65"/>
    </row>
    <row r="332" spans="2:27" ht="13" customHeight="1">
      <c r="B332" s="119">
        <f>Oportuno!B332</f>
        <v>0</v>
      </c>
      <c r="C332" s="23">
        <f>Oportuno!C332</f>
        <v>2026091</v>
      </c>
      <c r="D332" s="23">
        <f>Oportuno!D332</f>
        <v>12</v>
      </c>
      <c r="E332" s="128">
        <f>Oportuno!E332</f>
        <v>0</v>
      </c>
      <c r="F332" s="126" t="e">
        <f>Oportuno!F332</f>
        <v>#N/A</v>
      </c>
      <c r="G332" s="36">
        <f>Oportuno!G332</f>
        <v>1</v>
      </c>
      <c r="H332" s="126" t="str">
        <f>Oportuno!H332</f>
        <v>Oficinas</v>
      </c>
      <c r="I332" s="130">
        <f>Oportuno!I332</f>
        <v>0</v>
      </c>
      <c r="J332" s="174">
        <f>Oportuno!J332</f>
        <v>0</v>
      </c>
      <c r="K332" s="174">
        <f>Oportuno!K332</f>
        <v>0</v>
      </c>
      <c r="L332" s="174">
        <f>Oportuno!L332</f>
        <v>0</v>
      </c>
      <c r="M332" s="174">
        <f>Oportuno!M332</f>
        <v>0</v>
      </c>
      <c r="N332" s="174">
        <f>Oportuno!N332</f>
        <v>0</v>
      </c>
      <c r="O332" s="174">
        <f>Oportuno!O332</f>
        <v>0</v>
      </c>
      <c r="P332" s="174">
        <f>Oportuno!P332</f>
        <v>0</v>
      </c>
      <c r="Q332" s="174">
        <f>Oportuno!Q332</f>
        <v>0</v>
      </c>
      <c r="R332" s="174">
        <f>Oportuno!R332</f>
        <v>0</v>
      </c>
      <c r="S332" s="215">
        <f>Oportuno!S332</f>
        <v>0</v>
      </c>
      <c r="T332" s="71">
        <f>Oportuno!T332</f>
        <v>0</v>
      </c>
      <c r="U332" s="71">
        <f>Oportuno!U332</f>
        <v>0</v>
      </c>
      <c r="V332" s="117">
        <f>Oportuno!V332</f>
        <v>0</v>
      </c>
      <c r="W332" s="117">
        <f>Oportuno!W332</f>
        <v>0</v>
      </c>
      <c r="X332" s="71">
        <f>Oportuno!X332</f>
        <v>0</v>
      </c>
      <c r="Y332" s="71">
        <f>Oportuno!Y332</f>
        <v>0</v>
      </c>
      <c r="AA332" s="65"/>
    </row>
    <row r="333" spans="2:27" ht="13" customHeight="1">
      <c r="B333" s="119">
        <f>Oportuno!B333</f>
        <v>0</v>
      </c>
      <c r="C333" s="23">
        <f>Oportuno!C333</f>
        <v>2026091</v>
      </c>
      <c r="D333" s="23">
        <f>Oportuno!D333</f>
        <v>12</v>
      </c>
      <c r="E333" s="128">
        <f>Oportuno!E333</f>
        <v>0</v>
      </c>
      <c r="F333" s="126" t="e">
        <f>Oportuno!F333</f>
        <v>#N/A</v>
      </c>
      <c r="G333" s="36">
        <f>Oportuno!G333</f>
        <v>1</v>
      </c>
      <c r="H333" s="126" t="str">
        <f>Oportuno!H333</f>
        <v>Oficinas</v>
      </c>
      <c r="I333" s="130">
        <f>Oportuno!I333</f>
        <v>0</v>
      </c>
      <c r="J333" s="174">
        <f>Oportuno!J333</f>
        <v>0</v>
      </c>
      <c r="K333" s="174">
        <f>Oportuno!K333</f>
        <v>0</v>
      </c>
      <c r="L333" s="174">
        <f>Oportuno!L333</f>
        <v>0</v>
      </c>
      <c r="M333" s="174">
        <f>Oportuno!M333</f>
        <v>0</v>
      </c>
      <c r="N333" s="174">
        <f>Oportuno!N333</f>
        <v>0</v>
      </c>
      <c r="O333" s="174">
        <f>Oportuno!O333</f>
        <v>0</v>
      </c>
      <c r="P333" s="174">
        <f>Oportuno!P333</f>
        <v>0</v>
      </c>
      <c r="Q333" s="174">
        <f>Oportuno!Q333</f>
        <v>0</v>
      </c>
      <c r="R333" s="174">
        <f>Oportuno!R333</f>
        <v>0</v>
      </c>
      <c r="S333" s="215">
        <f>Oportuno!S333</f>
        <v>0</v>
      </c>
      <c r="T333" s="71">
        <f>Oportuno!T333</f>
        <v>0</v>
      </c>
      <c r="U333" s="71">
        <f>Oportuno!U333</f>
        <v>0</v>
      </c>
      <c r="V333" s="117">
        <f>Oportuno!V333</f>
        <v>0</v>
      </c>
      <c r="W333" s="117">
        <f>Oportuno!W333</f>
        <v>0</v>
      </c>
      <c r="X333" s="71">
        <f>Oportuno!X333</f>
        <v>0</v>
      </c>
      <c r="Y333" s="71">
        <f>Oportuno!Y333</f>
        <v>0</v>
      </c>
      <c r="AA333" s="65"/>
    </row>
    <row r="334" spans="2:27" ht="13" customHeight="1">
      <c r="B334" s="119">
        <f>Oportuno!B334</f>
        <v>0</v>
      </c>
      <c r="C334" s="23">
        <f>Oportuno!C334</f>
        <v>2026091</v>
      </c>
      <c r="D334" s="23">
        <f>Oportuno!D334</f>
        <v>12</v>
      </c>
      <c r="E334" s="128">
        <f>Oportuno!E334</f>
        <v>0</v>
      </c>
      <c r="F334" s="126" t="e">
        <f>Oportuno!F334</f>
        <v>#N/A</v>
      </c>
      <c r="G334" s="36">
        <f>Oportuno!G334</f>
        <v>1</v>
      </c>
      <c r="H334" s="126" t="str">
        <f>Oportuno!H334</f>
        <v>Oficinas</v>
      </c>
      <c r="I334" s="130">
        <f>Oportuno!I334</f>
        <v>0</v>
      </c>
      <c r="J334" s="174">
        <f>Oportuno!J334</f>
        <v>0</v>
      </c>
      <c r="K334" s="174">
        <f>Oportuno!K334</f>
        <v>0</v>
      </c>
      <c r="L334" s="174">
        <f>Oportuno!L334</f>
        <v>0</v>
      </c>
      <c r="M334" s="174">
        <f>Oportuno!M334</f>
        <v>0</v>
      </c>
      <c r="N334" s="174">
        <f>Oportuno!N334</f>
        <v>0</v>
      </c>
      <c r="O334" s="174">
        <f>Oportuno!O334</f>
        <v>0</v>
      </c>
      <c r="P334" s="174">
        <f>Oportuno!P334</f>
        <v>0</v>
      </c>
      <c r="Q334" s="174">
        <f>Oportuno!Q334</f>
        <v>0</v>
      </c>
      <c r="R334" s="174">
        <f>Oportuno!R334</f>
        <v>0</v>
      </c>
      <c r="S334" s="215">
        <f>Oportuno!S334</f>
        <v>0</v>
      </c>
      <c r="T334" s="71">
        <f>Oportuno!T334</f>
        <v>0</v>
      </c>
      <c r="U334" s="71">
        <f>Oportuno!U334</f>
        <v>0</v>
      </c>
      <c r="V334" s="117">
        <f>Oportuno!V334</f>
        <v>0</v>
      </c>
      <c r="W334" s="117">
        <f>Oportuno!W334</f>
        <v>0</v>
      </c>
      <c r="X334" s="71">
        <f>Oportuno!X334</f>
        <v>0</v>
      </c>
      <c r="Y334" s="71">
        <f>Oportuno!Y334</f>
        <v>0</v>
      </c>
      <c r="AA334" s="65"/>
    </row>
    <row r="335" spans="2:27" ht="13" customHeight="1">
      <c r="B335" s="119">
        <f>Oportuno!B335</f>
        <v>0</v>
      </c>
      <c r="C335" s="23">
        <f>Oportuno!C335</f>
        <v>2026091</v>
      </c>
      <c r="D335" s="23">
        <f>Oportuno!D335</f>
        <v>12</v>
      </c>
      <c r="E335" s="128">
        <f>Oportuno!E335</f>
        <v>0</v>
      </c>
      <c r="F335" s="126" t="e">
        <f>Oportuno!F335</f>
        <v>#N/A</v>
      </c>
      <c r="G335" s="36">
        <f>Oportuno!G335</f>
        <v>1</v>
      </c>
      <c r="H335" s="126" t="str">
        <f>Oportuno!H335</f>
        <v>Oficinas</v>
      </c>
      <c r="I335" s="130">
        <f>Oportuno!I335</f>
        <v>0</v>
      </c>
      <c r="J335" s="174">
        <f>Oportuno!J335</f>
        <v>0</v>
      </c>
      <c r="K335" s="174">
        <f>Oportuno!K335</f>
        <v>0</v>
      </c>
      <c r="L335" s="174">
        <f>Oportuno!L335</f>
        <v>0</v>
      </c>
      <c r="M335" s="174">
        <f>Oportuno!M335</f>
        <v>0</v>
      </c>
      <c r="N335" s="174">
        <f>Oportuno!N335</f>
        <v>0</v>
      </c>
      <c r="O335" s="174">
        <f>Oportuno!O335</f>
        <v>0</v>
      </c>
      <c r="P335" s="174">
        <f>Oportuno!P335</f>
        <v>0</v>
      </c>
      <c r="Q335" s="174">
        <f>Oportuno!Q335</f>
        <v>0</v>
      </c>
      <c r="R335" s="174">
        <f>Oportuno!R335</f>
        <v>0</v>
      </c>
      <c r="S335" s="215">
        <f>Oportuno!S335</f>
        <v>0</v>
      </c>
      <c r="T335" s="71">
        <f>Oportuno!T335</f>
        <v>0</v>
      </c>
      <c r="U335" s="71">
        <f>Oportuno!U335</f>
        <v>0</v>
      </c>
      <c r="V335" s="117">
        <f>Oportuno!V335</f>
        <v>0</v>
      </c>
      <c r="W335" s="117">
        <f>Oportuno!W335</f>
        <v>0</v>
      </c>
      <c r="X335" s="71">
        <f>Oportuno!X335</f>
        <v>0</v>
      </c>
      <c r="Y335" s="71">
        <f>Oportuno!Y335</f>
        <v>0</v>
      </c>
      <c r="AA335" s="65"/>
    </row>
    <row r="336" spans="2:27" ht="12" customHeight="1">
      <c r="B336" s="119">
        <f>Oportuno!B336</f>
        <v>0</v>
      </c>
      <c r="C336" s="23">
        <f>Oportuno!C336</f>
        <v>2026091</v>
      </c>
      <c r="D336" s="23">
        <f>Oportuno!D336</f>
        <v>12</v>
      </c>
      <c r="E336" s="128">
        <f>Oportuno!E336</f>
        <v>0</v>
      </c>
      <c r="F336" s="126" t="e">
        <f>Oportuno!F336</f>
        <v>#N/A</v>
      </c>
      <c r="G336" s="36">
        <f>Oportuno!G336</f>
        <v>1</v>
      </c>
      <c r="H336" s="126" t="str">
        <f>Oportuno!H336</f>
        <v>Oficinas</v>
      </c>
      <c r="I336" s="130">
        <f>Oportuno!I336</f>
        <v>0</v>
      </c>
      <c r="J336" s="174">
        <f>Oportuno!J336</f>
        <v>0</v>
      </c>
      <c r="K336" s="174">
        <f>Oportuno!K336</f>
        <v>0</v>
      </c>
      <c r="L336" s="174">
        <f>Oportuno!L336</f>
        <v>0</v>
      </c>
      <c r="M336" s="174">
        <f>Oportuno!M336</f>
        <v>0</v>
      </c>
      <c r="N336" s="174">
        <f>Oportuno!N336</f>
        <v>0</v>
      </c>
      <c r="O336" s="174">
        <f>Oportuno!O336</f>
        <v>0</v>
      </c>
      <c r="P336" s="174">
        <f>Oportuno!P336</f>
        <v>0</v>
      </c>
      <c r="Q336" s="174">
        <f>Oportuno!Q336</f>
        <v>0</v>
      </c>
      <c r="R336" s="174">
        <f>Oportuno!R336</f>
        <v>0</v>
      </c>
      <c r="S336" s="215">
        <f>Oportuno!S336</f>
        <v>0</v>
      </c>
      <c r="T336" s="71">
        <f>Oportuno!T336</f>
        <v>0</v>
      </c>
      <c r="U336" s="71">
        <f>Oportuno!U336</f>
        <v>0</v>
      </c>
      <c r="V336" s="117">
        <f>Oportuno!V336</f>
        <v>0</v>
      </c>
      <c r="W336" s="117">
        <f>Oportuno!W336</f>
        <v>0</v>
      </c>
      <c r="X336" s="71">
        <f>Oportuno!X336</f>
        <v>0</v>
      </c>
      <c r="Y336" s="71">
        <f>Oportuno!Y336</f>
        <v>0</v>
      </c>
      <c r="AA336" s="65"/>
    </row>
    <row r="337" spans="2:27 16101:16120" ht="13" customHeight="1">
      <c r="B337" s="119">
        <f>Oportuno!B337</f>
        <v>0</v>
      </c>
      <c r="C337" s="23">
        <f>Oportuno!C337</f>
        <v>2026091</v>
      </c>
      <c r="D337" s="23">
        <f>Oportuno!D337</f>
        <v>12</v>
      </c>
      <c r="E337" s="128">
        <f>Oportuno!E337</f>
        <v>0</v>
      </c>
      <c r="F337" s="126" t="e">
        <f>Oportuno!F337</f>
        <v>#N/A</v>
      </c>
      <c r="G337" s="36">
        <f>Oportuno!G337</f>
        <v>1</v>
      </c>
      <c r="H337" s="126" t="str">
        <f>Oportuno!H337</f>
        <v>Oficinas</v>
      </c>
      <c r="I337" s="130">
        <f>Oportuno!I337</f>
        <v>0</v>
      </c>
      <c r="J337" s="174">
        <f>Oportuno!J337</f>
        <v>0</v>
      </c>
      <c r="K337" s="174">
        <f>Oportuno!K337</f>
        <v>0</v>
      </c>
      <c r="L337" s="174">
        <f>Oportuno!L337</f>
        <v>0</v>
      </c>
      <c r="M337" s="174">
        <f>Oportuno!M337</f>
        <v>0</v>
      </c>
      <c r="N337" s="174">
        <f>Oportuno!N337</f>
        <v>0</v>
      </c>
      <c r="O337" s="174">
        <f>Oportuno!O337</f>
        <v>0</v>
      </c>
      <c r="P337" s="174">
        <f>Oportuno!P337</f>
        <v>0</v>
      </c>
      <c r="Q337" s="174">
        <f>Oportuno!Q337</f>
        <v>0</v>
      </c>
      <c r="R337" s="174">
        <f>Oportuno!R337</f>
        <v>0</v>
      </c>
      <c r="S337" s="215">
        <f>Oportuno!S337</f>
        <v>0</v>
      </c>
      <c r="T337" s="71">
        <f>Oportuno!T337</f>
        <v>0</v>
      </c>
      <c r="U337" s="71">
        <f>Oportuno!U337</f>
        <v>0</v>
      </c>
      <c r="V337" s="117">
        <f>Oportuno!V337</f>
        <v>0</v>
      </c>
      <c r="W337" s="117">
        <f>Oportuno!W337</f>
        <v>0</v>
      </c>
      <c r="X337" s="71">
        <f>Oportuno!X337</f>
        <v>0</v>
      </c>
      <c r="Y337" s="71">
        <f>Oportuno!Y337</f>
        <v>0</v>
      </c>
      <c r="AA337" s="65"/>
    </row>
    <row r="338" spans="2:27 16101:16120" ht="13" customHeight="1">
      <c r="B338" s="119">
        <f>Oportuno!B338</f>
        <v>0</v>
      </c>
      <c r="C338" s="23">
        <f>Oportuno!C338</f>
        <v>2026091</v>
      </c>
      <c r="D338" s="23">
        <f>Oportuno!D338</f>
        <v>12</v>
      </c>
      <c r="E338" s="128">
        <f>Oportuno!E338</f>
        <v>0</v>
      </c>
      <c r="F338" s="126" t="e">
        <f>Oportuno!F338</f>
        <v>#N/A</v>
      </c>
      <c r="G338" s="36">
        <f>Oportuno!G338</f>
        <v>1</v>
      </c>
      <c r="H338" s="126" t="str">
        <f>Oportuno!H338</f>
        <v>Oficinas</v>
      </c>
      <c r="I338" s="130">
        <f>Oportuno!I338</f>
        <v>0</v>
      </c>
      <c r="J338" s="174">
        <f>Oportuno!J338</f>
        <v>0</v>
      </c>
      <c r="K338" s="174">
        <f>Oportuno!K338</f>
        <v>0</v>
      </c>
      <c r="L338" s="174">
        <f>Oportuno!L338</f>
        <v>0</v>
      </c>
      <c r="M338" s="174">
        <f>Oportuno!M338</f>
        <v>0</v>
      </c>
      <c r="N338" s="174">
        <f>Oportuno!N338</f>
        <v>0</v>
      </c>
      <c r="O338" s="174">
        <f>Oportuno!O338</f>
        <v>0</v>
      </c>
      <c r="P338" s="174">
        <f>Oportuno!P338</f>
        <v>0</v>
      </c>
      <c r="Q338" s="174">
        <f>Oportuno!Q338</f>
        <v>0</v>
      </c>
      <c r="R338" s="174">
        <f>Oportuno!R338</f>
        <v>0</v>
      </c>
      <c r="S338" s="215">
        <f>Oportuno!S338</f>
        <v>0</v>
      </c>
      <c r="T338" s="71">
        <f>Oportuno!T338</f>
        <v>0</v>
      </c>
      <c r="U338" s="71">
        <f>Oportuno!U338</f>
        <v>0</v>
      </c>
      <c r="V338" s="117">
        <f>Oportuno!V338</f>
        <v>0</v>
      </c>
      <c r="W338" s="117">
        <f>Oportuno!W338</f>
        <v>0</v>
      </c>
      <c r="X338" s="71">
        <f>Oportuno!X338</f>
        <v>0</v>
      </c>
      <c r="Y338" s="71">
        <f>Oportuno!Y338</f>
        <v>0</v>
      </c>
      <c r="AA338" s="65"/>
    </row>
    <row r="339" spans="2:27 16101:16120" ht="13" customHeight="1">
      <c r="B339" s="119">
        <f>Oportuno!B339</f>
        <v>0</v>
      </c>
      <c r="C339" s="23">
        <f>Oportuno!C339</f>
        <v>2026091</v>
      </c>
      <c r="D339" s="23">
        <f>Oportuno!D339</f>
        <v>12</v>
      </c>
      <c r="E339" s="128">
        <f>Oportuno!E339</f>
        <v>0</v>
      </c>
      <c r="F339" s="126" t="e">
        <f>Oportuno!F339</f>
        <v>#N/A</v>
      </c>
      <c r="G339" s="36">
        <f>Oportuno!G339</f>
        <v>1</v>
      </c>
      <c r="H339" s="126" t="str">
        <f>Oportuno!H339</f>
        <v>Oficinas</v>
      </c>
      <c r="I339" s="130">
        <f>Oportuno!I339</f>
        <v>0</v>
      </c>
      <c r="J339" s="174">
        <f>Oportuno!J339</f>
        <v>0</v>
      </c>
      <c r="K339" s="174">
        <f>Oportuno!K339</f>
        <v>0</v>
      </c>
      <c r="L339" s="174">
        <f>Oportuno!L339</f>
        <v>0</v>
      </c>
      <c r="M339" s="174">
        <f>Oportuno!M339</f>
        <v>0</v>
      </c>
      <c r="N339" s="174">
        <f>Oportuno!N339</f>
        <v>0</v>
      </c>
      <c r="O339" s="174">
        <f>Oportuno!O339</f>
        <v>0</v>
      </c>
      <c r="P339" s="174">
        <f>Oportuno!P339</f>
        <v>0</v>
      </c>
      <c r="Q339" s="174">
        <f>Oportuno!Q339</f>
        <v>0</v>
      </c>
      <c r="R339" s="174">
        <f>Oportuno!R339</f>
        <v>0</v>
      </c>
      <c r="S339" s="215">
        <f>Oportuno!S339</f>
        <v>0</v>
      </c>
      <c r="T339" s="71">
        <f>Oportuno!T339</f>
        <v>0</v>
      </c>
      <c r="U339" s="71">
        <f>Oportuno!U339</f>
        <v>0</v>
      </c>
      <c r="V339" s="117">
        <f>Oportuno!V339</f>
        <v>0</v>
      </c>
      <c r="W339" s="117">
        <f>Oportuno!W339</f>
        <v>0</v>
      </c>
      <c r="X339" s="71">
        <f>Oportuno!X339</f>
        <v>0</v>
      </c>
      <c r="Y339" s="71">
        <f>Oportuno!Y339</f>
        <v>0</v>
      </c>
      <c r="AA339" s="65"/>
    </row>
    <row r="340" spans="2:27 16101:16120" ht="13" customHeight="1">
      <c r="B340" s="119">
        <f>Oportuno!B340</f>
        <v>0</v>
      </c>
      <c r="C340" s="23">
        <f>Oportuno!C340</f>
        <v>2026091</v>
      </c>
      <c r="D340" s="23">
        <f>Oportuno!D340</f>
        <v>12</v>
      </c>
      <c r="E340" s="128">
        <f>Oportuno!E340</f>
        <v>0</v>
      </c>
      <c r="F340" s="126" t="e">
        <f>Oportuno!F340</f>
        <v>#N/A</v>
      </c>
      <c r="G340" s="36">
        <f>Oportuno!G340</f>
        <v>1</v>
      </c>
      <c r="H340" s="126" t="str">
        <f>Oportuno!H340</f>
        <v>Oficinas</v>
      </c>
      <c r="I340" s="130">
        <f>Oportuno!I340</f>
        <v>0</v>
      </c>
      <c r="J340" s="174">
        <f>Oportuno!J340</f>
        <v>0</v>
      </c>
      <c r="K340" s="174">
        <f>Oportuno!K340</f>
        <v>0</v>
      </c>
      <c r="L340" s="174">
        <f>Oportuno!L340</f>
        <v>0</v>
      </c>
      <c r="M340" s="174">
        <f>Oportuno!M340</f>
        <v>0</v>
      </c>
      <c r="N340" s="174">
        <f>Oportuno!N340</f>
        <v>0</v>
      </c>
      <c r="O340" s="174">
        <f>Oportuno!O340</f>
        <v>0</v>
      </c>
      <c r="P340" s="174">
        <f>Oportuno!P340</f>
        <v>0</v>
      </c>
      <c r="Q340" s="174">
        <f>Oportuno!Q340</f>
        <v>0</v>
      </c>
      <c r="R340" s="174">
        <f>Oportuno!R340</f>
        <v>0</v>
      </c>
      <c r="S340" s="215">
        <f>Oportuno!S340</f>
        <v>0</v>
      </c>
      <c r="T340" s="71">
        <f>Oportuno!T340</f>
        <v>0</v>
      </c>
      <c r="U340" s="71">
        <f>Oportuno!U340</f>
        <v>0</v>
      </c>
      <c r="V340" s="117">
        <f>Oportuno!V340</f>
        <v>0</v>
      </c>
      <c r="W340" s="117">
        <f>Oportuno!W340</f>
        <v>0</v>
      </c>
      <c r="X340" s="71">
        <f>Oportuno!X340</f>
        <v>0</v>
      </c>
      <c r="Y340" s="71">
        <f>Oportuno!Y340</f>
        <v>0</v>
      </c>
      <c r="AA340" s="65"/>
    </row>
    <row r="341" spans="2:27 16101:16120" ht="13" customHeight="1">
      <c r="B341" s="119">
        <f>Oportuno!B341</f>
        <v>0</v>
      </c>
      <c r="C341" s="23">
        <f>Oportuno!C341</f>
        <v>2026091</v>
      </c>
      <c r="D341" s="23">
        <f>Oportuno!D341</f>
        <v>12</v>
      </c>
      <c r="E341" s="128">
        <f>Oportuno!E341</f>
        <v>0</v>
      </c>
      <c r="F341" s="126" t="e">
        <f>Oportuno!F341</f>
        <v>#N/A</v>
      </c>
      <c r="G341" s="36">
        <f>Oportuno!G341</f>
        <v>1</v>
      </c>
      <c r="H341" s="126" t="str">
        <f>Oportuno!H341</f>
        <v>Oficinas</v>
      </c>
      <c r="I341" s="130">
        <f>Oportuno!I341</f>
        <v>0</v>
      </c>
      <c r="J341" s="174">
        <f>Oportuno!J341</f>
        <v>0</v>
      </c>
      <c r="K341" s="174">
        <f>Oportuno!K341</f>
        <v>0</v>
      </c>
      <c r="L341" s="174">
        <f>Oportuno!L341</f>
        <v>0</v>
      </c>
      <c r="M341" s="174">
        <f>Oportuno!M341</f>
        <v>0</v>
      </c>
      <c r="N341" s="174">
        <f>Oportuno!N341</f>
        <v>0</v>
      </c>
      <c r="O341" s="174">
        <f>Oportuno!O341</f>
        <v>0</v>
      </c>
      <c r="P341" s="174">
        <f>Oportuno!P341</f>
        <v>0</v>
      </c>
      <c r="Q341" s="174">
        <f>Oportuno!Q341</f>
        <v>0</v>
      </c>
      <c r="R341" s="174">
        <f>Oportuno!R341</f>
        <v>0</v>
      </c>
      <c r="S341" s="215">
        <f>Oportuno!S341</f>
        <v>0</v>
      </c>
      <c r="T341" s="71">
        <f>Oportuno!T341</f>
        <v>0</v>
      </c>
      <c r="U341" s="71">
        <f>Oportuno!U341</f>
        <v>0</v>
      </c>
      <c r="V341" s="117">
        <f>Oportuno!V341</f>
        <v>0</v>
      </c>
      <c r="W341" s="117">
        <f>Oportuno!W341</f>
        <v>0</v>
      </c>
      <c r="X341" s="71">
        <f>Oportuno!X341</f>
        <v>0</v>
      </c>
      <c r="Y341" s="71">
        <f>Oportuno!Y341</f>
        <v>0</v>
      </c>
      <c r="AA341" s="65"/>
    </row>
    <row r="342" spans="2:27 16101:16120" ht="13" customHeight="1">
      <c r="B342" s="119">
        <f>Oportuno!B342</f>
        <v>0</v>
      </c>
      <c r="C342" s="23">
        <f>Oportuno!C342</f>
        <v>2026091</v>
      </c>
      <c r="D342" s="23">
        <f>Oportuno!D342</f>
        <v>12</v>
      </c>
      <c r="E342" s="128">
        <f>Oportuno!E342</f>
        <v>0</v>
      </c>
      <c r="F342" s="126" t="e">
        <f>Oportuno!F342</f>
        <v>#N/A</v>
      </c>
      <c r="G342" s="36">
        <f>Oportuno!G342</f>
        <v>1</v>
      </c>
      <c r="H342" s="126" t="str">
        <f>Oportuno!H342</f>
        <v>Oficinas</v>
      </c>
      <c r="I342" s="130">
        <f>Oportuno!I342</f>
        <v>0</v>
      </c>
      <c r="J342" s="174">
        <f>Oportuno!J342</f>
        <v>0</v>
      </c>
      <c r="K342" s="174">
        <f>Oportuno!K342</f>
        <v>0</v>
      </c>
      <c r="L342" s="174">
        <f>Oportuno!L342</f>
        <v>0</v>
      </c>
      <c r="M342" s="174">
        <f>Oportuno!M342</f>
        <v>0</v>
      </c>
      <c r="N342" s="174">
        <f>Oportuno!N342</f>
        <v>0</v>
      </c>
      <c r="O342" s="174">
        <f>Oportuno!O342</f>
        <v>0</v>
      </c>
      <c r="P342" s="174">
        <f>Oportuno!P342</f>
        <v>0</v>
      </c>
      <c r="Q342" s="174">
        <f>Oportuno!Q342</f>
        <v>0</v>
      </c>
      <c r="R342" s="174">
        <f>Oportuno!R342</f>
        <v>0</v>
      </c>
      <c r="S342" s="215">
        <f>Oportuno!S342</f>
        <v>0</v>
      </c>
      <c r="T342" s="71">
        <f>Oportuno!T342</f>
        <v>0</v>
      </c>
      <c r="U342" s="71">
        <f>Oportuno!U342</f>
        <v>0</v>
      </c>
      <c r="V342" s="117">
        <f>Oportuno!V342</f>
        <v>0</v>
      </c>
      <c r="W342" s="117">
        <f>Oportuno!W342</f>
        <v>0</v>
      </c>
      <c r="X342" s="71">
        <f>Oportuno!X342</f>
        <v>0</v>
      </c>
      <c r="Y342" s="71">
        <f>Oportuno!Y342</f>
        <v>0</v>
      </c>
      <c r="AA342" s="65"/>
    </row>
    <row r="343" spans="2:27 16101:16120" ht="13" customHeight="1">
      <c r="B343" s="119">
        <f>Oportuno!B343</f>
        <v>0</v>
      </c>
      <c r="C343" s="23">
        <f>Oportuno!C343</f>
        <v>2026091</v>
      </c>
      <c r="D343" s="23">
        <f>Oportuno!D343</f>
        <v>12</v>
      </c>
      <c r="E343" s="128">
        <f>Oportuno!E343</f>
        <v>0</v>
      </c>
      <c r="F343" s="126" t="e">
        <f>Oportuno!F343</f>
        <v>#N/A</v>
      </c>
      <c r="G343" s="36">
        <f>Oportuno!G343</f>
        <v>1</v>
      </c>
      <c r="H343" s="126" t="str">
        <f>Oportuno!H343</f>
        <v>Oficinas</v>
      </c>
      <c r="I343" s="130">
        <f>Oportuno!I343</f>
        <v>0</v>
      </c>
      <c r="J343" s="174">
        <f>Oportuno!J343</f>
        <v>0</v>
      </c>
      <c r="K343" s="174">
        <f>Oportuno!K343</f>
        <v>0</v>
      </c>
      <c r="L343" s="174">
        <f>Oportuno!L343</f>
        <v>0</v>
      </c>
      <c r="M343" s="174">
        <f>Oportuno!M343</f>
        <v>0</v>
      </c>
      <c r="N343" s="174">
        <f>Oportuno!N343</f>
        <v>0</v>
      </c>
      <c r="O343" s="174">
        <f>Oportuno!O343</f>
        <v>0</v>
      </c>
      <c r="P343" s="174">
        <f>Oportuno!P343</f>
        <v>0</v>
      </c>
      <c r="Q343" s="174">
        <f>Oportuno!Q343</f>
        <v>0</v>
      </c>
      <c r="R343" s="174">
        <f>Oportuno!R343</f>
        <v>0</v>
      </c>
      <c r="S343" s="215">
        <f>Oportuno!S343</f>
        <v>0</v>
      </c>
      <c r="T343" s="71">
        <f>Oportuno!T343</f>
        <v>0</v>
      </c>
      <c r="U343" s="71">
        <f>Oportuno!U343</f>
        <v>0</v>
      </c>
      <c r="V343" s="117">
        <f>Oportuno!V343</f>
        <v>0</v>
      </c>
      <c r="W343" s="117">
        <f>Oportuno!W343</f>
        <v>0</v>
      </c>
      <c r="X343" s="71">
        <f>Oportuno!X343</f>
        <v>0</v>
      </c>
      <c r="Y343" s="71">
        <f>Oportuno!Y343</f>
        <v>0</v>
      </c>
      <c r="AA343" s="65"/>
    </row>
    <row r="344" spans="2:27 16101:16120" ht="13" customHeight="1">
      <c r="B344" s="119">
        <f>Oportuno!B344</f>
        <v>0</v>
      </c>
      <c r="C344" s="23">
        <f>Oportuno!C344</f>
        <v>2026091</v>
      </c>
      <c r="D344" s="23">
        <f>Oportuno!D344</f>
        <v>12</v>
      </c>
      <c r="E344" s="128">
        <f>Oportuno!E344</f>
        <v>0</v>
      </c>
      <c r="F344" s="126" t="e">
        <f>Oportuno!F344</f>
        <v>#N/A</v>
      </c>
      <c r="G344" s="36">
        <f>Oportuno!G344</f>
        <v>1</v>
      </c>
      <c r="H344" s="126" t="str">
        <f>Oportuno!H344</f>
        <v>Oficinas</v>
      </c>
      <c r="I344" s="130">
        <f>Oportuno!I344</f>
        <v>0</v>
      </c>
      <c r="J344" s="174">
        <f>Oportuno!J344</f>
        <v>0</v>
      </c>
      <c r="K344" s="174">
        <f>Oportuno!K344</f>
        <v>0</v>
      </c>
      <c r="L344" s="174">
        <f>Oportuno!L344</f>
        <v>0</v>
      </c>
      <c r="M344" s="174">
        <f>Oportuno!M344</f>
        <v>0</v>
      </c>
      <c r="N344" s="174">
        <f>Oportuno!N344</f>
        <v>0</v>
      </c>
      <c r="O344" s="174">
        <f>Oportuno!O344</f>
        <v>0</v>
      </c>
      <c r="P344" s="174">
        <f>Oportuno!P344</f>
        <v>0</v>
      </c>
      <c r="Q344" s="174">
        <f>Oportuno!Q344</f>
        <v>0</v>
      </c>
      <c r="R344" s="174">
        <f>Oportuno!R344</f>
        <v>0</v>
      </c>
      <c r="S344" s="215">
        <f>Oportuno!S344</f>
        <v>0</v>
      </c>
      <c r="T344" s="71">
        <f>Oportuno!T344</f>
        <v>0</v>
      </c>
      <c r="U344" s="71">
        <f>Oportuno!U344</f>
        <v>0</v>
      </c>
      <c r="V344" s="117">
        <f>Oportuno!V344</f>
        <v>0</v>
      </c>
      <c r="W344" s="117">
        <f>Oportuno!W344</f>
        <v>0</v>
      </c>
      <c r="X344" s="71">
        <f>Oportuno!X344</f>
        <v>0</v>
      </c>
      <c r="Y344" s="71">
        <f>Oportuno!Y344</f>
        <v>0</v>
      </c>
      <c r="AA344" s="65"/>
    </row>
    <row r="345" spans="2:27 16101:16120" ht="13" customHeight="1" thickBot="1">
      <c r="B345" s="119">
        <f>Oportuno!B345</f>
        <v>0</v>
      </c>
      <c r="C345" s="23">
        <f>Oportuno!C345</f>
        <v>2026091</v>
      </c>
      <c r="D345" s="23">
        <f>Oportuno!D345</f>
        <v>12</v>
      </c>
      <c r="E345" s="128">
        <f>Oportuno!E345</f>
        <v>0</v>
      </c>
      <c r="F345" s="126" t="e">
        <f>Oportuno!F345</f>
        <v>#N/A</v>
      </c>
      <c r="G345" s="36">
        <f>Oportuno!G345</f>
        <v>1</v>
      </c>
      <c r="H345" s="126" t="str">
        <f>Oportuno!H345</f>
        <v>Oficinas</v>
      </c>
      <c r="I345" s="130">
        <f>Oportuno!I345</f>
        <v>0</v>
      </c>
      <c r="J345" s="174">
        <f>Oportuno!J345</f>
        <v>0</v>
      </c>
      <c r="K345" s="174">
        <f>Oportuno!K345</f>
        <v>0</v>
      </c>
      <c r="L345" s="174">
        <f>Oportuno!L345</f>
        <v>0</v>
      </c>
      <c r="M345" s="174">
        <f>Oportuno!M345</f>
        <v>0</v>
      </c>
      <c r="N345" s="174">
        <f>Oportuno!N345</f>
        <v>0</v>
      </c>
      <c r="O345" s="174">
        <f>Oportuno!O345</f>
        <v>0</v>
      </c>
      <c r="P345" s="174">
        <f>Oportuno!P345</f>
        <v>0</v>
      </c>
      <c r="Q345" s="174">
        <f>Oportuno!Q345</f>
        <v>0</v>
      </c>
      <c r="R345" s="174">
        <f>Oportuno!R345</f>
        <v>0</v>
      </c>
      <c r="S345" s="215">
        <f>Oportuno!S345</f>
        <v>0</v>
      </c>
      <c r="T345" s="71">
        <f>Oportuno!T345</f>
        <v>0</v>
      </c>
      <c r="U345" s="71">
        <f>Oportuno!U345</f>
        <v>0</v>
      </c>
      <c r="V345" s="117">
        <f>Oportuno!V345</f>
        <v>0</v>
      </c>
      <c r="W345" s="117">
        <f>Oportuno!W345</f>
        <v>0</v>
      </c>
      <c r="X345" s="71">
        <f>Oportuno!X345</f>
        <v>0</v>
      </c>
      <c r="Y345" s="71">
        <f>Oportuno!Y345</f>
        <v>0</v>
      </c>
      <c r="AA345" s="65"/>
    </row>
    <row r="346" spans="2:27 16101:16120" ht="13" customHeight="1" thickBot="1">
      <c r="B346" s="1" t="s">
        <v>0</v>
      </c>
      <c r="C346" s="1" t="s">
        <v>0</v>
      </c>
      <c r="D346" s="20" t="s">
        <v>0</v>
      </c>
      <c r="E346" s="120" t="str">
        <f>Oportuno!E346</f>
        <v xml:space="preserve"> </v>
      </c>
      <c r="F346" s="121" t="str">
        <f>Oportuno!F346</f>
        <v>TOTAL RECAUDO</v>
      </c>
      <c r="G346" s="121" t="s">
        <v>0</v>
      </c>
      <c r="H346" s="121" t="s">
        <v>0</v>
      </c>
      <c r="I346" s="121" t="s">
        <v>0</v>
      </c>
      <c r="J346" s="122">
        <f>Oportuno!J346</f>
        <v>0</v>
      </c>
      <c r="K346" s="122">
        <f>Oportuno!K346</f>
        <v>0</v>
      </c>
      <c r="L346" s="122">
        <f>Oportuno!L346</f>
        <v>0</v>
      </c>
      <c r="M346" s="122">
        <f>Oportuno!M346</f>
        <v>0</v>
      </c>
      <c r="N346" s="122">
        <f>Oportuno!N346</f>
        <v>0</v>
      </c>
      <c r="O346" s="122">
        <f>Oportuno!O346</f>
        <v>0</v>
      </c>
      <c r="P346" s="122">
        <f>Oportuno!P346</f>
        <v>0</v>
      </c>
      <c r="Q346" s="122">
        <f>Oportuno!Q346</f>
        <v>0</v>
      </c>
      <c r="R346" s="122">
        <f>Oportuno!R346</f>
        <v>133</v>
      </c>
      <c r="S346" s="122">
        <f>Oportuno!S346</f>
        <v>5833970</v>
      </c>
      <c r="T346" s="122">
        <f>Oportuno!T346</f>
        <v>133</v>
      </c>
      <c r="U346" s="122">
        <f>Oportuno!U346</f>
        <v>5833970</v>
      </c>
      <c r="V346" s="123">
        <f>Oportuno!V346</f>
        <v>133</v>
      </c>
      <c r="W346" s="123">
        <f>Oportuno!W346</f>
        <v>5833970</v>
      </c>
      <c r="X346" s="122">
        <f>Oportuno!X346</f>
        <v>0</v>
      </c>
      <c r="Y346" s="123">
        <f>Oportuno!Y346</f>
        <v>0</v>
      </c>
      <c r="AA346" s="65"/>
    </row>
    <row r="347" spans="2:27 16101:16120" ht="13" thickBot="1">
      <c r="AA347" s="65"/>
    </row>
    <row r="348" spans="2:27 16101:16120" ht="41.25" customHeight="1" thickBot="1">
      <c r="B348" s="112" t="s">
        <v>4</v>
      </c>
      <c r="C348" s="34" t="s">
        <v>6</v>
      </c>
      <c r="D348" s="34" t="s">
        <v>7</v>
      </c>
      <c r="E348" s="34" t="s">
        <v>49</v>
      </c>
      <c r="F348" s="34" t="s">
        <v>50</v>
      </c>
      <c r="G348" s="34" t="s">
        <v>51</v>
      </c>
      <c r="H348" s="34" t="s">
        <v>52</v>
      </c>
      <c r="I348" s="34" t="s">
        <v>13</v>
      </c>
      <c r="J348" s="231" t="s">
        <v>8</v>
      </c>
      <c r="K348" s="231" t="s">
        <v>36</v>
      </c>
      <c r="L348" s="12" t="s">
        <v>9</v>
      </c>
      <c r="M348" s="12" t="s">
        <v>37</v>
      </c>
      <c r="N348" s="87" t="s">
        <v>10</v>
      </c>
      <c r="O348" s="88" t="s">
        <v>38</v>
      </c>
      <c r="P348" s="87" t="s">
        <v>11</v>
      </c>
      <c r="Q348" s="88" t="s">
        <v>39</v>
      </c>
      <c r="R348" s="232" t="s">
        <v>12</v>
      </c>
      <c r="S348" s="233" t="s">
        <v>40</v>
      </c>
      <c r="T348" s="64" t="s">
        <v>41</v>
      </c>
      <c r="U348" s="64" t="s">
        <v>42</v>
      </c>
      <c r="V348" s="35" t="s">
        <v>32</v>
      </c>
      <c r="W348" s="67" t="s">
        <v>35</v>
      </c>
      <c r="X348" s="12" t="s">
        <v>34</v>
      </c>
      <c r="Y348" s="68" t="s">
        <v>33</v>
      </c>
      <c r="AA348" s="66"/>
      <c r="WUG348" s="1"/>
      <c r="WUH348" s="1"/>
      <c r="WUY348"/>
      <c r="WUZ348"/>
    </row>
    <row r="349" spans="2:27 16101:16120" ht="13" customHeight="1">
      <c r="B349" s="119" t="str">
        <f>Oportuno!B349</f>
        <v>14/09/2026</v>
      </c>
      <c r="C349" s="24">
        <f>Oportuno!C349</f>
        <v>2026091</v>
      </c>
      <c r="D349" s="24">
        <f>Oportuno!D349</f>
        <v>13</v>
      </c>
      <c r="E349" s="127">
        <f>Oportuno!E349</f>
        <v>20</v>
      </c>
      <c r="F349" s="125" t="str">
        <f>Oportuno!F349</f>
        <v>Bancolombia ENERBIT</v>
      </c>
      <c r="G349" s="18">
        <f>Oportuno!G349</f>
        <v>1</v>
      </c>
      <c r="H349" s="125" t="str">
        <f>Oportuno!H349</f>
        <v>Oficinas</v>
      </c>
      <c r="I349" s="129">
        <f>Oportuno!I349</f>
        <v>0</v>
      </c>
      <c r="J349" s="213">
        <f>Oportuno!J349</f>
        <v>0</v>
      </c>
      <c r="K349" s="213">
        <f>Oportuno!K349</f>
        <v>0</v>
      </c>
      <c r="L349" s="213">
        <f>Oportuno!L349</f>
        <v>0</v>
      </c>
      <c r="M349" s="213">
        <f>Oportuno!M349</f>
        <v>0</v>
      </c>
      <c r="N349" s="213">
        <f>Oportuno!N349</f>
        <v>0</v>
      </c>
      <c r="O349" s="213">
        <f>Oportuno!O349</f>
        <v>0</v>
      </c>
      <c r="P349" s="213">
        <f>Oportuno!P349</f>
        <v>0</v>
      </c>
      <c r="Q349" s="213">
        <f>Oportuno!Q349</f>
        <v>0</v>
      </c>
      <c r="R349" s="213">
        <f>Oportuno!R349</f>
        <v>69</v>
      </c>
      <c r="S349" s="214">
        <f>Oportuno!S349</f>
        <v>3403290</v>
      </c>
      <c r="T349" s="70">
        <f>Oportuno!T349</f>
        <v>69</v>
      </c>
      <c r="U349" s="70">
        <f>Oportuno!U349</f>
        <v>3403290</v>
      </c>
      <c r="V349" s="116">
        <f>Oportuno!V349</f>
        <v>69</v>
      </c>
      <c r="W349" s="116">
        <f>Oportuno!W349</f>
        <v>3403290</v>
      </c>
      <c r="X349" s="70">
        <f>Oportuno!X349</f>
        <v>0</v>
      </c>
      <c r="Y349" s="70">
        <f>Oportuno!Y349</f>
        <v>0</v>
      </c>
      <c r="AA349" s="65"/>
    </row>
    <row r="350" spans="2:27 16101:16120" ht="13" customHeight="1">
      <c r="B350" s="119">
        <f>Oportuno!B350</f>
        <v>0</v>
      </c>
      <c r="C350" s="23">
        <f>Oportuno!C350</f>
        <v>2026091</v>
      </c>
      <c r="D350" s="23">
        <f>Oportuno!D350</f>
        <v>13</v>
      </c>
      <c r="E350" s="128">
        <f>Oportuno!E350</f>
        <v>0</v>
      </c>
      <c r="F350" s="126" t="e">
        <f>Oportuno!F350</f>
        <v>#N/A</v>
      </c>
      <c r="G350" s="36">
        <f>Oportuno!G350</f>
        <v>1</v>
      </c>
      <c r="H350" s="126" t="str">
        <f>Oportuno!H350</f>
        <v>Oficinas</v>
      </c>
      <c r="I350" s="130">
        <f>Oportuno!I350</f>
        <v>0</v>
      </c>
      <c r="J350" s="174">
        <f>Oportuno!J350</f>
        <v>0</v>
      </c>
      <c r="K350" s="174">
        <f>Oportuno!K350</f>
        <v>0</v>
      </c>
      <c r="L350" s="174">
        <f>Oportuno!L350</f>
        <v>0</v>
      </c>
      <c r="M350" s="174">
        <f>Oportuno!M350</f>
        <v>0</v>
      </c>
      <c r="N350" s="174">
        <f>Oportuno!N350</f>
        <v>0</v>
      </c>
      <c r="O350" s="174">
        <f>Oportuno!O350</f>
        <v>0</v>
      </c>
      <c r="P350" s="174">
        <f>Oportuno!P350</f>
        <v>0</v>
      </c>
      <c r="Q350" s="174">
        <f>Oportuno!Q350</f>
        <v>0</v>
      </c>
      <c r="R350" s="174">
        <f>Oportuno!R350</f>
        <v>0</v>
      </c>
      <c r="S350" s="215">
        <f>Oportuno!S350</f>
        <v>0</v>
      </c>
      <c r="T350" s="71">
        <f>Oportuno!T350</f>
        <v>0</v>
      </c>
      <c r="U350" s="71">
        <f>Oportuno!U350</f>
        <v>0</v>
      </c>
      <c r="V350" s="117">
        <f>Oportuno!V350</f>
        <v>0</v>
      </c>
      <c r="W350" s="117">
        <f>Oportuno!W350</f>
        <v>0</v>
      </c>
      <c r="X350" s="71">
        <f>Oportuno!X350</f>
        <v>0</v>
      </c>
      <c r="Y350" s="71">
        <f>Oportuno!Y350</f>
        <v>0</v>
      </c>
      <c r="AA350" s="65"/>
    </row>
    <row r="351" spans="2:27 16101:16120" ht="13" customHeight="1">
      <c r="B351" s="119">
        <f>Oportuno!B351</f>
        <v>0</v>
      </c>
      <c r="C351" s="23">
        <f>Oportuno!C351</f>
        <v>2026091</v>
      </c>
      <c r="D351" s="23">
        <f>Oportuno!D351</f>
        <v>13</v>
      </c>
      <c r="E351" s="128">
        <f>Oportuno!E351</f>
        <v>0</v>
      </c>
      <c r="F351" s="126" t="e">
        <f>Oportuno!F351</f>
        <v>#N/A</v>
      </c>
      <c r="G351" s="36">
        <f>Oportuno!G351</f>
        <v>1</v>
      </c>
      <c r="H351" s="126" t="str">
        <f>Oportuno!H351</f>
        <v>Oficinas</v>
      </c>
      <c r="I351" s="130">
        <f>Oportuno!I351</f>
        <v>0</v>
      </c>
      <c r="J351" s="174">
        <f>Oportuno!J351</f>
        <v>0</v>
      </c>
      <c r="K351" s="174">
        <f>Oportuno!K351</f>
        <v>0</v>
      </c>
      <c r="L351" s="174">
        <f>Oportuno!L351</f>
        <v>0</v>
      </c>
      <c r="M351" s="174">
        <f>Oportuno!M351</f>
        <v>0</v>
      </c>
      <c r="N351" s="174">
        <f>Oportuno!N351</f>
        <v>0</v>
      </c>
      <c r="O351" s="174">
        <f>Oportuno!O351</f>
        <v>0</v>
      </c>
      <c r="P351" s="174">
        <f>Oportuno!P351</f>
        <v>0</v>
      </c>
      <c r="Q351" s="174">
        <f>Oportuno!Q351</f>
        <v>0</v>
      </c>
      <c r="R351" s="174">
        <f>Oportuno!R351</f>
        <v>0</v>
      </c>
      <c r="S351" s="215">
        <f>Oportuno!S351</f>
        <v>0</v>
      </c>
      <c r="T351" s="71">
        <f>Oportuno!T351</f>
        <v>0</v>
      </c>
      <c r="U351" s="71">
        <f>Oportuno!U351</f>
        <v>0</v>
      </c>
      <c r="V351" s="117">
        <f>Oportuno!V351</f>
        <v>0</v>
      </c>
      <c r="W351" s="117">
        <f>Oportuno!W351</f>
        <v>0</v>
      </c>
      <c r="X351" s="71">
        <f>Oportuno!X351</f>
        <v>0</v>
      </c>
      <c r="Y351" s="71">
        <f>Oportuno!Y351</f>
        <v>0</v>
      </c>
      <c r="AA351" s="65"/>
    </row>
    <row r="352" spans="2:27 16101:16120" ht="13" customHeight="1">
      <c r="B352" s="119">
        <f>Oportuno!B352</f>
        <v>0</v>
      </c>
      <c r="C352" s="23">
        <f>Oportuno!C352</f>
        <v>2026091</v>
      </c>
      <c r="D352" s="23">
        <f>Oportuno!D352</f>
        <v>13</v>
      </c>
      <c r="E352" s="128">
        <f>Oportuno!E352</f>
        <v>0</v>
      </c>
      <c r="F352" s="126" t="e">
        <f>Oportuno!F352</f>
        <v>#N/A</v>
      </c>
      <c r="G352" s="36">
        <f>Oportuno!G352</f>
        <v>1</v>
      </c>
      <c r="H352" s="126" t="str">
        <f>Oportuno!H352</f>
        <v>Oficinas</v>
      </c>
      <c r="I352" s="130">
        <f>Oportuno!I352</f>
        <v>0</v>
      </c>
      <c r="J352" s="174">
        <f>Oportuno!J352</f>
        <v>0</v>
      </c>
      <c r="K352" s="174">
        <f>Oportuno!K352</f>
        <v>0</v>
      </c>
      <c r="L352" s="174">
        <f>Oportuno!L352</f>
        <v>0</v>
      </c>
      <c r="M352" s="174">
        <f>Oportuno!M352</f>
        <v>0</v>
      </c>
      <c r="N352" s="174">
        <f>Oportuno!N352</f>
        <v>0</v>
      </c>
      <c r="O352" s="174">
        <f>Oportuno!O352</f>
        <v>0</v>
      </c>
      <c r="P352" s="174">
        <f>Oportuno!P352</f>
        <v>0</v>
      </c>
      <c r="Q352" s="174">
        <f>Oportuno!Q352</f>
        <v>0</v>
      </c>
      <c r="R352" s="174">
        <f>Oportuno!R352</f>
        <v>0</v>
      </c>
      <c r="S352" s="215">
        <f>Oportuno!S352</f>
        <v>0</v>
      </c>
      <c r="T352" s="71">
        <f>Oportuno!T352</f>
        <v>0</v>
      </c>
      <c r="U352" s="71">
        <f>Oportuno!U352</f>
        <v>0</v>
      </c>
      <c r="V352" s="117">
        <f>Oportuno!V352</f>
        <v>0</v>
      </c>
      <c r="W352" s="117">
        <f>Oportuno!W352</f>
        <v>0</v>
      </c>
      <c r="X352" s="71">
        <f>Oportuno!X352</f>
        <v>0</v>
      </c>
      <c r="Y352" s="71">
        <f>Oportuno!Y352</f>
        <v>0</v>
      </c>
      <c r="AA352" s="65"/>
    </row>
    <row r="353" spans="2:27" ht="13" customHeight="1">
      <c r="B353" s="119">
        <f>Oportuno!B353</f>
        <v>0</v>
      </c>
      <c r="C353" s="23">
        <f>Oportuno!C353</f>
        <v>2026091</v>
      </c>
      <c r="D353" s="23">
        <f>Oportuno!D353</f>
        <v>13</v>
      </c>
      <c r="E353" s="128">
        <f>Oportuno!E353</f>
        <v>0</v>
      </c>
      <c r="F353" s="126" t="e">
        <f>Oportuno!F353</f>
        <v>#N/A</v>
      </c>
      <c r="G353" s="36">
        <f>Oportuno!G353</f>
        <v>1</v>
      </c>
      <c r="H353" s="126" t="str">
        <f>Oportuno!H353</f>
        <v>Oficinas</v>
      </c>
      <c r="I353" s="130">
        <f>Oportuno!I353</f>
        <v>0</v>
      </c>
      <c r="J353" s="174">
        <f>Oportuno!J353</f>
        <v>0</v>
      </c>
      <c r="K353" s="174">
        <f>Oportuno!K353</f>
        <v>0</v>
      </c>
      <c r="L353" s="174">
        <f>Oportuno!L353</f>
        <v>0</v>
      </c>
      <c r="M353" s="174">
        <f>Oportuno!M353</f>
        <v>0</v>
      </c>
      <c r="N353" s="174">
        <f>Oportuno!N353</f>
        <v>0</v>
      </c>
      <c r="O353" s="174">
        <f>Oportuno!O353</f>
        <v>0</v>
      </c>
      <c r="P353" s="174">
        <f>Oportuno!P353</f>
        <v>0</v>
      </c>
      <c r="Q353" s="174">
        <f>Oportuno!Q353</f>
        <v>0</v>
      </c>
      <c r="R353" s="174">
        <f>Oportuno!R353</f>
        <v>0</v>
      </c>
      <c r="S353" s="215">
        <f>Oportuno!S353</f>
        <v>0</v>
      </c>
      <c r="T353" s="71">
        <f>Oportuno!T353</f>
        <v>0</v>
      </c>
      <c r="U353" s="71">
        <f>Oportuno!U353</f>
        <v>0</v>
      </c>
      <c r="V353" s="117">
        <f>Oportuno!V353</f>
        <v>0</v>
      </c>
      <c r="W353" s="117">
        <f>Oportuno!W353</f>
        <v>0</v>
      </c>
      <c r="X353" s="71">
        <f>Oportuno!X353</f>
        <v>0</v>
      </c>
      <c r="Y353" s="71">
        <f>Oportuno!Y353</f>
        <v>0</v>
      </c>
      <c r="AA353" s="65"/>
    </row>
    <row r="354" spans="2:27" ht="13" customHeight="1">
      <c r="B354" s="119">
        <f>Oportuno!B354</f>
        <v>0</v>
      </c>
      <c r="C354" s="23">
        <f>Oportuno!C354</f>
        <v>2026091</v>
      </c>
      <c r="D354" s="23">
        <f>Oportuno!D354</f>
        <v>13</v>
      </c>
      <c r="E354" s="128">
        <f>Oportuno!E354</f>
        <v>0</v>
      </c>
      <c r="F354" s="126" t="e">
        <f>Oportuno!F354</f>
        <v>#N/A</v>
      </c>
      <c r="G354" s="36">
        <f>Oportuno!G354</f>
        <v>1</v>
      </c>
      <c r="H354" s="126" t="str">
        <f>Oportuno!H354</f>
        <v>Oficinas</v>
      </c>
      <c r="I354" s="130">
        <f>Oportuno!I354</f>
        <v>0</v>
      </c>
      <c r="J354" s="174">
        <f>Oportuno!J354</f>
        <v>0</v>
      </c>
      <c r="K354" s="174">
        <f>Oportuno!K354</f>
        <v>0</v>
      </c>
      <c r="L354" s="174">
        <f>Oportuno!L354</f>
        <v>0</v>
      </c>
      <c r="M354" s="174">
        <f>Oportuno!M354</f>
        <v>0</v>
      </c>
      <c r="N354" s="174">
        <f>Oportuno!N354</f>
        <v>0</v>
      </c>
      <c r="O354" s="174">
        <f>Oportuno!O354</f>
        <v>0</v>
      </c>
      <c r="P354" s="174">
        <f>Oportuno!P354</f>
        <v>0</v>
      </c>
      <c r="Q354" s="174">
        <f>Oportuno!Q354</f>
        <v>0</v>
      </c>
      <c r="R354" s="174">
        <f>Oportuno!R354</f>
        <v>0</v>
      </c>
      <c r="S354" s="215">
        <f>Oportuno!S354</f>
        <v>0</v>
      </c>
      <c r="T354" s="71">
        <f>Oportuno!T354</f>
        <v>0</v>
      </c>
      <c r="U354" s="71">
        <f>Oportuno!U354</f>
        <v>0</v>
      </c>
      <c r="V354" s="117">
        <f>Oportuno!V354</f>
        <v>0</v>
      </c>
      <c r="W354" s="117">
        <f>Oportuno!W354</f>
        <v>0</v>
      </c>
      <c r="X354" s="71">
        <f>Oportuno!X354</f>
        <v>0</v>
      </c>
      <c r="Y354" s="71">
        <f>Oportuno!Y354</f>
        <v>0</v>
      </c>
      <c r="AA354" s="65"/>
    </row>
    <row r="355" spans="2:27" ht="13" customHeight="1">
      <c r="B355" s="119">
        <f>Oportuno!B355</f>
        <v>0</v>
      </c>
      <c r="C355" s="23">
        <f>Oportuno!C355</f>
        <v>2026091</v>
      </c>
      <c r="D355" s="23">
        <f>Oportuno!D355</f>
        <v>13</v>
      </c>
      <c r="E355" s="128">
        <f>Oportuno!E355</f>
        <v>0</v>
      </c>
      <c r="F355" s="126" t="e">
        <f>Oportuno!F355</f>
        <v>#N/A</v>
      </c>
      <c r="G355" s="36">
        <f>Oportuno!G355</f>
        <v>1</v>
      </c>
      <c r="H355" s="126" t="str">
        <f>Oportuno!H355</f>
        <v>Oficinas</v>
      </c>
      <c r="I355" s="130">
        <f>Oportuno!I355</f>
        <v>0</v>
      </c>
      <c r="J355" s="174">
        <f>Oportuno!J355</f>
        <v>0</v>
      </c>
      <c r="K355" s="174">
        <f>Oportuno!K355</f>
        <v>0</v>
      </c>
      <c r="L355" s="174">
        <f>Oportuno!L355</f>
        <v>0</v>
      </c>
      <c r="M355" s="174">
        <f>Oportuno!M355</f>
        <v>0</v>
      </c>
      <c r="N355" s="174">
        <f>Oportuno!N355</f>
        <v>0</v>
      </c>
      <c r="O355" s="174">
        <f>Oportuno!O355</f>
        <v>0</v>
      </c>
      <c r="P355" s="174">
        <f>Oportuno!P355</f>
        <v>0</v>
      </c>
      <c r="Q355" s="174">
        <f>Oportuno!Q355</f>
        <v>0</v>
      </c>
      <c r="R355" s="174">
        <f>Oportuno!R355</f>
        <v>0</v>
      </c>
      <c r="S355" s="215">
        <f>Oportuno!S355</f>
        <v>0</v>
      </c>
      <c r="T355" s="71">
        <f>Oportuno!T355</f>
        <v>0</v>
      </c>
      <c r="U355" s="71">
        <f>Oportuno!U355</f>
        <v>0</v>
      </c>
      <c r="V355" s="117">
        <f>Oportuno!V355</f>
        <v>0</v>
      </c>
      <c r="W355" s="117">
        <f>Oportuno!W355</f>
        <v>0</v>
      </c>
      <c r="X355" s="71">
        <f>Oportuno!X355</f>
        <v>0</v>
      </c>
      <c r="Y355" s="71">
        <f>Oportuno!Y355</f>
        <v>0</v>
      </c>
      <c r="AA355" s="65"/>
    </row>
    <row r="356" spans="2:27" ht="13" customHeight="1">
      <c r="B356" s="119">
        <f>Oportuno!B356</f>
        <v>0</v>
      </c>
      <c r="C356" s="23">
        <f>Oportuno!C356</f>
        <v>2026091</v>
      </c>
      <c r="D356" s="23">
        <f>Oportuno!D356</f>
        <v>13</v>
      </c>
      <c r="E356" s="128">
        <f>Oportuno!E356</f>
        <v>0</v>
      </c>
      <c r="F356" s="126" t="e">
        <f>Oportuno!F356</f>
        <v>#N/A</v>
      </c>
      <c r="G356" s="36">
        <f>Oportuno!G356</f>
        <v>1</v>
      </c>
      <c r="H356" s="126" t="str">
        <f>Oportuno!H356</f>
        <v>Oficinas</v>
      </c>
      <c r="I356" s="130">
        <f>Oportuno!I356</f>
        <v>0</v>
      </c>
      <c r="J356" s="174">
        <f>Oportuno!J356</f>
        <v>0</v>
      </c>
      <c r="K356" s="174">
        <f>Oportuno!K356</f>
        <v>0</v>
      </c>
      <c r="L356" s="174">
        <f>Oportuno!L356</f>
        <v>0</v>
      </c>
      <c r="M356" s="174">
        <f>Oportuno!M356</f>
        <v>0</v>
      </c>
      <c r="N356" s="174">
        <f>Oportuno!N356</f>
        <v>0</v>
      </c>
      <c r="O356" s="174">
        <f>Oportuno!O356</f>
        <v>0</v>
      </c>
      <c r="P356" s="174">
        <f>Oportuno!P356</f>
        <v>0</v>
      </c>
      <c r="Q356" s="174">
        <f>Oportuno!Q356</f>
        <v>0</v>
      </c>
      <c r="R356" s="174">
        <f>Oportuno!R356</f>
        <v>0</v>
      </c>
      <c r="S356" s="215">
        <f>Oportuno!S356</f>
        <v>0</v>
      </c>
      <c r="T356" s="71">
        <f>Oportuno!T356</f>
        <v>0</v>
      </c>
      <c r="U356" s="71">
        <f>Oportuno!U356</f>
        <v>0</v>
      </c>
      <c r="V356" s="117">
        <f>Oportuno!V356</f>
        <v>0</v>
      </c>
      <c r="W356" s="117">
        <f>Oportuno!W356</f>
        <v>0</v>
      </c>
      <c r="X356" s="71">
        <f>Oportuno!X356</f>
        <v>0</v>
      </c>
      <c r="Y356" s="71">
        <f>Oportuno!Y356</f>
        <v>0</v>
      </c>
      <c r="AA356" s="65"/>
    </row>
    <row r="357" spans="2:27" ht="13" customHeight="1">
      <c r="B357" s="119">
        <f>Oportuno!B357</f>
        <v>0</v>
      </c>
      <c r="C357" s="23">
        <f>Oportuno!C357</f>
        <v>2026091</v>
      </c>
      <c r="D357" s="23">
        <f>Oportuno!D357</f>
        <v>13</v>
      </c>
      <c r="E357" s="128">
        <f>Oportuno!E357</f>
        <v>0</v>
      </c>
      <c r="F357" s="126" t="e">
        <f>Oportuno!F357</f>
        <v>#N/A</v>
      </c>
      <c r="G357" s="36">
        <f>Oportuno!G357</f>
        <v>1</v>
      </c>
      <c r="H357" s="126" t="str">
        <f>Oportuno!H357</f>
        <v>Oficinas</v>
      </c>
      <c r="I357" s="130">
        <f>Oportuno!I357</f>
        <v>0</v>
      </c>
      <c r="J357" s="174">
        <f>Oportuno!J357</f>
        <v>0</v>
      </c>
      <c r="K357" s="174">
        <f>Oportuno!K357</f>
        <v>0</v>
      </c>
      <c r="L357" s="174">
        <f>Oportuno!L357</f>
        <v>0</v>
      </c>
      <c r="M357" s="174">
        <f>Oportuno!M357</f>
        <v>0</v>
      </c>
      <c r="N357" s="174">
        <f>Oportuno!N357</f>
        <v>0</v>
      </c>
      <c r="O357" s="174">
        <f>Oportuno!O357</f>
        <v>0</v>
      </c>
      <c r="P357" s="174">
        <f>Oportuno!P357</f>
        <v>0</v>
      </c>
      <c r="Q357" s="174">
        <f>Oportuno!Q357</f>
        <v>0</v>
      </c>
      <c r="R357" s="174">
        <f>Oportuno!R357</f>
        <v>0</v>
      </c>
      <c r="S357" s="215">
        <f>Oportuno!S357</f>
        <v>0</v>
      </c>
      <c r="T357" s="71">
        <f>Oportuno!T357</f>
        <v>0</v>
      </c>
      <c r="U357" s="71">
        <f>Oportuno!U357</f>
        <v>0</v>
      </c>
      <c r="V357" s="117">
        <f>Oportuno!V357</f>
        <v>0</v>
      </c>
      <c r="W357" s="117">
        <f>Oportuno!W357</f>
        <v>0</v>
      </c>
      <c r="X357" s="71">
        <f>Oportuno!X357</f>
        <v>0</v>
      </c>
      <c r="Y357" s="71">
        <f>Oportuno!Y357</f>
        <v>0</v>
      </c>
      <c r="AA357" s="65"/>
    </row>
    <row r="358" spans="2:27" ht="13" customHeight="1">
      <c r="B358" s="119">
        <f>Oportuno!B358</f>
        <v>0</v>
      </c>
      <c r="C358" s="23">
        <f>Oportuno!C358</f>
        <v>2026091</v>
      </c>
      <c r="D358" s="23">
        <f>Oportuno!D358</f>
        <v>13</v>
      </c>
      <c r="E358" s="128">
        <f>Oportuno!E358</f>
        <v>0</v>
      </c>
      <c r="F358" s="126" t="e">
        <f>Oportuno!F358</f>
        <v>#N/A</v>
      </c>
      <c r="G358" s="36">
        <f>Oportuno!G358</f>
        <v>1</v>
      </c>
      <c r="H358" s="126" t="str">
        <f>Oportuno!H358</f>
        <v>Oficinas</v>
      </c>
      <c r="I358" s="130">
        <f>Oportuno!I358</f>
        <v>0</v>
      </c>
      <c r="J358" s="174">
        <f>Oportuno!J358</f>
        <v>0</v>
      </c>
      <c r="K358" s="174">
        <f>Oportuno!K358</f>
        <v>0</v>
      </c>
      <c r="L358" s="174">
        <f>Oportuno!L358</f>
        <v>0</v>
      </c>
      <c r="M358" s="174">
        <f>Oportuno!M358</f>
        <v>0</v>
      </c>
      <c r="N358" s="174">
        <f>Oportuno!N358</f>
        <v>0</v>
      </c>
      <c r="O358" s="174">
        <f>Oportuno!O358</f>
        <v>0</v>
      </c>
      <c r="P358" s="174">
        <f>Oportuno!P358</f>
        <v>0</v>
      </c>
      <c r="Q358" s="174">
        <f>Oportuno!Q358</f>
        <v>0</v>
      </c>
      <c r="R358" s="174">
        <f>Oportuno!R358</f>
        <v>0</v>
      </c>
      <c r="S358" s="215">
        <f>Oportuno!S358</f>
        <v>0</v>
      </c>
      <c r="T358" s="71">
        <f>Oportuno!T358</f>
        <v>0</v>
      </c>
      <c r="U358" s="71">
        <f>Oportuno!U358</f>
        <v>0</v>
      </c>
      <c r="V358" s="117">
        <f>Oportuno!V358</f>
        <v>0</v>
      </c>
      <c r="W358" s="117">
        <f>Oportuno!W358</f>
        <v>0</v>
      </c>
      <c r="X358" s="71">
        <f>Oportuno!X358</f>
        <v>0</v>
      </c>
      <c r="Y358" s="71">
        <f>Oportuno!Y358</f>
        <v>0</v>
      </c>
      <c r="AA358" s="65"/>
    </row>
    <row r="359" spans="2:27" ht="13" customHeight="1">
      <c r="B359" s="119">
        <f>Oportuno!B359</f>
        <v>0</v>
      </c>
      <c r="C359" s="23">
        <f>Oportuno!C359</f>
        <v>2026091</v>
      </c>
      <c r="D359" s="23">
        <f>Oportuno!D359</f>
        <v>13</v>
      </c>
      <c r="E359" s="128">
        <f>Oportuno!E359</f>
        <v>0</v>
      </c>
      <c r="F359" s="126" t="e">
        <f>Oportuno!F359</f>
        <v>#N/A</v>
      </c>
      <c r="G359" s="36">
        <f>Oportuno!G359</f>
        <v>1</v>
      </c>
      <c r="H359" s="126" t="str">
        <f>Oportuno!H359</f>
        <v>Oficinas</v>
      </c>
      <c r="I359" s="130">
        <f>Oportuno!I359</f>
        <v>0</v>
      </c>
      <c r="J359" s="174">
        <f>Oportuno!J359</f>
        <v>0</v>
      </c>
      <c r="K359" s="174">
        <f>Oportuno!K359</f>
        <v>0</v>
      </c>
      <c r="L359" s="174">
        <f>Oportuno!L359</f>
        <v>0</v>
      </c>
      <c r="M359" s="174">
        <f>Oportuno!M359</f>
        <v>0</v>
      </c>
      <c r="N359" s="174">
        <f>Oportuno!N359</f>
        <v>0</v>
      </c>
      <c r="O359" s="174">
        <f>Oportuno!O359</f>
        <v>0</v>
      </c>
      <c r="P359" s="174">
        <f>Oportuno!P359</f>
        <v>0</v>
      </c>
      <c r="Q359" s="174">
        <f>Oportuno!Q359</f>
        <v>0</v>
      </c>
      <c r="R359" s="174">
        <f>Oportuno!R359</f>
        <v>0</v>
      </c>
      <c r="S359" s="215">
        <f>Oportuno!S359</f>
        <v>0</v>
      </c>
      <c r="T359" s="71">
        <f>Oportuno!T359</f>
        <v>0</v>
      </c>
      <c r="U359" s="71">
        <f>Oportuno!U359</f>
        <v>0</v>
      </c>
      <c r="V359" s="117">
        <f>Oportuno!V359</f>
        <v>0</v>
      </c>
      <c r="W359" s="117">
        <f>Oportuno!W359</f>
        <v>0</v>
      </c>
      <c r="X359" s="71">
        <f>Oportuno!X359</f>
        <v>0</v>
      </c>
      <c r="Y359" s="71">
        <f>Oportuno!Y359</f>
        <v>0</v>
      </c>
      <c r="AA359" s="65"/>
    </row>
    <row r="360" spans="2:27" ht="13" customHeight="1">
      <c r="B360" s="119">
        <f>Oportuno!B360</f>
        <v>0</v>
      </c>
      <c r="C360" s="23">
        <f>Oportuno!C360</f>
        <v>2026091</v>
      </c>
      <c r="D360" s="23">
        <f>Oportuno!D360</f>
        <v>13</v>
      </c>
      <c r="E360" s="128">
        <f>Oportuno!E360</f>
        <v>0</v>
      </c>
      <c r="F360" s="126" t="e">
        <f>Oportuno!F360</f>
        <v>#N/A</v>
      </c>
      <c r="G360" s="36">
        <f>Oportuno!G360</f>
        <v>1</v>
      </c>
      <c r="H360" s="126" t="str">
        <f>Oportuno!H360</f>
        <v>Oficinas</v>
      </c>
      <c r="I360" s="130">
        <f>Oportuno!I360</f>
        <v>0</v>
      </c>
      <c r="J360" s="174">
        <f>Oportuno!J360</f>
        <v>0</v>
      </c>
      <c r="K360" s="174">
        <f>Oportuno!K360</f>
        <v>0</v>
      </c>
      <c r="L360" s="174">
        <f>Oportuno!L360</f>
        <v>0</v>
      </c>
      <c r="M360" s="174">
        <f>Oportuno!M360</f>
        <v>0</v>
      </c>
      <c r="N360" s="174">
        <f>Oportuno!N360</f>
        <v>0</v>
      </c>
      <c r="O360" s="174">
        <f>Oportuno!O360</f>
        <v>0</v>
      </c>
      <c r="P360" s="174">
        <f>Oportuno!P360</f>
        <v>0</v>
      </c>
      <c r="Q360" s="174">
        <f>Oportuno!Q360</f>
        <v>0</v>
      </c>
      <c r="R360" s="174">
        <f>Oportuno!R360</f>
        <v>0</v>
      </c>
      <c r="S360" s="215">
        <f>Oportuno!S360</f>
        <v>0</v>
      </c>
      <c r="T360" s="71">
        <f>Oportuno!T360</f>
        <v>0</v>
      </c>
      <c r="U360" s="71">
        <f>Oportuno!U360</f>
        <v>0</v>
      </c>
      <c r="V360" s="117">
        <f>Oportuno!V360</f>
        <v>0</v>
      </c>
      <c r="W360" s="117">
        <f>Oportuno!W360</f>
        <v>0</v>
      </c>
      <c r="X360" s="71">
        <f>Oportuno!X360</f>
        <v>0</v>
      </c>
      <c r="Y360" s="71">
        <f>Oportuno!Y360</f>
        <v>0</v>
      </c>
      <c r="AA360" s="65"/>
    </row>
    <row r="361" spans="2:27" ht="13" customHeight="1">
      <c r="B361" s="119">
        <f>Oportuno!B361</f>
        <v>0</v>
      </c>
      <c r="C361" s="23">
        <f>Oportuno!C361</f>
        <v>2026091</v>
      </c>
      <c r="D361" s="23">
        <f>Oportuno!D361</f>
        <v>13</v>
      </c>
      <c r="E361" s="128">
        <f>Oportuno!E361</f>
        <v>0</v>
      </c>
      <c r="F361" s="126" t="e">
        <f>Oportuno!F361</f>
        <v>#N/A</v>
      </c>
      <c r="G361" s="36">
        <f>Oportuno!G361</f>
        <v>1</v>
      </c>
      <c r="H361" s="126" t="str">
        <f>Oportuno!H361</f>
        <v>Oficinas</v>
      </c>
      <c r="I361" s="130">
        <f>Oportuno!I361</f>
        <v>0</v>
      </c>
      <c r="J361" s="174">
        <f>Oportuno!J361</f>
        <v>0</v>
      </c>
      <c r="K361" s="174">
        <f>Oportuno!K361</f>
        <v>0</v>
      </c>
      <c r="L361" s="174">
        <f>Oportuno!L361</f>
        <v>0</v>
      </c>
      <c r="M361" s="174">
        <f>Oportuno!M361</f>
        <v>0</v>
      </c>
      <c r="N361" s="174">
        <f>Oportuno!N361</f>
        <v>0</v>
      </c>
      <c r="O361" s="174">
        <f>Oportuno!O361</f>
        <v>0</v>
      </c>
      <c r="P361" s="174">
        <f>Oportuno!P361</f>
        <v>0</v>
      </c>
      <c r="Q361" s="174">
        <f>Oportuno!Q361</f>
        <v>0</v>
      </c>
      <c r="R361" s="174">
        <f>Oportuno!R361</f>
        <v>0</v>
      </c>
      <c r="S361" s="215">
        <f>Oportuno!S361</f>
        <v>0</v>
      </c>
      <c r="T361" s="71">
        <f>Oportuno!T361</f>
        <v>0</v>
      </c>
      <c r="U361" s="71">
        <f>Oportuno!U361</f>
        <v>0</v>
      </c>
      <c r="V361" s="117">
        <f>Oportuno!V361</f>
        <v>0</v>
      </c>
      <c r="W361" s="117">
        <f>Oportuno!W361</f>
        <v>0</v>
      </c>
      <c r="X361" s="71">
        <f>Oportuno!X361</f>
        <v>0</v>
      </c>
      <c r="Y361" s="71">
        <f>Oportuno!Y361</f>
        <v>0</v>
      </c>
      <c r="AA361" s="65"/>
    </row>
    <row r="362" spans="2:27" ht="13" customHeight="1">
      <c r="B362" s="119">
        <f>Oportuno!B362</f>
        <v>0</v>
      </c>
      <c r="C362" s="23">
        <f>Oportuno!C362</f>
        <v>2026091</v>
      </c>
      <c r="D362" s="23">
        <f>Oportuno!D362</f>
        <v>13</v>
      </c>
      <c r="E362" s="128">
        <f>Oportuno!E362</f>
        <v>0</v>
      </c>
      <c r="F362" s="126" t="e">
        <f>Oportuno!F362</f>
        <v>#N/A</v>
      </c>
      <c r="G362" s="36">
        <f>Oportuno!G362</f>
        <v>1</v>
      </c>
      <c r="H362" s="126" t="str">
        <f>Oportuno!H362</f>
        <v>Oficinas</v>
      </c>
      <c r="I362" s="130">
        <f>Oportuno!I362</f>
        <v>0</v>
      </c>
      <c r="J362" s="174">
        <f>Oportuno!J362</f>
        <v>0</v>
      </c>
      <c r="K362" s="174">
        <f>Oportuno!K362</f>
        <v>0</v>
      </c>
      <c r="L362" s="174">
        <f>Oportuno!L362</f>
        <v>0</v>
      </c>
      <c r="M362" s="174">
        <f>Oportuno!M362</f>
        <v>0</v>
      </c>
      <c r="N362" s="174">
        <f>Oportuno!N362</f>
        <v>0</v>
      </c>
      <c r="O362" s="174">
        <f>Oportuno!O362</f>
        <v>0</v>
      </c>
      <c r="P362" s="174">
        <f>Oportuno!P362</f>
        <v>0</v>
      </c>
      <c r="Q362" s="174">
        <f>Oportuno!Q362</f>
        <v>0</v>
      </c>
      <c r="R362" s="174">
        <f>Oportuno!R362</f>
        <v>0</v>
      </c>
      <c r="S362" s="215">
        <f>Oportuno!S362</f>
        <v>0</v>
      </c>
      <c r="T362" s="71">
        <f>Oportuno!T362</f>
        <v>0</v>
      </c>
      <c r="U362" s="71">
        <f>Oportuno!U362</f>
        <v>0</v>
      </c>
      <c r="V362" s="117">
        <f>Oportuno!V362</f>
        <v>0</v>
      </c>
      <c r="W362" s="117">
        <f>Oportuno!W362</f>
        <v>0</v>
      </c>
      <c r="X362" s="71">
        <f>Oportuno!X362</f>
        <v>0</v>
      </c>
      <c r="Y362" s="71">
        <f>Oportuno!Y362</f>
        <v>0</v>
      </c>
      <c r="AA362" s="65"/>
    </row>
    <row r="363" spans="2:27" ht="13" customHeight="1">
      <c r="B363" s="119">
        <f>Oportuno!B363</f>
        <v>0</v>
      </c>
      <c r="C363" s="23">
        <f>Oportuno!C363</f>
        <v>2026091</v>
      </c>
      <c r="D363" s="23">
        <f>Oportuno!D363</f>
        <v>13</v>
      </c>
      <c r="E363" s="128">
        <f>Oportuno!E363</f>
        <v>0</v>
      </c>
      <c r="F363" s="126" t="e">
        <f>Oportuno!F363</f>
        <v>#N/A</v>
      </c>
      <c r="G363" s="36">
        <f>Oportuno!G363</f>
        <v>1</v>
      </c>
      <c r="H363" s="126" t="str">
        <f>Oportuno!H363</f>
        <v>Oficinas</v>
      </c>
      <c r="I363" s="130">
        <f>Oportuno!I363</f>
        <v>0</v>
      </c>
      <c r="J363" s="174">
        <f>Oportuno!J363</f>
        <v>0</v>
      </c>
      <c r="K363" s="174">
        <f>Oportuno!K363</f>
        <v>0</v>
      </c>
      <c r="L363" s="174">
        <f>Oportuno!L363</f>
        <v>0</v>
      </c>
      <c r="M363" s="174">
        <f>Oportuno!M363</f>
        <v>0</v>
      </c>
      <c r="N363" s="174">
        <f>Oportuno!N363</f>
        <v>0</v>
      </c>
      <c r="O363" s="174">
        <f>Oportuno!O363</f>
        <v>0</v>
      </c>
      <c r="P363" s="174">
        <f>Oportuno!P363</f>
        <v>0</v>
      </c>
      <c r="Q363" s="174">
        <f>Oportuno!Q363</f>
        <v>0</v>
      </c>
      <c r="R363" s="174">
        <f>Oportuno!R363</f>
        <v>0</v>
      </c>
      <c r="S363" s="215">
        <f>Oportuno!S363</f>
        <v>0</v>
      </c>
      <c r="T363" s="71">
        <f>Oportuno!T363</f>
        <v>0</v>
      </c>
      <c r="U363" s="71">
        <f>Oportuno!U363</f>
        <v>0</v>
      </c>
      <c r="V363" s="117">
        <f>Oportuno!V363</f>
        <v>0</v>
      </c>
      <c r="W363" s="117">
        <f>Oportuno!W363</f>
        <v>0</v>
      </c>
      <c r="X363" s="71">
        <f>Oportuno!X363</f>
        <v>0</v>
      </c>
      <c r="Y363" s="71">
        <f>Oportuno!Y363</f>
        <v>0</v>
      </c>
      <c r="AA363" s="65"/>
    </row>
    <row r="364" spans="2:27" ht="12" customHeight="1">
      <c r="B364" s="119">
        <f>Oportuno!B364</f>
        <v>0</v>
      </c>
      <c r="C364" s="23">
        <f>Oportuno!C364</f>
        <v>2026091</v>
      </c>
      <c r="D364" s="23">
        <f>Oportuno!D364</f>
        <v>13</v>
      </c>
      <c r="E364" s="128">
        <f>Oportuno!E364</f>
        <v>0</v>
      </c>
      <c r="F364" s="126" t="e">
        <f>Oportuno!F364</f>
        <v>#N/A</v>
      </c>
      <c r="G364" s="36">
        <f>Oportuno!G364</f>
        <v>1</v>
      </c>
      <c r="H364" s="126" t="str">
        <f>Oportuno!H364</f>
        <v>Oficinas</v>
      </c>
      <c r="I364" s="130">
        <f>Oportuno!I364</f>
        <v>0</v>
      </c>
      <c r="J364" s="174">
        <f>Oportuno!J364</f>
        <v>0</v>
      </c>
      <c r="K364" s="174">
        <f>Oportuno!K364</f>
        <v>0</v>
      </c>
      <c r="L364" s="174">
        <f>Oportuno!L364</f>
        <v>0</v>
      </c>
      <c r="M364" s="174">
        <f>Oportuno!M364</f>
        <v>0</v>
      </c>
      <c r="N364" s="174">
        <f>Oportuno!N364</f>
        <v>0</v>
      </c>
      <c r="O364" s="174">
        <f>Oportuno!O364</f>
        <v>0</v>
      </c>
      <c r="P364" s="174">
        <f>Oportuno!P364</f>
        <v>0</v>
      </c>
      <c r="Q364" s="174">
        <f>Oportuno!Q364</f>
        <v>0</v>
      </c>
      <c r="R364" s="174">
        <f>Oportuno!R364</f>
        <v>0</v>
      </c>
      <c r="S364" s="215">
        <f>Oportuno!S364</f>
        <v>0</v>
      </c>
      <c r="T364" s="71">
        <f>Oportuno!T364</f>
        <v>0</v>
      </c>
      <c r="U364" s="71">
        <f>Oportuno!U364</f>
        <v>0</v>
      </c>
      <c r="V364" s="117">
        <f>Oportuno!V364</f>
        <v>0</v>
      </c>
      <c r="W364" s="117">
        <f>Oportuno!W364</f>
        <v>0</v>
      </c>
      <c r="X364" s="71">
        <f>Oportuno!X364</f>
        <v>0</v>
      </c>
      <c r="Y364" s="71">
        <f>Oportuno!Y364</f>
        <v>0</v>
      </c>
      <c r="AA364" s="65"/>
    </row>
    <row r="365" spans="2:27" ht="13" customHeight="1">
      <c r="B365" s="119">
        <f>Oportuno!B365</f>
        <v>0</v>
      </c>
      <c r="C365" s="23">
        <f>Oportuno!C365</f>
        <v>2026091</v>
      </c>
      <c r="D365" s="23">
        <f>Oportuno!D365</f>
        <v>13</v>
      </c>
      <c r="E365" s="128">
        <f>Oportuno!E365</f>
        <v>0</v>
      </c>
      <c r="F365" s="126" t="e">
        <f>Oportuno!F365</f>
        <v>#N/A</v>
      </c>
      <c r="G365" s="36">
        <f>Oportuno!G365</f>
        <v>1</v>
      </c>
      <c r="H365" s="126" t="str">
        <f>Oportuno!H365</f>
        <v>Oficinas</v>
      </c>
      <c r="I365" s="130">
        <f>Oportuno!I365</f>
        <v>0</v>
      </c>
      <c r="J365" s="174">
        <f>Oportuno!J365</f>
        <v>0</v>
      </c>
      <c r="K365" s="174">
        <f>Oportuno!K365</f>
        <v>0</v>
      </c>
      <c r="L365" s="174">
        <f>Oportuno!L365</f>
        <v>0</v>
      </c>
      <c r="M365" s="174">
        <f>Oportuno!M365</f>
        <v>0</v>
      </c>
      <c r="N365" s="174">
        <f>Oportuno!N365</f>
        <v>0</v>
      </c>
      <c r="O365" s="174">
        <f>Oportuno!O365</f>
        <v>0</v>
      </c>
      <c r="P365" s="174">
        <f>Oportuno!P365</f>
        <v>0</v>
      </c>
      <c r="Q365" s="174">
        <f>Oportuno!Q365</f>
        <v>0</v>
      </c>
      <c r="R365" s="174">
        <f>Oportuno!R365</f>
        <v>0</v>
      </c>
      <c r="S365" s="215">
        <f>Oportuno!S365</f>
        <v>0</v>
      </c>
      <c r="T365" s="71">
        <f>Oportuno!T365</f>
        <v>0</v>
      </c>
      <c r="U365" s="71">
        <f>Oportuno!U365</f>
        <v>0</v>
      </c>
      <c r="V365" s="117">
        <f>Oportuno!V365</f>
        <v>0</v>
      </c>
      <c r="W365" s="117">
        <f>Oportuno!W365</f>
        <v>0</v>
      </c>
      <c r="X365" s="71">
        <f>Oportuno!X365</f>
        <v>0</v>
      </c>
      <c r="Y365" s="71">
        <f>Oportuno!Y365</f>
        <v>0</v>
      </c>
      <c r="AA365" s="65"/>
    </row>
    <row r="366" spans="2:27" ht="13" customHeight="1">
      <c r="B366" s="119">
        <f>Oportuno!B366</f>
        <v>0</v>
      </c>
      <c r="C366" s="23">
        <f>Oportuno!C366</f>
        <v>2026091</v>
      </c>
      <c r="D366" s="23">
        <f>Oportuno!D366</f>
        <v>13</v>
      </c>
      <c r="E366" s="128">
        <f>Oportuno!E366</f>
        <v>0</v>
      </c>
      <c r="F366" s="126" t="e">
        <f>Oportuno!F366</f>
        <v>#N/A</v>
      </c>
      <c r="G366" s="36">
        <f>Oportuno!G366</f>
        <v>1</v>
      </c>
      <c r="H366" s="126" t="str">
        <f>Oportuno!H366</f>
        <v>Oficinas</v>
      </c>
      <c r="I366" s="130">
        <f>Oportuno!I366</f>
        <v>0</v>
      </c>
      <c r="J366" s="174">
        <f>Oportuno!J366</f>
        <v>0</v>
      </c>
      <c r="K366" s="174">
        <f>Oportuno!K366</f>
        <v>0</v>
      </c>
      <c r="L366" s="174">
        <f>Oportuno!L366</f>
        <v>0</v>
      </c>
      <c r="M366" s="174">
        <f>Oportuno!M366</f>
        <v>0</v>
      </c>
      <c r="N366" s="174">
        <f>Oportuno!N366</f>
        <v>0</v>
      </c>
      <c r="O366" s="174">
        <f>Oportuno!O366</f>
        <v>0</v>
      </c>
      <c r="P366" s="174">
        <f>Oportuno!P366</f>
        <v>0</v>
      </c>
      <c r="Q366" s="174">
        <f>Oportuno!Q366</f>
        <v>0</v>
      </c>
      <c r="R366" s="174">
        <f>Oportuno!R366</f>
        <v>0</v>
      </c>
      <c r="S366" s="215">
        <f>Oportuno!S366</f>
        <v>0</v>
      </c>
      <c r="T366" s="71">
        <f>Oportuno!T366</f>
        <v>0</v>
      </c>
      <c r="U366" s="71">
        <f>Oportuno!U366</f>
        <v>0</v>
      </c>
      <c r="V366" s="117">
        <f>Oportuno!V366</f>
        <v>0</v>
      </c>
      <c r="W366" s="117">
        <f>Oportuno!W366</f>
        <v>0</v>
      </c>
      <c r="X366" s="71">
        <f>Oportuno!X366</f>
        <v>0</v>
      </c>
      <c r="Y366" s="71">
        <f>Oportuno!Y366</f>
        <v>0</v>
      </c>
      <c r="AA366" s="65"/>
    </row>
    <row r="367" spans="2:27" ht="13" customHeight="1">
      <c r="B367" s="119">
        <f>Oportuno!B367</f>
        <v>0</v>
      </c>
      <c r="C367" s="23">
        <f>Oportuno!C367</f>
        <v>2026091</v>
      </c>
      <c r="D367" s="23">
        <f>Oportuno!D367</f>
        <v>13</v>
      </c>
      <c r="E367" s="128">
        <f>Oportuno!E367</f>
        <v>0</v>
      </c>
      <c r="F367" s="126" t="e">
        <f>Oportuno!F367</f>
        <v>#N/A</v>
      </c>
      <c r="G367" s="36">
        <f>Oportuno!G367</f>
        <v>1</v>
      </c>
      <c r="H367" s="126" t="str">
        <f>Oportuno!H367</f>
        <v>Oficinas</v>
      </c>
      <c r="I367" s="130">
        <f>Oportuno!I367</f>
        <v>0</v>
      </c>
      <c r="J367" s="174">
        <f>Oportuno!J367</f>
        <v>0</v>
      </c>
      <c r="K367" s="174">
        <f>Oportuno!K367</f>
        <v>0</v>
      </c>
      <c r="L367" s="174">
        <f>Oportuno!L367</f>
        <v>0</v>
      </c>
      <c r="M367" s="174">
        <f>Oportuno!M367</f>
        <v>0</v>
      </c>
      <c r="N367" s="174">
        <f>Oportuno!N367</f>
        <v>0</v>
      </c>
      <c r="O367" s="174">
        <f>Oportuno!O367</f>
        <v>0</v>
      </c>
      <c r="P367" s="174">
        <f>Oportuno!P367</f>
        <v>0</v>
      </c>
      <c r="Q367" s="174">
        <f>Oportuno!Q367</f>
        <v>0</v>
      </c>
      <c r="R367" s="174">
        <f>Oportuno!R367</f>
        <v>0</v>
      </c>
      <c r="S367" s="215">
        <f>Oportuno!S367</f>
        <v>0</v>
      </c>
      <c r="T367" s="71">
        <f>Oportuno!T367</f>
        <v>0</v>
      </c>
      <c r="U367" s="71">
        <f>Oportuno!U367</f>
        <v>0</v>
      </c>
      <c r="V367" s="117">
        <f>Oportuno!V367</f>
        <v>0</v>
      </c>
      <c r="W367" s="117">
        <f>Oportuno!W367</f>
        <v>0</v>
      </c>
      <c r="X367" s="71">
        <f>Oportuno!X367</f>
        <v>0</v>
      </c>
      <c r="Y367" s="71">
        <f>Oportuno!Y367</f>
        <v>0</v>
      </c>
      <c r="AA367" s="65"/>
    </row>
    <row r="368" spans="2:27" ht="13" customHeight="1">
      <c r="B368" s="119">
        <f>Oportuno!B368</f>
        <v>0</v>
      </c>
      <c r="C368" s="23">
        <f>Oportuno!C368</f>
        <v>2026091</v>
      </c>
      <c r="D368" s="23">
        <f>Oportuno!D368</f>
        <v>13</v>
      </c>
      <c r="E368" s="128">
        <f>Oportuno!E368</f>
        <v>0</v>
      </c>
      <c r="F368" s="126" t="e">
        <f>Oportuno!F368</f>
        <v>#N/A</v>
      </c>
      <c r="G368" s="36">
        <f>Oportuno!G368</f>
        <v>1</v>
      </c>
      <c r="H368" s="126" t="str">
        <f>Oportuno!H368</f>
        <v>Oficinas</v>
      </c>
      <c r="I368" s="130">
        <f>Oportuno!I368</f>
        <v>0</v>
      </c>
      <c r="J368" s="174">
        <f>Oportuno!J368</f>
        <v>0</v>
      </c>
      <c r="K368" s="174">
        <f>Oportuno!K368</f>
        <v>0</v>
      </c>
      <c r="L368" s="174">
        <f>Oportuno!L368</f>
        <v>0</v>
      </c>
      <c r="M368" s="174">
        <f>Oportuno!M368</f>
        <v>0</v>
      </c>
      <c r="N368" s="174">
        <f>Oportuno!N368</f>
        <v>0</v>
      </c>
      <c r="O368" s="174">
        <f>Oportuno!O368</f>
        <v>0</v>
      </c>
      <c r="P368" s="174">
        <f>Oportuno!P368</f>
        <v>0</v>
      </c>
      <c r="Q368" s="174">
        <f>Oportuno!Q368</f>
        <v>0</v>
      </c>
      <c r="R368" s="174">
        <f>Oportuno!R368</f>
        <v>0</v>
      </c>
      <c r="S368" s="215">
        <f>Oportuno!S368</f>
        <v>0</v>
      </c>
      <c r="T368" s="71">
        <f>Oportuno!T368</f>
        <v>0</v>
      </c>
      <c r="U368" s="71">
        <f>Oportuno!U368</f>
        <v>0</v>
      </c>
      <c r="V368" s="117">
        <f>Oportuno!V368</f>
        <v>0</v>
      </c>
      <c r="W368" s="117">
        <f>Oportuno!W368</f>
        <v>0</v>
      </c>
      <c r="X368" s="71">
        <f>Oportuno!X368</f>
        <v>0</v>
      </c>
      <c r="Y368" s="71">
        <f>Oportuno!Y368</f>
        <v>0</v>
      </c>
      <c r="AA368" s="65"/>
    </row>
    <row r="369" spans="2:27 16101:16120" ht="13" customHeight="1">
      <c r="B369" s="119">
        <f>Oportuno!B369</f>
        <v>0</v>
      </c>
      <c r="C369" s="23">
        <f>Oportuno!C369</f>
        <v>2026091</v>
      </c>
      <c r="D369" s="23">
        <f>Oportuno!D369</f>
        <v>13</v>
      </c>
      <c r="E369" s="128">
        <f>Oportuno!E369</f>
        <v>0</v>
      </c>
      <c r="F369" s="126" t="e">
        <f>Oportuno!F369</f>
        <v>#N/A</v>
      </c>
      <c r="G369" s="36">
        <f>Oportuno!G369</f>
        <v>1</v>
      </c>
      <c r="H369" s="126" t="str">
        <f>Oportuno!H369</f>
        <v>Oficinas</v>
      </c>
      <c r="I369" s="130">
        <f>Oportuno!I369</f>
        <v>0</v>
      </c>
      <c r="J369" s="174">
        <f>Oportuno!J369</f>
        <v>0</v>
      </c>
      <c r="K369" s="174">
        <f>Oportuno!K369</f>
        <v>0</v>
      </c>
      <c r="L369" s="174">
        <f>Oportuno!L369</f>
        <v>0</v>
      </c>
      <c r="M369" s="174">
        <f>Oportuno!M369</f>
        <v>0</v>
      </c>
      <c r="N369" s="174">
        <f>Oportuno!N369</f>
        <v>0</v>
      </c>
      <c r="O369" s="174">
        <f>Oportuno!O369</f>
        <v>0</v>
      </c>
      <c r="P369" s="174">
        <f>Oportuno!P369</f>
        <v>0</v>
      </c>
      <c r="Q369" s="174">
        <f>Oportuno!Q369</f>
        <v>0</v>
      </c>
      <c r="R369" s="174">
        <f>Oportuno!R369</f>
        <v>0</v>
      </c>
      <c r="S369" s="215">
        <f>Oportuno!S369</f>
        <v>0</v>
      </c>
      <c r="T369" s="71">
        <f>Oportuno!T369</f>
        <v>0</v>
      </c>
      <c r="U369" s="71">
        <f>Oportuno!U369</f>
        <v>0</v>
      </c>
      <c r="V369" s="117">
        <f>Oportuno!V369</f>
        <v>0</v>
      </c>
      <c r="W369" s="117">
        <f>Oportuno!W369</f>
        <v>0</v>
      </c>
      <c r="X369" s="71">
        <f>Oportuno!X369</f>
        <v>0</v>
      </c>
      <c r="Y369" s="71">
        <f>Oportuno!Y369</f>
        <v>0</v>
      </c>
      <c r="AA369" s="65"/>
    </row>
    <row r="370" spans="2:27 16101:16120" ht="13" customHeight="1">
      <c r="B370" s="119">
        <f>Oportuno!B370</f>
        <v>0</v>
      </c>
      <c r="C370" s="23">
        <f>Oportuno!C370</f>
        <v>2026091</v>
      </c>
      <c r="D370" s="23">
        <f>Oportuno!D370</f>
        <v>13</v>
      </c>
      <c r="E370" s="128">
        <f>Oportuno!E370</f>
        <v>0</v>
      </c>
      <c r="F370" s="126" t="e">
        <f>Oportuno!F370</f>
        <v>#N/A</v>
      </c>
      <c r="G370" s="36">
        <f>Oportuno!G370</f>
        <v>1</v>
      </c>
      <c r="H370" s="126" t="str">
        <f>Oportuno!H370</f>
        <v>Oficinas</v>
      </c>
      <c r="I370" s="130">
        <f>Oportuno!I370</f>
        <v>0</v>
      </c>
      <c r="J370" s="174">
        <f>Oportuno!J370</f>
        <v>0</v>
      </c>
      <c r="K370" s="174">
        <f>Oportuno!K370</f>
        <v>0</v>
      </c>
      <c r="L370" s="174">
        <f>Oportuno!L370</f>
        <v>0</v>
      </c>
      <c r="M370" s="174">
        <f>Oportuno!M370</f>
        <v>0</v>
      </c>
      <c r="N370" s="174">
        <f>Oportuno!N370</f>
        <v>0</v>
      </c>
      <c r="O370" s="174">
        <f>Oportuno!O370</f>
        <v>0</v>
      </c>
      <c r="P370" s="174">
        <f>Oportuno!P370</f>
        <v>0</v>
      </c>
      <c r="Q370" s="174">
        <f>Oportuno!Q370</f>
        <v>0</v>
      </c>
      <c r="R370" s="174">
        <f>Oportuno!R370</f>
        <v>0</v>
      </c>
      <c r="S370" s="215">
        <f>Oportuno!S370</f>
        <v>0</v>
      </c>
      <c r="T370" s="71">
        <f>Oportuno!T370</f>
        <v>0</v>
      </c>
      <c r="U370" s="71">
        <f>Oportuno!U370</f>
        <v>0</v>
      </c>
      <c r="V370" s="117">
        <f>Oportuno!V370</f>
        <v>0</v>
      </c>
      <c r="W370" s="117">
        <f>Oportuno!W370</f>
        <v>0</v>
      </c>
      <c r="X370" s="71">
        <f>Oportuno!X370</f>
        <v>0</v>
      </c>
      <c r="Y370" s="71">
        <f>Oportuno!Y370</f>
        <v>0</v>
      </c>
      <c r="AA370" s="65"/>
    </row>
    <row r="371" spans="2:27 16101:16120" ht="13" customHeight="1">
      <c r="B371" s="119">
        <f>Oportuno!B371</f>
        <v>0</v>
      </c>
      <c r="C371" s="23">
        <f>Oportuno!C371</f>
        <v>2026091</v>
      </c>
      <c r="D371" s="23">
        <f>Oportuno!D371</f>
        <v>13</v>
      </c>
      <c r="E371" s="128">
        <f>Oportuno!E371</f>
        <v>0</v>
      </c>
      <c r="F371" s="126" t="e">
        <f>Oportuno!F371</f>
        <v>#N/A</v>
      </c>
      <c r="G371" s="36">
        <f>Oportuno!G371</f>
        <v>1</v>
      </c>
      <c r="H371" s="126" t="str">
        <f>Oportuno!H371</f>
        <v>Oficinas</v>
      </c>
      <c r="I371" s="130">
        <f>Oportuno!I371</f>
        <v>0</v>
      </c>
      <c r="J371" s="174">
        <f>Oportuno!J371</f>
        <v>0</v>
      </c>
      <c r="K371" s="174">
        <f>Oportuno!K371</f>
        <v>0</v>
      </c>
      <c r="L371" s="174">
        <f>Oportuno!L371</f>
        <v>0</v>
      </c>
      <c r="M371" s="174">
        <f>Oportuno!M371</f>
        <v>0</v>
      </c>
      <c r="N371" s="174">
        <f>Oportuno!N371</f>
        <v>0</v>
      </c>
      <c r="O371" s="174">
        <f>Oportuno!O371</f>
        <v>0</v>
      </c>
      <c r="P371" s="174">
        <f>Oportuno!P371</f>
        <v>0</v>
      </c>
      <c r="Q371" s="174">
        <f>Oportuno!Q371</f>
        <v>0</v>
      </c>
      <c r="R371" s="174">
        <f>Oportuno!R371</f>
        <v>0</v>
      </c>
      <c r="S371" s="215">
        <f>Oportuno!S371</f>
        <v>0</v>
      </c>
      <c r="T371" s="71">
        <f>Oportuno!T371</f>
        <v>0</v>
      </c>
      <c r="U371" s="71">
        <f>Oportuno!U371</f>
        <v>0</v>
      </c>
      <c r="V371" s="117">
        <f>Oportuno!V371</f>
        <v>0</v>
      </c>
      <c r="W371" s="117">
        <f>Oportuno!W371</f>
        <v>0</v>
      </c>
      <c r="X371" s="71">
        <f>Oportuno!X371</f>
        <v>0</v>
      </c>
      <c r="Y371" s="71">
        <f>Oportuno!Y371</f>
        <v>0</v>
      </c>
      <c r="AA371" s="65"/>
    </row>
    <row r="372" spans="2:27 16101:16120" ht="13" customHeight="1">
      <c r="B372" s="119">
        <f>Oportuno!B372</f>
        <v>0</v>
      </c>
      <c r="C372" s="23">
        <f>Oportuno!C372</f>
        <v>2026091</v>
      </c>
      <c r="D372" s="23">
        <f>Oportuno!D372</f>
        <v>13</v>
      </c>
      <c r="E372" s="128">
        <f>Oportuno!E372</f>
        <v>0</v>
      </c>
      <c r="F372" s="126" t="e">
        <f>Oportuno!F372</f>
        <v>#N/A</v>
      </c>
      <c r="G372" s="36">
        <f>Oportuno!G372</f>
        <v>1</v>
      </c>
      <c r="H372" s="126" t="str">
        <f>Oportuno!H372</f>
        <v>Oficinas</v>
      </c>
      <c r="I372" s="130">
        <f>Oportuno!I372</f>
        <v>0</v>
      </c>
      <c r="J372" s="174">
        <f>Oportuno!J372</f>
        <v>0</v>
      </c>
      <c r="K372" s="174">
        <f>Oportuno!K372</f>
        <v>0</v>
      </c>
      <c r="L372" s="174">
        <f>Oportuno!L372</f>
        <v>0</v>
      </c>
      <c r="M372" s="174">
        <f>Oportuno!M372</f>
        <v>0</v>
      </c>
      <c r="N372" s="174">
        <f>Oportuno!N372</f>
        <v>0</v>
      </c>
      <c r="O372" s="174">
        <f>Oportuno!O372</f>
        <v>0</v>
      </c>
      <c r="P372" s="174">
        <f>Oportuno!P372</f>
        <v>0</v>
      </c>
      <c r="Q372" s="174">
        <f>Oportuno!Q372</f>
        <v>0</v>
      </c>
      <c r="R372" s="174">
        <f>Oportuno!R372</f>
        <v>0</v>
      </c>
      <c r="S372" s="215">
        <f>Oportuno!S372</f>
        <v>0</v>
      </c>
      <c r="T372" s="71">
        <f>Oportuno!T372</f>
        <v>0</v>
      </c>
      <c r="U372" s="71">
        <f>Oportuno!U372</f>
        <v>0</v>
      </c>
      <c r="V372" s="117">
        <f>Oportuno!V372</f>
        <v>0</v>
      </c>
      <c r="W372" s="117">
        <f>Oportuno!W372</f>
        <v>0</v>
      </c>
      <c r="X372" s="71">
        <f>Oportuno!X372</f>
        <v>0</v>
      </c>
      <c r="Y372" s="71">
        <f>Oportuno!Y372</f>
        <v>0</v>
      </c>
      <c r="AA372" s="65"/>
    </row>
    <row r="373" spans="2:27 16101:16120" ht="13" customHeight="1" thickBot="1">
      <c r="B373" s="119">
        <f>Oportuno!B373</f>
        <v>0</v>
      </c>
      <c r="C373" s="23">
        <f>Oportuno!C373</f>
        <v>2026091</v>
      </c>
      <c r="D373" s="23">
        <f>Oportuno!D373</f>
        <v>13</v>
      </c>
      <c r="E373" s="128">
        <f>Oportuno!E373</f>
        <v>0</v>
      </c>
      <c r="F373" s="126" t="e">
        <f>Oportuno!F373</f>
        <v>#N/A</v>
      </c>
      <c r="G373" s="36">
        <f>Oportuno!G373</f>
        <v>1</v>
      </c>
      <c r="H373" s="126" t="str">
        <f>Oportuno!H373</f>
        <v>Oficinas</v>
      </c>
      <c r="I373" s="130">
        <f>Oportuno!I373</f>
        <v>0</v>
      </c>
      <c r="J373" s="174">
        <f>Oportuno!J373</f>
        <v>0</v>
      </c>
      <c r="K373" s="174">
        <f>Oportuno!K373</f>
        <v>0</v>
      </c>
      <c r="L373" s="174">
        <f>Oportuno!L373</f>
        <v>0</v>
      </c>
      <c r="M373" s="174">
        <f>Oportuno!M373</f>
        <v>0</v>
      </c>
      <c r="N373" s="174">
        <f>Oportuno!N373</f>
        <v>0</v>
      </c>
      <c r="O373" s="174">
        <f>Oportuno!O373</f>
        <v>0</v>
      </c>
      <c r="P373" s="174">
        <f>Oportuno!P373</f>
        <v>0</v>
      </c>
      <c r="Q373" s="174">
        <f>Oportuno!Q373</f>
        <v>0</v>
      </c>
      <c r="R373" s="174">
        <f>Oportuno!R373</f>
        <v>0</v>
      </c>
      <c r="S373" s="215">
        <f>Oportuno!S373</f>
        <v>0</v>
      </c>
      <c r="T373" s="71">
        <f>Oportuno!T373</f>
        <v>0</v>
      </c>
      <c r="U373" s="71">
        <f>Oportuno!U373</f>
        <v>0</v>
      </c>
      <c r="V373" s="117">
        <f>Oportuno!V373</f>
        <v>0</v>
      </c>
      <c r="W373" s="117">
        <f>Oportuno!W373</f>
        <v>0</v>
      </c>
      <c r="X373" s="71">
        <f>Oportuno!X373</f>
        <v>0</v>
      </c>
      <c r="Y373" s="71">
        <f>Oportuno!Y373</f>
        <v>0</v>
      </c>
      <c r="AA373" s="65"/>
    </row>
    <row r="374" spans="2:27 16101:16120" ht="13" customHeight="1" thickBot="1">
      <c r="B374" s="1" t="s">
        <v>0</v>
      </c>
      <c r="C374" s="1" t="s">
        <v>0</v>
      </c>
      <c r="D374" s="20" t="s">
        <v>0</v>
      </c>
      <c r="E374" s="120" t="str">
        <f>Oportuno!E374</f>
        <v xml:space="preserve"> </v>
      </c>
      <c r="F374" s="121" t="str">
        <f>Oportuno!F374</f>
        <v>TOTAL RECAUDO</v>
      </c>
      <c r="G374" s="121" t="s">
        <v>0</v>
      </c>
      <c r="H374" s="121" t="s">
        <v>0</v>
      </c>
      <c r="I374" s="121" t="s">
        <v>0</v>
      </c>
      <c r="J374" s="122">
        <f>Oportuno!J374</f>
        <v>0</v>
      </c>
      <c r="K374" s="122">
        <f>Oportuno!K374</f>
        <v>0</v>
      </c>
      <c r="L374" s="122">
        <f>Oportuno!L374</f>
        <v>0</v>
      </c>
      <c r="M374" s="122">
        <f>Oportuno!M374</f>
        <v>0</v>
      </c>
      <c r="N374" s="122">
        <f>Oportuno!N374</f>
        <v>0</v>
      </c>
      <c r="O374" s="122">
        <f>Oportuno!O374</f>
        <v>0</v>
      </c>
      <c r="P374" s="122">
        <f>Oportuno!P374</f>
        <v>0</v>
      </c>
      <c r="Q374" s="122">
        <f>Oportuno!Q374</f>
        <v>0</v>
      </c>
      <c r="R374" s="122">
        <f>Oportuno!R374</f>
        <v>69</v>
      </c>
      <c r="S374" s="122">
        <f>Oportuno!S374</f>
        <v>3403290</v>
      </c>
      <c r="T374" s="122">
        <f>Oportuno!T374</f>
        <v>69</v>
      </c>
      <c r="U374" s="122">
        <f>Oportuno!U374</f>
        <v>3403290</v>
      </c>
      <c r="V374" s="123">
        <f>Oportuno!V374</f>
        <v>69</v>
      </c>
      <c r="W374" s="123">
        <f>Oportuno!W374</f>
        <v>3403290</v>
      </c>
      <c r="X374" s="122">
        <f>Oportuno!X374</f>
        <v>0</v>
      </c>
      <c r="Y374" s="123">
        <f>Oportuno!Y374</f>
        <v>0</v>
      </c>
      <c r="AA374" s="65"/>
    </row>
    <row r="375" spans="2:27 16101:16120" ht="13" thickBot="1">
      <c r="N375" s="8"/>
      <c r="O375" s="8"/>
      <c r="AA375" s="65"/>
    </row>
    <row r="376" spans="2:27 16101:16120" ht="41.25" customHeight="1" thickBot="1">
      <c r="B376" s="112" t="s">
        <v>4</v>
      </c>
      <c r="C376" s="34" t="s">
        <v>6</v>
      </c>
      <c r="D376" s="34" t="s">
        <v>7</v>
      </c>
      <c r="E376" s="34" t="s">
        <v>49</v>
      </c>
      <c r="F376" s="34" t="s">
        <v>50</v>
      </c>
      <c r="G376" s="34" t="s">
        <v>51</v>
      </c>
      <c r="H376" s="34" t="s">
        <v>52</v>
      </c>
      <c r="I376" s="34" t="s">
        <v>13</v>
      </c>
      <c r="J376" s="231" t="s">
        <v>8</v>
      </c>
      <c r="K376" s="231" t="s">
        <v>36</v>
      </c>
      <c r="L376" s="12" t="s">
        <v>9</v>
      </c>
      <c r="M376" s="12" t="s">
        <v>37</v>
      </c>
      <c r="N376" s="87" t="s">
        <v>10</v>
      </c>
      <c r="O376" s="88" t="s">
        <v>38</v>
      </c>
      <c r="P376" s="87" t="s">
        <v>11</v>
      </c>
      <c r="Q376" s="88" t="s">
        <v>39</v>
      </c>
      <c r="R376" s="232" t="s">
        <v>12</v>
      </c>
      <c r="S376" s="233" t="s">
        <v>40</v>
      </c>
      <c r="T376" s="64" t="s">
        <v>41</v>
      </c>
      <c r="U376" s="64" t="s">
        <v>42</v>
      </c>
      <c r="V376" s="35" t="s">
        <v>32</v>
      </c>
      <c r="W376" s="67" t="s">
        <v>35</v>
      </c>
      <c r="X376" s="12" t="s">
        <v>34</v>
      </c>
      <c r="Y376" s="68" t="s">
        <v>33</v>
      </c>
      <c r="AA376" s="66"/>
      <c r="WUG376" s="1"/>
      <c r="WUH376" s="1"/>
      <c r="WUY376"/>
      <c r="WUZ376"/>
    </row>
    <row r="377" spans="2:27 16101:16120" ht="13" customHeight="1">
      <c r="B377" s="119" t="str">
        <f>Oportuno!B377</f>
        <v>15/09/2026</v>
      </c>
      <c r="C377" s="24">
        <f>Oportuno!C377</f>
        <v>2026091</v>
      </c>
      <c r="D377" s="24">
        <f>Oportuno!D377</f>
        <v>14</v>
      </c>
      <c r="E377" s="127">
        <f>Oportuno!E377</f>
        <v>20</v>
      </c>
      <c r="F377" s="125" t="str">
        <f>Oportuno!F377</f>
        <v>Bancolombia ENERBIT</v>
      </c>
      <c r="G377" s="18">
        <f>Oportuno!G377</f>
        <v>1</v>
      </c>
      <c r="H377" s="125" t="str">
        <f>Oportuno!H377</f>
        <v>Oficinas</v>
      </c>
      <c r="I377" s="129">
        <f>Oportuno!I377</f>
        <v>0</v>
      </c>
      <c r="J377" s="213">
        <f>Oportuno!J377</f>
        <v>0</v>
      </c>
      <c r="K377" s="213">
        <f>Oportuno!K377</f>
        <v>0</v>
      </c>
      <c r="L377" s="213">
        <f>Oportuno!L377</f>
        <v>0</v>
      </c>
      <c r="M377" s="213">
        <f>Oportuno!M377</f>
        <v>0</v>
      </c>
      <c r="N377" s="213">
        <f>Oportuno!N377</f>
        <v>0</v>
      </c>
      <c r="O377" s="213">
        <f>Oportuno!O377</f>
        <v>0</v>
      </c>
      <c r="P377" s="213">
        <f>Oportuno!P377</f>
        <v>0</v>
      </c>
      <c r="Q377" s="213">
        <f>Oportuno!Q377</f>
        <v>0</v>
      </c>
      <c r="R377" s="213">
        <f>Oportuno!R377</f>
        <v>177</v>
      </c>
      <c r="S377" s="214">
        <f>Oportuno!S377</f>
        <v>8269972</v>
      </c>
      <c r="T377" s="70">
        <f>Oportuno!T377</f>
        <v>177</v>
      </c>
      <c r="U377" s="70">
        <f>Oportuno!U377</f>
        <v>8269972</v>
      </c>
      <c r="V377" s="116">
        <f>Oportuno!V377</f>
        <v>177</v>
      </c>
      <c r="W377" s="116">
        <f>Oportuno!W377</f>
        <v>8269972</v>
      </c>
      <c r="X377" s="70">
        <f>Oportuno!X377</f>
        <v>0</v>
      </c>
      <c r="Y377" s="70">
        <f>Oportuno!Y377</f>
        <v>0</v>
      </c>
      <c r="AA377" s="65"/>
    </row>
    <row r="378" spans="2:27 16101:16120" ht="13" customHeight="1">
      <c r="B378" s="119">
        <f>Oportuno!B378</f>
        <v>0</v>
      </c>
      <c r="C378" s="23">
        <f>Oportuno!C378</f>
        <v>2026091</v>
      </c>
      <c r="D378" s="23">
        <f>Oportuno!D378</f>
        <v>14</v>
      </c>
      <c r="E378" s="128">
        <f>Oportuno!E378</f>
        <v>0</v>
      </c>
      <c r="F378" s="126" t="e">
        <f>Oportuno!F378</f>
        <v>#N/A</v>
      </c>
      <c r="G378" s="36">
        <f>Oportuno!G378</f>
        <v>1</v>
      </c>
      <c r="H378" s="126" t="str">
        <f>Oportuno!H378</f>
        <v>Oficinas</v>
      </c>
      <c r="I378" s="130">
        <f>Oportuno!I378</f>
        <v>0</v>
      </c>
      <c r="J378" s="174">
        <f>Oportuno!J378</f>
        <v>0</v>
      </c>
      <c r="K378" s="174">
        <f>Oportuno!K378</f>
        <v>0</v>
      </c>
      <c r="L378" s="174">
        <f>Oportuno!L378</f>
        <v>0</v>
      </c>
      <c r="M378" s="174">
        <f>Oportuno!M378</f>
        <v>0</v>
      </c>
      <c r="N378" s="174">
        <f>Oportuno!N378</f>
        <v>0</v>
      </c>
      <c r="O378" s="174">
        <f>Oportuno!O378</f>
        <v>0</v>
      </c>
      <c r="P378" s="174">
        <f>Oportuno!P378</f>
        <v>0</v>
      </c>
      <c r="Q378" s="174">
        <f>Oportuno!Q378</f>
        <v>0</v>
      </c>
      <c r="R378" s="174">
        <f>Oportuno!R378</f>
        <v>0</v>
      </c>
      <c r="S378" s="215">
        <f>Oportuno!S378</f>
        <v>0</v>
      </c>
      <c r="T378" s="71">
        <f>Oportuno!T378</f>
        <v>0</v>
      </c>
      <c r="U378" s="71">
        <f>Oportuno!U378</f>
        <v>0</v>
      </c>
      <c r="V378" s="117">
        <f>Oportuno!V378</f>
        <v>0</v>
      </c>
      <c r="W378" s="117">
        <f>Oportuno!W378</f>
        <v>0</v>
      </c>
      <c r="X378" s="71">
        <f>Oportuno!X378</f>
        <v>0</v>
      </c>
      <c r="Y378" s="71">
        <f>Oportuno!Y378</f>
        <v>0</v>
      </c>
      <c r="AA378" s="65"/>
    </row>
    <row r="379" spans="2:27 16101:16120" ht="13" customHeight="1">
      <c r="B379" s="119">
        <f>Oportuno!B379</f>
        <v>0</v>
      </c>
      <c r="C379" s="23">
        <f>Oportuno!C379</f>
        <v>2026091</v>
      </c>
      <c r="D379" s="23">
        <f>Oportuno!D379</f>
        <v>14</v>
      </c>
      <c r="E379" s="128">
        <f>Oportuno!E379</f>
        <v>0</v>
      </c>
      <c r="F379" s="126" t="e">
        <f>Oportuno!F379</f>
        <v>#N/A</v>
      </c>
      <c r="G379" s="36">
        <f>Oportuno!G379</f>
        <v>1</v>
      </c>
      <c r="H379" s="126" t="str">
        <f>Oportuno!H379</f>
        <v>Oficinas</v>
      </c>
      <c r="I379" s="130">
        <f>Oportuno!I379</f>
        <v>0</v>
      </c>
      <c r="J379" s="174">
        <f>Oportuno!J379</f>
        <v>0</v>
      </c>
      <c r="K379" s="174">
        <f>Oportuno!K379</f>
        <v>0</v>
      </c>
      <c r="L379" s="174">
        <f>Oportuno!L379</f>
        <v>0</v>
      </c>
      <c r="M379" s="174">
        <f>Oportuno!M379</f>
        <v>0</v>
      </c>
      <c r="N379" s="174">
        <f>Oportuno!N379</f>
        <v>0</v>
      </c>
      <c r="O379" s="174">
        <f>Oportuno!O379</f>
        <v>0</v>
      </c>
      <c r="P379" s="174">
        <f>Oportuno!P379</f>
        <v>0</v>
      </c>
      <c r="Q379" s="174">
        <f>Oportuno!Q379</f>
        <v>0</v>
      </c>
      <c r="R379" s="174">
        <f>Oportuno!R379</f>
        <v>0</v>
      </c>
      <c r="S379" s="215">
        <f>Oportuno!S379</f>
        <v>0</v>
      </c>
      <c r="T379" s="71">
        <f>Oportuno!T379</f>
        <v>0</v>
      </c>
      <c r="U379" s="71">
        <f>Oportuno!U379</f>
        <v>0</v>
      </c>
      <c r="V379" s="117">
        <f>Oportuno!V379</f>
        <v>0</v>
      </c>
      <c r="W379" s="117">
        <f>Oportuno!W379</f>
        <v>0</v>
      </c>
      <c r="X379" s="71">
        <f>Oportuno!X379</f>
        <v>0</v>
      </c>
      <c r="Y379" s="71">
        <f>Oportuno!Y379</f>
        <v>0</v>
      </c>
      <c r="AA379" s="65"/>
    </row>
    <row r="380" spans="2:27 16101:16120" ht="13" customHeight="1">
      <c r="B380" s="119">
        <f>Oportuno!B380</f>
        <v>0</v>
      </c>
      <c r="C380" s="23">
        <f>Oportuno!C380</f>
        <v>2026091</v>
      </c>
      <c r="D380" s="23">
        <f>Oportuno!D380</f>
        <v>14</v>
      </c>
      <c r="E380" s="128">
        <f>Oportuno!E380</f>
        <v>0</v>
      </c>
      <c r="F380" s="126" t="e">
        <f>Oportuno!F380</f>
        <v>#N/A</v>
      </c>
      <c r="G380" s="36">
        <f>Oportuno!G380</f>
        <v>1</v>
      </c>
      <c r="H380" s="126" t="str">
        <f>Oportuno!H380</f>
        <v>Oficinas</v>
      </c>
      <c r="I380" s="130">
        <f>Oportuno!I380</f>
        <v>0</v>
      </c>
      <c r="J380" s="174">
        <f>Oportuno!J380</f>
        <v>0</v>
      </c>
      <c r="K380" s="174">
        <f>Oportuno!K380</f>
        <v>0</v>
      </c>
      <c r="L380" s="174">
        <f>Oportuno!L380</f>
        <v>0</v>
      </c>
      <c r="M380" s="174">
        <f>Oportuno!M380</f>
        <v>0</v>
      </c>
      <c r="N380" s="174">
        <f>Oportuno!N380</f>
        <v>0</v>
      </c>
      <c r="O380" s="174">
        <f>Oportuno!O380</f>
        <v>0</v>
      </c>
      <c r="P380" s="174">
        <f>Oportuno!P380</f>
        <v>0</v>
      </c>
      <c r="Q380" s="174">
        <f>Oportuno!Q380</f>
        <v>0</v>
      </c>
      <c r="R380" s="174">
        <f>Oportuno!R380</f>
        <v>0</v>
      </c>
      <c r="S380" s="215">
        <f>Oportuno!S380</f>
        <v>0</v>
      </c>
      <c r="T380" s="71">
        <f>Oportuno!T380</f>
        <v>0</v>
      </c>
      <c r="U380" s="71">
        <f>Oportuno!U380</f>
        <v>0</v>
      </c>
      <c r="V380" s="117">
        <f>Oportuno!V380</f>
        <v>0</v>
      </c>
      <c r="W380" s="117">
        <f>Oportuno!W380</f>
        <v>0</v>
      </c>
      <c r="X380" s="71">
        <f>Oportuno!X380</f>
        <v>0</v>
      </c>
      <c r="Y380" s="71">
        <f>Oportuno!Y380</f>
        <v>0</v>
      </c>
      <c r="AA380" s="65"/>
    </row>
    <row r="381" spans="2:27 16101:16120" ht="13" customHeight="1">
      <c r="B381" s="119">
        <f>Oportuno!B381</f>
        <v>0</v>
      </c>
      <c r="C381" s="23">
        <f>Oportuno!C381</f>
        <v>2026091</v>
      </c>
      <c r="D381" s="23">
        <f>Oportuno!D381</f>
        <v>14</v>
      </c>
      <c r="E381" s="128">
        <f>Oportuno!E381</f>
        <v>0</v>
      </c>
      <c r="F381" s="126" t="e">
        <f>Oportuno!F381</f>
        <v>#N/A</v>
      </c>
      <c r="G381" s="36">
        <f>Oportuno!G381</f>
        <v>1</v>
      </c>
      <c r="H381" s="126" t="str">
        <f>Oportuno!H381</f>
        <v>Oficinas</v>
      </c>
      <c r="I381" s="130">
        <f>Oportuno!I381</f>
        <v>0</v>
      </c>
      <c r="J381" s="174">
        <f>Oportuno!J381</f>
        <v>0</v>
      </c>
      <c r="K381" s="174">
        <f>Oportuno!K381</f>
        <v>0</v>
      </c>
      <c r="L381" s="174">
        <f>Oportuno!L381</f>
        <v>0</v>
      </c>
      <c r="M381" s="174">
        <f>Oportuno!M381</f>
        <v>0</v>
      </c>
      <c r="N381" s="174">
        <f>Oportuno!N381</f>
        <v>0</v>
      </c>
      <c r="O381" s="174">
        <f>Oportuno!O381</f>
        <v>0</v>
      </c>
      <c r="P381" s="174">
        <f>Oportuno!P381</f>
        <v>0</v>
      </c>
      <c r="Q381" s="174">
        <f>Oportuno!Q381</f>
        <v>0</v>
      </c>
      <c r="R381" s="174">
        <f>Oportuno!R381</f>
        <v>0</v>
      </c>
      <c r="S381" s="215">
        <f>Oportuno!S381</f>
        <v>0</v>
      </c>
      <c r="T381" s="71">
        <f>Oportuno!T381</f>
        <v>0</v>
      </c>
      <c r="U381" s="71">
        <f>Oportuno!U381</f>
        <v>0</v>
      </c>
      <c r="V381" s="117">
        <f>Oportuno!V381</f>
        <v>0</v>
      </c>
      <c r="W381" s="117">
        <f>Oportuno!W381</f>
        <v>0</v>
      </c>
      <c r="X381" s="71">
        <f>Oportuno!X381</f>
        <v>0</v>
      </c>
      <c r="Y381" s="71">
        <f>Oportuno!Y381</f>
        <v>0</v>
      </c>
      <c r="AA381" s="65"/>
    </row>
    <row r="382" spans="2:27 16101:16120" ht="13" customHeight="1">
      <c r="B382" s="119">
        <f>Oportuno!B382</f>
        <v>0</v>
      </c>
      <c r="C382" s="23">
        <f>Oportuno!C382</f>
        <v>2026091</v>
      </c>
      <c r="D382" s="23">
        <f>Oportuno!D382</f>
        <v>14</v>
      </c>
      <c r="E382" s="128">
        <f>Oportuno!E382</f>
        <v>0</v>
      </c>
      <c r="F382" s="126" t="e">
        <f>Oportuno!F382</f>
        <v>#N/A</v>
      </c>
      <c r="G382" s="36">
        <f>Oportuno!G382</f>
        <v>1</v>
      </c>
      <c r="H382" s="126" t="str">
        <f>Oportuno!H382</f>
        <v>Oficinas</v>
      </c>
      <c r="I382" s="130">
        <f>Oportuno!I382</f>
        <v>0</v>
      </c>
      <c r="J382" s="174">
        <f>Oportuno!J382</f>
        <v>0</v>
      </c>
      <c r="K382" s="174">
        <f>Oportuno!K382</f>
        <v>0</v>
      </c>
      <c r="L382" s="174">
        <f>Oportuno!L382</f>
        <v>0</v>
      </c>
      <c r="M382" s="174">
        <f>Oportuno!M382</f>
        <v>0</v>
      </c>
      <c r="N382" s="174">
        <f>Oportuno!N382</f>
        <v>0</v>
      </c>
      <c r="O382" s="174">
        <f>Oportuno!O382</f>
        <v>0</v>
      </c>
      <c r="P382" s="174">
        <f>Oportuno!P382</f>
        <v>0</v>
      </c>
      <c r="Q382" s="174">
        <f>Oportuno!Q382</f>
        <v>0</v>
      </c>
      <c r="R382" s="174">
        <f>Oportuno!R382</f>
        <v>0</v>
      </c>
      <c r="S382" s="215">
        <f>Oportuno!S382</f>
        <v>0</v>
      </c>
      <c r="T382" s="71">
        <f>Oportuno!T382</f>
        <v>0</v>
      </c>
      <c r="U382" s="71">
        <f>Oportuno!U382</f>
        <v>0</v>
      </c>
      <c r="V382" s="117">
        <f>Oportuno!V382</f>
        <v>0</v>
      </c>
      <c r="W382" s="117">
        <f>Oportuno!W382</f>
        <v>0</v>
      </c>
      <c r="X382" s="71">
        <f>Oportuno!X382</f>
        <v>0</v>
      </c>
      <c r="Y382" s="71">
        <f>Oportuno!Y382</f>
        <v>0</v>
      </c>
      <c r="AA382" s="65"/>
    </row>
    <row r="383" spans="2:27 16101:16120" ht="13" customHeight="1">
      <c r="B383" s="119">
        <f>Oportuno!B383</f>
        <v>0</v>
      </c>
      <c r="C383" s="23">
        <f>Oportuno!C383</f>
        <v>2026091</v>
      </c>
      <c r="D383" s="23">
        <f>Oportuno!D383</f>
        <v>14</v>
      </c>
      <c r="E383" s="128">
        <f>Oportuno!E383</f>
        <v>0</v>
      </c>
      <c r="F383" s="126" t="e">
        <f>Oportuno!F383</f>
        <v>#N/A</v>
      </c>
      <c r="G383" s="36">
        <f>Oportuno!G383</f>
        <v>1</v>
      </c>
      <c r="H383" s="126" t="str">
        <f>Oportuno!H383</f>
        <v>Oficinas</v>
      </c>
      <c r="I383" s="130">
        <f>Oportuno!I383</f>
        <v>0</v>
      </c>
      <c r="J383" s="174">
        <f>Oportuno!J383</f>
        <v>0</v>
      </c>
      <c r="K383" s="174">
        <f>Oportuno!K383</f>
        <v>0</v>
      </c>
      <c r="L383" s="174">
        <f>Oportuno!L383</f>
        <v>0</v>
      </c>
      <c r="M383" s="174">
        <f>Oportuno!M383</f>
        <v>0</v>
      </c>
      <c r="N383" s="174">
        <f>Oportuno!N383</f>
        <v>0</v>
      </c>
      <c r="O383" s="174">
        <f>Oportuno!O383</f>
        <v>0</v>
      </c>
      <c r="P383" s="174">
        <f>Oportuno!P383</f>
        <v>0</v>
      </c>
      <c r="Q383" s="174">
        <f>Oportuno!Q383</f>
        <v>0</v>
      </c>
      <c r="R383" s="174">
        <f>Oportuno!R383</f>
        <v>0</v>
      </c>
      <c r="S383" s="215">
        <f>Oportuno!S383</f>
        <v>0</v>
      </c>
      <c r="T383" s="71">
        <f>Oportuno!T383</f>
        <v>0</v>
      </c>
      <c r="U383" s="71">
        <f>Oportuno!U383</f>
        <v>0</v>
      </c>
      <c r="V383" s="117">
        <f>Oportuno!V383</f>
        <v>0</v>
      </c>
      <c r="W383" s="117">
        <f>Oportuno!W383</f>
        <v>0</v>
      </c>
      <c r="X383" s="71">
        <f>Oportuno!X383</f>
        <v>0</v>
      </c>
      <c r="Y383" s="71">
        <f>Oportuno!Y383</f>
        <v>0</v>
      </c>
      <c r="AA383" s="65"/>
    </row>
    <row r="384" spans="2:27 16101:16120" ht="13" customHeight="1">
      <c r="B384" s="119">
        <f>Oportuno!B384</f>
        <v>0</v>
      </c>
      <c r="C384" s="23">
        <f>Oportuno!C384</f>
        <v>2026091</v>
      </c>
      <c r="D384" s="23">
        <f>Oportuno!D384</f>
        <v>14</v>
      </c>
      <c r="E384" s="128">
        <f>Oportuno!E384</f>
        <v>0</v>
      </c>
      <c r="F384" s="126" t="e">
        <f>Oportuno!F384</f>
        <v>#N/A</v>
      </c>
      <c r="G384" s="36">
        <f>Oportuno!G384</f>
        <v>1</v>
      </c>
      <c r="H384" s="126" t="str">
        <f>Oportuno!H384</f>
        <v>Oficinas</v>
      </c>
      <c r="I384" s="130">
        <f>Oportuno!I384</f>
        <v>0</v>
      </c>
      <c r="J384" s="174">
        <f>Oportuno!J384</f>
        <v>0</v>
      </c>
      <c r="K384" s="174">
        <f>Oportuno!K384</f>
        <v>0</v>
      </c>
      <c r="L384" s="174">
        <f>Oportuno!L384</f>
        <v>0</v>
      </c>
      <c r="M384" s="174">
        <f>Oportuno!M384</f>
        <v>0</v>
      </c>
      <c r="N384" s="174">
        <f>Oportuno!N384</f>
        <v>0</v>
      </c>
      <c r="O384" s="174">
        <f>Oportuno!O384</f>
        <v>0</v>
      </c>
      <c r="P384" s="174">
        <f>Oportuno!P384</f>
        <v>0</v>
      </c>
      <c r="Q384" s="174">
        <f>Oportuno!Q384</f>
        <v>0</v>
      </c>
      <c r="R384" s="174">
        <f>Oportuno!R384</f>
        <v>0</v>
      </c>
      <c r="S384" s="215">
        <f>Oportuno!S384</f>
        <v>0</v>
      </c>
      <c r="T384" s="71">
        <f>Oportuno!T384</f>
        <v>0</v>
      </c>
      <c r="U384" s="71">
        <f>Oportuno!U384</f>
        <v>0</v>
      </c>
      <c r="V384" s="117">
        <f>Oportuno!V384</f>
        <v>0</v>
      </c>
      <c r="W384" s="117">
        <f>Oportuno!W384</f>
        <v>0</v>
      </c>
      <c r="X384" s="71">
        <f>Oportuno!X384</f>
        <v>0</v>
      </c>
      <c r="Y384" s="71">
        <f>Oportuno!Y384</f>
        <v>0</v>
      </c>
      <c r="AA384" s="65"/>
    </row>
    <row r="385" spans="2:27" ht="13" customHeight="1">
      <c r="B385" s="119">
        <f>Oportuno!B385</f>
        <v>0</v>
      </c>
      <c r="C385" s="23">
        <f>Oportuno!C385</f>
        <v>2026091</v>
      </c>
      <c r="D385" s="23">
        <f>Oportuno!D385</f>
        <v>14</v>
      </c>
      <c r="E385" s="128">
        <f>Oportuno!E385</f>
        <v>0</v>
      </c>
      <c r="F385" s="126" t="e">
        <f>Oportuno!F385</f>
        <v>#N/A</v>
      </c>
      <c r="G385" s="36">
        <f>Oportuno!G385</f>
        <v>1</v>
      </c>
      <c r="H385" s="126" t="str">
        <f>Oportuno!H385</f>
        <v>Oficinas</v>
      </c>
      <c r="I385" s="130">
        <f>Oportuno!I385</f>
        <v>0</v>
      </c>
      <c r="J385" s="174">
        <f>Oportuno!J385</f>
        <v>0</v>
      </c>
      <c r="K385" s="174">
        <f>Oportuno!K385</f>
        <v>0</v>
      </c>
      <c r="L385" s="174">
        <f>Oportuno!L385</f>
        <v>0</v>
      </c>
      <c r="M385" s="174">
        <f>Oportuno!M385</f>
        <v>0</v>
      </c>
      <c r="N385" s="174">
        <f>Oportuno!N385</f>
        <v>0</v>
      </c>
      <c r="O385" s="174">
        <f>Oportuno!O385</f>
        <v>0</v>
      </c>
      <c r="P385" s="174">
        <f>Oportuno!P385</f>
        <v>0</v>
      </c>
      <c r="Q385" s="174">
        <f>Oportuno!Q385</f>
        <v>0</v>
      </c>
      <c r="R385" s="174">
        <f>Oportuno!R385</f>
        <v>0</v>
      </c>
      <c r="S385" s="215">
        <f>Oportuno!S385</f>
        <v>0</v>
      </c>
      <c r="T385" s="71">
        <f>Oportuno!T385</f>
        <v>0</v>
      </c>
      <c r="U385" s="71">
        <f>Oportuno!U385</f>
        <v>0</v>
      </c>
      <c r="V385" s="117">
        <f>Oportuno!V385</f>
        <v>0</v>
      </c>
      <c r="W385" s="117">
        <f>Oportuno!W385</f>
        <v>0</v>
      </c>
      <c r="X385" s="71">
        <f>Oportuno!X385</f>
        <v>0</v>
      </c>
      <c r="Y385" s="71">
        <f>Oportuno!Y385</f>
        <v>0</v>
      </c>
      <c r="AA385" s="65"/>
    </row>
    <row r="386" spans="2:27" ht="13" customHeight="1">
      <c r="B386" s="119">
        <f>Oportuno!B386</f>
        <v>0</v>
      </c>
      <c r="C386" s="23">
        <f>Oportuno!C386</f>
        <v>2026091</v>
      </c>
      <c r="D386" s="23">
        <f>Oportuno!D386</f>
        <v>14</v>
      </c>
      <c r="E386" s="128">
        <f>Oportuno!E386</f>
        <v>0</v>
      </c>
      <c r="F386" s="126" t="e">
        <f>Oportuno!F386</f>
        <v>#N/A</v>
      </c>
      <c r="G386" s="36">
        <f>Oportuno!G386</f>
        <v>1</v>
      </c>
      <c r="H386" s="126" t="str">
        <f>Oportuno!H386</f>
        <v>Oficinas</v>
      </c>
      <c r="I386" s="130">
        <f>Oportuno!I386</f>
        <v>0</v>
      </c>
      <c r="J386" s="174">
        <f>Oportuno!J386</f>
        <v>0</v>
      </c>
      <c r="K386" s="174">
        <f>Oportuno!K386</f>
        <v>0</v>
      </c>
      <c r="L386" s="174">
        <f>Oportuno!L386</f>
        <v>0</v>
      </c>
      <c r="M386" s="174">
        <f>Oportuno!M386</f>
        <v>0</v>
      </c>
      <c r="N386" s="174">
        <f>Oportuno!N386</f>
        <v>0</v>
      </c>
      <c r="O386" s="174">
        <f>Oportuno!O386</f>
        <v>0</v>
      </c>
      <c r="P386" s="174">
        <f>Oportuno!P386</f>
        <v>0</v>
      </c>
      <c r="Q386" s="174">
        <f>Oportuno!Q386</f>
        <v>0</v>
      </c>
      <c r="R386" s="174">
        <f>Oportuno!R386</f>
        <v>0</v>
      </c>
      <c r="S386" s="215">
        <f>Oportuno!S386</f>
        <v>0</v>
      </c>
      <c r="T386" s="71">
        <f>Oportuno!T386</f>
        <v>0</v>
      </c>
      <c r="U386" s="71">
        <f>Oportuno!U386</f>
        <v>0</v>
      </c>
      <c r="V386" s="117">
        <f>Oportuno!V386</f>
        <v>0</v>
      </c>
      <c r="W386" s="117">
        <f>Oportuno!W386</f>
        <v>0</v>
      </c>
      <c r="X386" s="71">
        <f>Oportuno!X386</f>
        <v>0</v>
      </c>
      <c r="Y386" s="71">
        <f>Oportuno!Y386</f>
        <v>0</v>
      </c>
      <c r="AA386" s="65"/>
    </row>
    <row r="387" spans="2:27" ht="13" customHeight="1">
      <c r="B387" s="119">
        <f>Oportuno!B387</f>
        <v>0</v>
      </c>
      <c r="C387" s="23">
        <f>Oportuno!C387</f>
        <v>2026091</v>
      </c>
      <c r="D387" s="23">
        <f>Oportuno!D387</f>
        <v>14</v>
      </c>
      <c r="E387" s="128">
        <f>Oportuno!E387</f>
        <v>0</v>
      </c>
      <c r="F387" s="126" t="e">
        <f>Oportuno!F387</f>
        <v>#N/A</v>
      </c>
      <c r="G387" s="36">
        <f>Oportuno!G387</f>
        <v>1</v>
      </c>
      <c r="H387" s="126" t="str">
        <f>Oportuno!H387</f>
        <v>Oficinas</v>
      </c>
      <c r="I387" s="130">
        <f>Oportuno!I387</f>
        <v>0</v>
      </c>
      <c r="J387" s="174">
        <f>Oportuno!J387</f>
        <v>0</v>
      </c>
      <c r="K387" s="174">
        <f>Oportuno!K387</f>
        <v>0</v>
      </c>
      <c r="L387" s="174">
        <f>Oportuno!L387</f>
        <v>0</v>
      </c>
      <c r="M387" s="174">
        <f>Oportuno!M387</f>
        <v>0</v>
      </c>
      <c r="N387" s="174">
        <f>Oportuno!N387</f>
        <v>0</v>
      </c>
      <c r="O387" s="174">
        <f>Oportuno!O387</f>
        <v>0</v>
      </c>
      <c r="P387" s="174">
        <f>Oportuno!P387</f>
        <v>0</v>
      </c>
      <c r="Q387" s="174">
        <f>Oportuno!Q387</f>
        <v>0</v>
      </c>
      <c r="R387" s="174">
        <f>Oportuno!R387</f>
        <v>0</v>
      </c>
      <c r="S387" s="215">
        <f>Oportuno!S387</f>
        <v>0</v>
      </c>
      <c r="T387" s="71">
        <f>Oportuno!T387</f>
        <v>0</v>
      </c>
      <c r="U387" s="71">
        <f>Oportuno!U387</f>
        <v>0</v>
      </c>
      <c r="V387" s="117">
        <f>Oportuno!V387</f>
        <v>0</v>
      </c>
      <c r="W387" s="117">
        <f>Oportuno!W387</f>
        <v>0</v>
      </c>
      <c r="X387" s="71">
        <f>Oportuno!X387</f>
        <v>0</v>
      </c>
      <c r="Y387" s="71">
        <f>Oportuno!Y387</f>
        <v>0</v>
      </c>
      <c r="AA387" s="65"/>
    </row>
    <row r="388" spans="2:27" ht="13" customHeight="1">
      <c r="B388" s="119">
        <f>Oportuno!B388</f>
        <v>0</v>
      </c>
      <c r="C388" s="23">
        <f>Oportuno!C388</f>
        <v>2026091</v>
      </c>
      <c r="D388" s="23">
        <f>Oportuno!D388</f>
        <v>14</v>
      </c>
      <c r="E388" s="128">
        <f>Oportuno!E388</f>
        <v>0</v>
      </c>
      <c r="F388" s="126" t="e">
        <f>Oportuno!F388</f>
        <v>#N/A</v>
      </c>
      <c r="G388" s="36">
        <f>Oportuno!G388</f>
        <v>1</v>
      </c>
      <c r="H388" s="126" t="str">
        <f>Oportuno!H388</f>
        <v>Oficinas</v>
      </c>
      <c r="I388" s="130">
        <f>Oportuno!I388</f>
        <v>0</v>
      </c>
      <c r="J388" s="174">
        <f>Oportuno!J388</f>
        <v>0</v>
      </c>
      <c r="K388" s="174">
        <f>Oportuno!K388</f>
        <v>0</v>
      </c>
      <c r="L388" s="174">
        <f>Oportuno!L388</f>
        <v>0</v>
      </c>
      <c r="M388" s="174">
        <f>Oportuno!M388</f>
        <v>0</v>
      </c>
      <c r="N388" s="174">
        <f>Oportuno!N388</f>
        <v>0</v>
      </c>
      <c r="O388" s="174">
        <f>Oportuno!O388</f>
        <v>0</v>
      </c>
      <c r="P388" s="174">
        <f>Oportuno!P388</f>
        <v>0</v>
      </c>
      <c r="Q388" s="174">
        <f>Oportuno!Q388</f>
        <v>0</v>
      </c>
      <c r="R388" s="174">
        <f>Oportuno!R388</f>
        <v>0</v>
      </c>
      <c r="S388" s="215">
        <f>Oportuno!S388</f>
        <v>0</v>
      </c>
      <c r="T388" s="71">
        <f>Oportuno!T388</f>
        <v>0</v>
      </c>
      <c r="U388" s="71">
        <f>Oportuno!U388</f>
        <v>0</v>
      </c>
      <c r="V388" s="117">
        <f>Oportuno!V388</f>
        <v>0</v>
      </c>
      <c r="W388" s="117">
        <f>Oportuno!W388</f>
        <v>0</v>
      </c>
      <c r="X388" s="71">
        <f>Oportuno!X388</f>
        <v>0</v>
      </c>
      <c r="Y388" s="71">
        <f>Oportuno!Y388</f>
        <v>0</v>
      </c>
      <c r="AA388" s="65"/>
    </row>
    <row r="389" spans="2:27" ht="13" customHeight="1">
      <c r="B389" s="119">
        <f>Oportuno!B389</f>
        <v>0</v>
      </c>
      <c r="C389" s="23">
        <f>Oportuno!C389</f>
        <v>2026091</v>
      </c>
      <c r="D389" s="23">
        <f>Oportuno!D389</f>
        <v>14</v>
      </c>
      <c r="E389" s="128">
        <f>Oportuno!E389</f>
        <v>0</v>
      </c>
      <c r="F389" s="126" t="e">
        <f>Oportuno!F389</f>
        <v>#N/A</v>
      </c>
      <c r="G389" s="36">
        <f>Oportuno!G389</f>
        <v>1</v>
      </c>
      <c r="H389" s="126" t="str">
        <f>Oportuno!H389</f>
        <v>Oficinas</v>
      </c>
      <c r="I389" s="130">
        <f>Oportuno!I389</f>
        <v>0</v>
      </c>
      <c r="J389" s="174">
        <f>Oportuno!J389</f>
        <v>0</v>
      </c>
      <c r="K389" s="174">
        <f>Oportuno!K389</f>
        <v>0</v>
      </c>
      <c r="L389" s="174">
        <f>Oportuno!L389</f>
        <v>0</v>
      </c>
      <c r="M389" s="174">
        <f>Oportuno!M389</f>
        <v>0</v>
      </c>
      <c r="N389" s="174">
        <f>Oportuno!N389</f>
        <v>0</v>
      </c>
      <c r="O389" s="174">
        <f>Oportuno!O389</f>
        <v>0</v>
      </c>
      <c r="P389" s="174">
        <f>Oportuno!P389</f>
        <v>0</v>
      </c>
      <c r="Q389" s="174">
        <f>Oportuno!Q389</f>
        <v>0</v>
      </c>
      <c r="R389" s="174">
        <f>Oportuno!R389</f>
        <v>0</v>
      </c>
      <c r="S389" s="215">
        <f>Oportuno!S389</f>
        <v>0</v>
      </c>
      <c r="T389" s="71">
        <f>Oportuno!T389</f>
        <v>0</v>
      </c>
      <c r="U389" s="71">
        <f>Oportuno!U389</f>
        <v>0</v>
      </c>
      <c r="V389" s="117">
        <f>Oportuno!V389</f>
        <v>0</v>
      </c>
      <c r="W389" s="117">
        <f>Oportuno!W389</f>
        <v>0</v>
      </c>
      <c r="X389" s="71">
        <f>Oportuno!X389</f>
        <v>0</v>
      </c>
      <c r="Y389" s="71">
        <f>Oportuno!Y389</f>
        <v>0</v>
      </c>
      <c r="AA389" s="65"/>
    </row>
    <row r="390" spans="2:27" ht="13" customHeight="1">
      <c r="B390" s="119">
        <f>Oportuno!B390</f>
        <v>0</v>
      </c>
      <c r="C390" s="23">
        <f>Oportuno!C390</f>
        <v>2026091</v>
      </c>
      <c r="D390" s="23">
        <f>Oportuno!D390</f>
        <v>14</v>
      </c>
      <c r="E390" s="128">
        <f>Oportuno!E390</f>
        <v>0</v>
      </c>
      <c r="F390" s="126" t="e">
        <f>Oportuno!F390</f>
        <v>#N/A</v>
      </c>
      <c r="G390" s="36">
        <f>Oportuno!G390</f>
        <v>1</v>
      </c>
      <c r="H390" s="126" t="str">
        <f>Oportuno!H390</f>
        <v>Oficinas</v>
      </c>
      <c r="I390" s="130">
        <f>Oportuno!I390</f>
        <v>0</v>
      </c>
      <c r="J390" s="174">
        <f>Oportuno!J390</f>
        <v>0</v>
      </c>
      <c r="K390" s="174">
        <f>Oportuno!K390</f>
        <v>0</v>
      </c>
      <c r="L390" s="174">
        <f>Oportuno!L390</f>
        <v>0</v>
      </c>
      <c r="M390" s="174">
        <f>Oportuno!M390</f>
        <v>0</v>
      </c>
      <c r="N390" s="174">
        <f>Oportuno!N390</f>
        <v>0</v>
      </c>
      <c r="O390" s="174">
        <f>Oportuno!O390</f>
        <v>0</v>
      </c>
      <c r="P390" s="174">
        <f>Oportuno!P390</f>
        <v>0</v>
      </c>
      <c r="Q390" s="174">
        <f>Oportuno!Q390</f>
        <v>0</v>
      </c>
      <c r="R390" s="174">
        <f>Oportuno!R390</f>
        <v>0</v>
      </c>
      <c r="S390" s="215">
        <f>Oportuno!S390</f>
        <v>0</v>
      </c>
      <c r="T390" s="71">
        <f>Oportuno!T390</f>
        <v>0</v>
      </c>
      <c r="U390" s="71">
        <f>Oportuno!U390</f>
        <v>0</v>
      </c>
      <c r="V390" s="117">
        <f>Oportuno!V390</f>
        <v>0</v>
      </c>
      <c r="W390" s="117">
        <f>Oportuno!W390</f>
        <v>0</v>
      </c>
      <c r="X390" s="71">
        <f>Oportuno!X390</f>
        <v>0</v>
      </c>
      <c r="Y390" s="71">
        <f>Oportuno!Y390</f>
        <v>0</v>
      </c>
      <c r="AA390" s="65"/>
    </row>
    <row r="391" spans="2:27" ht="13" customHeight="1">
      <c r="B391" s="119">
        <f>Oportuno!B391</f>
        <v>0</v>
      </c>
      <c r="C391" s="23">
        <f>Oportuno!C391</f>
        <v>2026091</v>
      </c>
      <c r="D391" s="23">
        <f>Oportuno!D391</f>
        <v>14</v>
      </c>
      <c r="E391" s="128">
        <f>Oportuno!E391</f>
        <v>0</v>
      </c>
      <c r="F391" s="126" t="e">
        <f>Oportuno!F391</f>
        <v>#N/A</v>
      </c>
      <c r="G391" s="36">
        <f>Oportuno!G391</f>
        <v>1</v>
      </c>
      <c r="H391" s="126" t="str">
        <f>Oportuno!H391</f>
        <v>Oficinas</v>
      </c>
      <c r="I391" s="130">
        <f>Oportuno!I391</f>
        <v>0</v>
      </c>
      <c r="J391" s="174">
        <f>Oportuno!J391</f>
        <v>0</v>
      </c>
      <c r="K391" s="174">
        <f>Oportuno!K391</f>
        <v>0</v>
      </c>
      <c r="L391" s="174">
        <f>Oportuno!L391</f>
        <v>0</v>
      </c>
      <c r="M391" s="174">
        <f>Oportuno!M391</f>
        <v>0</v>
      </c>
      <c r="N391" s="174">
        <f>Oportuno!N391</f>
        <v>0</v>
      </c>
      <c r="O391" s="174">
        <f>Oportuno!O391</f>
        <v>0</v>
      </c>
      <c r="P391" s="174">
        <f>Oportuno!P391</f>
        <v>0</v>
      </c>
      <c r="Q391" s="174">
        <f>Oportuno!Q391</f>
        <v>0</v>
      </c>
      <c r="R391" s="174">
        <f>Oportuno!R391</f>
        <v>0</v>
      </c>
      <c r="S391" s="215">
        <f>Oportuno!S391</f>
        <v>0</v>
      </c>
      <c r="T391" s="71">
        <f>Oportuno!T391</f>
        <v>0</v>
      </c>
      <c r="U391" s="71">
        <f>Oportuno!U391</f>
        <v>0</v>
      </c>
      <c r="V391" s="117">
        <f>Oportuno!V391</f>
        <v>0</v>
      </c>
      <c r="W391" s="117">
        <f>Oportuno!W391</f>
        <v>0</v>
      </c>
      <c r="X391" s="71">
        <f>Oportuno!X391</f>
        <v>0</v>
      </c>
      <c r="Y391" s="71">
        <f>Oportuno!Y391</f>
        <v>0</v>
      </c>
      <c r="AA391" s="65"/>
    </row>
    <row r="392" spans="2:27" ht="12" customHeight="1">
      <c r="B392" s="119">
        <f>Oportuno!B392</f>
        <v>0</v>
      </c>
      <c r="C392" s="23">
        <f>Oportuno!C392</f>
        <v>2026091</v>
      </c>
      <c r="D392" s="23">
        <f>Oportuno!D392</f>
        <v>14</v>
      </c>
      <c r="E392" s="128">
        <f>Oportuno!E392</f>
        <v>0</v>
      </c>
      <c r="F392" s="126" t="e">
        <f>Oportuno!F392</f>
        <v>#N/A</v>
      </c>
      <c r="G392" s="36">
        <f>Oportuno!G392</f>
        <v>1</v>
      </c>
      <c r="H392" s="126" t="str">
        <f>Oportuno!H392</f>
        <v>Oficinas</v>
      </c>
      <c r="I392" s="130">
        <f>Oportuno!I392</f>
        <v>0</v>
      </c>
      <c r="J392" s="174">
        <f>Oportuno!J392</f>
        <v>0</v>
      </c>
      <c r="K392" s="174">
        <f>Oportuno!K392</f>
        <v>0</v>
      </c>
      <c r="L392" s="174">
        <f>Oportuno!L392</f>
        <v>0</v>
      </c>
      <c r="M392" s="174">
        <f>Oportuno!M392</f>
        <v>0</v>
      </c>
      <c r="N392" s="174">
        <f>Oportuno!N392</f>
        <v>0</v>
      </c>
      <c r="O392" s="174">
        <f>Oportuno!O392</f>
        <v>0</v>
      </c>
      <c r="P392" s="174">
        <f>Oportuno!P392</f>
        <v>0</v>
      </c>
      <c r="Q392" s="174">
        <f>Oportuno!Q392</f>
        <v>0</v>
      </c>
      <c r="R392" s="174">
        <f>Oportuno!R392</f>
        <v>0</v>
      </c>
      <c r="S392" s="215">
        <f>Oportuno!S392</f>
        <v>0</v>
      </c>
      <c r="T392" s="71">
        <f>Oportuno!T392</f>
        <v>0</v>
      </c>
      <c r="U392" s="71">
        <f>Oportuno!U392</f>
        <v>0</v>
      </c>
      <c r="V392" s="117">
        <f>Oportuno!V392</f>
        <v>0</v>
      </c>
      <c r="W392" s="117">
        <f>Oportuno!W392</f>
        <v>0</v>
      </c>
      <c r="X392" s="71">
        <f>Oportuno!X392</f>
        <v>0</v>
      </c>
      <c r="Y392" s="71">
        <f>Oportuno!Y392</f>
        <v>0</v>
      </c>
      <c r="AA392" s="65"/>
    </row>
    <row r="393" spans="2:27" ht="13" customHeight="1">
      <c r="B393" s="119">
        <f>Oportuno!B393</f>
        <v>0</v>
      </c>
      <c r="C393" s="23">
        <f>Oportuno!C393</f>
        <v>2026091</v>
      </c>
      <c r="D393" s="23">
        <f>Oportuno!D393</f>
        <v>14</v>
      </c>
      <c r="E393" s="128">
        <f>Oportuno!E393</f>
        <v>0</v>
      </c>
      <c r="F393" s="126" t="e">
        <f>Oportuno!F393</f>
        <v>#N/A</v>
      </c>
      <c r="G393" s="36">
        <f>Oportuno!G393</f>
        <v>1</v>
      </c>
      <c r="H393" s="126" t="str">
        <f>Oportuno!H393</f>
        <v>Oficinas</v>
      </c>
      <c r="I393" s="130">
        <f>Oportuno!I393</f>
        <v>0</v>
      </c>
      <c r="J393" s="174">
        <f>Oportuno!J393</f>
        <v>0</v>
      </c>
      <c r="K393" s="174">
        <f>Oportuno!K393</f>
        <v>0</v>
      </c>
      <c r="L393" s="174">
        <f>Oportuno!L393</f>
        <v>0</v>
      </c>
      <c r="M393" s="174">
        <f>Oportuno!M393</f>
        <v>0</v>
      </c>
      <c r="N393" s="174">
        <f>Oportuno!N393</f>
        <v>0</v>
      </c>
      <c r="O393" s="174">
        <f>Oportuno!O393</f>
        <v>0</v>
      </c>
      <c r="P393" s="174">
        <f>Oportuno!P393</f>
        <v>0</v>
      </c>
      <c r="Q393" s="174">
        <f>Oportuno!Q393</f>
        <v>0</v>
      </c>
      <c r="R393" s="174">
        <f>Oportuno!R393</f>
        <v>0</v>
      </c>
      <c r="S393" s="215">
        <f>Oportuno!S393</f>
        <v>0</v>
      </c>
      <c r="T393" s="71">
        <f>Oportuno!T393</f>
        <v>0</v>
      </c>
      <c r="U393" s="71">
        <f>Oportuno!U393</f>
        <v>0</v>
      </c>
      <c r="V393" s="117">
        <f>Oportuno!V393</f>
        <v>0</v>
      </c>
      <c r="W393" s="117">
        <f>Oportuno!W393</f>
        <v>0</v>
      </c>
      <c r="X393" s="71">
        <f>Oportuno!X393</f>
        <v>0</v>
      </c>
      <c r="Y393" s="71">
        <f>Oportuno!Y393</f>
        <v>0</v>
      </c>
      <c r="AA393" s="65"/>
    </row>
    <row r="394" spans="2:27" ht="13" customHeight="1">
      <c r="B394" s="119">
        <f>Oportuno!B394</f>
        <v>0</v>
      </c>
      <c r="C394" s="23">
        <f>Oportuno!C394</f>
        <v>2026091</v>
      </c>
      <c r="D394" s="23">
        <f>Oportuno!D394</f>
        <v>14</v>
      </c>
      <c r="E394" s="128">
        <f>Oportuno!E394</f>
        <v>0</v>
      </c>
      <c r="F394" s="126" t="e">
        <f>Oportuno!F394</f>
        <v>#N/A</v>
      </c>
      <c r="G394" s="36">
        <f>Oportuno!G394</f>
        <v>1</v>
      </c>
      <c r="H394" s="126" t="str">
        <f>Oportuno!H394</f>
        <v>Oficinas</v>
      </c>
      <c r="I394" s="130">
        <f>Oportuno!I394</f>
        <v>0</v>
      </c>
      <c r="J394" s="174">
        <f>Oportuno!J394</f>
        <v>0</v>
      </c>
      <c r="K394" s="174">
        <f>Oportuno!K394</f>
        <v>0</v>
      </c>
      <c r="L394" s="174">
        <f>Oportuno!L394</f>
        <v>0</v>
      </c>
      <c r="M394" s="174">
        <f>Oportuno!M394</f>
        <v>0</v>
      </c>
      <c r="N394" s="174">
        <f>Oportuno!N394</f>
        <v>0</v>
      </c>
      <c r="O394" s="174">
        <f>Oportuno!O394</f>
        <v>0</v>
      </c>
      <c r="P394" s="174">
        <f>Oportuno!P394</f>
        <v>0</v>
      </c>
      <c r="Q394" s="174">
        <f>Oportuno!Q394</f>
        <v>0</v>
      </c>
      <c r="R394" s="174">
        <f>Oportuno!R394</f>
        <v>0</v>
      </c>
      <c r="S394" s="215">
        <f>Oportuno!S394</f>
        <v>0</v>
      </c>
      <c r="T394" s="71">
        <f>Oportuno!T394</f>
        <v>0</v>
      </c>
      <c r="U394" s="71">
        <f>Oportuno!U394</f>
        <v>0</v>
      </c>
      <c r="V394" s="117">
        <f>Oportuno!V394</f>
        <v>0</v>
      </c>
      <c r="W394" s="117">
        <f>Oportuno!W394</f>
        <v>0</v>
      </c>
      <c r="X394" s="71">
        <f>Oportuno!X394</f>
        <v>0</v>
      </c>
      <c r="Y394" s="71">
        <f>Oportuno!Y394</f>
        <v>0</v>
      </c>
      <c r="AA394" s="65"/>
    </row>
    <row r="395" spans="2:27" ht="13" customHeight="1">
      <c r="B395" s="119">
        <f>Oportuno!B395</f>
        <v>0</v>
      </c>
      <c r="C395" s="23">
        <f>Oportuno!C395</f>
        <v>2026091</v>
      </c>
      <c r="D395" s="23">
        <f>Oportuno!D395</f>
        <v>14</v>
      </c>
      <c r="E395" s="128">
        <f>Oportuno!E395</f>
        <v>0</v>
      </c>
      <c r="F395" s="126" t="e">
        <f>Oportuno!F395</f>
        <v>#N/A</v>
      </c>
      <c r="G395" s="36">
        <f>Oportuno!G395</f>
        <v>1</v>
      </c>
      <c r="H395" s="126" t="str">
        <f>Oportuno!H395</f>
        <v>Oficinas</v>
      </c>
      <c r="I395" s="130">
        <f>Oportuno!I395</f>
        <v>0</v>
      </c>
      <c r="J395" s="174">
        <f>Oportuno!J395</f>
        <v>0</v>
      </c>
      <c r="K395" s="174">
        <f>Oportuno!K395</f>
        <v>0</v>
      </c>
      <c r="L395" s="174">
        <f>Oportuno!L395</f>
        <v>0</v>
      </c>
      <c r="M395" s="174">
        <f>Oportuno!M395</f>
        <v>0</v>
      </c>
      <c r="N395" s="174">
        <f>Oportuno!N395</f>
        <v>0</v>
      </c>
      <c r="O395" s="174">
        <f>Oportuno!O395</f>
        <v>0</v>
      </c>
      <c r="P395" s="174">
        <f>Oportuno!P395</f>
        <v>0</v>
      </c>
      <c r="Q395" s="174">
        <f>Oportuno!Q395</f>
        <v>0</v>
      </c>
      <c r="R395" s="174">
        <f>Oportuno!R395</f>
        <v>0</v>
      </c>
      <c r="S395" s="215">
        <f>Oportuno!S395</f>
        <v>0</v>
      </c>
      <c r="T395" s="71">
        <f>Oportuno!T395</f>
        <v>0</v>
      </c>
      <c r="U395" s="71">
        <f>Oportuno!U395</f>
        <v>0</v>
      </c>
      <c r="V395" s="117">
        <f>Oportuno!V395</f>
        <v>0</v>
      </c>
      <c r="W395" s="117">
        <f>Oportuno!W395</f>
        <v>0</v>
      </c>
      <c r="X395" s="71">
        <f>Oportuno!X395</f>
        <v>0</v>
      </c>
      <c r="Y395" s="71">
        <f>Oportuno!Y395</f>
        <v>0</v>
      </c>
      <c r="AA395" s="65"/>
    </row>
    <row r="396" spans="2:27" ht="13" customHeight="1">
      <c r="B396" s="119">
        <f>Oportuno!B396</f>
        <v>0</v>
      </c>
      <c r="C396" s="23">
        <f>Oportuno!C396</f>
        <v>2026091</v>
      </c>
      <c r="D396" s="23">
        <f>Oportuno!D396</f>
        <v>14</v>
      </c>
      <c r="E396" s="128">
        <f>Oportuno!E396</f>
        <v>0</v>
      </c>
      <c r="F396" s="126" t="e">
        <f>Oportuno!F396</f>
        <v>#N/A</v>
      </c>
      <c r="G396" s="36">
        <f>Oportuno!G396</f>
        <v>1</v>
      </c>
      <c r="H396" s="126" t="str">
        <f>Oportuno!H396</f>
        <v>Oficinas</v>
      </c>
      <c r="I396" s="130">
        <f>Oportuno!I396</f>
        <v>0</v>
      </c>
      <c r="J396" s="174">
        <f>Oportuno!J396</f>
        <v>0</v>
      </c>
      <c r="K396" s="174">
        <f>Oportuno!K396</f>
        <v>0</v>
      </c>
      <c r="L396" s="174">
        <f>Oportuno!L396</f>
        <v>0</v>
      </c>
      <c r="M396" s="174">
        <f>Oportuno!M396</f>
        <v>0</v>
      </c>
      <c r="N396" s="174">
        <f>Oportuno!N396</f>
        <v>0</v>
      </c>
      <c r="O396" s="174">
        <f>Oportuno!O396</f>
        <v>0</v>
      </c>
      <c r="P396" s="174">
        <f>Oportuno!P396</f>
        <v>0</v>
      </c>
      <c r="Q396" s="174">
        <f>Oportuno!Q396</f>
        <v>0</v>
      </c>
      <c r="R396" s="174">
        <f>Oportuno!R396</f>
        <v>0</v>
      </c>
      <c r="S396" s="215">
        <f>Oportuno!S396</f>
        <v>0</v>
      </c>
      <c r="T396" s="71">
        <f>Oportuno!T396</f>
        <v>0</v>
      </c>
      <c r="U396" s="71">
        <f>Oportuno!U396</f>
        <v>0</v>
      </c>
      <c r="V396" s="117">
        <f>Oportuno!V396</f>
        <v>0</v>
      </c>
      <c r="W396" s="117">
        <f>Oportuno!W396</f>
        <v>0</v>
      </c>
      <c r="X396" s="71">
        <f>Oportuno!X396</f>
        <v>0</v>
      </c>
      <c r="Y396" s="71">
        <f>Oportuno!Y396</f>
        <v>0</v>
      </c>
      <c r="AA396" s="65"/>
    </row>
    <row r="397" spans="2:27" ht="13" customHeight="1">
      <c r="B397" s="119">
        <f>Oportuno!B397</f>
        <v>0</v>
      </c>
      <c r="C397" s="23">
        <f>Oportuno!C397</f>
        <v>2026091</v>
      </c>
      <c r="D397" s="23">
        <f>Oportuno!D397</f>
        <v>14</v>
      </c>
      <c r="E397" s="128">
        <f>Oportuno!E397</f>
        <v>0</v>
      </c>
      <c r="F397" s="126" t="e">
        <f>Oportuno!F397</f>
        <v>#N/A</v>
      </c>
      <c r="G397" s="36">
        <f>Oportuno!G397</f>
        <v>1</v>
      </c>
      <c r="H397" s="126" t="str">
        <f>Oportuno!H397</f>
        <v>Oficinas</v>
      </c>
      <c r="I397" s="130">
        <f>Oportuno!I397</f>
        <v>0</v>
      </c>
      <c r="J397" s="174">
        <f>Oportuno!J397</f>
        <v>0</v>
      </c>
      <c r="K397" s="174">
        <f>Oportuno!K397</f>
        <v>0</v>
      </c>
      <c r="L397" s="174">
        <f>Oportuno!L397</f>
        <v>0</v>
      </c>
      <c r="M397" s="174">
        <f>Oportuno!M397</f>
        <v>0</v>
      </c>
      <c r="N397" s="174">
        <f>Oportuno!N397</f>
        <v>0</v>
      </c>
      <c r="O397" s="174">
        <f>Oportuno!O397</f>
        <v>0</v>
      </c>
      <c r="P397" s="174">
        <f>Oportuno!P397</f>
        <v>0</v>
      </c>
      <c r="Q397" s="174">
        <f>Oportuno!Q397</f>
        <v>0</v>
      </c>
      <c r="R397" s="174">
        <f>Oportuno!R397</f>
        <v>0</v>
      </c>
      <c r="S397" s="215">
        <f>Oportuno!S397</f>
        <v>0</v>
      </c>
      <c r="T397" s="71">
        <f>Oportuno!T397</f>
        <v>0</v>
      </c>
      <c r="U397" s="71">
        <f>Oportuno!U397</f>
        <v>0</v>
      </c>
      <c r="V397" s="117">
        <f>Oportuno!V397</f>
        <v>0</v>
      </c>
      <c r="W397" s="117">
        <f>Oportuno!W397</f>
        <v>0</v>
      </c>
      <c r="X397" s="71">
        <f>Oportuno!X397</f>
        <v>0</v>
      </c>
      <c r="Y397" s="71">
        <f>Oportuno!Y397</f>
        <v>0</v>
      </c>
      <c r="AA397" s="65"/>
    </row>
    <row r="398" spans="2:27" ht="13" customHeight="1">
      <c r="B398" s="119">
        <f>Oportuno!B398</f>
        <v>0</v>
      </c>
      <c r="C398" s="23">
        <f>Oportuno!C398</f>
        <v>2026091</v>
      </c>
      <c r="D398" s="23">
        <f>Oportuno!D398</f>
        <v>14</v>
      </c>
      <c r="E398" s="128">
        <f>Oportuno!E398</f>
        <v>0</v>
      </c>
      <c r="F398" s="126" t="e">
        <f>Oportuno!F398</f>
        <v>#N/A</v>
      </c>
      <c r="G398" s="36">
        <f>Oportuno!G398</f>
        <v>1</v>
      </c>
      <c r="H398" s="126" t="str">
        <f>Oportuno!H398</f>
        <v>Oficinas</v>
      </c>
      <c r="I398" s="130">
        <f>Oportuno!I398</f>
        <v>0</v>
      </c>
      <c r="J398" s="174">
        <f>Oportuno!J398</f>
        <v>0</v>
      </c>
      <c r="K398" s="174">
        <f>Oportuno!K398</f>
        <v>0</v>
      </c>
      <c r="L398" s="174">
        <f>Oportuno!L398</f>
        <v>0</v>
      </c>
      <c r="M398" s="174">
        <f>Oportuno!M398</f>
        <v>0</v>
      </c>
      <c r="N398" s="174">
        <f>Oportuno!N398</f>
        <v>0</v>
      </c>
      <c r="O398" s="174">
        <f>Oportuno!O398</f>
        <v>0</v>
      </c>
      <c r="P398" s="174">
        <f>Oportuno!P398</f>
        <v>0</v>
      </c>
      <c r="Q398" s="174">
        <f>Oportuno!Q398</f>
        <v>0</v>
      </c>
      <c r="R398" s="174">
        <f>Oportuno!R398</f>
        <v>0</v>
      </c>
      <c r="S398" s="215">
        <f>Oportuno!S398</f>
        <v>0</v>
      </c>
      <c r="T398" s="71">
        <f>Oportuno!T398</f>
        <v>0</v>
      </c>
      <c r="U398" s="71">
        <f>Oportuno!U398</f>
        <v>0</v>
      </c>
      <c r="V398" s="117">
        <f>Oportuno!V398</f>
        <v>0</v>
      </c>
      <c r="W398" s="117">
        <f>Oportuno!W398</f>
        <v>0</v>
      </c>
      <c r="X398" s="71">
        <f>Oportuno!X398</f>
        <v>0</v>
      </c>
      <c r="Y398" s="71">
        <f>Oportuno!Y398</f>
        <v>0</v>
      </c>
      <c r="AA398" s="65"/>
    </row>
    <row r="399" spans="2:27" ht="13" customHeight="1">
      <c r="B399" s="119">
        <f>Oportuno!B399</f>
        <v>0</v>
      </c>
      <c r="C399" s="23">
        <f>Oportuno!C399</f>
        <v>2026091</v>
      </c>
      <c r="D399" s="23">
        <f>Oportuno!D399</f>
        <v>14</v>
      </c>
      <c r="E399" s="128">
        <f>Oportuno!E399</f>
        <v>0</v>
      </c>
      <c r="F399" s="126" t="e">
        <f>Oportuno!F399</f>
        <v>#N/A</v>
      </c>
      <c r="G399" s="36">
        <f>Oportuno!G399</f>
        <v>1</v>
      </c>
      <c r="H399" s="126" t="str">
        <f>Oportuno!H399</f>
        <v>Oficinas</v>
      </c>
      <c r="I399" s="130">
        <f>Oportuno!I399</f>
        <v>0</v>
      </c>
      <c r="J399" s="174">
        <f>Oportuno!J399</f>
        <v>0</v>
      </c>
      <c r="K399" s="174">
        <f>Oportuno!K399</f>
        <v>0</v>
      </c>
      <c r="L399" s="174">
        <f>Oportuno!L399</f>
        <v>0</v>
      </c>
      <c r="M399" s="174">
        <f>Oportuno!M399</f>
        <v>0</v>
      </c>
      <c r="N399" s="174">
        <f>Oportuno!N399</f>
        <v>0</v>
      </c>
      <c r="O399" s="174">
        <f>Oportuno!O399</f>
        <v>0</v>
      </c>
      <c r="P399" s="174">
        <f>Oportuno!P399</f>
        <v>0</v>
      </c>
      <c r="Q399" s="174">
        <f>Oportuno!Q399</f>
        <v>0</v>
      </c>
      <c r="R399" s="174">
        <f>Oportuno!R399</f>
        <v>0</v>
      </c>
      <c r="S399" s="215">
        <f>Oportuno!S399</f>
        <v>0</v>
      </c>
      <c r="T399" s="71">
        <f>Oportuno!T399</f>
        <v>0</v>
      </c>
      <c r="U399" s="71">
        <f>Oportuno!U399</f>
        <v>0</v>
      </c>
      <c r="V399" s="117">
        <f>Oportuno!V399</f>
        <v>0</v>
      </c>
      <c r="W399" s="117">
        <f>Oportuno!W399</f>
        <v>0</v>
      </c>
      <c r="X399" s="71">
        <f>Oportuno!X399</f>
        <v>0</v>
      </c>
      <c r="Y399" s="71">
        <f>Oportuno!Y399</f>
        <v>0</v>
      </c>
      <c r="AA399" s="65"/>
    </row>
    <row r="400" spans="2:27" ht="13" customHeight="1">
      <c r="B400" s="119">
        <f>Oportuno!B400</f>
        <v>0</v>
      </c>
      <c r="C400" s="23">
        <f>Oportuno!C400</f>
        <v>2026091</v>
      </c>
      <c r="D400" s="23">
        <f>Oportuno!D400</f>
        <v>14</v>
      </c>
      <c r="E400" s="128">
        <f>Oportuno!E400</f>
        <v>0</v>
      </c>
      <c r="F400" s="126" t="e">
        <f>Oportuno!F400</f>
        <v>#N/A</v>
      </c>
      <c r="G400" s="36">
        <f>Oportuno!G400</f>
        <v>1</v>
      </c>
      <c r="H400" s="126" t="str">
        <f>Oportuno!H400</f>
        <v>Oficinas</v>
      </c>
      <c r="I400" s="130">
        <f>Oportuno!I400</f>
        <v>0</v>
      </c>
      <c r="J400" s="174">
        <f>Oportuno!J400</f>
        <v>0</v>
      </c>
      <c r="K400" s="174">
        <f>Oportuno!K400</f>
        <v>0</v>
      </c>
      <c r="L400" s="174">
        <f>Oportuno!L400</f>
        <v>0</v>
      </c>
      <c r="M400" s="174">
        <f>Oportuno!M400</f>
        <v>0</v>
      </c>
      <c r="N400" s="174">
        <f>Oportuno!N400</f>
        <v>0</v>
      </c>
      <c r="O400" s="174">
        <f>Oportuno!O400</f>
        <v>0</v>
      </c>
      <c r="P400" s="174">
        <f>Oportuno!P400</f>
        <v>0</v>
      </c>
      <c r="Q400" s="174">
        <f>Oportuno!Q400</f>
        <v>0</v>
      </c>
      <c r="R400" s="174">
        <f>Oportuno!R400</f>
        <v>0</v>
      </c>
      <c r="S400" s="215">
        <f>Oportuno!S400</f>
        <v>0</v>
      </c>
      <c r="T400" s="71">
        <f>Oportuno!T400</f>
        <v>0</v>
      </c>
      <c r="U400" s="71">
        <f>Oportuno!U400</f>
        <v>0</v>
      </c>
      <c r="V400" s="117">
        <f>Oportuno!V400</f>
        <v>0</v>
      </c>
      <c r="W400" s="117">
        <f>Oportuno!W400</f>
        <v>0</v>
      </c>
      <c r="X400" s="71">
        <f>Oportuno!X400</f>
        <v>0</v>
      </c>
      <c r="Y400" s="71">
        <f>Oportuno!Y400</f>
        <v>0</v>
      </c>
      <c r="AA400" s="65"/>
    </row>
    <row r="401" spans="2:27 16101:16120" ht="13" customHeight="1" thickBot="1">
      <c r="B401" s="119">
        <f>Oportuno!B401</f>
        <v>0</v>
      </c>
      <c r="C401" s="23">
        <f>Oportuno!C401</f>
        <v>2026091</v>
      </c>
      <c r="D401" s="23">
        <f>Oportuno!D401</f>
        <v>14</v>
      </c>
      <c r="E401" s="128">
        <f>Oportuno!E401</f>
        <v>0</v>
      </c>
      <c r="F401" s="126" t="e">
        <f>Oportuno!F401</f>
        <v>#N/A</v>
      </c>
      <c r="G401" s="36">
        <f>Oportuno!G401</f>
        <v>1</v>
      </c>
      <c r="H401" s="126" t="str">
        <f>Oportuno!H401</f>
        <v>Oficinas</v>
      </c>
      <c r="I401" s="130">
        <f>Oportuno!I401</f>
        <v>0</v>
      </c>
      <c r="J401" s="174">
        <f>Oportuno!J401</f>
        <v>0</v>
      </c>
      <c r="K401" s="174">
        <f>Oportuno!K401</f>
        <v>0</v>
      </c>
      <c r="L401" s="174">
        <f>Oportuno!L401</f>
        <v>0</v>
      </c>
      <c r="M401" s="174">
        <f>Oportuno!M401</f>
        <v>0</v>
      </c>
      <c r="N401" s="174">
        <f>Oportuno!N401</f>
        <v>0</v>
      </c>
      <c r="O401" s="174">
        <f>Oportuno!O401</f>
        <v>0</v>
      </c>
      <c r="P401" s="174">
        <f>Oportuno!P401</f>
        <v>0</v>
      </c>
      <c r="Q401" s="174">
        <f>Oportuno!Q401</f>
        <v>0</v>
      </c>
      <c r="R401" s="174">
        <f>Oportuno!R401</f>
        <v>0</v>
      </c>
      <c r="S401" s="215">
        <f>Oportuno!S401</f>
        <v>0</v>
      </c>
      <c r="T401" s="71">
        <f>Oportuno!T401</f>
        <v>0</v>
      </c>
      <c r="U401" s="71">
        <f>Oportuno!U401</f>
        <v>0</v>
      </c>
      <c r="V401" s="117">
        <f>Oportuno!V401</f>
        <v>0</v>
      </c>
      <c r="W401" s="117">
        <f>Oportuno!W401</f>
        <v>0</v>
      </c>
      <c r="X401" s="71">
        <f>Oportuno!X401</f>
        <v>0</v>
      </c>
      <c r="Y401" s="71">
        <f>Oportuno!Y401</f>
        <v>0</v>
      </c>
      <c r="AA401" s="65"/>
    </row>
    <row r="402" spans="2:27 16101:16120" ht="13" customHeight="1" thickBot="1">
      <c r="B402" s="1" t="s">
        <v>0</v>
      </c>
      <c r="C402" s="1" t="s">
        <v>0</v>
      </c>
      <c r="D402" s="20" t="s">
        <v>0</v>
      </c>
      <c r="E402" s="120" t="str">
        <f>Oportuno!E402</f>
        <v xml:space="preserve"> </v>
      </c>
      <c r="F402" s="121" t="str">
        <f>Oportuno!F402</f>
        <v>TOTAL RECAUDO</v>
      </c>
      <c r="G402" s="121" t="s">
        <v>0</v>
      </c>
      <c r="H402" s="121" t="s">
        <v>0</v>
      </c>
      <c r="I402" s="121" t="s">
        <v>0</v>
      </c>
      <c r="J402" s="122">
        <f>Oportuno!J402</f>
        <v>0</v>
      </c>
      <c r="K402" s="122">
        <f>Oportuno!K402</f>
        <v>0</v>
      </c>
      <c r="L402" s="122">
        <f>Oportuno!L402</f>
        <v>0</v>
      </c>
      <c r="M402" s="122">
        <f>Oportuno!M402</f>
        <v>0</v>
      </c>
      <c r="N402" s="122">
        <f>Oportuno!N402</f>
        <v>0</v>
      </c>
      <c r="O402" s="122">
        <f>Oportuno!O402</f>
        <v>0</v>
      </c>
      <c r="P402" s="122">
        <f>Oportuno!P402</f>
        <v>0</v>
      </c>
      <c r="Q402" s="122">
        <f>Oportuno!Q402</f>
        <v>0</v>
      </c>
      <c r="R402" s="122">
        <f>Oportuno!R402</f>
        <v>177</v>
      </c>
      <c r="S402" s="122">
        <f>Oportuno!S402</f>
        <v>8269972</v>
      </c>
      <c r="T402" s="122">
        <f>Oportuno!T402</f>
        <v>177</v>
      </c>
      <c r="U402" s="122">
        <f>Oportuno!U402</f>
        <v>8269972</v>
      </c>
      <c r="V402" s="123">
        <f>Oportuno!V402</f>
        <v>177</v>
      </c>
      <c r="W402" s="123">
        <f>Oportuno!W402</f>
        <v>8269972</v>
      </c>
      <c r="X402" s="122">
        <f>Oportuno!X402</f>
        <v>0</v>
      </c>
      <c r="Y402" s="123">
        <f>Oportuno!Y402</f>
        <v>0</v>
      </c>
      <c r="AA402" s="65"/>
    </row>
    <row r="403" spans="2:27 16101:16120" ht="13" thickBot="1">
      <c r="AA403" s="65"/>
    </row>
    <row r="404" spans="2:27 16101:16120" ht="41.25" customHeight="1" thickBot="1">
      <c r="B404" s="112" t="s">
        <v>4</v>
      </c>
      <c r="C404" s="34" t="s">
        <v>6</v>
      </c>
      <c r="D404" s="34" t="s">
        <v>7</v>
      </c>
      <c r="E404" s="34" t="s">
        <v>49</v>
      </c>
      <c r="F404" s="34" t="s">
        <v>50</v>
      </c>
      <c r="G404" s="34" t="s">
        <v>51</v>
      </c>
      <c r="H404" s="34" t="s">
        <v>52</v>
      </c>
      <c r="I404" s="34" t="s">
        <v>13</v>
      </c>
      <c r="J404" s="231" t="s">
        <v>8</v>
      </c>
      <c r="K404" s="231" t="s">
        <v>36</v>
      </c>
      <c r="L404" s="12" t="s">
        <v>9</v>
      </c>
      <c r="M404" s="12" t="s">
        <v>37</v>
      </c>
      <c r="N404" s="87" t="s">
        <v>10</v>
      </c>
      <c r="O404" s="88" t="s">
        <v>38</v>
      </c>
      <c r="P404" s="87" t="s">
        <v>11</v>
      </c>
      <c r="Q404" s="88" t="s">
        <v>39</v>
      </c>
      <c r="R404" s="232" t="s">
        <v>12</v>
      </c>
      <c r="S404" s="233" t="s">
        <v>40</v>
      </c>
      <c r="T404" s="64" t="s">
        <v>41</v>
      </c>
      <c r="U404" s="64" t="s">
        <v>42</v>
      </c>
      <c r="V404" s="35" t="s">
        <v>32</v>
      </c>
      <c r="W404" s="67" t="s">
        <v>35</v>
      </c>
      <c r="X404" s="12" t="s">
        <v>34</v>
      </c>
      <c r="Y404" s="68" t="s">
        <v>33</v>
      </c>
      <c r="AA404" s="66"/>
      <c r="WUG404" s="1"/>
      <c r="WUH404" s="1"/>
      <c r="WUY404"/>
      <c r="WUZ404"/>
    </row>
    <row r="405" spans="2:27 16101:16120" ht="13" customHeight="1">
      <c r="B405" s="119" t="str">
        <f>Oportuno!B405</f>
        <v>16/09/2026</v>
      </c>
      <c r="C405" s="24">
        <f>Oportuno!C405</f>
        <v>2026091</v>
      </c>
      <c r="D405" s="24">
        <f>Oportuno!D405</f>
        <v>15</v>
      </c>
      <c r="E405" s="127">
        <f>Oportuno!E405</f>
        <v>20</v>
      </c>
      <c r="F405" s="125" t="str">
        <f>Oportuno!F405</f>
        <v>Bancolombia ENERBIT</v>
      </c>
      <c r="G405" s="18">
        <f>Oportuno!G405</f>
        <v>1</v>
      </c>
      <c r="H405" s="125" t="str">
        <f>Oportuno!H405</f>
        <v>Oficinas</v>
      </c>
      <c r="I405" s="129">
        <f>Oportuno!I405</f>
        <v>0</v>
      </c>
      <c r="J405" s="213">
        <f>Oportuno!J405</f>
        <v>0</v>
      </c>
      <c r="K405" s="213">
        <f>Oportuno!K405</f>
        <v>0</v>
      </c>
      <c r="L405" s="213">
        <f>Oportuno!L405</f>
        <v>0</v>
      </c>
      <c r="M405" s="213">
        <f>Oportuno!M405</f>
        <v>0</v>
      </c>
      <c r="N405" s="213">
        <f>Oportuno!N405</f>
        <v>0</v>
      </c>
      <c r="O405" s="213">
        <f>Oportuno!O405</f>
        <v>0</v>
      </c>
      <c r="P405" s="213">
        <f>Oportuno!P405</f>
        <v>0</v>
      </c>
      <c r="Q405" s="213">
        <f>Oportuno!Q405</f>
        <v>0</v>
      </c>
      <c r="R405" s="213">
        <f>Oportuno!R405</f>
        <v>143</v>
      </c>
      <c r="S405" s="214">
        <f>Oportuno!S405</f>
        <v>6669370</v>
      </c>
      <c r="T405" s="70">
        <f>Oportuno!T405</f>
        <v>143</v>
      </c>
      <c r="U405" s="70">
        <f>Oportuno!U405</f>
        <v>6669370</v>
      </c>
      <c r="V405" s="116">
        <f>Oportuno!V405</f>
        <v>143</v>
      </c>
      <c r="W405" s="116">
        <f>Oportuno!W405</f>
        <v>6669370</v>
      </c>
      <c r="X405" s="70">
        <f>Oportuno!X405</f>
        <v>0</v>
      </c>
      <c r="Y405" s="70">
        <f>Oportuno!Y405</f>
        <v>0</v>
      </c>
      <c r="AA405" s="65"/>
    </row>
    <row r="406" spans="2:27 16101:16120" ht="13" customHeight="1">
      <c r="B406" s="119">
        <f>Oportuno!B406</f>
        <v>0</v>
      </c>
      <c r="C406" s="23">
        <f>Oportuno!C406</f>
        <v>2026091</v>
      </c>
      <c r="D406" s="23">
        <f>Oportuno!D406</f>
        <v>15</v>
      </c>
      <c r="E406" s="128">
        <f>Oportuno!E406</f>
        <v>0</v>
      </c>
      <c r="F406" s="126" t="e">
        <f>Oportuno!F406</f>
        <v>#N/A</v>
      </c>
      <c r="G406" s="36">
        <f>Oportuno!G406</f>
        <v>1</v>
      </c>
      <c r="H406" s="126" t="str">
        <f>Oportuno!H406</f>
        <v>Oficinas</v>
      </c>
      <c r="I406" s="130">
        <f>Oportuno!I406</f>
        <v>0</v>
      </c>
      <c r="J406" s="174">
        <f>Oportuno!J406</f>
        <v>0</v>
      </c>
      <c r="K406" s="174">
        <f>Oportuno!K406</f>
        <v>0</v>
      </c>
      <c r="L406" s="174">
        <f>Oportuno!L406</f>
        <v>0</v>
      </c>
      <c r="M406" s="174">
        <f>Oportuno!M406</f>
        <v>0</v>
      </c>
      <c r="N406" s="174">
        <f>Oportuno!N406</f>
        <v>0</v>
      </c>
      <c r="O406" s="174">
        <f>Oportuno!O406</f>
        <v>0</v>
      </c>
      <c r="P406" s="174">
        <f>Oportuno!P406</f>
        <v>0</v>
      </c>
      <c r="Q406" s="174">
        <f>Oportuno!Q406</f>
        <v>0</v>
      </c>
      <c r="R406" s="174">
        <f>Oportuno!R406</f>
        <v>0</v>
      </c>
      <c r="S406" s="215">
        <f>Oportuno!S406</f>
        <v>0</v>
      </c>
      <c r="T406" s="71">
        <f>Oportuno!T406</f>
        <v>0</v>
      </c>
      <c r="U406" s="71">
        <f>Oportuno!U406</f>
        <v>0</v>
      </c>
      <c r="V406" s="117">
        <f>Oportuno!V406</f>
        <v>0</v>
      </c>
      <c r="W406" s="117">
        <f>Oportuno!W406</f>
        <v>0</v>
      </c>
      <c r="X406" s="71">
        <f>Oportuno!X406</f>
        <v>0</v>
      </c>
      <c r="Y406" s="71">
        <f>Oportuno!Y406</f>
        <v>0</v>
      </c>
      <c r="AA406" s="65"/>
    </row>
    <row r="407" spans="2:27 16101:16120" ht="13" customHeight="1">
      <c r="B407" s="119">
        <f>Oportuno!B407</f>
        <v>0</v>
      </c>
      <c r="C407" s="23">
        <f>Oportuno!C407</f>
        <v>2026091</v>
      </c>
      <c r="D407" s="23">
        <f>Oportuno!D407</f>
        <v>15</v>
      </c>
      <c r="E407" s="128">
        <f>Oportuno!E407</f>
        <v>0</v>
      </c>
      <c r="F407" s="126" t="e">
        <f>Oportuno!F407</f>
        <v>#N/A</v>
      </c>
      <c r="G407" s="36">
        <f>Oportuno!G407</f>
        <v>1</v>
      </c>
      <c r="H407" s="126" t="str">
        <f>Oportuno!H407</f>
        <v>Oficinas</v>
      </c>
      <c r="I407" s="130">
        <f>Oportuno!I407</f>
        <v>0</v>
      </c>
      <c r="J407" s="174">
        <f>Oportuno!J407</f>
        <v>0</v>
      </c>
      <c r="K407" s="174">
        <f>Oportuno!K407</f>
        <v>0</v>
      </c>
      <c r="L407" s="174">
        <f>Oportuno!L407</f>
        <v>0</v>
      </c>
      <c r="M407" s="174">
        <f>Oportuno!M407</f>
        <v>0</v>
      </c>
      <c r="N407" s="174">
        <f>Oportuno!N407</f>
        <v>0</v>
      </c>
      <c r="O407" s="174">
        <f>Oportuno!O407</f>
        <v>0</v>
      </c>
      <c r="P407" s="174">
        <f>Oportuno!P407</f>
        <v>0</v>
      </c>
      <c r="Q407" s="174">
        <f>Oportuno!Q407</f>
        <v>0</v>
      </c>
      <c r="R407" s="174">
        <f>Oportuno!R407</f>
        <v>0</v>
      </c>
      <c r="S407" s="215">
        <f>Oportuno!S407</f>
        <v>0</v>
      </c>
      <c r="T407" s="71">
        <f>Oportuno!T407</f>
        <v>0</v>
      </c>
      <c r="U407" s="71">
        <f>Oportuno!U407</f>
        <v>0</v>
      </c>
      <c r="V407" s="117">
        <f>Oportuno!V407</f>
        <v>0</v>
      </c>
      <c r="W407" s="117">
        <f>Oportuno!W407</f>
        <v>0</v>
      </c>
      <c r="X407" s="71">
        <f>Oportuno!X407</f>
        <v>0</v>
      </c>
      <c r="Y407" s="71">
        <f>Oportuno!Y407</f>
        <v>0</v>
      </c>
      <c r="AA407" s="65"/>
    </row>
    <row r="408" spans="2:27 16101:16120" ht="13" customHeight="1">
      <c r="B408" s="119">
        <f>Oportuno!B408</f>
        <v>0</v>
      </c>
      <c r="C408" s="23">
        <f>Oportuno!C408</f>
        <v>2026091</v>
      </c>
      <c r="D408" s="23">
        <f>Oportuno!D408</f>
        <v>15</v>
      </c>
      <c r="E408" s="128">
        <f>Oportuno!E408</f>
        <v>0</v>
      </c>
      <c r="F408" s="126" t="e">
        <f>Oportuno!F408</f>
        <v>#N/A</v>
      </c>
      <c r="G408" s="36">
        <f>Oportuno!G408</f>
        <v>1</v>
      </c>
      <c r="H408" s="126" t="str">
        <f>Oportuno!H408</f>
        <v>Oficinas</v>
      </c>
      <c r="I408" s="130">
        <f>Oportuno!I408</f>
        <v>0</v>
      </c>
      <c r="J408" s="174">
        <f>Oportuno!J408</f>
        <v>0</v>
      </c>
      <c r="K408" s="174">
        <f>Oportuno!K408</f>
        <v>0</v>
      </c>
      <c r="L408" s="174">
        <f>Oportuno!L408</f>
        <v>0</v>
      </c>
      <c r="M408" s="174">
        <f>Oportuno!M408</f>
        <v>0</v>
      </c>
      <c r="N408" s="174">
        <f>Oportuno!N408</f>
        <v>0</v>
      </c>
      <c r="O408" s="174">
        <f>Oportuno!O408</f>
        <v>0</v>
      </c>
      <c r="P408" s="174">
        <f>Oportuno!P408</f>
        <v>0</v>
      </c>
      <c r="Q408" s="174">
        <f>Oportuno!Q408</f>
        <v>0</v>
      </c>
      <c r="R408" s="174">
        <f>Oportuno!R408</f>
        <v>0</v>
      </c>
      <c r="S408" s="215">
        <f>Oportuno!S408</f>
        <v>0</v>
      </c>
      <c r="T408" s="71">
        <f>Oportuno!T408</f>
        <v>0</v>
      </c>
      <c r="U408" s="71">
        <f>Oportuno!U408</f>
        <v>0</v>
      </c>
      <c r="V408" s="117">
        <f>Oportuno!V408</f>
        <v>0</v>
      </c>
      <c r="W408" s="117">
        <f>Oportuno!W408</f>
        <v>0</v>
      </c>
      <c r="X408" s="71">
        <f>Oportuno!X408</f>
        <v>0</v>
      </c>
      <c r="Y408" s="71">
        <f>Oportuno!Y408</f>
        <v>0</v>
      </c>
      <c r="AA408" s="65"/>
    </row>
    <row r="409" spans="2:27 16101:16120" ht="13" customHeight="1">
      <c r="B409" s="119">
        <f>Oportuno!B409</f>
        <v>0</v>
      </c>
      <c r="C409" s="23">
        <f>Oportuno!C409</f>
        <v>2026091</v>
      </c>
      <c r="D409" s="23">
        <f>Oportuno!D409</f>
        <v>15</v>
      </c>
      <c r="E409" s="128">
        <f>Oportuno!E409</f>
        <v>0</v>
      </c>
      <c r="F409" s="126" t="e">
        <f>Oportuno!F409</f>
        <v>#N/A</v>
      </c>
      <c r="G409" s="36">
        <f>Oportuno!G409</f>
        <v>1</v>
      </c>
      <c r="H409" s="126" t="str">
        <f>Oportuno!H409</f>
        <v>Oficinas</v>
      </c>
      <c r="I409" s="130">
        <f>Oportuno!I409</f>
        <v>0</v>
      </c>
      <c r="J409" s="174">
        <f>Oportuno!J409</f>
        <v>0</v>
      </c>
      <c r="K409" s="174">
        <f>Oportuno!K409</f>
        <v>0</v>
      </c>
      <c r="L409" s="174">
        <f>Oportuno!L409</f>
        <v>0</v>
      </c>
      <c r="M409" s="174">
        <f>Oportuno!M409</f>
        <v>0</v>
      </c>
      <c r="N409" s="174">
        <f>Oportuno!N409</f>
        <v>0</v>
      </c>
      <c r="O409" s="174">
        <f>Oportuno!O409</f>
        <v>0</v>
      </c>
      <c r="P409" s="174">
        <f>Oportuno!P409</f>
        <v>0</v>
      </c>
      <c r="Q409" s="174">
        <f>Oportuno!Q409</f>
        <v>0</v>
      </c>
      <c r="R409" s="174">
        <f>Oportuno!R409</f>
        <v>0</v>
      </c>
      <c r="S409" s="215">
        <f>Oportuno!S409</f>
        <v>0</v>
      </c>
      <c r="T409" s="71">
        <f>Oportuno!T409</f>
        <v>0</v>
      </c>
      <c r="U409" s="71">
        <f>Oportuno!U409</f>
        <v>0</v>
      </c>
      <c r="V409" s="117">
        <f>Oportuno!V409</f>
        <v>0</v>
      </c>
      <c r="W409" s="117">
        <f>Oportuno!W409</f>
        <v>0</v>
      </c>
      <c r="X409" s="71">
        <f>Oportuno!X409</f>
        <v>0</v>
      </c>
      <c r="Y409" s="71">
        <f>Oportuno!Y409</f>
        <v>0</v>
      </c>
      <c r="AA409" s="65"/>
    </row>
    <row r="410" spans="2:27 16101:16120" ht="13" customHeight="1">
      <c r="B410" s="119">
        <f>Oportuno!B410</f>
        <v>0</v>
      </c>
      <c r="C410" s="23">
        <f>Oportuno!C410</f>
        <v>2026091</v>
      </c>
      <c r="D410" s="23">
        <f>Oportuno!D410</f>
        <v>15</v>
      </c>
      <c r="E410" s="128">
        <f>Oportuno!E410</f>
        <v>0</v>
      </c>
      <c r="F410" s="126" t="e">
        <f>Oportuno!F410</f>
        <v>#N/A</v>
      </c>
      <c r="G410" s="36">
        <f>Oportuno!G410</f>
        <v>1</v>
      </c>
      <c r="H410" s="126" t="str">
        <f>Oportuno!H410</f>
        <v>Oficinas</v>
      </c>
      <c r="I410" s="130">
        <f>Oportuno!I410</f>
        <v>0</v>
      </c>
      <c r="J410" s="174">
        <f>Oportuno!J410</f>
        <v>0</v>
      </c>
      <c r="K410" s="174">
        <f>Oportuno!K410</f>
        <v>0</v>
      </c>
      <c r="L410" s="174">
        <f>Oportuno!L410</f>
        <v>0</v>
      </c>
      <c r="M410" s="174">
        <f>Oportuno!M410</f>
        <v>0</v>
      </c>
      <c r="N410" s="174">
        <f>Oportuno!N410</f>
        <v>0</v>
      </c>
      <c r="O410" s="174">
        <f>Oportuno!O410</f>
        <v>0</v>
      </c>
      <c r="P410" s="174">
        <f>Oportuno!P410</f>
        <v>0</v>
      </c>
      <c r="Q410" s="174">
        <f>Oportuno!Q410</f>
        <v>0</v>
      </c>
      <c r="R410" s="174">
        <f>Oportuno!R410</f>
        <v>0</v>
      </c>
      <c r="S410" s="215">
        <f>Oportuno!S410</f>
        <v>0</v>
      </c>
      <c r="T410" s="71">
        <f>Oportuno!T410</f>
        <v>0</v>
      </c>
      <c r="U410" s="71">
        <f>Oportuno!U410</f>
        <v>0</v>
      </c>
      <c r="V410" s="117">
        <f>Oportuno!V410</f>
        <v>0</v>
      </c>
      <c r="W410" s="117">
        <f>Oportuno!W410</f>
        <v>0</v>
      </c>
      <c r="X410" s="71">
        <f>Oportuno!X410</f>
        <v>0</v>
      </c>
      <c r="Y410" s="71">
        <f>Oportuno!Y410</f>
        <v>0</v>
      </c>
      <c r="AA410" s="65"/>
    </row>
    <row r="411" spans="2:27 16101:16120" ht="13" customHeight="1">
      <c r="B411" s="119">
        <f>Oportuno!B411</f>
        <v>0</v>
      </c>
      <c r="C411" s="23">
        <f>Oportuno!C411</f>
        <v>2026091</v>
      </c>
      <c r="D411" s="23">
        <f>Oportuno!D411</f>
        <v>15</v>
      </c>
      <c r="E411" s="128">
        <f>Oportuno!E411</f>
        <v>0</v>
      </c>
      <c r="F411" s="126" t="e">
        <f>Oportuno!F411</f>
        <v>#N/A</v>
      </c>
      <c r="G411" s="36">
        <f>Oportuno!G411</f>
        <v>1</v>
      </c>
      <c r="H411" s="126" t="str">
        <f>Oportuno!H411</f>
        <v>Oficinas</v>
      </c>
      <c r="I411" s="130">
        <f>Oportuno!I411</f>
        <v>0</v>
      </c>
      <c r="J411" s="174">
        <f>Oportuno!J411</f>
        <v>0</v>
      </c>
      <c r="K411" s="174">
        <f>Oportuno!K411</f>
        <v>0</v>
      </c>
      <c r="L411" s="174">
        <f>Oportuno!L411</f>
        <v>0</v>
      </c>
      <c r="M411" s="174">
        <f>Oportuno!M411</f>
        <v>0</v>
      </c>
      <c r="N411" s="174">
        <f>Oportuno!N411</f>
        <v>0</v>
      </c>
      <c r="O411" s="174">
        <f>Oportuno!O411</f>
        <v>0</v>
      </c>
      <c r="P411" s="174">
        <f>Oportuno!P411</f>
        <v>0</v>
      </c>
      <c r="Q411" s="174">
        <f>Oportuno!Q411</f>
        <v>0</v>
      </c>
      <c r="R411" s="174">
        <f>Oportuno!R411</f>
        <v>0</v>
      </c>
      <c r="S411" s="215">
        <f>Oportuno!S411</f>
        <v>0</v>
      </c>
      <c r="T411" s="71">
        <f>Oportuno!T411</f>
        <v>0</v>
      </c>
      <c r="U411" s="71">
        <f>Oportuno!U411</f>
        <v>0</v>
      </c>
      <c r="V411" s="117">
        <f>Oportuno!V411</f>
        <v>0</v>
      </c>
      <c r="W411" s="117">
        <f>Oportuno!W411</f>
        <v>0</v>
      </c>
      <c r="X411" s="71">
        <f>Oportuno!X411</f>
        <v>0</v>
      </c>
      <c r="Y411" s="71">
        <f>Oportuno!Y411</f>
        <v>0</v>
      </c>
      <c r="AA411" s="65"/>
    </row>
    <row r="412" spans="2:27 16101:16120" ht="13" customHeight="1">
      <c r="B412" s="119">
        <f>Oportuno!B412</f>
        <v>0</v>
      </c>
      <c r="C412" s="23">
        <f>Oportuno!C412</f>
        <v>2026091</v>
      </c>
      <c r="D412" s="23">
        <f>Oportuno!D412</f>
        <v>15</v>
      </c>
      <c r="E412" s="128">
        <f>Oportuno!E412</f>
        <v>0</v>
      </c>
      <c r="F412" s="126" t="e">
        <f>Oportuno!F412</f>
        <v>#N/A</v>
      </c>
      <c r="G412" s="36">
        <f>Oportuno!G412</f>
        <v>1</v>
      </c>
      <c r="H412" s="126" t="str">
        <f>Oportuno!H412</f>
        <v>Oficinas</v>
      </c>
      <c r="I412" s="130">
        <f>Oportuno!I412</f>
        <v>0</v>
      </c>
      <c r="J412" s="174">
        <f>Oportuno!J412</f>
        <v>0</v>
      </c>
      <c r="K412" s="174">
        <f>Oportuno!K412</f>
        <v>0</v>
      </c>
      <c r="L412" s="174">
        <f>Oportuno!L412</f>
        <v>0</v>
      </c>
      <c r="M412" s="174">
        <f>Oportuno!M412</f>
        <v>0</v>
      </c>
      <c r="N412" s="174">
        <f>Oportuno!N412</f>
        <v>0</v>
      </c>
      <c r="O412" s="174">
        <f>Oportuno!O412</f>
        <v>0</v>
      </c>
      <c r="P412" s="174">
        <f>Oportuno!P412</f>
        <v>0</v>
      </c>
      <c r="Q412" s="174">
        <f>Oportuno!Q412</f>
        <v>0</v>
      </c>
      <c r="R412" s="174">
        <f>Oportuno!R412</f>
        <v>0</v>
      </c>
      <c r="S412" s="215">
        <f>Oportuno!S412</f>
        <v>0</v>
      </c>
      <c r="T412" s="71">
        <f>Oportuno!T412</f>
        <v>0</v>
      </c>
      <c r="U412" s="71">
        <f>Oportuno!U412</f>
        <v>0</v>
      </c>
      <c r="V412" s="117">
        <f>Oportuno!V412</f>
        <v>0</v>
      </c>
      <c r="W412" s="117">
        <f>Oportuno!W412</f>
        <v>0</v>
      </c>
      <c r="X412" s="71">
        <f>Oportuno!X412</f>
        <v>0</v>
      </c>
      <c r="Y412" s="71">
        <f>Oportuno!Y412</f>
        <v>0</v>
      </c>
      <c r="AA412" s="65"/>
    </row>
    <row r="413" spans="2:27 16101:16120" ht="13" customHeight="1">
      <c r="B413" s="119">
        <f>Oportuno!B413</f>
        <v>0</v>
      </c>
      <c r="C413" s="23">
        <f>Oportuno!C413</f>
        <v>2026091</v>
      </c>
      <c r="D413" s="23">
        <f>Oportuno!D413</f>
        <v>15</v>
      </c>
      <c r="E413" s="128">
        <f>Oportuno!E413</f>
        <v>0</v>
      </c>
      <c r="F413" s="126" t="e">
        <f>Oportuno!F413</f>
        <v>#N/A</v>
      </c>
      <c r="G413" s="36">
        <f>Oportuno!G413</f>
        <v>1</v>
      </c>
      <c r="H413" s="126" t="str">
        <f>Oportuno!H413</f>
        <v>Oficinas</v>
      </c>
      <c r="I413" s="130">
        <f>Oportuno!I413</f>
        <v>0</v>
      </c>
      <c r="J413" s="174">
        <f>Oportuno!J413</f>
        <v>0</v>
      </c>
      <c r="K413" s="174">
        <f>Oportuno!K413</f>
        <v>0</v>
      </c>
      <c r="L413" s="174">
        <f>Oportuno!L413</f>
        <v>0</v>
      </c>
      <c r="M413" s="174">
        <f>Oportuno!M413</f>
        <v>0</v>
      </c>
      <c r="N413" s="174">
        <f>Oportuno!N413</f>
        <v>0</v>
      </c>
      <c r="O413" s="174">
        <f>Oportuno!O413</f>
        <v>0</v>
      </c>
      <c r="P413" s="174">
        <f>Oportuno!P413</f>
        <v>0</v>
      </c>
      <c r="Q413" s="174">
        <f>Oportuno!Q413</f>
        <v>0</v>
      </c>
      <c r="R413" s="174">
        <f>Oportuno!R413</f>
        <v>0</v>
      </c>
      <c r="S413" s="215">
        <f>Oportuno!S413</f>
        <v>0</v>
      </c>
      <c r="T413" s="71">
        <f>Oportuno!T413</f>
        <v>0</v>
      </c>
      <c r="U413" s="71">
        <f>Oportuno!U413</f>
        <v>0</v>
      </c>
      <c r="V413" s="117">
        <f>Oportuno!V413</f>
        <v>0</v>
      </c>
      <c r="W413" s="117">
        <f>Oportuno!W413</f>
        <v>0</v>
      </c>
      <c r="X413" s="71">
        <f>Oportuno!X413</f>
        <v>0</v>
      </c>
      <c r="Y413" s="71">
        <f>Oportuno!Y413</f>
        <v>0</v>
      </c>
      <c r="AA413" s="65"/>
    </row>
    <row r="414" spans="2:27 16101:16120" ht="13" customHeight="1">
      <c r="B414" s="119">
        <f>Oportuno!B414</f>
        <v>0</v>
      </c>
      <c r="C414" s="23">
        <f>Oportuno!C414</f>
        <v>2026091</v>
      </c>
      <c r="D414" s="23">
        <f>Oportuno!D414</f>
        <v>15</v>
      </c>
      <c r="E414" s="128">
        <f>Oportuno!E414</f>
        <v>0</v>
      </c>
      <c r="F414" s="126" t="e">
        <f>Oportuno!F414</f>
        <v>#N/A</v>
      </c>
      <c r="G414" s="36">
        <f>Oportuno!G414</f>
        <v>1</v>
      </c>
      <c r="H414" s="126" t="str">
        <f>Oportuno!H414</f>
        <v>Oficinas</v>
      </c>
      <c r="I414" s="130">
        <f>Oportuno!I414</f>
        <v>0</v>
      </c>
      <c r="J414" s="174">
        <f>Oportuno!J414</f>
        <v>0</v>
      </c>
      <c r="K414" s="174">
        <f>Oportuno!K414</f>
        <v>0</v>
      </c>
      <c r="L414" s="174">
        <f>Oportuno!L414</f>
        <v>0</v>
      </c>
      <c r="M414" s="174">
        <f>Oportuno!M414</f>
        <v>0</v>
      </c>
      <c r="N414" s="174">
        <f>Oportuno!N414</f>
        <v>0</v>
      </c>
      <c r="O414" s="174">
        <f>Oportuno!O414</f>
        <v>0</v>
      </c>
      <c r="P414" s="174">
        <f>Oportuno!P414</f>
        <v>0</v>
      </c>
      <c r="Q414" s="174">
        <f>Oportuno!Q414</f>
        <v>0</v>
      </c>
      <c r="R414" s="174">
        <f>Oportuno!R414</f>
        <v>0</v>
      </c>
      <c r="S414" s="215">
        <f>Oportuno!S414</f>
        <v>0</v>
      </c>
      <c r="T414" s="71">
        <f>Oportuno!T414</f>
        <v>0</v>
      </c>
      <c r="U414" s="71">
        <f>Oportuno!U414</f>
        <v>0</v>
      </c>
      <c r="V414" s="117">
        <f>Oportuno!V414</f>
        <v>0</v>
      </c>
      <c r="W414" s="117">
        <f>Oportuno!W414</f>
        <v>0</v>
      </c>
      <c r="X414" s="71">
        <f>Oportuno!X414</f>
        <v>0</v>
      </c>
      <c r="Y414" s="71">
        <f>Oportuno!Y414</f>
        <v>0</v>
      </c>
      <c r="AA414" s="65"/>
    </row>
    <row r="415" spans="2:27 16101:16120" ht="13" customHeight="1">
      <c r="B415" s="119">
        <f>Oportuno!B415</f>
        <v>0</v>
      </c>
      <c r="C415" s="23">
        <f>Oportuno!C415</f>
        <v>2026091</v>
      </c>
      <c r="D415" s="23">
        <f>Oportuno!D415</f>
        <v>15</v>
      </c>
      <c r="E415" s="128">
        <f>Oportuno!E415</f>
        <v>0</v>
      </c>
      <c r="F415" s="126" t="e">
        <f>Oportuno!F415</f>
        <v>#N/A</v>
      </c>
      <c r="G415" s="36">
        <f>Oportuno!G415</f>
        <v>1</v>
      </c>
      <c r="H415" s="126" t="str">
        <f>Oportuno!H415</f>
        <v>Oficinas</v>
      </c>
      <c r="I415" s="130">
        <f>Oportuno!I415</f>
        <v>0</v>
      </c>
      <c r="J415" s="174">
        <f>Oportuno!J415</f>
        <v>0</v>
      </c>
      <c r="K415" s="174">
        <f>Oportuno!K415</f>
        <v>0</v>
      </c>
      <c r="L415" s="174">
        <f>Oportuno!L415</f>
        <v>0</v>
      </c>
      <c r="M415" s="174">
        <f>Oportuno!M415</f>
        <v>0</v>
      </c>
      <c r="N415" s="174">
        <f>Oportuno!N415</f>
        <v>0</v>
      </c>
      <c r="O415" s="174">
        <f>Oportuno!O415</f>
        <v>0</v>
      </c>
      <c r="P415" s="174">
        <f>Oportuno!P415</f>
        <v>0</v>
      </c>
      <c r="Q415" s="174">
        <f>Oportuno!Q415</f>
        <v>0</v>
      </c>
      <c r="R415" s="174">
        <f>Oportuno!R415</f>
        <v>0</v>
      </c>
      <c r="S415" s="215">
        <f>Oportuno!S415</f>
        <v>0</v>
      </c>
      <c r="T415" s="71">
        <f>Oportuno!T415</f>
        <v>0</v>
      </c>
      <c r="U415" s="71">
        <f>Oportuno!U415</f>
        <v>0</v>
      </c>
      <c r="V415" s="117">
        <f>Oportuno!V415</f>
        <v>0</v>
      </c>
      <c r="W415" s="117">
        <f>Oportuno!W415</f>
        <v>0</v>
      </c>
      <c r="X415" s="71">
        <f>Oportuno!X415</f>
        <v>0</v>
      </c>
      <c r="Y415" s="71">
        <f>Oportuno!Y415</f>
        <v>0</v>
      </c>
      <c r="AA415" s="65"/>
    </row>
    <row r="416" spans="2:27 16101:16120" ht="13" customHeight="1">
      <c r="B416" s="119">
        <f>Oportuno!B416</f>
        <v>0</v>
      </c>
      <c r="C416" s="23">
        <f>Oportuno!C416</f>
        <v>2026091</v>
      </c>
      <c r="D416" s="23">
        <f>Oportuno!D416</f>
        <v>15</v>
      </c>
      <c r="E416" s="128">
        <f>Oportuno!E416</f>
        <v>0</v>
      </c>
      <c r="F416" s="126" t="e">
        <f>Oportuno!F416</f>
        <v>#N/A</v>
      </c>
      <c r="G416" s="36">
        <f>Oportuno!G416</f>
        <v>1</v>
      </c>
      <c r="H416" s="126" t="str">
        <f>Oportuno!H416</f>
        <v>Oficinas</v>
      </c>
      <c r="I416" s="130">
        <f>Oportuno!I416</f>
        <v>0</v>
      </c>
      <c r="J416" s="174">
        <f>Oportuno!J416</f>
        <v>0</v>
      </c>
      <c r="K416" s="174">
        <f>Oportuno!K416</f>
        <v>0</v>
      </c>
      <c r="L416" s="174">
        <f>Oportuno!L416</f>
        <v>0</v>
      </c>
      <c r="M416" s="174">
        <f>Oportuno!M416</f>
        <v>0</v>
      </c>
      <c r="N416" s="174">
        <f>Oportuno!N416</f>
        <v>0</v>
      </c>
      <c r="O416" s="174">
        <f>Oportuno!O416</f>
        <v>0</v>
      </c>
      <c r="P416" s="174">
        <f>Oportuno!P416</f>
        <v>0</v>
      </c>
      <c r="Q416" s="174">
        <f>Oportuno!Q416</f>
        <v>0</v>
      </c>
      <c r="R416" s="174">
        <f>Oportuno!R416</f>
        <v>0</v>
      </c>
      <c r="S416" s="215">
        <f>Oportuno!S416</f>
        <v>0</v>
      </c>
      <c r="T416" s="71">
        <f>Oportuno!T416</f>
        <v>0</v>
      </c>
      <c r="U416" s="71">
        <f>Oportuno!U416</f>
        <v>0</v>
      </c>
      <c r="V416" s="117">
        <f>Oportuno!V416</f>
        <v>0</v>
      </c>
      <c r="W416" s="117">
        <f>Oportuno!W416</f>
        <v>0</v>
      </c>
      <c r="X416" s="71">
        <f>Oportuno!X416</f>
        <v>0</v>
      </c>
      <c r="Y416" s="71">
        <f>Oportuno!Y416</f>
        <v>0</v>
      </c>
      <c r="AA416" s="65"/>
    </row>
    <row r="417" spans="2:27 16101:16120" ht="13" customHeight="1">
      <c r="B417" s="119">
        <f>Oportuno!B417</f>
        <v>0</v>
      </c>
      <c r="C417" s="23">
        <f>Oportuno!C417</f>
        <v>2026091</v>
      </c>
      <c r="D417" s="23">
        <f>Oportuno!D417</f>
        <v>15</v>
      </c>
      <c r="E417" s="128">
        <f>Oportuno!E417</f>
        <v>0</v>
      </c>
      <c r="F417" s="126" t="e">
        <f>Oportuno!F417</f>
        <v>#N/A</v>
      </c>
      <c r="G417" s="36">
        <f>Oportuno!G417</f>
        <v>1</v>
      </c>
      <c r="H417" s="126" t="str">
        <f>Oportuno!H417</f>
        <v>Oficinas</v>
      </c>
      <c r="I417" s="130">
        <f>Oportuno!I417</f>
        <v>0</v>
      </c>
      <c r="J417" s="174">
        <f>Oportuno!J417</f>
        <v>0</v>
      </c>
      <c r="K417" s="174">
        <f>Oportuno!K417</f>
        <v>0</v>
      </c>
      <c r="L417" s="174">
        <f>Oportuno!L417</f>
        <v>0</v>
      </c>
      <c r="M417" s="174">
        <f>Oportuno!M417</f>
        <v>0</v>
      </c>
      <c r="N417" s="174">
        <f>Oportuno!N417</f>
        <v>0</v>
      </c>
      <c r="O417" s="174">
        <f>Oportuno!O417</f>
        <v>0</v>
      </c>
      <c r="P417" s="174">
        <f>Oportuno!P417</f>
        <v>0</v>
      </c>
      <c r="Q417" s="174">
        <f>Oportuno!Q417</f>
        <v>0</v>
      </c>
      <c r="R417" s="174">
        <f>Oportuno!R417</f>
        <v>0</v>
      </c>
      <c r="S417" s="215">
        <f>Oportuno!S417</f>
        <v>0</v>
      </c>
      <c r="T417" s="71">
        <f>Oportuno!T417</f>
        <v>0</v>
      </c>
      <c r="U417" s="71">
        <f>Oportuno!U417</f>
        <v>0</v>
      </c>
      <c r="V417" s="117">
        <f>Oportuno!V417</f>
        <v>0</v>
      </c>
      <c r="W417" s="117">
        <f>Oportuno!W417</f>
        <v>0</v>
      </c>
      <c r="X417" s="71">
        <f>Oportuno!X417</f>
        <v>0</v>
      </c>
      <c r="Y417" s="71">
        <f>Oportuno!Y417</f>
        <v>0</v>
      </c>
      <c r="AA417" s="65"/>
    </row>
    <row r="418" spans="2:27 16101:16120" ht="13" customHeight="1">
      <c r="B418" s="119">
        <f>Oportuno!B418</f>
        <v>0</v>
      </c>
      <c r="C418" s="23">
        <f>Oportuno!C418</f>
        <v>2026091</v>
      </c>
      <c r="D418" s="23">
        <f>Oportuno!D418</f>
        <v>15</v>
      </c>
      <c r="E418" s="128">
        <f>Oportuno!E418</f>
        <v>0</v>
      </c>
      <c r="F418" s="126" t="e">
        <f>Oportuno!F418</f>
        <v>#N/A</v>
      </c>
      <c r="G418" s="36">
        <f>Oportuno!G418</f>
        <v>1</v>
      </c>
      <c r="H418" s="126" t="str">
        <f>Oportuno!H418</f>
        <v>Oficinas</v>
      </c>
      <c r="I418" s="130">
        <f>Oportuno!I418</f>
        <v>0</v>
      </c>
      <c r="J418" s="174">
        <f>Oportuno!J418</f>
        <v>0</v>
      </c>
      <c r="K418" s="174">
        <f>Oportuno!K418</f>
        <v>0</v>
      </c>
      <c r="L418" s="174">
        <f>Oportuno!L418</f>
        <v>0</v>
      </c>
      <c r="M418" s="174">
        <f>Oportuno!M418</f>
        <v>0</v>
      </c>
      <c r="N418" s="174">
        <f>Oportuno!N418</f>
        <v>0</v>
      </c>
      <c r="O418" s="174">
        <f>Oportuno!O418</f>
        <v>0</v>
      </c>
      <c r="P418" s="174">
        <f>Oportuno!P418</f>
        <v>0</v>
      </c>
      <c r="Q418" s="174">
        <f>Oportuno!Q418</f>
        <v>0</v>
      </c>
      <c r="R418" s="174">
        <f>Oportuno!R418</f>
        <v>0</v>
      </c>
      <c r="S418" s="215">
        <f>Oportuno!S418</f>
        <v>0</v>
      </c>
      <c r="T418" s="71">
        <f>Oportuno!T418</f>
        <v>0</v>
      </c>
      <c r="U418" s="71">
        <f>Oportuno!U418</f>
        <v>0</v>
      </c>
      <c r="V418" s="117">
        <f>Oportuno!V418</f>
        <v>0</v>
      </c>
      <c r="W418" s="117">
        <f>Oportuno!W418</f>
        <v>0</v>
      </c>
      <c r="X418" s="71">
        <f>Oportuno!X418</f>
        <v>0</v>
      </c>
      <c r="Y418" s="71">
        <f>Oportuno!Y418</f>
        <v>0</v>
      </c>
      <c r="AA418" s="65"/>
    </row>
    <row r="419" spans="2:27 16101:16120" ht="13" customHeight="1">
      <c r="B419" s="119">
        <f>Oportuno!B419</f>
        <v>0</v>
      </c>
      <c r="C419" s="23">
        <f>Oportuno!C419</f>
        <v>2026091</v>
      </c>
      <c r="D419" s="23">
        <f>Oportuno!D419</f>
        <v>15</v>
      </c>
      <c r="E419" s="128">
        <f>Oportuno!E419</f>
        <v>0</v>
      </c>
      <c r="F419" s="126" t="e">
        <f>Oportuno!F419</f>
        <v>#N/A</v>
      </c>
      <c r="G419" s="36">
        <f>Oportuno!G419</f>
        <v>1</v>
      </c>
      <c r="H419" s="126" t="str">
        <f>Oportuno!H419</f>
        <v>Oficinas</v>
      </c>
      <c r="I419" s="130">
        <f>Oportuno!I419</f>
        <v>0</v>
      </c>
      <c r="J419" s="174">
        <f>Oportuno!J419</f>
        <v>0</v>
      </c>
      <c r="K419" s="174">
        <f>Oportuno!K419</f>
        <v>0</v>
      </c>
      <c r="L419" s="174">
        <f>Oportuno!L419</f>
        <v>0</v>
      </c>
      <c r="M419" s="174">
        <f>Oportuno!M419</f>
        <v>0</v>
      </c>
      <c r="N419" s="174">
        <f>Oportuno!N419</f>
        <v>0</v>
      </c>
      <c r="O419" s="174">
        <f>Oportuno!O419</f>
        <v>0</v>
      </c>
      <c r="P419" s="174">
        <f>Oportuno!P419</f>
        <v>0</v>
      </c>
      <c r="Q419" s="174">
        <f>Oportuno!Q419</f>
        <v>0</v>
      </c>
      <c r="R419" s="174">
        <f>Oportuno!R419</f>
        <v>0</v>
      </c>
      <c r="S419" s="215">
        <f>Oportuno!S419</f>
        <v>0</v>
      </c>
      <c r="T419" s="71">
        <f>Oportuno!T419</f>
        <v>0</v>
      </c>
      <c r="U419" s="71">
        <f>Oportuno!U419</f>
        <v>0</v>
      </c>
      <c r="V419" s="117">
        <f>Oportuno!V419</f>
        <v>0</v>
      </c>
      <c r="W419" s="117">
        <f>Oportuno!W419</f>
        <v>0</v>
      </c>
      <c r="X419" s="71">
        <f>Oportuno!X419</f>
        <v>0</v>
      </c>
      <c r="Y419" s="71">
        <f>Oportuno!Y419</f>
        <v>0</v>
      </c>
      <c r="AA419" s="65"/>
    </row>
    <row r="420" spans="2:27 16101:16120" ht="12" customHeight="1">
      <c r="B420" s="119">
        <f>Oportuno!B420</f>
        <v>0</v>
      </c>
      <c r="C420" s="23">
        <f>Oportuno!C420</f>
        <v>2026091</v>
      </c>
      <c r="D420" s="23">
        <f>Oportuno!D420</f>
        <v>15</v>
      </c>
      <c r="E420" s="128">
        <f>Oportuno!E420</f>
        <v>0</v>
      </c>
      <c r="F420" s="126" t="e">
        <f>Oportuno!F420</f>
        <v>#N/A</v>
      </c>
      <c r="G420" s="36">
        <f>Oportuno!G420</f>
        <v>1</v>
      </c>
      <c r="H420" s="126" t="str">
        <f>Oportuno!H420</f>
        <v>Oficinas</v>
      </c>
      <c r="I420" s="130">
        <f>Oportuno!I420</f>
        <v>0</v>
      </c>
      <c r="J420" s="174">
        <f>Oportuno!J420</f>
        <v>0</v>
      </c>
      <c r="K420" s="174">
        <f>Oportuno!K420</f>
        <v>0</v>
      </c>
      <c r="L420" s="174">
        <f>Oportuno!L420</f>
        <v>0</v>
      </c>
      <c r="M420" s="174">
        <f>Oportuno!M420</f>
        <v>0</v>
      </c>
      <c r="N420" s="174">
        <f>Oportuno!N420</f>
        <v>0</v>
      </c>
      <c r="O420" s="174">
        <f>Oportuno!O420</f>
        <v>0</v>
      </c>
      <c r="P420" s="174">
        <f>Oportuno!P420</f>
        <v>0</v>
      </c>
      <c r="Q420" s="174">
        <f>Oportuno!Q420</f>
        <v>0</v>
      </c>
      <c r="R420" s="174">
        <f>Oportuno!R420</f>
        <v>0</v>
      </c>
      <c r="S420" s="215">
        <f>Oportuno!S420</f>
        <v>0</v>
      </c>
      <c r="T420" s="71">
        <f>Oportuno!T420</f>
        <v>0</v>
      </c>
      <c r="U420" s="71">
        <f>Oportuno!U420</f>
        <v>0</v>
      </c>
      <c r="V420" s="117">
        <f>Oportuno!V420</f>
        <v>0</v>
      </c>
      <c r="W420" s="117">
        <f>Oportuno!W420</f>
        <v>0</v>
      </c>
      <c r="X420" s="71">
        <f>Oportuno!X420</f>
        <v>0</v>
      </c>
      <c r="Y420" s="71">
        <f>Oportuno!Y420</f>
        <v>0</v>
      </c>
      <c r="AA420" s="65"/>
    </row>
    <row r="421" spans="2:27 16101:16120" ht="13" customHeight="1">
      <c r="B421" s="119">
        <f>Oportuno!B421</f>
        <v>0</v>
      </c>
      <c r="C421" s="23">
        <f>Oportuno!C421</f>
        <v>2026091</v>
      </c>
      <c r="D421" s="23">
        <f>Oportuno!D421</f>
        <v>15</v>
      </c>
      <c r="E421" s="128">
        <f>Oportuno!E421</f>
        <v>0</v>
      </c>
      <c r="F421" s="126" t="e">
        <f>Oportuno!F421</f>
        <v>#N/A</v>
      </c>
      <c r="G421" s="36">
        <f>Oportuno!G421</f>
        <v>1</v>
      </c>
      <c r="H421" s="126" t="str">
        <f>Oportuno!H421</f>
        <v>Oficinas</v>
      </c>
      <c r="I421" s="130">
        <f>Oportuno!I421</f>
        <v>0</v>
      </c>
      <c r="J421" s="174">
        <f>Oportuno!J421</f>
        <v>0</v>
      </c>
      <c r="K421" s="174">
        <f>Oportuno!K421</f>
        <v>0</v>
      </c>
      <c r="L421" s="174">
        <f>Oportuno!L421</f>
        <v>0</v>
      </c>
      <c r="M421" s="174">
        <f>Oportuno!M421</f>
        <v>0</v>
      </c>
      <c r="N421" s="174">
        <f>Oportuno!N421</f>
        <v>0</v>
      </c>
      <c r="O421" s="174">
        <f>Oportuno!O421</f>
        <v>0</v>
      </c>
      <c r="P421" s="174">
        <f>Oportuno!P421</f>
        <v>0</v>
      </c>
      <c r="Q421" s="174">
        <f>Oportuno!Q421</f>
        <v>0</v>
      </c>
      <c r="R421" s="174">
        <f>Oportuno!R421</f>
        <v>0</v>
      </c>
      <c r="S421" s="215">
        <f>Oportuno!S421</f>
        <v>0</v>
      </c>
      <c r="T421" s="71">
        <f>Oportuno!T421</f>
        <v>0</v>
      </c>
      <c r="U421" s="71">
        <f>Oportuno!U421</f>
        <v>0</v>
      </c>
      <c r="V421" s="117">
        <f>Oportuno!V421</f>
        <v>0</v>
      </c>
      <c r="W421" s="117">
        <f>Oportuno!W421</f>
        <v>0</v>
      </c>
      <c r="X421" s="71">
        <f>Oportuno!X421</f>
        <v>0</v>
      </c>
      <c r="Y421" s="71">
        <f>Oportuno!Y421</f>
        <v>0</v>
      </c>
      <c r="AA421" s="65"/>
    </row>
    <row r="422" spans="2:27 16101:16120" ht="13" customHeight="1">
      <c r="B422" s="119">
        <f>Oportuno!B422</f>
        <v>0</v>
      </c>
      <c r="C422" s="23">
        <f>Oportuno!C422</f>
        <v>2026091</v>
      </c>
      <c r="D422" s="23">
        <f>Oportuno!D422</f>
        <v>15</v>
      </c>
      <c r="E422" s="128">
        <f>Oportuno!E422</f>
        <v>0</v>
      </c>
      <c r="F422" s="126" t="e">
        <f>Oportuno!F422</f>
        <v>#N/A</v>
      </c>
      <c r="G422" s="36">
        <f>Oportuno!G422</f>
        <v>1</v>
      </c>
      <c r="H422" s="126" t="str">
        <f>Oportuno!H422</f>
        <v>Oficinas</v>
      </c>
      <c r="I422" s="130">
        <f>Oportuno!I422</f>
        <v>0</v>
      </c>
      <c r="J422" s="174">
        <f>Oportuno!J422</f>
        <v>0</v>
      </c>
      <c r="K422" s="174">
        <f>Oportuno!K422</f>
        <v>0</v>
      </c>
      <c r="L422" s="174">
        <f>Oportuno!L422</f>
        <v>0</v>
      </c>
      <c r="M422" s="174">
        <f>Oportuno!M422</f>
        <v>0</v>
      </c>
      <c r="N422" s="174">
        <f>Oportuno!N422</f>
        <v>0</v>
      </c>
      <c r="O422" s="174">
        <f>Oportuno!O422</f>
        <v>0</v>
      </c>
      <c r="P422" s="174">
        <f>Oportuno!P422</f>
        <v>0</v>
      </c>
      <c r="Q422" s="174">
        <f>Oportuno!Q422</f>
        <v>0</v>
      </c>
      <c r="R422" s="174">
        <f>Oportuno!R422</f>
        <v>0</v>
      </c>
      <c r="S422" s="215">
        <f>Oportuno!S422</f>
        <v>0</v>
      </c>
      <c r="T422" s="71">
        <f>Oportuno!T422</f>
        <v>0</v>
      </c>
      <c r="U422" s="71">
        <f>Oportuno!U422</f>
        <v>0</v>
      </c>
      <c r="V422" s="117">
        <f>Oportuno!V422</f>
        <v>0</v>
      </c>
      <c r="W422" s="117">
        <f>Oportuno!W422</f>
        <v>0</v>
      </c>
      <c r="X422" s="71">
        <f>Oportuno!X422</f>
        <v>0</v>
      </c>
      <c r="Y422" s="71">
        <f>Oportuno!Y422</f>
        <v>0</v>
      </c>
      <c r="AA422" s="65"/>
    </row>
    <row r="423" spans="2:27 16101:16120" ht="13" customHeight="1">
      <c r="B423" s="119">
        <f>Oportuno!B423</f>
        <v>0</v>
      </c>
      <c r="C423" s="23">
        <f>Oportuno!C423</f>
        <v>2026091</v>
      </c>
      <c r="D423" s="23">
        <f>Oportuno!D423</f>
        <v>15</v>
      </c>
      <c r="E423" s="128">
        <f>Oportuno!E423</f>
        <v>0</v>
      </c>
      <c r="F423" s="126" t="e">
        <f>Oportuno!F423</f>
        <v>#N/A</v>
      </c>
      <c r="G423" s="36">
        <f>Oportuno!G423</f>
        <v>1</v>
      </c>
      <c r="H423" s="126" t="str">
        <f>Oportuno!H423</f>
        <v>Oficinas</v>
      </c>
      <c r="I423" s="130">
        <f>Oportuno!I423</f>
        <v>0</v>
      </c>
      <c r="J423" s="174">
        <f>Oportuno!J423</f>
        <v>0</v>
      </c>
      <c r="K423" s="174">
        <f>Oportuno!K423</f>
        <v>0</v>
      </c>
      <c r="L423" s="174">
        <f>Oportuno!L423</f>
        <v>0</v>
      </c>
      <c r="M423" s="174">
        <f>Oportuno!M423</f>
        <v>0</v>
      </c>
      <c r="N423" s="174">
        <f>Oportuno!N423</f>
        <v>0</v>
      </c>
      <c r="O423" s="174">
        <f>Oportuno!O423</f>
        <v>0</v>
      </c>
      <c r="P423" s="174">
        <f>Oportuno!P423</f>
        <v>0</v>
      </c>
      <c r="Q423" s="174">
        <f>Oportuno!Q423</f>
        <v>0</v>
      </c>
      <c r="R423" s="174">
        <f>Oportuno!R423</f>
        <v>0</v>
      </c>
      <c r="S423" s="215">
        <f>Oportuno!S423</f>
        <v>0</v>
      </c>
      <c r="T423" s="71">
        <f>Oportuno!T423</f>
        <v>0</v>
      </c>
      <c r="U423" s="71">
        <f>Oportuno!U423</f>
        <v>0</v>
      </c>
      <c r="V423" s="117">
        <f>Oportuno!V423</f>
        <v>0</v>
      </c>
      <c r="W423" s="117">
        <f>Oportuno!W423</f>
        <v>0</v>
      </c>
      <c r="X423" s="71">
        <f>Oportuno!X423</f>
        <v>0</v>
      </c>
      <c r="Y423" s="71">
        <f>Oportuno!Y423</f>
        <v>0</v>
      </c>
      <c r="AA423" s="65"/>
    </row>
    <row r="424" spans="2:27 16101:16120" ht="13" customHeight="1">
      <c r="B424" s="119">
        <f>Oportuno!B424</f>
        <v>0</v>
      </c>
      <c r="C424" s="23">
        <f>Oportuno!C424</f>
        <v>2026091</v>
      </c>
      <c r="D424" s="23">
        <f>Oportuno!D424</f>
        <v>15</v>
      </c>
      <c r="E424" s="128">
        <f>Oportuno!E424</f>
        <v>0</v>
      </c>
      <c r="F424" s="126" t="e">
        <f>Oportuno!F424</f>
        <v>#N/A</v>
      </c>
      <c r="G424" s="36">
        <f>Oportuno!G424</f>
        <v>1</v>
      </c>
      <c r="H424" s="126" t="str">
        <f>Oportuno!H424</f>
        <v>Oficinas</v>
      </c>
      <c r="I424" s="130">
        <f>Oportuno!I424</f>
        <v>0</v>
      </c>
      <c r="J424" s="174">
        <f>Oportuno!J424</f>
        <v>0</v>
      </c>
      <c r="K424" s="174">
        <f>Oportuno!K424</f>
        <v>0</v>
      </c>
      <c r="L424" s="174">
        <f>Oportuno!L424</f>
        <v>0</v>
      </c>
      <c r="M424" s="174">
        <f>Oportuno!M424</f>
        <v>0</v>
      </c>
      <c r="N424" s="174">
        <f>Oportuno!N424</f>
        <v>0</v>
      </c>
      <c r="O424" s="174">
        <f>Oportuno!O424</f>
        <v>0</v>
      </c>
      <c r="P424" s="174">
        <f>Oportuno!P424</f>
        <v>0</v>
      </c>
      <c r="Q424" s="174">
        <f>Oportuno!Q424</f>
        <v>0</v>
      </c>
      <c r="R424" s="174">
        <f>Oportuno!R424</f>
        <v>0</v>
      </c>
      <c r="S424" s="215">
        <f>Oportuno!S424</f>
        <v>0</v>
      </c>
      <c r="T424" s="71">
        <f>Oportuno!T424</f>
        <v>0</v>
      </c>
      <c r="U424" s="71">
        <f>Oportuno!U424</f>
        <v>0</v>
      </c>
      <c r="V424" s="117">
        <f>Oportuno!V424</f>
        <v>0</v>
      </c>
      <c r="W424" s="117">
        <f>Oportuno!W424</f>
        <v>0</v>
      </c>
      <c r="X424" s="71">
        <f>Oportuno!X424</f>
        <v>0</v>
      </c>
      <c r="Y424" s="71">
        <f>Oportuno!Y424</f>
        <v>0</v>
      </c>
      <c r="AA424" s="65"/>
    </row>
    <row r="425" spans="2:27 16101:16120" ht="13" customHeight="1">
      <c r="B425" s="119">
        <f>Oportuno!B425</f>
        <v>0</v>
      </c>
      <c r="C425" s="23">
        <f>Oportuno!C425</f>
        <v>2026091</v>
      </c>
      <c r="D425" s="23">
        <f>Oportuno!D425</f>
        <v>15</v>
      </c>
      <c r="E425" s="128">
        <f>Oportuno!E425</f>
        <v>0</v>
      </c>
      <c r="F425" s="126" t="e">
        <f>Oportuno!F425</f>
        <v>#N/A</v>
      </c>
      <c r="G425" s="36">
        <f>Oportuno!G425</f>
        <v>1</v>
      </c>
      <c r="H425" s="126" t="str">
        <f>Oportuno!H425</f>
        <v>Oficinas</v>
      </c>
      <c r="I425" s="130">
        <f>Oportuno!I425</f>
        <v>0</v>
      </c>
      <c r="J425" s="174">
        <f>Oportuno!J425</f>
        <v>0</v>
      </c>
      <c r="K425" s="174">
        <f>Oportuno!K425</f>
        <v>0</v>
      </c>
      <c r="L425" s="174">
        <f>Oportuno!L425</f>
        <v>0</v>
      </c>
      <c r="M425" s="174">
        <f>Oportuno!M425</f>
        <v>0</v>
      </c>
      <c r="N425" s="174">
        <f>Oportuno!N425</f>
        <v>0</v>
      </c>
      <c r="O425" s="174">
        <f>Oportuno!O425</f>
        <v>0</v>
      </c>
      <c r="P425" s="174">
        <f>Oportuno!P425</f>
        <v>0</v>
      </c>
      <c r="Q425" s="174">
        <f>Oportuno!Q425</f>
        <v>0</v>
      </c>
      <c r="R425" s="174">
        <f>Oportuno!R425</f>
        <v>0</v>
      </c>
      <c r="S425" s="215">
        <f>Oportuno!S425</f>
        <v>0</v>
      </c>
      <c r="T425" s="71">
        <f>Oportuno!T425</f>
        <v>0</v>
      </c>
      <c r="U425" s="71">
        <f>Oportuno!U425</f>
        <v>0</v>
      </c>
      <c r="V425" s="117">
        <f>Oportuno!V425</f>
        <v>0</v>
      </c>
      <c r="W425" s="117">
        <f>Oportuno!W425</f>
        <v>0</v>
      </c>
      <c r="X425" s="71">
        <f>Oportuno!X425</f>
        <v>0</v>
      </c>
      <c r="Y425" s="71">
        <f>Oportuno!Y425</f>
        <v>0</v>
      </c>
      <c r="AA425" s="65"/>
    </row>
    <row r="426" spans="2:27 16101:16120" ht="13" customHeight="1">
      <c r="B426" s="119">
        <f>Oportuno!B426</f>
        <v>0</v>
      </c>
      <c r="C426" s="23">
        <f>Oportuno!C426</f>
        <v>2026091</v>
      </c>
      <c r="D426" s="23">
        <f>Oportuno!D426</f>
        <v>15</v>
      </c>
      <c r="E426" s="128">
        <f>Oportuno!E426</f>
        <v>0</v>
      </c>
      <c r="F426" s="126" t="e">
        <f>Oportuno!F426</f>
        <v>#N/A</v>
      </c>
      <c r="G426" s="36">
        <f>Oportuno!G426</f>
        <v>1</v>
      </c>
      <c r="H426" s="126" t="str">
        <f>Oportuno!H426</f>
        <v>Oficinas</v>
      </c>
      <c r="I426" s="130">
        <f>Oportuno!I426</f>
        <v>0</v>
      </c>
      <c r="J426" s="174">
        <f>Oportuno!J426</f>
        <v>0</v>
      </c>
      <c r="K426" s="174">
        <f>Oportuno!K426</f>
        <v>0</v>
      </c>
      <c r="L426" s="174">
        <f>Oportuno!L426</f>
        <v>0</v>
      </c>
      <c r="M426" s="174">
        <f>Oportuno!M426</f>
        <v>0</v>
      </c>
      <c r="N426" s="174">
        <f>Oportuno!N426</f>
        <v>0</v>
      </c>
      <c r="O426" s="174">
        <f>Oportuno!O426</f>
        <v>0</v>
      </c>
      <c r="P426" s="174">
        <f>Oportuno!P426</f>
        <v>0</v>
      </c>
      <c r="Q426" s="174">
        <f>Oportuno!Q426</f>
        <v>0</v>
      </c>
      <c r="R426" s="174">
        <f>Oportuno!R426</f>
        <v>0</v>
      </c>
      <c r="S426" s="215">
        <f>Oportuno!S426</f>
        <v>0</v>
      </c>
      <c r="T426" s="71">
        <f>Oportuno!T426</f>
        <v>0</v>
      </c>
      <c r="U426" s="71">
        <f>Oportuno!U426</f>
        <v>0</v>
      </c>
      <c r="V426" s="117">
        <f>Oportuno!V426</f>
        <v>0</v>
      </c>
      <c r="W426" s="117">
        <f>Oportuno!W426</f>
        <v>0</v>
      </c>
      <c r="X426" s="71">
        <f>Oportuno!X426</f>
        <v>0</v>
      </c>
      <c r="Y426" s="71">
        <f>Oportuno!Y426</f>
        <v>0</v>
      </c>
      <c r="AA426" s="65"/>
    </row>
    <row r="427" spans="2:27 16101:16120" ht="13" customHeight="1">
      <c r="B427" s="119">
        <f>Oportuno!B427</f>
        <v>0</v>
      </c>
      <c r="C427" s="23">
        <f>Oportuno!C427</f>
        <v>2026091</v>
      </c>
      <c r="D427" s="23">
        <f>Oportuno!D427</f>
        <v>15</v>
      </c>
      <c r="E427" s="128">
        <f>Oportuno!E427</f>
        <v>0</v>
      </c>
      <c r="F427" s="126" t="e">
        <f>Oportuno!F427</f>
        <v>#N/A</v>
      </c>
      <c r="G427" s="36">
        <f>Oportuno!G427</f>
        <v>1</v>
      </c>
      <c r="H427" s="126" t="str">
        <f>Oportuno!H427</f>
        <v>Oficinas</v>
      </c>
      <c r="I427" s="130">
        <f>Oportuno!I427</f>
        <v>0</v>
      </c>
      <c r="J427" s="174">
        <f>Oportuno!J427</f>
        <v>0</v>
      </c>
      <c r="K427" s="174">
        <f>Oportuno!K427</f>
        <v>0</v>
      </c>
      <c r="L427" s="174">
        <f>Oportuno!L427</f>
        <v>0</v>
      </c>
      <c r="M427" s="174">
        <f>Oportuno!M427</f>
        <v>0</v>
      </c>
      <c r="N427" s="174">
        <f>Oportuno!N427</f>
        <v>0</v>
      </c>
      <c r="O427" s="174">
        <f>Oportuno!O427</f>
        <v>0</v>
      </c>
      <c r="P427" s="174">
        <f>Oportuno!P427</f>
        <v>0</v>
      </c>
      <c r="Q427" s="174">
        <f>Oportuno!Q427</f>
        <v>0</v>
      </c>
      <c r="R427" s="174">
        <f>Oportuno!R427</f>
        <v>0</v>
      </c>
      <c r="S427" s="215">
        <f>Oportuno!S427</f>
        <v>0</v>
      </c>
      <c r="T427" s="71">
        <f>Oportuno!T427</f>
        <v>0</v>
      </c>
      <c r="U427" s="71">
        <f>Oportuno!U427</f>
        <v>0</v>
      </c>
      <c r="V427" s="117">
        <f>Oportuno!V427</f>
        <v>0</v>
      </c>
      <c r="W427" s="117">
        <f>Oportuno!W427</f>
        <v>0</v>
      </c>
      <c r="X427" s="71">
        <f>Oportuno!X427</f>
        <v>0</v>
      </c>
      <c r="Y427" s="71">
        <f>Oportuno!Y427</f>
        <v>0</v>
      </c>
      <c r="AA427" s="65"/>
    </row>
    <row r="428" spans="2:27 16101:16120" ht="13" customHeight="1">
      <c r="B428" s="119">
        <f>Oportuno!B428</f>
        <v>0</v>
      </c>
      <c r="C428" s="23">
        <f>Oportuno!C428</f>
        <v>2026091</v>
      </c>
      <c r="D428" s="23">
        <f>Oportuno!D428</f>
        <v>15</v>
      </c>
      <c r="E428" s="128">
        <f>Oportuno!E428</f>
        <v>0</v>
      </c>
      <c r="F428" s="126" t="e">
        <f>Oportuno!F428</f>
        <v>#N/A</v>
      </c>
      <c r="G428" s="36">
        <f>Oportuno!G428</f>
        <v>1</v>
      </c>
      <c r="H428" s="126" t="str">
        <f>Oportuno!H428</f>
        <v>Oficinas</v>
      </c>
      <c r="I428" s="130">
        <f>Oportuno!I428</f>
        <v>0</v>
      </c>
      <c r="J428" s="174">
        <f>Oportuno!J428</f>
        <v>0</v>
      </c>
      <c r="K428" s="174">
        <f>Oportuno!K428</f>
        <v>0</v>
      </c>
      <c r="L428" s="174">
        <f>Oportuno!L428</f>
        <v>0</v>
      </c>
      <c r="M428" s="174">
        <f>Oportuno!M428</f>
        <v>0</v>
      </c>
      <c r="N428" s="174">
        <f>Oportuno!N428</f>
        <v>0</v>
      </c>
      <c r="O428" s="174">
        <f>Oportuno!O428</f>
        <v>0</v>
      </c>
      <c r="P428" s="174">
        <f>Oportuno!P428</f>
        <v>0</v>
      </c>
      <c r="Q428" s="174">
        <f>Oportuno!Q428</f>
        <v>0</v>
      </c>
      <c r="R428" s="174">
        <f>Oportuno!R428</f>
        <v>0</v>
      </c>
      <c r="S428" s="215">
        <f>Oportuno!S428</f>
        <v>0</v>
      </c>
      <c r="T428" s="71">
        <f>Oportuno!T428</f>
        <v>0</v>
      </c>
      <c r="U428" s="71">
        <f>Oportuno!U428</f>
        <v>0</v>
      </c>
      <c r="V428" s="117">
        <f>Oportuno!V428</f>
        <v>0</v>
      </c>
      <c r="W428" s="117">
        <f>Oportuno!W428</f>
        <v>0</v>
      </c>
      <c r="X428" s="71">
        <f>Oportuno!X428</f>
        <v>0</v>
      </c>
      <c r="Y428" s="71">
        <f>Oportuno!Y428</f>
        <v>0</v>
      </c>
      <c r="AA428" s="65"/>
    </row>
    <row r="429" spans="2:27 16101:16120" ht="13" customHeight="1" thickBot="1">
      <c r="B429" s="119">
        <f>Oportuno!B429</f>
        <v>0</v>
      </c>
      <c r="C429" s="23">
        <f>Oportuno!C429</f>
        <v>2026091</v>
      </c>
      <c r="D429" s="23">
        <f>Oportuno!D429</f>
        <v>15</v>
      </c>
      <c r="E429" s="128">
        <f>Oportuno!E429</f>
        <v>0</v>
      </c>
      <c r="F429" s="126" t="e">
        <f>Oportuno!F429</f>
        <v>#N/A</v>
      </c>
      <c r="G429" s="36">
        <f>Oportuno!G429</f>
        <v>1</v>
      </c>
      <c r="H429" s="126" t="str">
        <f>Oportuno!H429</f>
        <v>Oficinas</v>
      </c>
      <c r="I429" s="130">
        <f>Oportuno!I429</f>
        <v>0</v>
      </c>
      <c r="J429" s="174">
        <f>Oportuno!J429</f>
        <v>0</v>
      </c>
      <c r="K429" s="174">
        <f>Oportuno!K429</f>
        <v>0</v>
      </c>
      <c r="L429" s="174">
        <f>Oportuno!L429</f>
        <v>0</v>
      </c>
      <c r="M429" s="174">
        <f>Oportuno!M429</f>
        <v>0</v>
      </c>
      <c r="N429" s="174">
        <f>Oportuno!N429</f>
        <v>0</v>
      </c>
      <c r="O429" s="174">
        <f>Oportuno!O429</f>
        <v>0</v>
      </c>
      <c r="P429" s="174">
        <f>Oportuno!P429</f>
        <v>0</v>
      </c>
      <c r="Q429" s="174">
        <f>Oportuno!Q429</f>
        <v>0</v>
      </c>
      <c r="R429" s="174">
        <f>Oportuno!R429</f>
        <v>0</v>
      </c>
      <c r="S429" s="215">
        <f>Oportuno!S429</f>
        <v>0</v>
      </c>
      <c r="T429" s="71">
        <f>Oportuno!T429</f>
        <v>0</v>
      </c>
      <c r="U429" s="71">
        <f>Oportuno!U429</f>
        <v>0</v>
      </c>
      <c r="V429" s="117">
        <f>Oportuno!V429</f>
        <v>0</v>
      </c>
      <c r="W429" s="117">
        <f>Oportuno!W429</f>
        <v>0</v>
      </c>
      <c r="X429" s="71">
        <f>Oportuno!X429</f>
        <v>0</v>
      </c>
      <c r="Y429" s="71">
        <f>Oportuno!Y429</f>
        <v>0</v>
      </c>
      <c r="AA429" s="65"/>
    </row>
    <row r="430" spans="2:27 16101:16120" ht="13" customHeight="1" thickBot="1">
      <c r="B430" s="1" t="s">
        <v>0</v>
      </c>
      <c r="C430" s="1" t="s">
        <v>0</v>
      </c>
      <c r="D430" s="20" t="s">
        <v>0</v>
      </c>
      <c r="E430" s="120" t="str">
        <f>Oportuno!E430</f>
        <v xml:space="preserve"> </v>
      </c>
      <c r="F430" s="121" t="str">
        <f>Oportuno!F430</f>
        <v>TOTAL RECAUDO</v>
      </c>
      <c r="G430" s="121" t="s">
        <v>0</v>
      </c>
      <c r="H430" s="121" t="s">
        <v>0</v>
      </c>
      <c r="I430" s="121" t="s">
        <v>0</v>
      </c>
      <c r="J430" s="122">
        <f>Oportuno!J430</f>
        <v>0</v>
      </c>
      <c r="K430" s="122">
        <f>Oportuno!K430</f>
        <v>0</v>
      </c>
      <c r="L430" s="122">
        <f>Oportuno!L430</f>
        <v>0</v>
      </c>
      <c r="M430" s="122">
        <f>Oportuno!M430</f>
        <v>0</v>
      </c>
      <c r="N430" s="122">
        <f>Oportuno!N430</f>
        <v>0</v>
      </c>
      <c r="O430" s="122">
        <f>Oportuno!O430</f>
        <v>0</v>
      </c>
      <c r="P430" s="122">
        <f>Oportuno!P430</f>
        <v>0</v>
      </c>
      <c r="Q430" s="122">
        <f>Oportuno!Q430</f>
        <v>0</v>
      </c>
      <c r="R430" s="122">
        <f>Oportuno!R430</f>
        <v>143</v>
      </c>
      <c r="S430" s="122">
        <f>Oportuno!S430</f>
        <v>6669370</v>
      </c>
      <c r="T430" s="122">
        <f>Oportuno!T430</f>
        <v>143</v>
      </c>
      <c r="U430" s="122">
        <f>Oportuno!U430</f>
        <v>6669370</v>
      </c>
      <c r="V430" s="123">
        <f>Oportuno!V430</f>
        <v>143</v>
      </c>
      <c r="W430" s="123">
        <f>Oportuno!W430</f>
        <v>6669370</v>
      </c>
      <c r="X430" s="122">
        <f>Oportuno!X430</f>
        <v>0</v>
      </c>
      <c r="Y430" s="123">
        <f>Oportuno!Y430</f>
        <v>0</v>
      </c>
      <c r="AA430" s="65"/>
    </row>
    <row r="431" spans="2:27 16101:16120" ht="13" thickBot="1">
      <c r="AA431" s="65"/>
    </row>
    <row r="432" spans="2:27 16101:16120" ht="41.25" customHeight="1" thickBot="1">
      <c r="B432" s="112" t="s">
        <v>4</v>
      </c>
      <c r="C432" s="34" t="s">
        <v>6</v>
      </c>
      <c r="D432" s="34" t="s">
        <v>7</v>
      </c>
      <c r="E432" s="34" t="s">
        <v>49</v>
      </c>
      <c r="F432" s="34" t="s">
        <v>50</v>
      </c>
      <c r="G432" s="34" t="s">
        <v>51</v>
      </c>
      <c r="H432" s="34" t="s">
        <v>52</v>
      </c>
      <c r="I432" s="34" t="s">
        <v>13</v>
      </c>
      <c r="J432" s="231" t="s">
        <v>8</v>
      </c>
      <c r="K432" s="231" t="s">
        <v>36</v>
      </c>
      <c r="L432" s="12" t="s">
        <v>9</v>
      </c>
      <c r="M432" s="12" t="s">
        <v>37</v>
      </c>
      <c r="N432" s="87" t="s">
        <v>10</v>
      </c>
      <c r="O432" s="88" t="s">
        <v>38</v>
      </c>
      <c r="P432" s="87" t="s">
        <v>11</v>
      </c>
      <c r="Q432" s="88" t="s">
        <v>39</v>
      </c>
      <c r="R432" s="232" t="s">
        <v>12</v>
      </c>
      <c r="S432" s="233" t="s">
        <v>40</v>
      </c>
      <c r="T432" s="64" t="s">
        <v>41</v>
      </c>
      <c r="U432" s="64" t="s">
        <v>42</v>
      </c>
      <c r="V432" s="35" t="s">
        <v>32</v>
      </c>
      <c r="W432" s="67" t="s">
        <v>35</v>
      </c>
      <c r="X432" s="12" t="s">
        <v>34</v>
      </c>
      <c r="Y432" s="68" t="s">
        <v>33</v>
      </c>
      <c r="AA432" s="66"/>
      <c r="WUG432" s="1"/>
      <c r="WUH432" s="1"/>
      <c r="WUY432"/>
      <c r="WUZ432"/>
    </row>
    <row r="433" spans="2:27" ht="13" customHeight="1">
      <c r="B433" s="119" t="str">
        <f>Oportuno!B433</f>
        <v>18/09/2026</v>
      </c>
      <c r="C433" s="24">
        <f>Oportuno!C433</f>
        <v>2026092</v>
      </c>
      <c r="D433" s="24">
        <f>Oportuno!D433</f>
        <v>16</v>
      </c>
      <c r="E433" s="127">
        <f>Oportuno!E433</f>
        <v>20</v>
      </c>
      <c r="F433" s="125" t="str">
        <f>Oportuno!F433</f>
        <v>Bancolombia ENERBIT</v>
      </c>
      <c r="G433" s="18">
        <f>Oportuno!G433</f>
        <v>1</v>
      </c>
      <c r="H433" s="125" t="str">
        <f>Oportuno!H433</f>
        <v>Oficinas</v>
      </c>
      <c r="I433" s="129">
        <f>Oportuno!I433</f>
        <v>0</v>
      </c>
      <c r="J433" s="213">
        <f>Oportuno!J433</f>
        <v>0</v>
      </c>
      <c r="K433" s="213">
        <f>Oportuno!K433</f>
        <v>0</v>
      </c>
      <c r="L433" s="213">
        <f>Oportuno!L433</f>
        <v>0</v>
      </c>
      <c r="M433" s="213">
        <f>Oportuno!M433</f>
        <v>0</v>
      </c>
      <c r="N433" s="213">
        <f>Oportuno!N433</f>
        <v>0</v>
      </c>
      <c r="O433" s="213">
        <f>Oportuno!O433</f>
        <v>0</v>
      </c>
      <c r="P433" s="213">
        <f>Oportuno!P433</f>
        <v>0</v>
      </c>
      <c r="Q433" s="213">
        <f>Oportuno!Q433</f>
        <v>0</v>
      </c>
      <c r="R433" s="213">
        <f>Oportuno!R433</f>
        <v>79</v>
      </c>
      <c r="S433" s="214">
        <f>Oportuno!S433</f>
        <v>4025560</v>
      </c>
      <c r="T433" s="70">
        <f>Oportuno!T433</f>
        <v>79</v>
      </c>
      <c r="U433" s="70">
        <f>Oportuno!U433</f>
        <v>4025560</v>
      </c>
      <c r="V433" s="116">
        <f>Oportuno!V433</f>
        <v>79</v>
      </c>
      <c r="W433" s="116">
        <f>Oportuno!W433</f>
        <v>4025560</v>
      </c>
      <c r="X433" s="70">
        <f>Oportuno!X433</f>
        <v>0</v>
      </c>
      <c r="Y433" s="70">
        <f>Oportuno!Y433</f>
        <v>0</v>
      </c>
      <c r="AA433" s="65"/>
    </row>
    <row r="434" spans="2:27" ht="13" customHeight="1">
      <c r="B434" s="119">
        <f>Oportuno!B434</f>
        <v>0</v>
      </c>
      <c r="C434" s="23">
        <f>Oportuno!C434</f>
        <v>2026092</v>
      </c>
      <c r="D434" s="23">
        <f>Oportuno!D434</f>
        <v>16</v>
      </c>
      <c r="E434" s="128">
        <f>Oportuno!E434</f>
        <v>0</v>
      </c>
      <c r="F434" s="126" t="e">
        <f>Oportuno!F434</f>
        <v>#N/A</v>
      </c>
      <c r="G434" s="36">
        <f>Oportuno!G434</f>
        <v>1</v>
      </c>
      <c r="H434" s="126" t="str">
        <f>Oportuno!H434</f>
        <v>Oficinas</v>
      </c>
      <c r="I434" s="130">
        <f>Oportuno!I434</f>
        <v>0</v>
      </c>
      <c r="J434" s="174">
        <f>Oportuno!J434</f>
        <v>0</v>
      </c>
      <c r="K434" s="174">
        <f>Oportuno!K434</f>
        <v>0</v>
      </c>
      <c r="L434" s="174">
        <f>Oportuno!L434</f>
        <v>0</v>
      </c>
      <c r="M434" s="174">
        <f>Oportuno!M434</f>
        <v>0</v>
      </c>
      <c r="N434" s="174">
        <f>Oportuno!N434</f>
        <v>0</v>
      </c>
      <c r="O434" s="174">
        <f>Oportuno!O434</f>
        <v>0</v>
      </c>
      <c r="P434" s="174">
        <f>Oportuno!P434</f>
        <v>0</v>
      </c>
      <c r="Q434" s="174">
        <f>Oportuno!Q434</f>
        <v>0</v>
      </c>
      <c r="R434" s="174">
        <f>Oportuno!R434</f>
        <v>0</v>
      </c>
      <c r="S434" s="215">
        <f>Oportuno!S434</f>
        <v>0</v>
      </c>
      <c r="T434" s="71">
        <f>Oportuno!T434</f>
        <v>0</v>
      </c>
      <c r="U434" s="71">
        <f>Oportuno!U434</f>
        <v>0</v>
      </c>
      <c r="V434" s="117">
        <f>Oportuno!V434</f>
        <v>0</v>
      </c>
      <c r="W434" s="117">
        <f>Oportuno!W434</f>
        <v>0</v>
      </c>
      <c r="X434" s="71">
        <f>Oportuno!X434</f>
        <v>0</v>
      </c>
      <c r="Y434" s="71">
        <f>Oportuno!Y434</f>
        <v>0</v>
      </c>
      <c r="AA434" s="65"/>
    </row>
    <row r="435" spans="2:27" ht="13" customHeight="1">
      <c r="B435" s="119">
        <f>Oportuno!B435</f>
        <v>0</v>
      </c>
      <c r="C435" s="23">
        <f>Oportuno!C435</f>
        <v>2026092</v>
      </c>
      <c r="D435" s="23">
        <f>Oportuno!D435</f>
        <v>16</v>
      </c>
      <c r="E435" s="128">
        <f>Oportuno!E435</f>
        <v>0</v>
      </c>
      <c r="F435" s="126" t="e">
        <f>Oportuno!F435</f>
        <v>#N/A</v>
      </c>
      <c r="G435" s="36">
        <f>Oportuno!G435</f>
        <v>1</v>
      </c>
      <c r="H435" s="126" t="str">
        <f>Oportuno!H435</f>
        <v>Oficinas</v>
      </c>
      <c r="I435" s="130">
        <f>Oportuno!I435</f>
        <v>0</v>
      </c>
      <c r="J435" s="174">
        <f>Oportuno!J435</f>
        <v>0</v>
      </c>
      <c r="K435" s="174">
        <f>Oportuno!K435</f>
        <v>0</v>
      </c>
      <c r="L435" s="174">
        <f>Oportuno!L435</f>
        <v>0</v>
      </c>
      <c r="M435" s="174">
        <f>Oportuno!M435</f>
        <v>0</v>
      </c>
      <c r="N435" s="174">
        <f>Oportuno!N435</f>
        <v>0</v>
      </c>
      <c r="O435" s="174">
        <f>Oportuno!O435</f>
        <v>0</v>
      </c>
      <c r="P435" s="174">
        <f>Oportuno!P435</f>
        <v>0</v>
      </c>
      <c r="Q435" s="174">
        <f>Oportuno!Q435</f>
        <v>0</v>
      </c>
      <c r="R435" s="174">
        <f>Oportuno!R435</f>
        <v>0</v>
      </c>
      <c r="S435" s="215">
        <f>Oportuno!S435</f>
        <v>0</v>
      </c>
      <c r="T435" s="71">
        <f>Oportuno!T435</f>
        <v>0</v>
      </c>
      <c r="U435" s="71">
        <f>Oportuno!U435</f>
        <v>0</v>
      </c>
      <c r="V435" s="117">
        <f>Oportuno!V435</f>
        <v>0</v>
      </c>
      <c r="W435" s="117">
        <f>Oportuno!W435</f>
        <v>0</v>
      </c>
      <c r="X435" s="71">
        <f>Oportuno!X435</f>
        <v>0</v>
      </c>
      <c r="Y435" s="71">
        <f>Oportuno!Y435</f>
        <v>0</v>
      </c>
      <c r="AA435" s="65"/>
    </row>
    <row r="436" spans="2:27" ht="13" customHeight="1">
      <c r="B436" s="119">
        <f>Oportuno!B436</f>
        <v>0</v>
      </c>
      <c r="C436" s="23">
        <f>Oportuno!C436</f>
        <v>2026092</v>
      </c>
      <c r="D436" s="23">
        <f>Oportuno!D436</f>
        <v>16</v>
      </c>
      <c r="E436" s="128">
        <f>Oportuno!E436</f>
        <v>0</v>
      </c>
      <c r="F436" s="126" t="e">
        <f>Oportuno!F436</f>
        <v>#N/A</v>
      </c>
      <c r="G436" s="36">
        <f>Oportuno!G436</f>
        <v>1</v>
      </c>
      <c r="H436" s="126" t="str">
        <f>Oportuno!H436</f>
        <v>Oficinas</v>
      </c>
      <c r="I436" s="130">
        <f>Oportuno!I436</f>
        <v>0</v>
      </c>
      <c r="J436" s="174">
        <f>Oportuno!J436</f>
        <v>0</v>
      </c>
      <c r="K436" s="174">
        <f>Oportuno!K436</f>
        <v>0</v>
      </c>
      <c r="L436" s="174">
        <f>Oportuno!L436</f>
        <v>0</v>
      </c>
      <c r="M436" s="174">
        <f>Oportuno!M436</f>
        <v>0</v>
      </c>
      <c r="N436" s="174">
        <f>Oportuno!N436</f>
        <v>0</v>
      </c>
      <c r="O436" s="174">
        <f>Oportuno!O436</f>
        <v>0</v>
      </c>
      <c r="P436" s="174">
        <f>Oportuno!P436</f>
        <v>0</v>
      </c>
      <c r="Q436" s="174">
        <f>Oportuno!Q436</f>
        <v>0</v>
      </c>
      <c r="R436" s="174">
        <f>Oportuno!R436</f>
        <v>0</v>
      </c>
      <c r="S436" s="215">
        <f>Oportuno!S436</f>
        <v>0</v>
      </c>
      <c r="T436" s="71">
        <f>Oportuno!T436</f>
        <v>0</v>
      </c>
      <c r="U436" s="71">
        <f>Oportuno!U436</f>
        <v>0</v>
      </c>
      <c r="V436" s="117">
        <f>Oportuno!V436</f>
        <v>0</v>
      </c>
      <c r="W436" s="117">
        <f>Oportuno!W436</f>
        <v>0</v>
      </c>
      <c r="X436" s="71">
        <f>Oportuno!X436</f>
        <v>0</v>
      </c>
      <c r="Y436" s="71">
        <f>Oportuno!Y436</f>
        <v>0</v>
      </c>
      <c r="AA436" s="65"/>
    </row>
    <row r="437" spans="2:27" ht="13" customHeight="1">
      <c r="B437" s="119">
        <f>Oportuno!B437</f>
        <v>0</v>
      </c>
      <c r="C437" s="23">
        <f>Oportuno!C437</f>
        <v>2026092</v>
      </c>
      <c r="D437" s="23">
        <f>Oportuno!D437</f>
        <v>16</v>
      </c>
      <c r="E437" s="128">
        <f>Oportuno!E437</f>
        <v>0</v>
      </c>
      <c r="F437" s="126" t="e">
        <f>Oportuno!F437</f>
        <v>#N/A</v>
      </c>
      <c r="G437" s="36">
        <f>Oportuno!G437</f>
        <v>1</v>
      </c>
      <c r="H437" s="126" t="str">
        <f>Oportuno!H437</f>
        <v>Oficinas</v>
      </c>
      <c r="I437" s="130">
        <f>Oportuno!I437</f>
        <v>0</v>
      </c>
      <c r="J437" s="174">
        <f>Oportuno!J437</f>
        <v>0</v>
      </c>
      <c r="K437" s="174">
        <f>Oportuno!K437</f>
        <v>0</v>
      </c>
      <c r="L437" s="174">
        <f>Oportuno!L437</f>
        <v>0</v>
      </c>
      <c r="M437" s="174">
        <f>Oportuno!M437</f>
        <v>0</v>
      </c>
      <c r="N437" s="174">
        <f>Oportuno!N437</f>
        <v>0</v>
      </c>
      <c r="O437" s="174">
        <f>Oportuno!O437</f>
        <v>0</v>
      </c>
      <c r="P437" s="174">
        <f>Oportuno!P437</f>
        <v>0</v>
      </c>
      <c r="Q437" s="174">
        <f>Oportuno!Q437</f>
        <v>0</v>
      </c>
      <c r="R437" s="174">
        <f>Oportuno!R437</f>
        <v>0</v>
      </c>
      <c r="S437" s="215">
        <f>Oportuno!S437</f>
        <v>0</v>
      </c>
      <c r="T437" s="71">
        <f>Oportuno!T437</f>
        <v>0</v>
      </c>
      <c r="U437" s="71">
        <f>Oportuno!U437</f>
        <v>0</v>
      </c>
      <c r="V437" s="117">
        <f>Oportuno!V437</f>
        <v>0</v>
      </c>
      <c r="W437" s="117">
        <f>Oportuno!W437</f>
        <v>0</v>
      </c>
      <c r="X437" s="71">
        <f>Oportuno!X437</f>
        <v>0</v>
      </c>
      <c r="Y437" s="71">
        <f>Oportuno!Y437</f>
        <v>0</v>
      </c>
      <c r="AA437" s="65"/>
    </row>
    <row r="438" spans="2:27" ht="13" customHeight="1">
      <c r="B438" s="119">
        <f>Oportuno!B438</f>
        <v>0</v>
      </c>
      <c r="C438" s="23">
        <f>Oportuno!C438</f>
        <v>2026092</v>
      </c>
      <c r="D438" s="23">
        <f>Oportuno!D438</f>
        <v>16</v>
      </c>
      <c r="E438" s="128">
        <f>Oportuno!E438</f>
        <v>0</v>
      </c>
      <c r="F438" s="126" t="e">
        <f>Oportuno!F438</f>
        <v>#N/A</v>
      </c>
      <c r="G438" s="36">
        <f>Oportuno!G438</f>
        <v>1</v>
      </c>
      <c r="H438" s="126" t="str">
        <f>Oportuno!H438</f>
        <v>Oficinas</v>
      </c>
      <c r="I438" s="130">
        <f>Oportuno!I438</f>
        <v>0</v>
      </c>
      <c r="J438" s="174">
        <f>Oportuno!J438</f>
        <v>0</v>
      </c>
      <c r="K438" s="174">
        <f>Oportuno!K438</f>
        <v>0</v>
      </c>
      <c r="L438" s="174">
        <f>Oportuno!L438</f>
        <v>0</v>
      </c>
      <c r="M438" s="174">
        <f>Oportuno!M438</f>
        <v>0</v>
      </c>
      <c r="N438" s="174">
        <f>Oportuno!N438</f>
        <v>0</v>
      </c>
      <c r="O438" s="174">
        <f>Oportuno!O438</f>
        <v>0</v>
      </c>
      <c r="P438" s="174">
        <f>Oportuno!P438</f>
        <v>0</v>
      </c>
      <c r="Q438" s="174">
        <f>Oportuno!Q438</f>
        <v>0</v>
      </c>
      <c r="R438" s="174">
        <f>Oportuno!R438</f>
        <v>0</v>
      </c>
      <c r="S438" s="215">
        <f>Oportuno!S438</f>
        <v>0</v>
      </c>
      <c r="T438" s="71">
        <f>Oportuno!T438</f>
        <v>0</v>
      </c>
      <c r="U438" s="71">
        <f>Oportuno!U438</f>
        <v>0</v>
      </c>
      <c r="V438" s="117">
        <f>Oportuno!V438</f>
        <v>0</v>
      </c>
      <c r="W438" s="117">
        <f>Oportuno!W438</f>
        <v>0</v>
      </c>
      <c r="X438" s="71">
        <f>Oportuno!X438</f>
        <v>0</v>
      </c>
      <c r="Y438" s="71">
        <f>Oportuno!Y438</f>
        <v>0</v>
      </c>
      <c r="AA438" s="65"/>
    </row>
    <row r="439" spans="2:27" ht="13" customHeight="1">
      <c r="B439" s="119">
        <f>Oportuno!B439</f>
        <v>0</v>
      </c>
      <c r="C439" s="23">
        <f>Oportuno!C439</f>
        <v>2026092</v>
      </c>
      <c r="D439" s="23">
        <f>Oportuno!D439</f>
        <v>16</v>
      </c>
      <c r="E439" s="128">
        <f>Oportuno!E439</f>
        <v>0</v>
      </c>
      <c r="F439" s="126" t="e">
        <f>Oportuno!F439</f>
        <v>#N/A</v>
      </c>
      <c r="G439" s="36">
        <f>Oportuno!G439</f>
        <v>1</v>
      </c>
      <c r="H439" s="126" t="str">
        <f>Oportuno!H439</f>
        <v>Oficinas</v>
      </c>
      <c r="I439" s="130">
        <f>Oportuno!I439</f>
        <v>0</v>
      </c>
      <c r="J439" s="174">
        <f>Oportuno!J439</f>
        <v>0</v>
      </c>
      <c r="K439" s="174">
        <f>Oportuno!K439</f>
        <v>0</v>
      </c>
      <c r="L439" s="174">
        <f>Oportuno!L439</f>
        <v>0</v>
      </c>
      <c r="M439" s="174">
        <f>Oportuno!M439</f>
        <v>0</v>
      </c>
      <c r="N439" s="174">
        <f>Oportuno!N439</f>
        <v>0</v>
      </c>
      <c r="O439" s="174">
        <f>Oportuno!O439</f>
        <v>0</v>
      </c>
      <c r="P439" s="174">
        <f>Oportuno!P439</f>
        <v>0</v>
      </c>
      <c r="Q439" s="174">
        <f>Oportuno!Q439</f>
        <v>0</v>
      </c>
      <c r="R439" s="174">
        <f>Oportuno!R439</f>
        <v>0</v>
      </c>
      <c r="S439" s="215">
        <f>Oportuno!S439</f>
        <v>0</v>
      </c>
      <c r="T439" s="71">
        <f>Oportuno!T439</f>
        <v>0</v>
      </c>
      <c r="U439" s="71">
        <f>Oportuno!U439</f>
        <v>0</v>
      </c>
      <c r="V439" s="117">
        <f>Oportuno!V439</f>
        <v>0</v>
      </c>
      <c r="W439" s="117">
        <f>Oportuno!W439</f>
        <v>0</v>
      </c>
      <c r="X439" s="71">
        <f>Oportuno!X439</f>
        <v>0</v>
      </c>
      <c r="Y439" s="71">
        <f>Oportuno!Y439</f>
        <v>0</v>
      </c>
      <c r="AA439" s="65"/>
    </row>
    <row r="440" spans="2:27" ht="13" customHeight="1">
      <c r="B440" s="119">
        <f>Oportuno!B440</f>
        <v>0</v>
      </c>
      <c r="C440" s="23">
        <f>Oportuno!C440</f>
        <v>2026092</v>
      </c>
      <c r="D440" s="23">
        <f>Oportuno!D440</f>
        <v>16</v>
      </c>
      <c r="E440" s="128">
        <f>Oportuno!E440</f>
        <v>0</v>
      </c>
      <c r="F440" s="126" t="e">
        <f>Oportuno!F440</f>
        <v>#N/A</v>
      </c>
      <c r="G440" s="36">
        <f>Oportuno!G440</f>
        <v>1</v>
      </c>
      <c r="H440" s="126" t="str">
        <f>Oportuno!H440</f>
        <v>Oficinas</v>
      </c>
      <c r="I440" s="130">
        <f>Oportuno!I440</f>
        <v>0</v>
      </c>
      <c r="J440" s="174">
        <f>Oportuno!J440</f>
        <v>0</v>
      </c>
      <c r="K440" s="174">
        <f>Oportuno!K440</f>
        <v>0</v>
      </c>
      <c r="L440" s="174">
        <f>Oportuno!L440</f>
        <v>0</v>
      </c>
      <c r="M440" s="174">
        <f>Oportuno!M440</f>
        <v>0</v>
      </c>
      <c r="N440" s="174">
        <f>Oportuno!N440</f>
        <v>0</v>
      </c>
      <c r="O440" s="174">
        <f>Oportuno!O440</f>
        <v>0</v>
      </c>
      <c r="P440" s="174">
        <f>Oportuno!P440</f>
        <v>0</v>
      </c>
      <c r="Q440" s="174">
        <f>Oportuno!Q440</f>
        <v>0</v>
      </c>
      <c r="R440" s="174">
        <f>Oportuno!R440</f>
        <v>0</v>
      </c>
      <c r="S440" s="215">
        <f>Oportuno!S440</f>
        <v>0</v>
      </c>
      <c r="T440" s="71">
        <f>Oportuno!T440</f>
        <v>0</v>
      </c>
      <c r="U440" s="71">
        <f>Oportuno!U440</f>
        <v>0</v>
      </c>
      <c r="V440" s="117">
        <f>Oportuno!V440</f>
        <v>0</v>
      </c>
      <c r="W440" s="117">
        <f>Oportuno!W440</f>
        <v>0</v>
      </c>
      <c r="X440" s="71">
        <f>Oportuno!X440</f>
        <v>0</v>
      </c>
      <c r="Y440" s="71">
        <f>Oportuno!Y440</f>
        <v>0</v>
      </c>
      <c r="AA440" s="65"/>
    </row>
    <row r="441" spans="2:27" ht="13" customHeight="1">
      <c r="B441" s="119">
        <f>Oportuno!B441</f>
        <v>0</v>
      </c>
      <c r="C441" s="23">
        <f>Oportuno!C441</f>
        <v>2026092</v>
      </c>
      <c r="D441" s="23">
        <f>Oportuno!D441</f>
        <v>16</v>
      </c>
      <c r="E441" s="128">
        <f>Oportuno!E441</f>
        <v>0</v>
      </c>
      <c r="F441" s="126" t="e">
        <f>Oportuno!F441</f>
        <v>#N/A</v>
      </c>
      <c r="G441" s="36">
        <f>Oportuno!G441</f>
        <v>1</v>
      </c>
      <c r="H441" s="126" t="str">
        <f>Oportuno!H441</f>
        <v>Oficinas</v>
      </c>
      <c r="I441" s="130">
        <f>Oportuno!I441</f>
        <v>0</v>
      </c>
      <c r="J441" s="174">
        <f>Oportuno!J441</f>
        <v>0</v>
      </c>
      <c r="K441" s="174">
        <f>Oportuno!K441</f>
        <v>0</v>
      </c>
      <c r="L441" s="174">
        <f>Oportuno!L441</f>
        <v>0</v>
      </c>
      <c r="M441" s="174">
        <f>Oportuno!M441</f>
        <v>0</v>
      </c>
      <c r="N441" s="174">
        <f>Oportuno!N441</f>
        <v>0</v>
      </c>
      <c r="O441" s="174">
        <f>Oportuno!O441</f>
        <v>0</v>
      </c>
      <c r="P441" s="174">
        <f>Oportuno!P441</f>
        <v>0</v>
      </c>
      <c r="Q441" s="174">
        <f>Oportuno!Q441</f>
        <v>0</v>
      </c>
      <c r="R441" s="174">
        <f>Oportuno!R441</f>
        <v>0</v>
      </c>
      <c r="S441" s="215">
        <f>Oportuno!S441</f>
        <v>0</v>
      </c>
      <c r="T441" s="71">
        <f>Oportuno!T441</f>
        <v>0</v>
      </c>
      <c r="U441" s="71">
        <f>Oportuno!U441</f>
        <v>0</v>
      </c>
      <c r="V441" s="117">
        <f>Oportuno!V441</f>
        <v>0</v>
      </c>
      <c r="W441" s="117">
        <f>Oportuno!W441</f>
        <v>0</v>
      </c>
      <c r="X441" s="71">
        <f>Oportuno!X441</f>
        <v>0</v>
      </c>
      <c r="Y441" s="71">
        <f>Oportuno!Y441</f>
        <v>0</v>
      </c>
      <c r="AA441" s="65"/>
    </row>
    <row r="442" spans="2:27" ht="13" customHeight="1">
      <c r="B442" s="119">
        <f>Oportuno!B442</f>
        <v>0</v>
      </c>
      <c r="C442" s="23">
        <f>Oportuno!C442</f>
        <v>2026092</v>
      </c>
      <c r="D442" s="23">
        <f>Oportuno!D442</f>
        <v>16</v>
      </c>
      <c r="E442" s="128">
        <f>Oportuno!E442</f>
        <v>0</v>
      </c>
      <c r="F442" s="126" t="e">
        <f>Oportuno!F442</f>
        <v>#N/A</v>
      </c>
      <c r="G442" s="36">
        <f>Oportuno!G442</f>
        <v>1</v>
      </c>
      <c r="H442" s="126" t="str">
        <f>Oportuno!H442</f>
        <v>Oficinas</v>
      </c>
      <c r="I442" s="130">
        <f>Oportuno!I442</f>
        <v>0</v>
      </c>
      <c r="J442" s="174">
        <f>Oportuno!J442</f>
        <v>0</v>
      </c>
      <c r="K442" s="174">
        <f>Oportuno!K442</f>
        <v>0</v>
      </c>
      <c r="L442" s="174">
        <f>Oportuno!L442</f>
        <v>0</v>
      </c>
      <c r="M442" s="174">
        <f>Oportuno!M442</f>
        <v>0</v>
      </c>
      <c r="N442" s="174">
        <f>Oportuno!N442</f>
        <v>0</v>
      </c>
      <c r="O442" s="174">
        <f>Oportuno!O442</f>
        <v>0</v>
      </c>
      <c r="P442" s="174">
        <f>Oportuno!P442</f>
        <v>0</v>
      </c>
      <c r="Q442" s="174">
        <f>Oportuno!Q442</f>
        <v>0</v>
      </c>
      <c r="R442" s="174">
        <f>Oportuno!R442</f>
        <v>0</v>
      </c>
      <c r="S442" s="215">
        <f>Oportuno!S442</f>
        <v>0</v>
      </c>
      <c r="T442" s="71">
        <f>Oportuno!T442</f>
        <v>0</v>
      </c>
      <c r="U442" s="71">
        <f>Oportuno!U442</f>
        <v>0</v>
      </c>
      <c r="V442" s="117">
        <f>Oportuno!V442</f>
        <v>0</v>
      </c>
      <c r="W442" s="117">
        <f>Oportuno!W442</f>
        <v>0</v>
      </c>
      <c r="X442" s="71">
        <f>Oportuno!X442</f>
        <v>0</v>
      </c>
      <c r="Y442" s="71">
        <f>Oportuno!Y442</f>
        <v>0</v>
      </c>
      <c r="AA442" s="65"/>
    </row>
    <row r="443" spans="2:27" ht="13" customHeight="1">
      <c r="B443" s="119">
        <f>Oportuno!B443</f>
        <v>0</v>
      </c>
      <c r="C443" s="23">
        <f>Oportuno!C443</f>
        <v>2026092</v>
      </c>
      <c r="D443" s="23">
        <f>Oportuno!D443</f>
        <v>16</v>
      </c>
      <c r="E443" s="128">
        <f>Oportuno!E443</f>
        <v>0</v>
      </c>
      <c r="F443" s="126" t="e">
        <f>Oportuno!F443</f>
        <v>#N/A</v>
      </c>
      <c r="G443" s="36">
        <f>Oportuno!G443</f>
        <v>1</v>
      </c>
      <c r="H443" s="126" t="str">
        <f>Oportuno!H443</f>
        <v>Oficinas</v>
      </c>
      <c r="I443" s="130">
        <f>Oportuno!I443</f>
        <v>0</v>
      </c>
      <c r="J443" s="174">
        <f>Oportuno!J443</f>
        <v>0</v>
      </c>
      <c r="K443" s="174">
        <f>Oportuno!K443</f>
        <v>0</v>
      </c>
      <c r="L443" s="174">
        <f>Oportuno!L443</f>
        <v>0</v>
      </c>
      <c r="M443" s="174">
        <f>Oportuno!M443</f>
        <v>0</v>
      </c>
      <c r="N443" s="174">
        <f>Oportuno!N443</f>
        <v>0</v>
      </c>
      <c r="O443" s="174">
        <f>Oportuno!O443</f>
        <v>0</v>
      </c>
      <c r="P443" s="174">
        <f>Oportuno!P443</f>
        <v>0</v>
      </c>
      <c r="Q443" s="174">
        <f>Oportuno!Q443</f>
        <v>0</v>
      </c>
      <c r="R443" s="174">
        <f>Oportuno!R443</f>
        <v>0</v>
      </c>
      <c r="S443" s="215">
        <f>Oportuno!S443</f>
        <v>0</v>
      </c>
      <c r="T443" s="71">
        <f>Oportuno!T443</f>
        <v>0</v>
      </c>
      <c r="U443" s="71">
        <f>Oportuno!U443</f>
        <v>0</v>
      </c>
      <c r="V443" s="117">
        <f>Oportuno!V443</f>
        <v>0</v>
      </c>
      <c r="W443" s="117">
        <f>Oportuno!W443</f>
        <v>0</v>
      </c>
      <c r="X443" s="71">
        <f>Oportuno!X443</f>
        <v>0</v>
      </c>
      <c r="Y443" s="71">
        <f>Oportuno!Y443</f>
        <v>0</v>
      </c>
      <c r="AA443" s="65"/>
    </row>
    <row r="444" spans="2:27" ht="13" customHeight="1">
      <c r="B444" s="119">
        <f>Oportuno!B444</f>
        <v>0</v>
      </c>
      <c r="C444" s="23">
        <f>Oportuno!C444</f>
        <v>2026092</v>
      </c>
      <c r="D444" s="23">
        <f>Oportuno!D444</f>
        <v>16</v>
      </c>
      <c r="E444" s="128">
        <f>Oportuno!E444</f>
        <v>0</v>
      </c>
      <c r="F444" s="126" t="e">
        <f>Oportuno!F444</f>
        <v>#N/A</v>
      </c>
      <c r="G444" s="36">
        <f>Oportuno!G444</f>
        <v>1</v>
      </c>
      <c r="H444" s="126" t="str">
        <f>Oportuno!H444</f>
        <v>Oficinas</v>
      </c>
      <c r="I444" s="130">
        <f>Oportuno!I444</f>
        <v>0</v>
      </c>
      <c r="J444" s="174">
        <f>Oportuno!J444</f>
        <v>0</v>
      </c>
      <c r="K444" s="174">
        <f>Oportuno!K444</f>
        <v>0</v>
      </c>
      <c r="L444" s="174">
        <f>Oportuno!L444</f>
        <v>0</v>
      </c>
      <c r="M444" s="174">
        <f>Oportuno!M444</f>
        <v>0</v>
      </c>
      <c r="N444" s="174">
        <f>Oportuno!N444</f>
        <v>0</v>
      </c>
      <c r="O444" s="174">
        <f>Oportuno!O444</f>
        <v>0</v>
      </c>
      <c r="P444" s="174">
        <f>Oportuno!P444</f>
        <v>0</v>
      </c>
      <c r="Q444" s="174">
        <f>Oportuno!Q444</f>
        <v>0</v>
      </c>
      <c r="R444" s="174">
        <f>Oportuno!R444</f>
        <v>0</v>
      </c>
      <c r="S444" s="215">
        <f>Oportuno!S444</f>
        <v>0</v>
      </c>
      <c r="T444" s="71">
        <f>Oportuno!T444</f>
        <v>0</v>
      </c>
      <c r="U444" s="71">
        <f>Oportuno!U444</f>
        <v>0</v>
      </c>
      <c r="V444" s="117">
        <f>Oportuno!V444</f>
        <v>0</v>
      </c>
      <c r="W444" s="117">
        <f>Oportuno!W444</f>
        <v>0</v>
      </c>
      <c r="X444" s="71">
        <f>Oportuno!X444</f>
        <v>0</v>
      </c>
      <c r="Y444" s="71">
        <f>Oportuno!Y444</f>
        <v>0</v>
      </c>
      <c r="AA444" s="65"/>
    </row>
    <row r="445" spans="2:27" ht="13" customHeight="1">
      <c r="B445" s="119">
        <f>Oportuno!B445</f>
        <v>0</v>
      </c>
      <c r="C445" s="23">
        <f>Oportuno!C445</f>
        <v>2026092</v>
      </c>
      <c r="D445" s="23">
        <f>Oportuno!D445</f>
        <v>16</v>
      </c>
      <c r="E445" s="128">
        <f>Oportuno!E445</f>
        <v>0</v>
      </c>
      <c r="F445" s="126" t="e">
        <f>Oportuno!F445</f>
        <v>#N/A</v>
      </c>
      <c r="G445" s="36">
        <f>Oportuno!G445</f>
        <v>1</v>
      </c>
      <c r="H445" s="126" t="str">
        <f>Oportuno!H445</f>
        <v>Oficinas</v>
      </c>
      <c r="I445" s="130">
        <f>Oportuno!I445</f>
        <v>0</v>
      </c>
      <c r="J445" s="174">
        <f>Oportuno!J445</f>
        <v>0</v>
      </c>
      <c r="K445" s="174">
        <f>Oportuno!K445</f>
        <v>0</v>
      </c>
      <c r="L445" s="174">
        <f>Oportuno!L445</f>
        <v>0</v>
      </c>
      <c r="M445" s="174">
        <f>Oportuno!M445</f>
        <v>0</v>
      </c>
      <c r="N445" s="174">
        <f>Oportuno!N445</f>
        <v>0</v>
      </c>
      <c r="O445" s="174">
        <f>Oportuno!O445</f>
        <v>0</v>
      </c>
      <c r="P445" s="174">
        <f>Oportuno!P445</f>
        <v>0</v>
      </c>
      <c r="Q445" s="174">
        <f>Oportuno!Q445</f>
        <v>0</v>
      </c>
      <c r="R445" s="174">
        <f>Oportuno!R445</f>
        <v>0</v>
      </c>
      <c r="S445" s="215">
        <f>Oportuno!S445</f>
        <v>0</v>
      </c>
      <c r="T445" s="71">
        <f>Oportuno!T445</f>
        <v>0</v>
      </c>
      <c r="U445" s="71">
        <f>Oportuno!U445</f>
        <v>0</v>
      </c>
      <c r="V445" s="117">
        <f>Oportuno!V445</f>
        <v>0</v>
      </c>
      <c r="W445" s="117">
        <f>Oportuno!W445</f>
        <v>0</v>
      </c>
      <c r="X445" s="71">
        <f>Oportuno!X445</f>
        <v>0</v>
      </c>
      <c r="Y445" s="71">
        <f>Oportuno!Y445</f>
        <v>0</v>
      </c>
      <c r="AA445" s="65"/>
    </row>
    <row r="446" spans="2:27" ht="13" customHeight="1">
      <c r="B446" s="119">
        <f>Oportuno!B446</f>
        <v>0</v>
      </c>
      <c r="C446" s="23">
        <f>Oportuno!C446</f>
        <v>2026092</v>
      </c>
      <c r="D446" s="23">
        <f>Oportuno!D446</f>
        <v>16</v>
      </c>
      <c r="E446" s="128">
        <f>Oportuno!E446</f>
        <v>0</v>
      </c>
      <c r="F446" s="126" t="e">
        <f>Oportuno!F446</f>
        <v>#N/A</v>
      </c>
      <c r="G446" s="36">
        <f>Oportuno!G446</f>
        <v>1</v>
      </c>
      <c r="H446" s="126" t="str">
        <f>Oportuno!H446</f>
        <v>Oficinas</v>
      </c>
      <c r="I446" s="130">
        <f>Oportuno!I446</f>
        <v>0</v>
      </c>
      <c r="J446" s="174">
        <f>Oportuno!J446</f>
        <v>0</v>
      </c>
      <c r="K446" s="174">
        <f>Oportuno!K446</f>
        <v>0</v>
      </c>
      <c r="L446" s="174">
        <f>Oportuno!L446</f>
        <v>0</v>
      </c>
      <c r="M446" s="174">
        <f>Oportuno!M446</f>
        <v>0</v>
      </c>
      <c r="N446" s="174">
        <f>Oportuno!N446</f>
        <v>0</v>
      </c>
      <c r="O446" s="174">
        <f>Oportuno!O446</f>
        <v>0</v>
      </c>
      <c r="P446" s="174">
        <f>Oportuno!P446</f>
        <v>0</v>
      </c>
      <c r="Q446" s="174">
        <f>Oportuno!Q446</f>
        <v>0</v>
      </c>
      <c r="R446" s="174">
        <f>Oportuno!R446</f>
        <v>0</v>
      </c>
      <c r="S446" s="215">
        <f>Oportuno!S446</f>
        <v>0</v>
      </c>
      <c r="T446" s="71">
        <f>Oportuno!T446</f>
        <v>0</v>
      </c>
      <c r="U446" s="71">
        <f>Oportuno!U446</f>
        <v>0</v>
      </c>
      <c r="V446" s="117">
        <f>Oportuno!V446</f>
        <v>0</v>
      </c>
      <c r="W446" s="117">
        <f>Oportuno!W446</f>
        <v>0</v>
      </c>
      <c r="X446" s="71">
        <f>Oportuno!X446</f>
        <v>0</v>
      </c>
      <c r="Y446" s="71">
        <f>Oportuno!Y446</f>
        <v>0</v>
      </c>
      <c r="AA446" s="65"/>
    </row>
    <row r="447" spans="2:27" ht="13" customHeight="1">
      <c r="B447" s="119">
        <f>Oportuno!B447</f>
        <v>0</v>
      </c>
      <c r="C447" s="23">
        <f>Oportuno!C447</f>
        <v>2026092</v>
      </c>
      <c r="D447" s="23">
        <f>Oportuno!D447</f>
        <v>16</v>
      </c>
      <c r="E447" s="128">
        <f>Oportuno!E447</f>
        <v>0</v>
      </c>
      <c r="F447" s="126" t="e">
        <f>Oportuno!F447</f>
        <v>#N/A</v>
      </c>
      <c r="G447" s="36">
        <f>Oportuno!G447</f>
        <v>1</v>
      </c>
      <c r="H447" s="126" t="str">
        <f>Oportuno!H447</f>
        <v>Oficinas</v>
      </c>
      <c r="I447" s="130">
        <f>Oportuno!I447</f>
        <v>0</v>
      </c>
      <c r="J447" s="174">
        <f>Oportuno!J447</f>
        <v>0</v>
      </c>
      <c r="K447" s="174">
        <f>Oportuno!K447</f>
        <v>0</v>
      </c>
      <c r="L447" s="174">
        <f>Oportuno!L447</f>
        <v>0</v>
      </c>
      <c r="M447" s="174">
        <f>Oportuno!M447</f>
        <v>0</v>
      </c>
      <c r="N447" s="174">
        <f>Oportuno!N447</f>
        <v>0</v>
      </c>
      <c r="O447" s="174">
        <f>Oportuno!O447</f>
        <v>0</v>
      </c>
      <c r="P447" s="174">
        <f>Oportuno!P447</f>
        <v>0</v>
      </c>
      <c r="Q447" s="174">
        <f>Oportuno!Q447</f>
        <v>0</v>
      </c>
      <c r="R447" s="174">
        <f>Oportuno!R447</f>
        <v>0</v>
      </c>
      <c r="S447" s="215">
        <f>Oportuno!S447</f>
        <v>0</v>
      </c>
      <c r="T447" s="71">
        <f>Oportuno!T447</f>
        <v>0</v>
      </c>
      <c r="U447" s="71">
        <f>Oportuno!U447</f>
        <v>0</v>
      </c>
      <c r="V447" s="117">
        <f>Oportuno!V447</f>
        <v>0</v>
      </c>
      <c r="W447" s="117">
        <f>Oportuno!W447</f>
        <v>0</v>
      </c>
      <c r="X447" s="71">
        <f>Oportuno!X447</f>
        <v>0</v>
      </c>
      <c r="Y447" s="71">
        <f>Oportuno!Y447</f>
        <v>0</v>
      </c>
      <c r="AA447" s="65"/>
    </row>
    <row r="448" spans="2:27" ht="12" customHeight="1">
      <c r="B448" s="119">
        <f>Oportuno!B448</f>
        <v>0</v>
      </c>
      <c r="C448" s="23">
        <f>Oportuno!C448</f>
        <v>2026092</v>
      </c>
      <c r="D448" s="23">
        <f>Oportuno!D448</f>
        <v>16</v>
      </c>
      <c r="E448" s="128">
        <f>Oportuno!E448</f>
        <v>0</v>
      </c>
      <c r="F448" s="126" t="e">
        <f>Oportuno!F448</f>
        <v>#N/A</v>
      </c>
      <c r="G448" s="36">
        <f>Oportuno!G448</f>
        <v>1</v>
      </c>
      <c r="H448" s="126" t="str">
        <f>Oportuno!H448</f>
        <v>Oficinas</v>
      </c>
      <c r="I448" s="130">
        <f>Oportuno!I448</f>
        <v>0</v>
      </c>
      <c r="J448" s="174">
        <f>Oportuno!J448</f>
        <v>0</v>
      </c>
      <c r="K448" s="174">
        <f>Oportuno!K448</f>
        <v>0</v>
      </c>
      <c r="L448" s="174">
        <f>Oportuno!L448</f>
        <v>0</v>
      </c>
      <c r="M448" s="174">
        <f>Oportuno!M448</f>
        <v>0</v>
      </c>
      <c r="N448" s="174">
        <f>Oportuno!N448</f>
        <v>0</v>
      </c>
      <c r="O448" s="174">
        <f>Oportuno!O448</f>
        <v>0</v>
      </c>
      <c r="P448" s="174">
        <f>Oportuno!P448</f>
        <v>0</v>
      </c>
      <c r="Q448" s="174">
        <f>Oportuno!Q448</f>
        <v>0</v>
      </c>
      <c r="R448" s="174">
        <f>Oportuno!R448</f>
        <v>0</v>
      </c>
      <c r="S448" s="215">
        <f>Oportuno!S448</f>
        <v>0</v>
      </c>
      <c r="T448" s="71">
        <f>Oportuno!T448</f>
        <v>0</v>
      </c>
      <c r="U448" s="71">
        <f>Oportuno!U448</f>
        <v>0</v>
      </c>
      <c r="V448" s="117">
        <f>Oportuno!V448</f>
        <v>0</v>
      </c>
      <c r="W448" s="117">
        <f>Oportuno!W448</f>
        <v>0</v>
      </c>
      <c r="X448" s="71">
        <f>Oportuno!X448</f>
        <v>0</v>
      </c>
      <c r="Y448" s="71">
        <f>Oportuno!Y448</f>
        <v>0</v>
      </c>
      <c r="AA448" s="65"/>
    </row>
    <row r="449" spans="2:27 16101:16120" ht="13" customHeight="1">
      <c r="B449" s="119">
        <f>Oportuno!B449</f>
        <v>0</v>
      </c>
      <c r="C449" s="23">
        <f>Oportuno!C449</f>
        <v>2026092</v>
      </c>
      <c r="D449" s="23">
        <f>Oportuno!D449</f>
        <v>16</v>
      </c>
      <c r="E449" s="128">
        <f>Oportuno!E449</f>
        <v>0</v>
      </c>
      <c r="F449" s="126" t="e">
        <f>Oportuno!F449</f>
        <v>#N/A</v>
      </c>
      <c r="G449" s="36">
        <f>Oportuno!G449</f>
        <v>1</v>
      </c>
      <c r="H449" s="126" t="str">
        <f>Oportuno!H449</f>
        <v>Oficinas</v>
      </c>
      <c r="I449" s="130">
        <f>Oportuno!I449</f>
        <v>0</v>
      </c>
      <c r="J449" s="174">
        <f>Oportuno!J449</f>
        <v>0</v>
      </c>
      <c r="K449" s="174">
        <f>Oportuno!K449</f>
        <v>0</v>
      </c>
      <c r="L449" s="174">
        <f>Oportuno!L449</f>
        <v>0</v>
      </c>
      <c r="M449" s="174">
        <f>Oportuno!M449</f>
        <v>0</v>
      </c>
      <c r="N449" s="174">
        <f>Oportuno!N449</f>
        <v>0</v>
      </c>
      <c r="O449" s="174">
        <f>Oportuno!O449</f>
        <v>0</v>
      </c>
      <c r="P449" s="174">
        <f>Oportuno!P449</f>
        <v>0</v>
      </c>
      <c r="Q449" s="174">
        <f>Oportuno!Q449</f>
        <v>0</v>
      </c>
      <c r="R449" s="174">
        <f>Oportuno!R449</f>
        <v>0</v>
      </c>
      <c r="S449" s="215">
        <f>Oportuno!S449</f>
        <v>0</v>
      </c>
      <c r="T449" s="71">
        <f>Oportuno!T449</f>
        <v>0</v>
      </c>
      <c r="U449" s="71">
        <f>Oportuno!U449</f>
        <v>0</v>
      </c>
      <c r="V449" s="117">
        <f>Oportuno!V449</f>
        <v>0</v>
      </c>
      <c r="W449" s="117">
        <f>Oportuno!W449</f>
        <v>0</v>
      </c>
      <c r="X449" s="71">
        <f>Oportuno!X449</f>
        <v>0</v>
      </c>
      <c r="Y449" s="71">
        <f>Oportuno!Y449</f>
        <v>0</v>
      </c>
      <c r="AA449" s="65"/>
    </row>
    <row r="450" spans="2:27 16101:16120" ht="13" customHeight="1">
      <c r="B450" s="119">
        <f>Oportuno!B450</f>
        <v>0</v>
      </c>
      <c r="C450" s="23">
        <f>Oportuno!C450</f>
        <v>2026092</v>
      </c>
      <c r="D450" s="23">
        <f>Oportuno!D450</f>
        <v>16</v>
      </c>
      <c r="E450" s="128">
        <f>Oportuno!E450</f>
        <v>0</v>
      </c>
      <c r="F450" s="126" t="e">
        <f>Oportuno!F450</f>
        <v>#N/A</v>
      </c>
      <c r="G450" s="36">
        <f>Oportuno!G450</f>
        <v>1</v>
      </c>
      <c r="H450" s="126" t="str">
        <f>Oportuno!H450</f>
        <v>Oficinas</v>
      </c>
      <c r="I450" s="130">
        <f>Oportuno!I450</f>
        <v>0</v>
      </c>
      <c r="J450" s="174">
        <f>Oportuno!J450</f>
        <v>0</v>
      </c>
      <c r="K450" s="174">
        <f>Oportuno!K450</f>
        <v>0</v>
      </c>
      <c r="L450" s="174">
        <f>Oportuno!L450</f>
        <v>0</v>
      </c>
      <c r="M450" s="174">
        <f>Oportuno!M450</f>
        <v>0</v>
      </c>
      <c r="N450" s="174">
        <f>Oportuno!N450</f>
        <v>0</v>
      </c>
      <c r="O450" s="174">
        <f>Oportuno!O450</f>
        <v>0</v>
      </c>
      <c r="P450" s="174">
        <f>Oportuno!P450</f>
        <v>0</v>
      </c>
      <c r="Q450" s="174">
        <f>Oportuno!Q450</f>
        <v>0</v>
      </c>
      <c r="R450" s="174">
        <f>Oportuno!R450</f>
        <v>0</v>
      </c>
      <c r="S450" s="215">
        <f>Oportuno!S450</f>
        <v>0</v>
      </c>
      <c r="T450" s="71">
        <f>Oportuno!T450</f>
        <v>0</v>
      </c>
      <c r="U450" s="71">
        <f>Oportuno!U450</f>
        <v>0</v>
      </c>
      <c r="V450" s="117">
        <f>Oportuno!V450</f>
        <v>0</v>
      </c>
      <c r="W450" s="117">
        <f>Oportuno!W450</f>
        <v>0</v>
      </c>
      <c r="X450" s="71">
        <f>Oportuno!X450</f>
        <v>0</v>
      </c>
      <c r="Y450" s="71">
        <f>Oportuno!Y450</f>
        <v>0</v>
      </c>
      <c r="AA450" s="65"/>
    </row>
    <row r="451" spans="2:27 16101:16120" ht="13" customHeight="1">
      <c r="B451" s="119">
        <f>Oportuno!B451</f>
        <v>0</v>
      </c>
      <c r="C451" s="23">
        <f>Oportuno!C451</f>
        <v>2026092</v>
      </c>
      <c r="D451" s="23">
        <f>Oportuno!D451</f>
        <v>16</v>
      </c>
      <c r="E451" s="128">
        <f>Oportuno!E451</f>
        <v>0</v>
      </c>
      <c r="F451" s="126" t="e">
        <f>Oportuno!F451</f>
        <v>#N/A</v>
      </c>
      <c r="G451" s="36">
        <f>Oportuno!G451</f>
        <v>1</v>
      </c>
      <c r="H451" s="126" t="str">
        <f>Oportuno!H451</f>
        <v>Oficinas</v>
      </c>
      <c r="I451" s="130">
        <f>Oportuno!I451</f>
        <v>0</v>
      </c>
      <c r="J451" s="174">
        <f>Oportuno!J451</f>
        <v>0</v>
      </c>
      <c r="K451" s="174">
        <f>Oportuno!K451</f>
        <v>0</v>
      </c>
      <c r="L451" s="174">
        <f>Oportuno!L451</f>
        <v>0</v>
      </c>
      <c r="M451" s="174">
        <f>Oportuno!M451</f>
        <v>0</v>
      </c>
      <c r="N451" s="174">
        <f>Oportuno!N451</f>
        <v>0</v>
      </c>
      <c r="O451" s="174">
        <f>Oportuno!O451</f>
        <v>0</v>
      </c>
      <c r="P451" s="174">
        <f>Oportuno!P451</f>
        <v>0</v>
      </c>
      <c r="Q451" s="174">
        <f>Oportuno!Q451</f>
        <v>0</v>
      </c>
      <c r="R451" s="174">
        <f>Oportuno!R451</f>
        <v>0</v>
      </c>
      <c r="S451" s="215">
        <f>Oportuno!S451</f>
        <v>0</v>
      </c>
      <c r="T451" s="71">
        <f>Oportuno!T451</f>
        <v>0</v>
      </c>
      <c r="U451" s="71">
        <f>Oportuno!U451</f>
        <v>0</v>
      </c>
      <c r="V451" s="117">
        <f>Oportuno!V451</f>
        <v>0</v>
      </c>
      <c r="W451" s="117">
        <f>Oportuno!W451</f>
        <v>0</v>
      </c>
      <c r="X451" s="71">
        <f>Oportuno!X451</f>
        <v>0</v>
      </c>
      <c r="Y451" s="71">
        <f>Oportuno!Y451</f>
        <v>0</v>
      </c>
      <c r="AA451" s="65"/>
    </row>
    <row r="452" spans="2:27 16101:16120" ht="13" customHeight="1">
      <c r="B452" s="119">
        <f>Oportuno!B452</f>
        <v>0</v>
      </c>
      <c r="C452" s="23">
        <f>Oportuno!C452</f>
        <v>2026092</v>
      </c>
      <c r="D452" s="23">
        <f>Oportuno!D452</f>
        <v>16</v>
      </c>
      <c r="E452" s="128">
        <f>Oportuno!E452</f>
        <v>0</v>
      </c>
      <c r="F452" s="126" t="e">
        <f>Oportuno!F452</f>
        <v>#N/A</v>
      </c>
      <c r="G452" s="36">
        <f>Oportuno!G452</f>
        <v>1</v>
      </c>
      <c r="H452" s="126" t="str">
        <f>Oportuno!H452</f>
        <v>Oficinas</v>
      </c>
      <c r="I452" s="130">
        <f>Oportuno!I452</f>
        <v>0</v>
      </c>
      <c r="J452" s="174">
        <f>Oportuno!J452</f>
        <v>0</v>
      </c>
      <c r="K452" s="174">
        <f>Oportuno!K452</f>
        <v>0</v>
      </c>
      <c r="L452" s="174">
        <f>Oportuno!L452</f>
        <v>0</v>
      </c>
      <c r="M452" s="174">
        <f>Oportuno!M452</f>
        <v>0</v>
      </c>
      <c r="N452" s="174">
        <f>Oportuno!N452</f>
        <v>0</v>
      </c>
      <c r="O452" s="174">
        <f>Oportuno!O452</f>
        <v>0</v>
      </c>
      <c r="P452" s="174">
        <f>Oportuno!P452</f>
        <v>0</v>
      </c>
      <c r="Q452" s="174">
        <f>Oportuno!Q452</f>
        <v>0</v>
      </c>
      <c r="R452" s="174">
        <f>Oportuno!R452</f>
        <v>0</v>
      </c>
      <c r="S452" s="215">
        <f>Oportuno!S452</f>
        <v>0</v>
      </c>
      <c r="T452" s="71">
        <f>Oportuno!T452</f>
        <v>0</v>
      </c>
      <c r="U452" s="71">
        <f>Oportuno!U452</f>
        <v>0</v>
      </c>
      <c r="V452" s="117">
        <f>Oportuno!V452</f>
        <v>0</v>
      </c>
      <c r="W452" s="117">
        <f>Oportuno!W452</f>
        <v>0</v>
      </c>
      <c r="X452" s="71">
        <f>Oportuno!X452</f>
        <v>0</v>
      </c>
      <c r="Y452" s="71">
        <f>Oportuno!Y452</f>
        <v>0</v>
      </c>
      <c r="AA452" s="65"/>
    </row>
    <row r="453" spans="2:27 16101:16120" ht="13" customHeight="1">
      <c r="B453" s="119">
        <f>Oportuno!B453</f>
        <v>0</v>
      </c>
      <c r="C453" s="23">
        <f>Oportuno!C453</f>
        <v>2026092</v>
      </c>
      <c r="D453" s="23">
        <f>Oportuno!D453</f>
        <v>16</v>
      </c>
      <c r="E453" s="128">
        <f>Oportuno!E453</f>
        <v>0</v>
      </c>
      <c r="F453" s="126" t="e">
        <f>Oportuno!F453</f>
        <v>#N/A</v>
      </c>
      <c r="G453" s="36">
        <f>Oportuno!G453</f>
        <v>1</v>
      </c>
      <c r="H453" s="126" t="str">
        <f>Oportuno!H453</f>
        <v>Oficinas</v>
      </c>
      <c r="I453" s="130">
        <f>Oportuno!I453</f>
        <v>0</v>
      </c>
      <c r="J453" s="174">
        <f>Oportuno!J453</f>
        <v>0</v>
      </c>
      <c r="K453" s="174">
        <f>Oportuno!K453</f>
        <v>0</v>
      </c>
      <c r="L453" s="174">
        <f>Oportuno!L453</f>
        <v>0</v>
      </c>
      <c r="M453" s="174">
        <f>Oportuno!M453</f>
        <v>0</v>
      </c>
      <c r="N453" s="174">
        <f>Oportuno!N453</f>
        <v>0</v>
      </c>
      <c r="O453" s="174">
        <f>Oportuno!O453</f>
        <v>0</v>
      </c>
      <c r="P453" s="174">
        <f>Oportuno!P453</f>
        <v>0</v>
      </c>
      <c r="Q453" s="174">
        <f>Oportuno!Q453</f>
        <v>0</v>
      </c>
      <c r="R453" s="174">
        <f>Oportuno!R453</f>
        <v>0</v>
      </c>
      <c r="S453" s="215">
        <f>Oportuno!S453</f>
        <v>0</v>
      </c>
      <c r="T453" s="71">
        <f>Oportuno!T453</f>
        <v>0</v>
      </c>
      <c r="U453" s="71">
        <f>Oportuno!U453</f>
        <v>0</v>
      </c>
      <c r="V453" s="117">
        <f>Oportuno!V453</f>
        <v>0</v>
      </c>
      <c r="W453" s="117">
        <f>Oportuno!W453</f>
        <v>0</v>
      </c>
      <c r="X453" s="71">
        <f>Oportuno!X453</f>
        <v>0</v>
      </c>
      <c r="Y453" s="71">
        <f>Oportuno!Y453</f>
        <v>0</v>
      </c>
      <c r="AA453" s="65"/>
    </row>
    <row r="454" spans="2:27 16101:16120" ht="13" customHeight="1">
      <c r="B454" s="119">
        <f>Oportuno!B454</f>
        <v>0</v>
      </c>
      <c r="C454" s="23">
        <f>Oportuno!C454</f>
        <v>2026092</v>
      </c>
      <c r="D454" s="23">
        <f>Oportuno!D454</f>
        <v>16</v>
      </c>
      <c r="E454" s="128">
        <f>Oportuno!E454</f>
        <v>0</v>
      </c>
      <c r="F454" s="126" t="e">
        <f>Oportuno!F454</f>
        <v>#N/A</v>
      </c>
      <c r="G454" s="36">
        <f>Oportuno!G454</f>
        <v>1</v>
      </c>
      <c r="H454" s="126" t="str">
        <f>Oportuno!H454</f>
        <v>Oficinas</v>
      </c>
      <c r="I454" s="130">
        <f>Oportuno!I454</f>
        <v>0</v>
      </c>
      <c r="J454" s="174">
        <f>Oportuno!J454</f>
        <v>0</v>
      </c>
      <c r="K454" s="174">
        <f>Oportuno!K454</f>
        <v>0</v>
      </c>
      <c r="L454" s="174">
        <f>Oportuno!L454</f>
        <v>0</v>
      </c>
      <c r="M454" s="174">
        <f>Oportuno!M454</f>
        <v>0</v>
      </c>
      <c r="N454" s="174">
        <f>Oportuno!N454</f>
        <v>0</v>
      </c>
      <c r="O454" s="174">
        <f>Oportuno!O454</f>
        <v>0</v>
      </c>
      <c r="P454" s="174">
        <f>Oportuno!P454</f>
        <v>0</v>
      </c>
      <c r="Q454" s="174">
        <f>Oportuno!Q454</f>
        <v>0</v>
      </c>
      <c r="R454" s="174">
        <f>Oportuno!R454</f>
        <v>0</v>
      </c>
      <c r="S454" s="215">
        <f>Oportuno!S454</f>
        <v>0</v>
      </c>
      <c r="T454" s="71">
        <f>Oportuno!T454</f>
        <v>0</v>
      </c>
      <c r="U454" s="71">
        <f>Oportuno!U454</f>
        <v>0</v>
      </c>
      <c r="V454" s="117">
        <f>Oportuno!V454</f>
        <v>0</v>
      </c>
      <c r="W454" s="117">
        <f>Oportuno!W454</f>
        <v>0</v>
      </c>
      <c r="X454" s="71">
        <f>Oportuno!X454</f>
        <v>0</v>
      </c>
      <c r="Y454" s="71">
        <f>Oportuno!Y454</f>
        <v>0</v>
      </c>
      <c r="AA454" s="65"/>
    </row>
    <row r="455" spans="2:27 16101:16120" ht="13" customHeight="1">
      <c r="B455" s="119">
        <f>Oportuno!B455</f>
        <v>0</v>
      </c>
      <c r="C455" s="23">
        <f>Oportuno!C455</f>
        <v>2026092</v>
      </c>
      <c r="D455" s="23">
        <f>Oportuno!D455</f>
        <v>16</v>
      </c>
      <c r="E455" s="128">
        <f>Oportuno!E455</f>
        <v>0</v>
      </c>
      <c r="F455" s="126" t="e">
        <f>Oportuno!F455</f>
        <v>#N/A</v>
      </c>
      <c r="G455" s="36">
        <f>Oportuno!G455</f>
        <v>1</v>
      </c>
      <c r="H455" s="126" t="str">
        <f>Oportuno!H455</f>
        <v>Oficinas</v>
      </c>
      <c r="I455" s="130">
        <f>Oportuno!I455</f>
        <v>0</v>
      </c>
      <c r="J455" s="174">
        <f>Oportuno!J455</f>
        <v>0</v>
      </c>
      <c r="K455" s="174">
        <f>Oportuno!K455</f>
        <v>0</v>
      </c>
      <c r="L455" s="174">
        <f>Oportuno!L455</f>
        <v>0</v>
      </c>
      <c r="M455" s="174">
        <f>Oportuno!M455</f>
        <v>0</v>
      </c>
      <c r="N455" s="174">
        <f>Oportuno!N455</f>
        <v>0</v>
      </c>
      <c r="O455" s="174">
        <f>Oportuno!O455</f>
        <v>0</v>
      </c>
      <c r="P455" s="174">
        <f>Oportuno!P455</f>
        <v>0</v>
      </c>
      <c r="Q455" s="174">
        <f>Oportuno!Q455</f>
        <v>0</v>
      </c>
      <c r="R455" s="174">
        <f>Oportuno!R455</f>
        <v>0</v>
      </c>
      <c r="S455" s="215">
        <f>Oportuno!S455</f>
        <v>0</v>
      </c>
      <c r="T455" s="71">
        <f>Oportuno!T455</f>
        <v>0</v>
      </c>
      <c r="U455" s="71">
        <f>Oportuno!U455</f>
        <v>0</v>
      </c>
      <c r="V455" s="117">
        <f>Oportuno!V455</f>
        <v>0</v>
      </c>
      <c r="W455" s="117">
        <f>Oportuno!W455</f>
        <v>0</v>
      </c>
      <c r="X455" s="71">
        <f>Oportuno!X455</f>
        <v>0</v>
      </c>
      <c r="Y455" s="71">
        <f>Oportuno!Y455</f>
        <v>0</v>
      </c>
      <c r="AA455" s="65"/>
    </row>
    <row r="456" spans="2:27 16101:16120" ht="13" customHeight="1">
      <c r="B456" s="119">
        <f>Oportuno!B456</f>
        <v>0</v>
      </c>
      <c r="C456" s="23">
        <f>Oportuno!C456</f>
        <v>2026092</v>
      </c>
      <c r="D456" s="23">
        <f>Oportuno!D456</f>
        <v>16</v>
      </c>
      <c r="E456" s="128">
        <f>Oportuno!E456</f>
        <v>0</v>
      </c>
      <c r="F456" s="126" t="e">
        <f>Oportuno!F456</f>
        <v>#N/A</v>
      </c>
      <c r="G456" s="36">
        <f>Oportuno!G456</f>
        <v>1</v>
      </c>
      <c r="H456" s="126" t="str">
        <f>Oportuno!H456</f>
        <v>Oficinas</v>
      </c>
      <c r="I456" s="130">
        <f>Oportuno!I456</f>
        <v>0</v>
      </c>
      <c r="J456" s="174">
        <f>Oportuno!J456</f>
        <v>0</v>
      </c>
      <c r="K456" s="174">
        <f>Oportuno!K456</f>
        <v>0</v>
      </c>
      <c r="L456" s="174">
        <f>Oportuno!L456</f>
        <v>0</v>
      </c>
      <c r="M456" s="174">
        <f>Oportuno!M456</f>
        <v>0</v>
      </c>
      <c r="N456" s="174">
        <f>Oportuno!N456</f>
        <v>0</v>
      </c>
      <c r="O456" s="174">
        <f>Oportuno!O456</f>
        <v>0</v>
      </c>
      <c r="P456" s="174">
        <f>Oportuno!P456</f>
        <v>0</v>
      </c>
      <c r="Q456" s="174">
        <f>Oportuno!Q456</f>
        <v>0</v>
      </c>
      <c r="R456" s="174">
        <f>Oportuno!R456</f>
        <v>0</v>
      </c>
      <c r="S456" s="215">
        <f>Oportuno!S456</f>
        <v>0</v>
      </c>
      <c r="T456" s="71">
        <f>Oportuno!T456</f>
        <v>0</v>
      </c>
      <c r="U456" s="71">
        <f>Oportuno!U456</f>
        <v>0</v>
      </c>
      <c r="V456" s="117">
        <f>Oportuno!V456</f>
        <v>0</v>
      </c>
      <c r="W456" s="117">
        <f>Oportuno!W456</f>
        <v>0</v>
      </c>
      <c r="X456" s="71">
        <f>Oportuno!X456</f>
        <v>0</v>
      </c>
      <c r="Y456" s="71">
        <f>Oportuno!Y456</f>
        <v>0</v>
      </c>
      <c r="AA456" s="65"/>
    </row>
    <row r="457" spans="2:27 16101:16120" ht="13" customHeight="1" thickBot="1">
      <c r="B457" s="119">
        <f>Oportuno!B457</f>
        <v>0</v>
      </c>
      <c r="C457" s="23">
        <f>Oportuno!C457</f>
        <v>2026092</v>
      </c>
      <c r="D457" s="23">
        <f>Oportuno!D457</f>
        <v>16</v>
      </c>
      <c r="E457" s="128">
        <f>Oportuno!E457</f>
        <v>0</v>
      </c>
      <c r="F457" s="126" t="e">
        <f>Oportuno!F457</f>
        <v>#N/A</v>
      </c>
      <c r="G457" s="36">
        <f>Oportuno!G457</f>
        <v>1</v>
      </c>
      <c r="H457" s="126" t="str">
        <f>Oportuno!H457</f>
        <v>Oficinas</v>
      </c>
      <c r="I457" s="130">
        <f>Oportuno!I457</f>
        <v>0</v>
      </c>
      <c r="J457" s="174">
        <f>Oportuno!J457</f>
        <v>0</v>
      </c>
      <c r="K457" s="174">
        <f>Oportuno!K457</f>
        <v>0</v>
      </c>
      <c r="L457" s="174">
        <f>Oportuno!L457</f>
        <v>0</v>
      </c>
      <c r="M457" s="174">
        <f>Oportuno!M457</f>
        <v>0</v>
      </c>
      <c r="N457" s="174">
        <f>Oportuno!N457</f>
        <v>0</v>
      </c>
      <c r="O457" s="174">
        <f>Oportuno!O457</f>
        <v>0</v>
      </c>
      <c r="P457" s="174">
        <f>Oportuno!P457</f>
        <v>0</v>
      </c>
      <c r="Q457" s="174">
        <f>Oportuno!Q457</f>
        <v>0</v>
      </c>
      <c r="R457" s="174">
        <f>Oportuno!R457</f>
        <v>0</v>
      </c>
      <c r="S457" s="215">
        <f>Oportuno!S457</f>
        <v>0</v>
      </c>
      <c r="T457" s="71">
        <f>Oportuno!T457</f>
        <v>0</v>
      </c>
      <c r="U457" s="71">
        <f>Oportuno!U457</f>
        <v>0</v>
      </c>
      <c r="V457" s="117">
        <f>Oportuno!V457</f>
        <v>0</v>
      </c>
      <c r="W457" s="117">
        <f>Oportuno!W457</f>
        <v>0</v>
      </c>
      <c r="X457" s="71">
        <f>Oportuno!X457</f>
        <v>0</v>
      </c>
      <c r="Y457" s="71">
        <f>Oportuno!Y457</f>
        <v>0</v>
      </c>
      <c r="AA457" s="65"/>
    </row>
    <row r="458" spans="2:27 16101:16120" ht="13" customHeight="1" thickBot="1">
      <c r="B458" s="1" t="s">
        <v>0</v>
      </c>
      <c r="C458" s="1" t="s">
        <v>0</v>
      </c>
      <c r="D458" s="20" t="s">
        <v>0</v>
      </c>
      <c r="E458" s="120" t="str">
        <f>Oportuno!E458</f>
        <v xml:space="preserve"> </v>
      </c>
      <c r="F458" s="121" t="str">
        <f>Oportuno!F458</f>
        <v>TOTAL RECAUDO</v>
      </c>
      <c r="G458" s="121" t="s">
        <v>0</v>
      </c>
      <c r="H458" s="121" t="s">
        <v>0</v>
      </c>
      <c r="I458" s="121" t="s">
        <v>0</v>
      </c>
      <c r="J458" s="122">
        <f>Oportuno!J458</f>
        <v>0</v>
      </c>
      <c r="K458" s="122">
        <f>Oportuno!K458</f>
        <v>0</v>
      </c>
      <c r="L458" s="122">
        <f>Oportuno!L458</f>
        <v>0</v>
      </c>
      <c r="M458" s="122">
        <f>Oportuno!M458</f>
        <v>0</v>
      </c>
      <c r="N458" s="122">
        <f>Oportuno!N458</f>
        <v>0</v>
      </c>
      <c r="O458" s="122">
        <f>Oportuno!O458</f>
        <v>0</v>
      </c>
      <c r="P458" s="122">
        <f>Oportuno!P458</f>
        <v>0</v>
      </c>
      <c r="Q458" s="122">
        <f>Oportuno!Q458</f>
        <v>0</v>
      </c>
      <c r="R458" s="122">
        <f>Oportuno!R458</f>
        <v>79</v>
      </c>
      <c r="S458" s="122">
        <f>Oportuno!S458</f>
        <v>4025560</v>
      </c>
      <c r="T458" s="122">
        <f>Oportuno!T458</f>
        <v>79</v>
      </c>
      <c r="U458" s="122">
        <f>Oportuno!U458</f>
        <v>4025560</v>
      </c>
      <c r="V458" s="123">
        <f>Oportuno!V458</f>
        <v>79</v>
      </c>
      <c r="W458" s="123">
        <f>Oportuno!W458</f>
        <v>4025560</v>
      </c>
      <c r="X458" s="122">
        <f>Oportuno!X458</f>
        <v>0</v>
      </c>
      <c r="Y458" s="123">
        <f>Oportuno!Y458</f>
        <v>0</v>
      </c>
      <c r="AA458" s="65"/>
    </row>
    <row r="459" spans="2:27 16101:16120" ht="13" thickBot="1">
      <c r="AA459" s="65"/>
    </row>
    <row r="460" spans="2:27 16101:16120" ht="41.25" customHeight="1" thickBot="1">
      <c r="B460" s="112" t="s">
        <v>4</v>
      </c>
      <c r="C460" s="34" t="s">
        <v>6</v>
      </c>
      <c r="D460" s="34" t="s">
        <v>7</v>
      </c>
      <c r="E460" s="34" t="s">
        <v>49</v>
      </c>
      <c r="F460" s="34" t="s">
        <v>50</v>
      </c>
      <c r="G460" s="34" t="s">
        <v>51</v>
      </c>
      <c r="H460" s="34" t="s">
        <v>52</v>
      </c>
      <c r="I460" s="34" t="s">
        <v>13</v>
      </c>
      <c r="J460" s="231" t="s">
        <v>8</v>
      </c>
      <c r="K460" s="231" t="s">
        <v>36</v>
      </c>
      <c r="L460" s="12" t="s">
        <v>9</v>
      </c>
      <c r="M460" s="12" t="s">
        <v>37</v>
      </c>
      <c r="N460" s="87" t="s">
        <v>10</v>
      </c>
      <c r="O460" s="88" t="s">
        <v>38</v>
      </c>
      <c r="P460" s="87" t="s">
        <v>11</v>
      </c>
      <c r="Q460" s="88" t="s">
        <v>39</v>
      </c>
      <c r="R460" s="232" t="s">
        <v>12</v>
      </c>
      <c r="S460" s="233" t="s">
        <v>40</v>
      </c>
      <c r="T460" s="64" t="s">
        <v>41</v>
      </c>
      <c r="U460" s="64" t="s">
        <v>42</v>
      </c>
      <c r="V460" s="35" t="s">
        <v>32</v>
      </c>
      <c r="W460" s="67" t="s">
        <v>35</v>
      </c>
      <c r="X460" s="12" t="s">
        <v>34</v>
      </c>
      <c r="Y460" s="68" t="s">
        <v>33</v>
      </c>
      <c r="AA460" s="66"/>
      <c r="WUG460" s="1"/>
      <c r="WUH460" s="1"/>
      <c r="WUY460"/>
      <c r="WUZ460"/>
    </row>
    <row r="461" spans="2:27 16101:16120" ht="13" customHeight="1">
      <c r="B461" s="119" t="str">
        <f>Oportuno!B461</f>
        <v>18/09/2026</v>
      </c>
      <c r="C461" s="24">
        <f>Oportuno!C461</f>
        <v>2026092</v>
      </c>
      <c r="D461" s="24">
        <f>Oportuno!D461</f>
        <v>17</v>
      </c>
      <c r="E461" s="127">
        <f>Oportuno!E461</f>
        <v>20</v>
      </c>
      <c r="F461" s="125" t="str">
        <f>Oportuno!F461</f>
        <v>Bancolombia ENERBIT</v>
      </c>
      <c r="G461" s="18">
        <f>Oportuno!G461</f>
        <v>1</v>
      </c>
      <c r="H461" s="125" t="str">
        <f>Oportuno!H461</f>
        <v>Oficinas</v>
      </c>
      <c r="I461" s="129">
        <f>Oportuno!I461</f>
        <v>0</v>
      </c>
      <c r="J461" s="213">
        <f>Oportuno!J461</f>
        <v>0</v>
      </c>
      <c r="K461" s="213">
        <f>Oportuno!K461</f>
        <v>0</v>
      </c>
      <c r="L461" s="213">
        <f>Oportuno!L461</f>
        <v>0</v>
      </c>
      <c r="M461" s="213">
        <f>Oportuno!M461</f>
        <v>0</v>
      </c>
      <c r="N461" s="213">
        <f>Oportuno!N461</f>
        <v>0</v>
      </c>
      <c r="O461" s="213">
        <f>Oportuno!O461</f>
        <v>0</v>
      </c>
      <c r="P461" s="213">
        <f>Oportuno!P461</f>
        <v>0</v>
      </c>
      <c r="Q461" s="213">
        <f>Oportuno!Q461</f>
        <v>0</v>
      </c>
      <c r="R461" s="213">
        <f>Oportuno!R461</f>
        <v>48</v>
      </c>
      <c r="S461" s="214">
        <f>Oportuno!S461</f>
        <v>3505030</v>
      </c>
      <c r="T461" s="70">
        <f>Oportuno!T461</f>
        <v>48</v>
      </c>
      <c r="U461" s="70">
        <f>Oportuno!U461</f>
        <v>3505030</v>
      </c>
      <c r="V461" s="116">
        <f>Oportuno!V461</f>
        <v>48</v>
      </c>
      <c r="W461" s="116">
        <f>Oportuno!W461</f>
        <v>3505030</v>
      </c>
      <c r="X461" s="70">
        <f>Oportuno!X461</f>
        <v>0</v>
      </c>
      <c r="Y461" s="70">
        <f>Oportuno!Y461</f>
        <v>0</v>
      </c>
      <c r="AA461" s="65"/>
    </row>
    <row r="462" spans="2:27 16101:16120" ht="13" customHeight="1">
      <c r="B462" s="119">
        <f>Oportuno!B462</f>
        <v>0</v>
      </c>
      <c r="C462" s="23">
        <f>Oportuno!C462</f>
        <v>2026092</v>
      </c>
      <c r="D462" s="23">
        <f>Oportuno!D462</f>
        <v>17</v>
      </c>
      <c r="E462" s="128">
        <f>Oportuno!E462</f>
        <v>0</v>
      </c>
      <c r="F462" s="126" t="e">
        <f>Oportuno!F462</f>
        <v>#N/A</v>
      </c>
      <c r="G462" s="36">
        <f>Oportuno!G462</f>
        <v>1</v>
      </c>
      <c r="H462" s="126" t="str">
        <f>Oportuno!H462</f>
        <v>Oficinas</v>
      </c>
      <c r="I462" s="130">
        <f>Oportuno!I462</f>
        <v>0</v>
      </c>
      <c r="J462" s="174">
        <f>Oportuno!J462</f>
        <v>0</v>
      </c>
      <c r="K462" s="174">
        <f>Oportuno!K462</f>
        <v>0</v>
      </c>
      <c r="L462" s="174">
        <f>Oportuno!L462</f>
        <v>0</v>
      </c>
      <c r="M462" s="174">
        <f>Oportuno!M462</f>
        <v>0</v>
      </c>
      <c r="N462" s="174">
        <f>Oportuno!N462</f>
        <v>0</v>
      </c>
      <c r="O462" s="174">
        <f>Oportuno!O462</f>
        <v>0</v>
      </c>
      <c r="P462" s="174">
        <f>Oportuno!P462</f>
        <v>0</v>
      </c>
      <c r="Q462" s="174">
        <f>Oportuno!Q462</f>
        <v>0</v>
      </c>
      <c r="R462" s="174">
        <f>Oportuno!R462</f>
        <v>0</v>
      </c>
      <c r="S462" s="215">
        <f>Oportuno!S462</f>
        <v>0</v>
      </c>
      <c r="T462" s="71">
        <f>Oportuno!T462</f>
        <v>0</v>
      </c>
      <c r="U462" s="71">
        <f>Oportuno!U462</f>
        <v>0</v>
      </c>
      <c r="V462" s="117">
        <f>Oportuno!V462</f>
        <v>0</v>
      </c>
      <c r="W462" s="117">
        <f>Oportuno!W462</f>
        <v>0</v>
      </c>
      <c r="X462" s="71">
        <f>Oportuno!X462</f>
        <v>0</v>
      </c>
      <c r="Y462" s="71">
        <f>Oportuno!Y462</f>
        <v>0</v>
      </c>
      <c r="AA462" s="65"/>
    </row>
    <row r="463" spans="2:27 16101:16120" ht="13" customHeight="1">
      <c r="B463" s="119">
        <f>Oportuno!B463</f>
        <v>0</v>
      </c>
      <c r="C463" s="23">
        <f>Oportuno!C463</f>
        <v>2026092</v>
      </c>
      <c r="D463" s="23">
        <f>Oportuno!D463</f>
        <v>17</v>
      </c>
      <c r="E463" s="128">
        <f>Oportuno!E463</f>
        <v>0</v>
      </c>
      <c r="F463" s="126" t="e">
        <f>Oportuno!F463</f>
        <v>#N/A</v>
      </c>
      <c r="G463" s="36">
        <f>Oportuno!G463</f>
        <v>1</v>
      </c>
      <c r="H463" s="126" t="str">
        <f>Oportuno!H463</f>
        <v>Oficinas</v>
      </c>
      <c r="I463" s="130">
        <f>Oportuno!I463</f>
        <v>0</v>
      </c>
      <c r="J463" s="174">
        <f>Oportuno!J463</f>
        <v>0</v>
      </c>
      <c r="K463" s="174">
        <f>Oportuno!K463</f>
        <v>0</v>
      </c>
      <c r="L463" s="174">
        <f>Oportuno!L463</f>
        <v>0</v>
      </c>
      <c r="M463" s="174">
        <f>Oportuno!M463</f>
        <v>0</v>
      </c>
      <c r="N463" s="174">
        <f>Oportuno!N463</f>
        <v>0</v>
      </c>
      <c r="O463" s="174">
        <f>Oportuno!O463</f>
        <v>0</v>
      </c>
      <c r="P463" s="174">
        <f>Oportuno!P463</f>
        <v>0</v>
      </c>
      <c r="Q463" s="174">
        <f>Oportuno!Q463</f>
        <v>0</v>
      </c>
      <c r="R463" s="174">
        <f>Oportuno!R463</f>
        <v>0</v>
      </c>
      <c r="S463" s="215">
        <f>Oportuno!S463</f>
        <v>0</v>
      </c>
      <c r="T463" s="71">
        <f>Oportuno!T463</f>
        <v>0</v>
      </c>
      <c r="U463" s="71">
        <f>Oportuno!U463</f>
        <v>0</v>
      </c>
      <c r="V463" s="117">
        <f>Oportuno!V463</f>
        <v>0</v>
      </c>
      <c r="W463" s="117">
        <f>Oportuno!W463</f>
        <v>0</v>
      </c>
      <c r="X463" s="71">
        <f>Oportuno!X463</f>
        <v>0</v>
      </c>
      <c r="Y463" s="71">
        <f>Oportuno!Y463</f>
        <v>0</v>
      </c>
      <c r="AA463" s="65"/>
    </row>
    <row r="464" spans="2:27 16101:16120" ht="13" customHeight="1">
      <c r="B464" s="119">
        <f>Oportuno!B464</f>
        <v>0</v>
      </c>
      <c r="C464" s="23">
        <f>Oportuno!C464</f>
        <v>2026092</v>
      </c>
      <c r="D464" s="23">
        <f>Oportuno!D464</f>
        <v>17</v>
      </c>
      <c r="E464" s="128">
        <f>Oportuno!E464</f>
        <v>0</v>
      </c>
      <c r="F464" s="126" t="e">
        <f>Oportuno!F464</f>
        <v>#N/A</v>
      </c>
      <c r="G464" s="36">
        <f>Oportuno!G464</f>
        <v>1</v>
      </c>
      <c r="H464" s="126" t="str">
        <f>Oportuno!H464</f>
        <v>Oficinas</v>
      </c>
      <c r="I464" s="130">
        <f>Oportuno!I464</f>
        <v>0</v>
      </c>
      <c r="J464" s="174">
        <f>Oportuno!J464</f>
        <v>0</v>
      </c>
      <c r="K464" s="174">
        <f>Oportuno!K464</f>
        <v>0</v>
      </c>
      <c r="L464" s="174">
        <f>Oportuno!L464</f>
        <v>0</v>
      </c>
      <c r="M464" s="174">
        <f>Oportuno!M464</f>
        <v>0</v>
      </c>
      <c r="N464" s="174">
        <f>Oportuno!N464</f>
        <v>0</v>
      </c>
      <c r="O464" s="174">
        <f>Oportuno!O464</f>
        <v>0</v>
      </c>
      <c r="P464" s="174">
        <f>Oportuno!P464</f>
        <v>0</v>
      </c>
      <c r="Q464" s="174">
        <f>Oportuno!Q464</f>
        <v>0</v>
      </c>
      <c r="R464" s="174">
        <f>Oportuno!R464</f>
        <v>0</v>
      </c>
      <c r="S464" s="215">
        <f>Oportuno!S464</f>
        <v>0</v>
      </c>
      <c r="T464" s="71">
        <f>Oportuno!T464</f>
        <v>0</v>
      </c>
      <c r="U464" s="71">
        <f>Oportuno!U464</f>
        <v>0</v>
      </c>
      <c r="V464" s="117">
        <f>Oportuno!V464</f>
        <v>0</v>
      </c>
      <c r="W464" s="117">
        <f>Oportuno!W464</f>
        <v>0</v>
      </c>
      <c r="X464" s="71">
        <f>Oportuno!X464</f>
        <v>0</v>
      </c>
      <c r="Y464" s="71">
        <f>Oportuno!Y464</f>
        <v>0</v>
      </c>
      <c r="AA464" s="65"/>
    </row>
    <row r="465" spans="2:27" ht="13" customHeight="1">
      <c r="B465" s="119">
        <f>Oportuno!B465</f>
        <v>0</v>
      </c>
      <c r="C465" s="23">
        <f>Oportuno!C465</f>
        <v>2026092</v>
      </c>
      <c r="D465" s="23">
        <f>Oportuno!D465</f>
        <v>17</v>
      </c>
      <c r="E465" s="128">
        <f>Oportuno!E465</f>
        <v>0</v>
      </c>
      <c r="F465" s="126" t="e">
        <f>Oportuno!F465</f>
        <v>#N/A</v>
      </c>
      <c r="G465" s="36">
        <f>Oportuno!G465</f>
        <v>1</v>
      </c>
      <c r="H465" s="126" t="str">
        <f>Oportuno!H465</f>
        <v>Oficinas</v>
      </c>
      <c r="I465" s="130">
        <f>Oportuno!I465</f>
        <v>0</v>
      </c>
      <c r="J465" s="174">
        <f>Oportuno!J465</f>
        <v>0</v>
      </c>
      <c r="K465" s="174">
        <f>Oportuno!K465</f>
        <v>0</v>
      </c>
      <c r="L465" s="174">
        <f>Oportuno!L465</f>
        <v>0</v>
      </c>
      <c r="M465" s="174">
        <f>Oportuno!M465</f>
        <v>0</v>
      </c>
      <c r="N465" s="174">
        <f>Oportuno!N465</f>
        <v>0</v>
      </c>
      <c r="O465" s="174">
        <f>Oportuno!O465</f>
        <v>0</v>
      </c>
      <c r="P465" s="174">
        <f>Oportuno!P465</f>
        <v>0</v>
      </c>
      <c r="Q465" s="174">
        <f>Oportuno!Q465</f>
        <v>0</v>
      </c>
      <c r="R465" s="174">
        <f>Oportuno!R465</f>
        <v>0</v>
      </c>
      <c r="S465" s="215">
        <f>Oportuno!S465</f>
        <v>0</v>
      </c>
      <c r="T465" s="71">
        <f>Oportuno!T465</f>
        <v>0</v>
      </c>
      <c r="U465" s="71">
        <f>Oportuno!U465</f>
        <v>0</v>
      </c>
      <c r="V465" s="117">
        <f>Oportuno!V465</f>
        <v>0</v>
      </c>
      <c r="W465" s="117">
        <f>Oportuno!W465</f>
        <v>0</v>
      </c>
      <c r="X465" s="71">
        <f>Oportuno!X465</f>
        <v>0</v>
      </c>
      <c r="Y465" s="71">
        <f>Oportuno!Y465</f>
        <v>0</v>
      </c>
      <c r="AA465" s="65"/>
    </row>
    <row r="466" spans="2:27" ht="13" customHeight="1">
      <c r="B466" s="119">
        <f>Oportuno!B466</f>
        <v>0</v>
      </c>
      <c r="C466" s="23">
        <f>Oportuno!C466</f>
        <v>2026092</v>
      </c>
      <c r="D466" s="23">
        <f>Oportuno!D466</f>
        <v>17</v>
      </c>
      <c r="E466" s="128">
        <f>Oportuno!E466</f>
        <v>0</v>
      </c>
      <c r="F466" s="126" t="e">
        <f>Oportuno!F466</f>
        <v>#N/A</v>
      </c>
      <c r="G466" s="36">
        <f>Oportuno!G466</f>
        <v>1</v>
      </c>
      <c r="H466" s="126" t="str">
        <f>Oportuno!H466</f>
        <v>Oficinas</v>
      </c>
      <c r="I466" s="130">
        <f>Oportuno!I466</f>
        <v>0</v>
      </c>
      <c r="J466" s="174">
        <f>Oportuno!J466</f>
        <v>0</v>
      </c>
      <c r="K466" s="174">
        <f>Oportuno!K466</f>
        <v>0</v>
      </c>
      <c r="L466" s="174">
        <f>Oportuno!L466</f>
        <v>0</v>
      </c>
      <c r="M466" s="174">
        <f>Oportuno!M466</f>
        <v>0</v>
      </c>
      <c r="N466" s="174">
        <f>Oportuno!N466</f>
        <v>0</v>
      </c>
      <c r="O466" s="174">
        <f>Oportuno!O466</f>
        <v>0</v>
      </c>
      <c r="P466" s="174">
        <f>Oportuno!P466</f>
        <v>0</v>
      </c>
      <c r="Q466" s="174">
        <f>Oportuno!Q466</f>
        <v>0</v>
      </c>
      <c r="R466" s="174">
        <f>Oportuno!R466</f>
        <v>0</v>
      </c>
      <c r="S466" s="215">
        <f>Oportuno!S466</f>
        <v>0</v>
      </c>
      <c r="T466" s="71">
        <f>Oportuno!T466</f>
        <v>0</v>
      </c>
      <c r="U466" s="71">
        <f>Oportuno!U466</f>
        <v>0</v>
      </c>
      <c r="V466" s="117">
        <f>Oportuno!V466</f>
        <v>0</v>
      </c>
      <c r="W466" s="117">
        <f>Oportuno!W466</f>
        <v>0</v>
      </c>
      <c r="X466" s="71">
        <f>Oportuno!X466</f>
        <v>0</v>
      </c>
      <c r="Y466" s="71">
        <f>Oportuno!Y466</f>
        <v>0</v>
      </c>
      <c r="AA466" s="65"/>
    </row>
    <row r="467" spans="2:27" ht="13" customHeight="1">
      <c r="B467" s="119">
        <f>Oportuno!B467</f>
        <v>0</v>
      </c>
      <c r="C467" s="23">
        <f>Oportuno!C467</f>
        <v>2026092</v>
      </c>
      <c r="D467" s="23">
        <f>Oportuno!D467</f>
        <v>17</v>
      </c>
      <c r="E467" s="128">
        <f>Oportuno!E467</f>
        <v>0</v>
      </c>
      <c r="F467" s="126" t="e">
        <f>Oportuno!F467</f>
        <v>#N/A</v>
      </c>
      <c r="G467" s="36">
        <f>Oportuno!G467</f>
        <v>1</v>
      </c>
      <c r="H467" s="126" t="str">
        <f>Oportuno!H467</f>
        <v>Oficinas</v>
      </c>
      <c r="I467" s="130">
        <f>Oportuno!I467</f>
        <v>0</v>
      </c>
      <c r="J467" s="174">
        <f>Oportuno!J467</f>
        <v>0</v>
      </c>
      <c r="K467" s="174">
        <f>Oportuno!K467</f>
        <v>0</v>
      </c>
      <c r="L467" s="174">
        <f>Oportuno!L467</f>
        <v>0</v>
      </c>
      <c r="M467" s="174">
        <f>Oportuno!M467</f>
        <v>0</v>
      </c>
      <c r="N467" s="174">
        <f>Oportuno!N467</f>
        <v>0</v>
      </c>
      <c r="O467" s="174">
        <f>Oportuno!O467</f>
        <v>0</v>
      </c>
      <c r="P467" s="174">
        <f>Oportuno!P467</f>
        <v>0</v>
      </c>
      <c r="Q467" s="174">
        <f>Oportuno!Q467</f>
        <v>0</v>
      </c>
      <c r="R467" s="174">
        <f>Oportuno!R467</f>
        <v>0</v>
      </c>
      <c r="S467" s="215">
        <f>Oportuno!S467</f>
        <v>0</v>
      </c>
      <c r="T467" s="71">
        <f>Oportuno!T467</f>
        <v>0</v>
      </c>
      <c r="U467" s="71">
        <f>Oportuno!U467</f>
        <v>0</v>
      </c>
      <c r="V467" s="117">
        <f>Oportuno!V467</f>
        <v>0</v>
      </c>
      <c r="W467" s="117">
        <f>Oportuno!W467</f>
        <v>0</v>
      </c>
      <c r="X467" s="71">
        <f>Oportuno!X467</f>
        <v>0</v>
      </c>
      <c r="Y467" s="71">
        <f>Oportuno!Y467</f>
        <v>0</v>
      </c>
      <c r="AA467" s="65"/>
    </row>
    <row r="468" spans="2:27" ht="13" customHeight="1">
      <c r="B468" s="119">
        <f>Oportuno!B468</f>
        <v>0</v>
      </c>
      <c r="C468" s="23">
        <f>Oportuno!C468</f>
        <v>2026092</v>
      </c>
      <c r="D468" s="23">
        <f>Oportuno!D468</f>
        <v>17</v>
      </c>
      <c r="E468" s="128">
        <f>Oportuno!E468</f>
        <v>0</v>
      </c>
      <c r="F468" s="126" t="e">
        <f>Oportuno!F468</f>
        <v>#N/A</v>
      </c>
      <c r="G468" s="36">
        <f>Oportuno!G468</f>
        <v>1</v>
      </c>
      <c r="H468" s="126" t="str">
        <f>Oportuno!H468</f>
        <v>Oficinas</v>
      </c>
      <c r="I468" s="130">
        <f>Oportuno!I468</f>
        <v>0</v>
      </c>
      <c r="J468" s="174">
        <f>Oportuno!J468</f>
        <v>0</v>
      </c>
      <c r="K468" s="174">
        <f>Oportuno!K468</f>
        <v>0</v>
      </c>
      <c r="L468" s="174">
        <f>Oportuno!L468</f>
        <v>0</v>
      </c>
      <c r="M468" s="174">
        <f>Oportuno!M468</f>
        <v>0</v>
      </c>
      <c r="N468" s="174">
        <f>Oportuno!N468</f>
        <v>0</v>
      </c>
      <c r="O468" s="174">
        <f>Oportuno!O468</f>
        <v>0</v>
      </c>
      <c r="P468" s="174">
        <f>Oportuno!P468</f>
        <v>0</v>
      </c>
      <c r="Q468" s="174">
        <f>Oportuno!Q468</f>
        <v>0</v>
      </c>
      <c r="R468" s="174">
        <f>Oportuno!R468</f>
        <v>0</v>
      </c>
      <c r="S468" s="215">
        <f>Oportuno!S468</f>
        <v>0</v>
      </c>
      <c r="T468" s="71">
        <f>Oportuno!T468</f>
        <v>0</v>
      </c>
      <c r="U468" s="71">
        <f>Oportuno!U468</f>
        <v>0</v>
      </c>
      <c r="V468" s="117">
        <f>Oportuno!V468</f>
        <v>0</v>
      </c>
      <c r="W468" s="117">
        <f>Oportuno!W468</f>
        <v>0</v>
      </c>
      <c r="X468" s="71">
        <f>Oportuno!X468</f>
        <v>0</v>
      </c>
      <c r="Y468" s="71">
        <f>Oportuno!Y468</f>
        <v>0</v>
      </c>
      <c r="AA468" s="65"/>
    </row>
    <row r="469" spans="2:27" ht="13" customHeight="1">
      <c r="B469" s="119">
        <f>Oportuno!B469</f>
        <v>0</v>
      </c>
      <c r="C469" s="23">
        <f>Oportuno!C469</f>
        <v>2026092</v>
      </c>
      <c r="D469" s="23">
        <f>Oportuno!D469</f>
        <v>17</v>
      </c>
      <c r="E469" s="128">
        <f>Oportuno!E469</f>
        <v>0</v>
      </c>
      <c r="F469" s="126" t="e">
        <f>Oportuno!F469</f>
        <v>#N/A</v>
      </c>
      <c r="G469" s="36">
        <f>Oportuno!G469</f>
        <v>1</v>
      </c>
      <c r="H469" s="126" t="str">
        <f>Oportuno!H469</f>
        <v>Oficinas</v>
      </c>
      <c r="I469" s="130">
        <f>Oportuno!I469</f>
        <v>0</v>
      </c>
      <c r="J469" s="174">
        <f>Oportuno!J469</f>
        <v>0</v>
      </c>
      <c r="K469" s="174">
        <f>Oportuno!K469</f>
        <v>0</v>
      </c>
      <c r="L469" s="174">
        <f>Oportuno!L469</f>
        <v>0</v>
      </c>
      <c r="M469" s="174">
        <f>Oportuno!M469</f>
        <v>0</v>
      </c>
      <c r="N469" s="174">
        <f>Oportuno!N469</f>
        <v>0</v>
      </c>
      <c r="O469" s="174">
        <f>Oportuno!O469</f>
        <v>0</v>
      </c>
      <c r="P469" s="174">
        <f>Oportuno!P469</f>
        <v>0</v>
      </c>
      <c r="Q469" s="174">
        <f>Oportuno!Q469</f>
        <v>0</v>
      </c>
      <c r="R469" s="174">
        <f>Oportuno!R469</f>
        <v>0</v>
      </c>
      <c r="S469" s="215">
        <f>Oportuno!S469</f>
        <v>0</v>
      </c>
      <c r="T469" s="71">
        <f>Oportuno!T469</f>
        <v>0</v>
      </c>
      <c r="U469" s="71">
        <f>Oportuno!U469</f>
        <v>0</v>
      </c>
      <c r="V469" s="117">
        <f>Oportuno!V469</f>
        <v>0</v>
      </c>
      <c r="W469" s="117">
        <f>Oportuno!W469</f>
        <v>0</v>
      </c>
      <c r="X469" s="71">
        <f>Oportuno!X469</f>
        <v>0</v>
      </c>
      <c r="Y469" s="71">
        <f>Oportuno!Y469</f>
        <v>0</v>
      </c>
      <c r="AA469" s="65"/>
    </row>
    <row r="470" spans="2:27" ht="13" customHeight="1">
      <c r="B470" s="119">
        <f>Oportuno!B470</f>
        <v>0</v>
      </c>
      <c r="C470" s="23">
        <f>Oportuno!C470</f>
        <v>2026092</v>
      </c>
      <c r="D470" s="23">
        <f>Oportuno!D470</f>
        <v>17</v>
      </c>
      <c r="E470" s="128">
        <f>Oportuno!E470</f>
        <v>0</v>
      </c>
      <c r="F470" s="126" t="e">
        <f>Oportuno!F470</f>
        <v>#N/A</v>
      </c>
      <c r="G470" s="36">
        <f>Oportuno!G470</f>
        <v>1</v>
      </c>
      <c r="H470" s="126" t="str">
        <f>Oportuno!H470</f>
        <v>Oficinas</v>
      </c>
      <c r="I470" s="130">
        <f>Oportuno!I470</f>
        <v>0</v>
      </c>
      <c r="J470" s="174">
        <f>Oportuno!J470</f>
        <v>0</v>
      </c>
      <c r="K470" s="174">
        <f>Oportuno!K470</f>
        <v>0</v>
      </c>
      <c r="L470" s="174">
        <f>Oportuno!L470</f>
        <v>0</v>
      </c>
      <c r="M470" s="174">
        <f>Oportuno!M470</f>
        <v>0</v>
      </c>
      <c r="N470" s="174">
        <f>Oportuno!N470</f>
        <v>0</v>
      </c>
      <c r="O470" s="174">
        <f>Oportuno!O470</f>
        <v>0</v>
      </c>
      <c r="P470" s="174">
        <f>Oportuno!P470</f>
        <v>0</v>
      </c>
      <c r="Q470" s="174">
        <f>Oportuno!Q470</f>
        <v>0</v>
      </c>
      <c r="R470" s="174">
        <f>Oportuno!R470</f>
        <v>0</v>
      </c>
      <c r="S470" s="215">
        <f>Oportuno!S470</f>
        <v>0</v>
      </c>
      <c r="T470" s="71">
        <f>Oportuno!T470</f>
        <v>0</v>
      </c>
      <c r="U470" s="71">
        <f>Oportuno!U470</f>
        <v>0</v>
      </c>
      <c r="V470" s="117">
        <f>Oportuno!V470</f>
        <v>0</v>
      </c>
      <c r="W470" s="117">
        <f>Oportuno!W470</f>
        <v>0</v>
      </c>
      <c r="X470" s="71">
        <f>Oportuno!X470</f>
        <v>0</v>
      </c>
      <c r="Y470" s="71">
        <f>Oportuno!Y470</f>
        <v>0</v>
      </c>
      <c r="AA470" s="65"/>
    </row>
    <row r="471" spans="2:27" ht="13" customHeight="1">
      <c r="B471" s="119">
        <f>Oportuno!B471</f>
        <v>0</v>
      </c>
      <c r="C471" s="23">
        <f>Oportuno!C471</f>
        <v>2026092</v>
      </c>
      <c r="D471" s="23">
        <f>Oportuno!D471</f>
        <v>17</v>
      </c>
      <c r="E471" s="128">
        <f>Oportuno!E471</f>
        <v>0</v>
      </c>
      <c r="F471" s="126" t="e">
        <f>Oportuno!F471</f>
        <v>#N/A</v>
      </c>
      <c r="G471" s="36">
        <f>Oportuno!G471</f>
        <v>1</v>
      </c>
      <c r="H471" s="126" t="str">
        <f>Oportuno!H471</f>
        <v>Oficinas</v>
      </c>
      <c r="I471" s="130">
        <f>Oportuno!I471</f>
        <v>0</v>
      </c>
      <c r="J471" s="174">
        <f>Oportuno!J471</f>
        <v>0</v>
      </c>
      <c r="K471" s="174">
        <f>Oportuno!K471</f>
        <v>0</v>
      </c>
      <c r="L471" s="174">
        <f>Oportuno!L471</f>
        <v>0</v>
      </c>
      <c r="M471" s="174">
        <f>Oportuno!M471</f>
        <v>0</v>
      </c>
      <c r="N471" s="174">
        <f>Oportuno!N471</f>
        <v>0</v>
      </c>
      <c r="O471" s="174">
        <f>Oportuno!O471</f>
        <v>0</v>
      </c>
      <c r="P471" s="174">
        <f>Oportuno!P471</f>
        <v>0</v>
      </c>
      <c r="Q471" s="174">
        <f>Oportuno!Q471</f>
        <v>0</v>
      </c>
      <c r="R471" s="174">
        <f>Oportuno!R471</f>
        <v>0</v>
      </c>
      <c r="S471" s="215">
        <f>Oportuno!S471</f>
        <v>0</v>
      </c>
      <c r="T471" s="71">
        <f>Oportuno!T471</f>
        <v>0</v>
      </c>
      <c r="U471" s="71">
        <f>Oportuno!U471</f>
        <v>0</v>
      </c>
      <c r="V471" s="117">
        <f>Oportuno!V471</f>
        <v>0</v>
      </c>
      <c r="W471" s="117">
        <f>Oportuno!W471</f>
        <v>0</v>
      </c>
      <c r="X471" s="71">
        <f>Oportuno!X471</f>
        <v>0</v>
      </c>
      <c r="Y471" s="71">
        <f>Oportuno!Y471</f>
        <v>0</v>
      </c>
      <c r="AA471" s="65"/>
    </row>
    <row r="472" spans="2:27" ht="13" customHeight="1">
      <c r="B472" s="119">
        <f>Oportuno!B472</f>
        <v>0</v>
      </c>
      <c r="C472" s="23">
        <f>Oportuno!C472</f>
        <v>2026092</v>
      </c>
      <c r="D472" s="23">
        <f>Oportuno!D472</f>
        <v>17</v>
      </c>
      <c r="E472" s="128">
        <f>Oportuno!E472</f>
        <v>0</v>
      </c>
      <c r="F472" s="126" t="e">
        <f>Oportuno!F472</f>
        <v>#N/A</v>
      </c>
      <c r="G472" s="36">
        <f>Oportuno!G472</f>
        <v>1</v>
      </c>
      <c r="H472" s="126" t="str">
        <f>Oportuno!H472</f>
        <v>Oficinas</v>
      </c>
      <c r="I472" s="130">
        <f>Oportuno!I472</f>
        <v>0</v>
      </c>
      <c r="J472" s="174">
        <f>Oportuno!J472</f>
        <v>0</v>
      </c>
      <c r="K472" s="174">
        <f>Oportuno!K472</f>
        <v>0</v>
      </c>
      <c r="L472" s="174">
        <f>Oportuno!L472</f>
        <v>0</v>
      </c>
      <c r="M472" s="174">
        <f>Oportuno!M472</f>
        <v>0</v>
      </c>
      <c r="N472" s="174">
        <f>Oportuno!N472</f>
        <v>0</v>
      </c>
      <c r="O472" s="174">
        <f>Oportuno!O472</f>
        <v>0</v>
      </c>
      <c r="P472" s="174">
        <f>Oportuno!P472</f>
        <v>0</v>
      </c>
      <c r="Q472" s="174">
        <f>Oportuno!Q472</f>
        <v>0</v>
      </c>
      <c r="R472" s="174">
        <f>Oportuno!R472</f>
        <v>0</v>
      </c>
      <c r="S472" s="215">
        <f>Oportuno!S472</f>
        <v>0</v>
      </c>
      <c r="T472" s="71">
        <f>Oportuno!T472</f>
        <v>0</v>
      </c>
      <c r="U472" s="71">
        <f>Oportuno!U472</f>
        <v>0</v>
      </c>
      <c r="V472" s="117">
        <f>Oportuno!V472</f>
        <v>0</v>
      </c>
      <c r="W472" s="117">
        <f>Oportuno!W472</f>
        <v>0</v>
      </c>
      <c r="X472" s="71">
        <f>Oportuno!X472</f>
        <v>0</v>
      </c>
      <c r="Y472" s="71">
        <f>Oportuno!Y472</f>
        <v>0</v>
      </c>
      <c r="AA472" s="65"/>
    </row>
    <row r="473" spans="2:27" ht="13" customHeight="1">
      <c r="B473" s="119">
        <f>Oportuno!B473</f>
        <v>0</v>
      </c>
      <c r="C473" s="23">
        <f>Oportuno!C473</f>
        <v>2026092</v>
      </c>
      <c r="D473" s="23">
        <f>Oportuno!D473</f>
        <v>17</v>
      </c>
      <c r="E473" s="128">
        <f>Oportuno!E473</f>
        <v>0</v>
      </c>
      <c r="F473" s="126" t="e">
        <f>Oportuno!F473</f>
        <v>#N/A</v>
      </c>
      <c r="G473" s="36">
        <f>Oportuno!G473</f>
        <v>1</v>
      </c>
      <c r="H473" s="126" t="str">
        <f>Oportuno!H473</f>
        <v>Oficinas</v>
      </c>
      <c r="I473" s="130">
        <f>Oportuno!I473</f>
        <v>0</v>
      </c>
      <c r="J473" s="174">
        <f>Oportuno!J473</f>
        <v>0</v>
      </c>
      <c r="K473" s="174">
        <f>Oportuno!K473</f>
        <v>0</v>
      </c>
      <c r="L473" s="174">
        <f>Oportuno!L473</f>
        <v>0</v>
      </c>
      <c r="M473" s="174">
        <f>Oportuno!M473</f>
        <v>0</v>
      </c>
      <c r="N473" s="174">
        <f>Oportuno!N473</f>
        <v>0</v>
      </c>
      <c r="O473" s="174">
        <f>Oportuno!O473</f>
        <v>0</v>
      </c>
      <c r="P473" s="174">
        <f>Oportuno!P473</f>
        <v>0</v>
      </c>
      <c r="Q473" s="174">
        <f>Oportuno!Q473</f>
        <v>0</v>
      </c>
      <c r="R473" s="174">
        <f>Oportuno!R473</f>
        <v>0</v>
      </c>
      <c r="S473" s="215">
        <f>Oportuno!S473</f>
        <v>0</v>
      </c>
      <c r="T473" s="71">
        <f>Oportuno!T473</f>
        <v>0</v>
      </c>
      <c r="U473" s="71">
        <f>Oportuno!U473</f>
        <v>0</v>
      </c>
      <c r="V473" s="117">
        <f>Oportuno!V473</f>
        <v>0</v>
      </c>
      <c r="W473" s="117">
        <f>Oportuno!W473</f>
        <v>0</v>
      </c>
      <c r="X473" s="71">
        <f>Oportuno!X473</f>
        <v>0</v>
      </c>
      <c r="Y473" s="71">
        <f>Oportuno!Y473</f>
        <v>0</v>
      </c>
      <c r="AA473" s="65"/>
    </row>
    <row r="474" spans="2:27" ht="13" customHeight="1">
      <c r="B474" s="119">
        <f>Oportuno!B474</f>
        <v>0</v>
      </c>
      <c r="C474" s="23">
        <f>Oportuno!C474</f>
        <v>2026092</v>
      </c>
      <c r="D474" s="23">
        <f>Oportuno!D474</f>
        <v>17</v>
      </c>
      <c r="E474" s="128">
        <f>Oportuno!E474</f>
        <v>0</v>
      </c>
      <c r="F474" s="126" t="e">
        <f>Oportuno!F474</f>
        <v>#N/A</v>
      </c>
      <c r="G474" s="36">
        <f>Oportuno!G474</f>
        <v>1</v>
      </c>
      <c r="H474" s="126" t="str">
        <f>Oportuno!H474</f>
        <v>Oficinas</v>
      </c>
      <c r="I474" s="130">
        <f>Oportuno!I474</f>
        <v>0</v>
      </c>
      <c r="J474" s="174">
        <f>Oportuno!J474</f>
        <v>0</v>
      </c>
      <c r="K474" s="174">
        <f>Oportuno!K474</f>
        <v>0</v>
      </c>
      <c r="L474" s="174">
        <f>Oportuno!L474</f>
        <v>0</v>
      </c>
      <c r="M474" s="174">
        <f>Oportuno!M474</f>
        <v>0</v>
      </c>
      <c r="N474" s="174">
        <f>Oportuno!N474</f>
        <v>0</v>
      </c>
      <c r="O474" s="174">
        <f>Oportuno!O474</f>
        <v>0</v>
      </c>
      <c r="P474" s="174">
        <f>Oportuno!P474</f>
        <v>0</v>
      </c>
      <c r="Q474" s="174">
        <f>Oportuno!Q474</f>
        <v>0</v>
      </c>
      <c r="R474" s="174">
        <f>Oportuno!R474</f>
        <v>0</v>
      </c>
      <c r="S474" s="215">
        <f>Oportuno!S474</f>
        <v>0</v>
      </c>
      <c r="T474" s="71">
        <f>Oportuno!T474</f>
        <v>0</v>
      </c>
      <c r="U474" s="71">
        <f>Oportuno!U474</f>
        <v>0</v>
      </c>
      <c r="V474" s="117">
        <f>Oportuno!V474</f>
        <v>0</v>
      </c>
      <c r="W474" s="117">
        <f>Oportuno!W474</f>
        <v>0</v>
      </c>
      <c r="X474" s="71">
        <f>Oportuno!X474</f>
        <v>0</v>
      </c>
      <c r="Y474" s="71">
        <f>Oportuno!Y474</f>
        <v>0</v>
      </c>
      <c r="AA474" s="65"/>
    </row>
    <row r="475" spans="2:27" ht="13" customHeight="1">
      <c r="B475" s="119">
        <f>Oportuno!B475</f>
        <v>0</v>
      </c>
      <c r="C475" s="23">
        <f>Oportuno!C475</f>
        <v>2026092</v>
      </c>
      <c r="D475" s="23">
        <f>Oportuno!D475</f>
        <v>17</v>
      </c>
      <c r="E475" s="128">
        <f>Oportuno!E475</f>
        <v>0</v>
      </c>
      <c r="F475" s="126" t="e">
        <f>Oportuno!F475</f>
        <v>#N/A</v>
      </c>
      <c r="G475" s="36">
        <f>Oportuno!G475</f>
        <v>1</v>
      </c>
      <c r="H475" s="126" t="str">
        <f>Oportuno!H475</f>
        <v>Oficinas</v>
      </c>
      <c r="I475" s="130">
        <f>Oportuno!I475</f>
        <v>0</v>
      </c>
      <c r="J475" s="174">
        <f>Oportuno!J475</f>
        <v>0</v>
      </c>
      <c r="K475" s="174">
        <f>Oportuno!K475</f>
        <v>0</v>
      </c>
      <c r="L475" s="174">
        <f>Oportuno!L475</f>
        <v>0</v>
      </c>
      <c r="M475" s="174">
        <f>Oportuno!M475</f>
        <v>0</v>
      </c>
      <c r="N475" s="174">
        <f>Oportuno!N475</f>
        <v>0</v>
      </c>
      <c r="O475" s="174">
        <f>Oportuno!O475</f>
        <v>0</v>
      </c>
      <c r="P475" s="174">
        <f>Oportuno!P475</f>
        <v>0</v>
      </c>
      <c r="Q475" s="174">
        <f>Oportuno!Q475</f>
        <v>0</v>
      </c>
      <c r="R475" s="174">
        <f>Oportuno!R475</f>
        <v>0</v>
      </c>
      <c r="S475" s="215">
        <f>Oportuno!S475</f>
        <v>0</v>
      </c>
      <c r="T475" s="71">
        <f>Oportuno!T475</f>
        <v>0</v>
      </c>
      <c r="U475" s="71">
        <f>Oportuno!U475</f>
        <v>0</v>
      </c>
      <c r="V475" s="117">
        <f>Oportuno!V475</f>
        <v>0</v>
      </c>
      <c r="W475" s="117">
        <f>Oportuno!W475</f>
        <v>0</v>
      </c>
      <c r="X475" s="71">
        <f>Oportuno!X475</f>
        <v>0</v>
      </c>
      <c r="Y475" s="71">
        <f>Oportuno!Y475</f>
        <v>0</v>
      </c>
      <c r="AA475" s="65"/>
    </row>
    <row r="476" spans="2:27" ht="12" customHeight="1">
      <c r="B476" s="119">
        <f>Oportuno!B476</f>
        <v>0</v>
      </c>
      <c r="C476" s="23">
        <f>Oportuno!C476</f>
        <v>2026092</v>
      </c>
      <c r="D476" s="23">
        <f>Oportuno!D476</f>
        <v>17</v>
      </c>
      <c r="E476" s="128">
        <f>Oportuno!E476</f>
        <v>0</v>
      </c>
      <c r="F476" s="126" t="e">
        <f>Oportuno!F476</f>
        <v>#N/A</v>
      </c>
      <c r="G476" s="36">
        <f>Oportuno!G476</f>
        <v>1</v>
      </c>
      <c r="H476" s="126" t="str">
        <f>Oportuno!H476</f>
        <v>Oficinas</v>
      </c>
      <c r="I476" s="130">
        <f>Oportuno!I476</f>
        <v>0</v>
      </c>
      <c r="J476" s="174">
        <f>Oportuno!J476</f>
        <v>0</v>
      </c>
      <c r="K476" s="174">
        <f>Oportuno!K476</f>
        <v>0</v>
      </c>
      <c r="L476" s="174">
        <f>Oportuno!L476</f>
        <v>0</v>
      </c>
      <c r="M476" s="174">
        <f>Oportuno!M476</f>
        <v>0</v>
      </c>
      <c r="N476" s="174">
        <f>Oportuno!N476</f>
        <v>0</v>
      </c>
      <c r="O476" s="174">
        <f>Oportuno!O476</f>
        <v>0</v>
      </c>
      <c r="P476" s="174">
        <f>Oportuno!P476</f>
        <v>0</v>
      </c>
      <c r="Q476" s="174">
        <f>Oportuno!Q476</f>
        <v>0</v>
      </c>
      <c r="R476" s="174">
        <f>Oportuno!R476</f>
        <v>0</v>
      </c>
      <c r="S476" s="215">
        <f>Oportuno!S476</f>
        <v>0</v>
      </c>
      <c r="T476" s="71">
        <f>Oportuno!T476</f>
        <v>0</v>
      </c>
      <c r="U476" s="71">
        <f>Oportuno!U476</f>
        <v>0</v>
      </c>
      <c r="V476" s="117">
        <f>Oportuno!V476</f>
        <v>0</v>
      </c>
      <c r="W476" s="117">
        <f>Oportuno!W476</f>
        <v>0</v>
      </c>
      <c r="X476" s="71">
        <f>Oportuno!X476</f>
        <v>0</v>
      </c>
      <c r="Y476" s="71">
        <f>Oportuno!Y476</f>
        <v>0</v>
      </c>
      <c r="AA476" s="65"/>
    </row>
    <row r="477" spans="2:27" ht="13" customHeight="1">
      <c r="B477" s="119">
        <f>Oportuno!B477</f>
        <v>0</v>
      </c>
      <c r="C477" s="23">
        <f>Oportuno!C477</f>
        <v>2026092</v>
      </c>
      <c r="D477" s="23">
        <f>Oportuno!D477</f>
        <v>17</v>
      </c>
      <c r="E477" s="128">
        <f>Oportuno!E477</f>
        <v>0</v>
      </c>
      <c r="F477" s="126" t="e">
        <f>Oportuno!F477</f>
        <v>#N/A</v>
      </c>
      <c r="G477" s="36">
        <f>Oportuno!G477</f>
        <v>1</v>
      </c>
      <c r="H477" s="126" t="str">
        <f>Oportuno!H477</f>
        <v>Oficinas</v>
      </c>
      <c r="I477" s="130">
        <f>Oportuno!I477</f>
        <v>0</v>
      </c>
      <c r="J477" s="174">
        <f>Oportuno!J477</f>
        <v>0</v>
      </c>
      <c r="K477" s="174">
        <f>Oportuno!K477</f>
        <v>0</v>
      </c>
      <c r="L477" s="174">
        <f>Oportuno!L477</f>
        <v>0</v>
      </c>
      <c r="M477" s="174">
        <f>Oportuno!M477</f>
        <v>0</v>
      </c>
      <c r="N477" s="174">
        <f>Oportuno!N477</f>
        <v>0</v>
      </c>
      <c r="O477" s="174">
        <f>Oportuno!O477</f>
        <v>0</v>
      </c>
      <c r="P477" s="174">
        <f>Oportuno!P477</f>
        <v>0</v>
      </c>
      <c r="Q477" s="174">
        <f>Oportuno!Q477</f>
        <v>0</v>
      </c>
      <c r="R477" s="174">
        <f>Oportuno!R477</f>
        <v>0</v>
      </c>
      <c r="S477" s="215">
        <f>Oportuno!S477</f>
        <v>0</v>
      </c>
      <c r="T477" s="71">
        <f>Oportuno!T477</f>
        <v>0</v>
      </c>
      <c r="U477" s="71">
        <f>Oportuno!U477</f>
        <v>0</v>
      </c>
      <c r="V477" s="117">
        <f>Oportuno!V477</f>
        <v>0</v>
      </c>
      <c r="W477" s="117">
        <f>Oportuno!W477</f>
        <v>0</v>
      </c>
      <c r="X477" s="71">
        <f>Oportuno!X477</f>
        <v>0</v>
      </c>
      <c r="Y477" s="71">
        <f>Oportuno!Y477</f>
        <v>0</v>
      </c>
      <c r="AA477" s="65"/>
    </row>
    <row r="478" spans="2:27" ht="13" customHeight="1">
      <c r="B478" s="119">
        <f>Oportuno!B478</f>
        <v>0</v>
      </c>
      <c r="C478" s="23">
        <f>Oportuno!C478</f>
        <v>2026092</v>
      </c>
      <c r="D478" s="23">
        <f>Oportuno!D478</f>
        <v>17</v>
      </c>
      <c r="E478" s="128">
        <f>Oportuno!E478</f>
        <v>0</v>
      </c>
      <c r="F478" s="126" t="e">
        <f>Oportuno!F478</f>
        <v>#N/A</v>
      </c>
      <c r="G478" s="36">
        <f>Oportuno!G478</f>
        <v>1</v>
      </c>
      <c r="H478" s="126" t="str">
        <f>Oportuno!H478</f>
        <v>Oficinas</v>
      </c>
      <c r="I478" s="130">
        <f>Oportuno!I478</f>
        <v>0</v>
      </c>
      <c r="J478" s="174">
        <f>Oportuno!J478</f>
        <v>0</v>
      </c>
      <c r="K478" s="174">
        <f>Oportuno!K478</f>
        <v>0</v>
      </c>
      <c r="L478" s="174">
        <f>Oportuno!L478</f>
        <v>0</v>
      </c>
      <c r="M478" s="174">
        <f>Oportuno!M478</f>
        <v>0</v>
      </c>
      <c r="N478" s="174">
        <f>Oportuno!N478</f>
        <v>0</v>
      </c>
      <c r="O478" s="174">
        <f>Oportuno!O478</f>
        <v>0</v>
      </c>
      <c r="P478" s="174">
        <f>Oportuno!P478</f>
        <v>0</v>
      </c>
      <c r="Q478" s="174">
        <f>Oportuno!Q478</f>
        <v>0</v>
      </c>
      <c r="R478" s="174">
        <f>Oportuno!R478</f>
        <v>0</v>
      </c>
      <c r="S478" s="215">
        <f>Oportuno!S478</f>
        <v>0</v>
      </c>
      <c r="T478" s="71">
        <f>Oportuno!T478</f>
        <v>0</v>
      </c>
      <c r="U478" s="71">
        <f>Oportuno!U478</f>
        <v>0</v>
      </c>
      <c r="V478" s="117">
        <f>Oportuno!V478</f>
        <v>0</v>
      </c>
      <c r="W478" s="117">
        <f>Oportuno!W478</f>
        <v>0</v>
      </c>
      <c r="X478" s="71">
        <f>Oportuno!X478</f>
        <v>0</v>
      </c>
      <c r="Y478" s="71">
        <f>Oportuno!Y478</f>
        <v>0</v>
      </c>
      <c r="AA478" s="65"/>
    </row>
    <row r="479" spans="2:27" ht="13" customHeight="1">
      <c r="B479" s="119">
        <f>Oportuno!B479</f>
        <v>0</v>
      </c>
      <c r="C479" s="23">
        <f>Oportuno!C479</f>
        <v>2026092</v>
      </c>
      <c r="D479" s="23">
        <f>Oportuno!D479</f>
        <v>17</v>
      </c>
      <c r="E479" s="128">
        <f>Oportuno!E479</f>
        <v>0</v>
      </c>
      <c r="F479" s="126" t="e">
        <f>Oportuno!F479</f>
        <v>#N/A</v>
      </c>
      <c r="G479" s="36">
        <f>Oportuno!G479</f>
        <v>1</v>
      </c>
      <c r="H479" s="126" t="str">
        <f>Oportuno!H479</f>
        <v>Oficinas</v>
      </c>
      <c r="I479" s="130">
        <f>Oportuno!I479</f>
        <v>0</v>
      </c>
      <c r="J479" s="174">
        <f>Oportuno!J479</f>
        <v>0</v>
      </c>
      <c r="K479" s="174">
        <f>Oportuno!K479</f>
        <v>0</v>
      </c>
      <c r="L479" s="174">
        <f>Oportuno!L479</f>
        <v>0</v>
      </c>
      <c r="M479" s="174">
        <f>Oportuno!M479</f>
        <v>0</v>
      </c>
      <c r="N479" s="174">
        <f>Oportuno!N479</f>
        <v>0</v>
      </c>
      <c r="O479" s="174">
        <f>Oportuno!O479</f>
        <v>0</v>
      </c>
      <c r="P479" s="174">
        <f>Oportuno!P479</f>
        <v>0</v>
      </c>
      <c r="Q479" s="174">
        <f>Oportuno!Q479</f>
        <v>0</v>
      </c>
      <c r="R479" s="174">
        <f>Oportuno!R479</f>
        <v>0</v>
      </c>
      <c r="S479" s="215">
        <f>Oportuno!S479</f>
        <v>0</v>
      </c>
      <c r="T479" s="71">
        <f>Oportuno!T479</f>
        <v>0</v>
      </c>
      <c r="U479" s="71">
        <f>Oportuno!U479</f>
        <v>0</v>
      </c>
      <c r="V479" s="117">
        <f>Oportuno!V479</f>
        <v>0</v>
      </c>
      <c r="W479" s="117">
        <f>Oportuno!W479</f>
        <v>0</v>
      </c>
      <c r="X479" s="71">
        <f>Oportuno!X479</f>
        <v>0</v>
      </c>
      <c r="Y479" s="71">
        <f>Oportuno!Y479</f>
        <v>0</v>
      </c>
      <c r="AA479" s="65"/>
    </row>
    <row r="480" spans="2:27" ht="13" customHeight="1">
      <c r="B480" s="119">
        <f>Oportuno!B480</f>
        <v>0</v>
      </c>
      <c r="C480" s="23">
        <f>Oportuno!C480</f>
        <v>2026092</v>
      </c>
      <c r="D480" s="23">
        <f>Oportuno!D480</f>
        <v>17</v>
      </c>
      <c r="E480" s="128">
        <f>Oportuno!E480</f>
        <v>0</v>
      </c>
      <c r="F480" s="126" t="e">
        <f>Oportuno!F480</f>
        <v>#N/A</v>
      </c>
      <c r="G480" s="36">
        <f>Oportuno!G480</f>
        <v>1</v>
      </c>
      <c r="H480" s="126" t="str">
        <f>Oportuno!H480</f>
        <v>Oficinas</v>
      </c>
      <c r="I480" s="130">
        <f>Oportuno!I480</f>
        <v>0</v>
      </c>
      <c r="J480" s="174">
        <f>Oportuno!J480</f>
        <v>0</v>
      </c>
      <c r="K480" s="174">
        <f>Oportuno!K480</f>
        <v>0</v>
      </c>
      <c r="L480" s="174">
        <f>Oportuno!L480</f>
        <v>0</v>
      </c>
      <c r="M480" s="174">
        <f>Oportuno!M480</f>
        <v>0</v>
      </c>
      <c r="N480" s="174">
        <f>Oportuno!N480</f>
        <v>0</v>
      </c>
      <c r="O480" s="174">
        <f>Oportuno!O480</f>
        <v>0</v>
      </c>
      <c r="P480" s="174">
        <f>Oportuno!P480</f>
        <v>0</v>
      </c>
      <c r="Q480" s="174">
        <f>Oportuno!Q480</f>
        <v>0</v>
      </c>
      <c r="R480" s="174">
        <f>Oportuno!R480</f>
        <v>0</v>
      </c>
      <c r="S480" s="215">
        <f>Oportuno!S480</f>
        <v>0</v>
      </c>
      <c r="T480" s="71">
        <f>Oportuno!T480</f>
        <v>0</v>
      </c>
      <c r="U480" s="71">
        <f>Oportuno!U480</f>
        <v>0</v>
      </c>
      <c r="V480" s="117">
        <f>Oportuno!V480</f>
        <v>0</v>
      </c>
      <c r="W480" s="117">
        <f>Oportuno!W480</f>
        <v>0</v>
      </c>
      <c r="X480" s="71">
        <f>Oportuno!X480</f>
        <v>0</v>
      </c>
      <c r="Y480" s="71">
        <f>Oportuno!Y480</f>
        <v>0</v>
      </c>
      <c r="AA480" s="65"/>
    </row>
    <row r="481" spans="2:27 16101:16120" ht="13" customHeight="1">
      <c r="B481" s="119">
        <f>Oportuno!B481</f>
        <v>0</v>
      </c>
      <c r="C481" s="23">
        <f>Oportuno!C481</f>
        <v>2026092</v>
      </c>
      <c r="D481" s="23">
        <f>Oportuno!D481</f>
        <v>17</v>
      </c>
      <c r="E481" s="128">
        <f>Oportuno!E481</f>
        <v>0</v>
      </c>
      <c r="F481" s="126" t="e">
        <f>Oportuno!F481</f>
        <v>#N/A</v>
      </c>
      <c r="G481" s="36">
        <f>Oportuno!G481</f>
        <v>1</v>
      </c>
      <c r="H481" s="126" t="str">
        <f>Oportuno!H481</f>
        <v>Oficinas</v>
      </c>
      <c r="I481" s="130">
        <f>Oportuno!I481</f>
        <v>0</v>
      </c>
      <c r="J481" s="174">
        <f>Oportuno!J481</f>
        <v>0</v>
      </c>
      <c r="K481" s="174">
        <f>Oportuno!K481</f>
        <v>0</v>
      </c>
      <c r="L481" s="174">
        <f>Oportuno!L481</f>
        <v>0</v>
      </c>
      <c r="M481" s="174">
        <f>Oportuno!M481</f>
        <v>0</v>
      </c>
      <c r="N481" s="174">
        <f>Oportuno!N481</f>
        <v>0</v>
      </c>
      <c r="O481" s="174">
        <f>Oportuno!O481</f>
        <v>0</v>
      </c>
      <c r="P481" s="174">
        <f>Oportuno!P481</f>
        <v>0</v>
      </c>
      <c r="Q481" s="174">
        <f>Oportuno!Q481</f>
        <v>0</v>
      </c>
      <c r="R481" s="174">
        <f>Oportuno!R481</f>
        <v>0</v>
      </c>
      <c r="S481" s="215">
        <f>Oportuno!S481</f>
        <v>0</v>
      </c>
      <c r="T481" s="71">
        <f>Oportuno!T481</f>
        <v>0</v>
      </c>
      <c r="U481" s="71">
        <f>Oportuno!U481</f>
        <v>0</v>
      </c>
      <c r="V481" s="117">
        <f>Oportuno!V481</f>
        <v>0</v>
      </c>
      <c r="W481" s="117">
        <f>Oportuno!W481</f>
        <v>0</v>
      </c>
      <c r="X481" s="71">
        <f>Oportuno!X481</f>
        <v>0</v>
      </c>
      <c r="Y481" s="71">
        <f>Oportuno!Y481</f>
        <v>0</v>
      </c>
      <c r="AA481" s="65"/>
    </row>
    <row r="482" spans="2:27 16101:16120" ht="13" customHeight="1">
      <c r="B482" s="119">
        <f>Oportuno!B482</f>
        <v>0</v>
      </c>
      <c r="C482" s="23">
        <f>Oportuno!C482</f>
        <v>2026092</v>
      </c>
      <c r="D482" s="23">
        <f>Oportuno!D482</f>
        <v>17</v>
      </c>
      <c r="E482" s="128">
        <f>Oportuno!E482</f>
        <v>0</v>
      </c>
      <c r="F482" s="126" t="e">
        <f>Oportuno!F482</f>
        <v>#N/A</v>
      </c>
      <c r="G482" s="36">
        <f>Oportuno!G482</f>
        <v>1</v>
      </c>
      <c r="H482" s="126" t="str">
        <f>Oportuno!H482</f>
        <v>Oficinas</v>
      </c>
      <c r="I482" s="130">
        <f>Oportuno!I482</f>
        <v>0</v>
      </c>
      <c r="J482" s="174">
        <f>Oportuno!J482</f>
        <v>0</v>
      </c>
      <c r="K482" s="174">
        <f>Oportuno!K482</f>
        <v>0</v>
      </c>
      <c r="L482" s="174">
        <f>Oportuno!L482</f>
        <v>0</v>
      </c>
      <c r="M482" s="174">
        <f>Oportuno!M482</f>
        <v>0</v>
      </c>
      <c r="N482" s="174">
        <f>Oportuno!N482</f>
        <v>0</v>
      </c>
      <c r="O482" s="174">
        <f>Oportuno!O482</f>
        <v>0</v>
      </c>
      <c r="P482" s="174">
        <f>Oportuno!P482</f>
        <v>0</v>
      </c>
      <c r="Q482" s="174">
        <f>Oportuno!Q482</f>
        <v>0</v>
      </c>
      <c r="R482" s="174">
        <f>Oportuno!R482</f>
        <v>0</v>
      </c>
      <c r="S482" s="215">
        <f>Oportuno!S482</f>
        <v>0</v>
      </c>
      <c r="T482" s="71">
        <f>Oportuno!T482</f>
        <v>0</v>
      </c>
      <c r="U482" s="71">
        <f>Oportuno!U482</f>
        <v>0</v>
      </c>
      <c r="V482" s="117">
        <f>Oportuno!V482</f>
        <v>0</v>
      </c>
      <c r="W482" s="117">
        <f>Oportuno!W482</f>
        <v>0</v>
      </c>
      <c r="X482" s="71">
        <f>Oportuno!X482</f>
        <v>0</v>
      </c>
      <c r="Y482" s="71">
        <f>Oportuno!Y482</f>
        <v>0</v>
      </c>
      <c r="AA482" s="65"/>
    </row>
    <row r="483" spans="2:27 16101:16120" ht="13" customHeight="1">
      <c r="B483" s="119">
        <f>Oportuno!B483</f>
        <v>0</v>
      </c>
      <c r="C483" s="23">
        <f>Oportuno!C483</f>
        <v>2026092</v>
      </c>
      <c r="D483" s="23">
        <f>Oportuno!D483</f>
        <v>17</v>
      </c>
      <c r="E483" s="128">
        <f>Oportuno!E483</f>
        <v>0</v>
      </c>
      <c r="F483" s="126" t="e">
        <f>Oportuno!F483</f>
        <v>#N/A</v>
      </c>
      <c r="G483" s="36">
        <f>Oportuno!G483</f>
        <v>1</v>
      </c>
      <c r="H483" s="126" t="str">
        <f>Oportuno!H483</f>
        <v>Oficinas</v>
      </c>
      <c r="I483" s="130">
        <f>Oportuno!I483</f>
        <v>0</v>
      </c>
      <c r="J483" s="174">
        <f>Oportuno!J483</f>
        <v>0</v>
      </c>
      <c r="K483" s="174">
        <f>Oportuno!K483</f>
        <v>0</v>
      </c>
      <c r="L483" s="174">
        <f>Oportuno!L483</f>
        <v>0</v>
      </c>
      <c r="M483" s="174">
        <f>Oportuno!M483</f>
        <v>0</v>
      </c>
      <c r="N483" s="174">
        <f>Oportuno!N483</f>
        <v>0</v>
      </c>
      <c r="O483" s="174">
        <f>Oportuno!O483</f>
        <v>0</v>
      </c>
      <c r="P483" s="174">
        <f>Oportuno!P483</f>
        <v>0</v>
      </c>
      <c r="Q483" s="174">
        <f>Oportuno!Q483</f>
        <v>0</v>
      </c>
      <c r="R483" s="174">
        <f>Oportuno!R483</f>
        <v>0</v>
      </c>
      <c r="S483" s="215">
        <f>Oportuno!S483</f>
        <v>0</v>
      </c>
      <c r="T483" s="71">
        <f>Oportuno!T483</f>
        <v>0</v>
      </c>
      <c r="U483" s="71">
        <f>Oportuno!U483</f>
        <v>0</v>
      </c>
      <c r="V483" s="117">
        <f>Oportuno!V483</f>
        <v>0</v>
      </c>
      <c r="W483" s="117">
        <f>Oportuno!W483</f>
        <v>0</v>
      </c>
      <c r="X483" s="71">
        <f>Oportuno!X483</f>
        <v>0</v>
      </c>
      <c r="Y483" s="71">
        <f>Oportuno!Y483</f>
        <v>0</v>
      </c>
      <c r="AA483" s="65"/>
    </row>
    <row r="484" spans="2:27 16101:16120" ht="13" customHeight="1">
      <c r="B484" s="119">
        <f>Oportuno!B484</f>
        <v>0</v>
      </c>
      <c r="C484" s="23">
        <f>Oportuno!C484</f>
        <v>2026092</v>
      </c>
      <c r="D484" s="23">
        <f>Oportuno!D484</f>
        <v>17</v>
      </c>
      <c r="E484" s="128">
        <f>Oportuno!E484</f>
        <v>0</v>
      </c>
      <c r="F484" s="126" t="e">
        <f>Oportuno!F484</f>
        <v>#N/A</v>
      </c>
      <c r="G484" s="36">
        <f>Oportuno!G484</f>
        <v>1</v>
      </c>
      <c r="H484" s="126" t="str">
        <f>Oportuno!H484</f>
        <v>Oficinas</v>
      </c>
      <c r="I484" s="130">
        <f>Oportuno!I484</f>
        <v>0</v>
      </c>
      <c r="J484" s="174">
        <f>Oportuno!J484</f>
        <v>0</v>
      </c>
      <c r="K484" s="174">
        <f>Oportuno!K484</f>
        <v>0</v>
      </c>
      <c r="L484" s="174">
        <f>Oportuno!L484</f>
        <v>0</v>
      </c>
      <c r="M484" s="174">
        <f>Oportuno!M484</f>
        <v>0</v>
      </c>
      <c r="N484" s="174">
        <f>Oportuno!N484</f>
        <v>0</v>
      </c>
      <c r="O484" s="174">
        <f>Oportuno!O484</f>
        <v>0</v>
      </c>
      <c r="P484" s="174">
        <f>Oportuno!P484</f>
        <v>0</v>
      </c>
      <c r="Q484" s="174">
        <f>Oportuno!Q484</f>
        <v>0</v>
      </c>
      <c r="R484" s="174">
        <f>Oportuno!R484</f>
        <v>0</v>
      </c>
      <c r="S484" s="215">
        <f>Oportuno!S484</f>
        <v>0</v>
      </c>
      <c r="T484" s="71">
        <f>Oportuno!T484</f>
        <v>0</v>
      </c>
      <c r="U484" s="71">
        <f>Oportuno!U484</f>
        <v>0</v>
      </c>
      <c r="V484" s="117">
        <f>Oportuno!V484</f>
        <v>0</v>
      </c>
      <c r="W484" s="117">
        <f>Oportuno!W484</f>
        <v>0</v>
      </c>
      <c r="X484" s="71">
        <f>Oportuno!X484</f>
        <v>0</v>
      </c>
      <c r="Y484" s="71">
        <f>Oportuno!Y484</f>
        <v>0</v>
      </c>
      <c r="AA484" s="65"/>
    </row>
    <row r="485" spans="2:27 16101:16120" ht="13" customHeight="1" thickBot="1">
      <c r="B485" s="119">
        <f>Oportuno!B485</f>
        <v>0</v>
      </c>
      <c r="C485" s="23">
        <f>Oportuno!C485</f>
        <v>2026092</v>
      </c>
      <c r="D485" s="23">
        <f>Oportuno!D485</f>
        <v>17</v>
      </c>
      <c r="E485" s="128">
        <f>Oportuno!E485</f>
        <v>0</v>
      </c>
      <c r="F485" s="126" t="e">
        <f>Oportuno!F485</f>
        <v>#N/A</v>
      </c>
      <c r="G485" s="36">
        <f>Oportuno!G485</f>
        <v>1</v>
      </c>
      <c r="H485" s="126" t="str">
        <f>Oportuno!H485</f>
        <v>Oficinas</v>
      </c>
      <c r="I485" s="130">
        <f>Oportuno!I485</f>
        <v>0</v>
      </c>
      <c r="J485" s="174">
        <f>Oportuno!J485</f>
        <v>0</v>
      </c>
      <c r="K485" s="174">
        <f>Oportuno!K485</f>
        <v>0</v>
      </c>
      <c r="L485" s="174">
        <f>Oportuno!L485</f>
        <v>0</v>
      </c>
      <c r="M485" s="174">
        <f>Oportuno!M485</f>
        <v>0</v>
      </c>
      <c r="N485" s="174">
        <f>Oportuno!N485</f>
        <v>0</v>
      </c>
      <c r="O485" s="174">
        <f>Oportuno!O485</f>
        <v>0</v>
      </c>
      <c r="P485" s="174">
        <f>Oportuno!P485</f>
        <v>0</v>
      </c>
      <c r="Q485" s="174">
        <f>Oportuno!Q485</f>
        <v>0</v>
      </c>
      <c r="R485" s="174">
        <f>Oportuno!R485</f>
        <v>0</v>
      </c>
      <c r="S485" s="215">
        <f>Oportuno!S485</f>
        <v>0</v>
      </c>
      <c r="T485" s="71">
        <f>Oportuno!T485</f>
        <v>0</v>
      </c>
      <c r="U485" s="71">
        <f>Oportuno!U485</f>
        <v>0</v>
      </c>
      <c r="V485" s="117">
        <f>Oportuno!V485</f>
        <v>0</v>
      </c>
      <c r="W485" s="117">
        <f>Oportuno!W485</f>
        <v>0</v>
      </c>
      <c r="X485" s="71">
        <f>Oportuno!X485</f>
        <v>0</v>
      </c>
      <c r="Y485" s="71">
        <f>Oportuno!Y485</f>
        <v>0</v>
      </c>
      <c r="AA485" s="65"/>
    </row>
    <row r="486" spans="2:27 16101:16120" ht="13" customHeight="1" thickBot="1">
      <c r="B486" s="1" t="s">
        <v>0</v>
      </c>
      <c r="C486" s="1" t="s">
        <v>0</v>
      </c>
      <c r="D486" s="20" t="s">
        <v>0</v>
      </c>
      <c r="E486" s="120" t="str">
        <f>Oportuno!E486</f>
        <v xml:space="preserve"> </v>
      </c>
      <c r="F486" s="121" t="str">
        <f>Oportuno!F486</f>
        <v>TOTAL RECAUDO</v>
      </c>
      <c r="G486" s="121" t="s">
        <v>0</v>
      </c>
      <c r="H486" s="121" t="s">
        <v>0</v>
      </c>
      <c r="I486" s="121" t="s">
        <v>0</v>
      </c>
      <c r="J486" s="122">
        <f>Oportuno!J486</f>
        <v>0</v>
      </c>
      <c r="K486" s="122">
        <f>Oportuno!K486</f>
        <v>0</v>
      </c>
      <c r="L486" s="122">
        <f>Oportuno!L486</f>
        <v>0</v>
      </c>
      <c r="M486" s="122">
        <f>Oportuno!M486</f>
        <v>0</v>
      </c>
      <c r="N486" s="122">
        <f>Oportuno!N486</f>
        <v>0</v>
      </c>
      <c r="O486" s="122">
        <f>Oportuno!O486</f>
        <v>0</v>
      </c>
      <c r="P486" s="122">
        <f>Oportuno!P486</f>
        <v>0</v>
      </c>
      <c r="Q486" s="122">
        <f>Oportuno!Q486</f>
        <v>0</v>
      </c>
      <c r="R486" s="122">
        <f>Oportuno!R486</f>
        <v>48</v>
      </c>
      <c r="S486" s="122">
        <f>Oportuno!S486</f>
        <v>3505030</v>
      </c>
      <c r="T486" s="122">
        <f>Oportuno!T486</f>
        <v>48</v>
      </c>
      <c r="U486" s="122">
        <f>Oportuno!U486</f>
        <v>3505030</v>
      </c>
      <c r="V486" s="123">
        <f>Oportuno!V486</f>
        <v>48</v>
      </c>
      <c r="W486" s="123">
        <f>Oportuno!W486</f>
        <v>3505030</v>
      </c>
      <c r="X486" s="122">
        <f>Oportuno!X486</f>
        <v>0</v>
      </c>
      <c r="Y486" s="123">
        <f>Oportuno!Y486</f>
        <v>0</v>
      </c>
      <c r="AA486" s="65"/>
    </row>
    <row r="487" spans="2:27 16101:16120" ht="13" thickBot="1">
      <c r="AA487" s="65"/>
    </row>
    <row r="488" spans="2:27 16101:16120" ht="41.25" customHeight="1" thickBot="1">
      <c r="B488" s="112" t="s">
        <v>4</v>
      </c>
      <c r="C488" s="34" t="s">
        <v>6</v>
      </c>
      <c r="D488" s="34" t="s">
        <v>7</v>
      </c>
      <c r="E488" s="34" t="s">
        <v>49</v>
      </c>
      <c r="F488" s="34" t="s">
        <v>50</v>
      </c>
      <c r="G488" s="34" t="s">
        <v>51</v>
      </c>
      <c r="H488" s="34" t="s">
        <v>52</v>
      </c>
      <c r="I488" s="34" t="s">
        <v>13</v>
      </c>
      <c r="J488" s="231" t="s">
        <v>8</v>
      </c>
      <c r="K488" s="231" t="s">
        <v>36</v>
      </c>
      <c r="L488" s="12" t="s">
        <v>9</v>
      </c>
      <c r="M488" s="12" t="s">
        <v>37</v>
      </c>
      <c r="N488" s="87" t="s">
        <v>10</v>
      </c>
      <c r="O488" s="88" t="s">
        <v>38</v>
      </c>
      <c r="P488" s="87" t="s">
        <v>11</v>
      </c>
      <c r="Q488" s="88" t="s">
        <v>39</v>
      </c>
      <c r="R488" s="232" t="s">
        <v>12</v>
      </c>
      <c r="S488" s="233" t="s">
        <v>40</v>
      </c>
      <c r="T488" s="64" t="s">
        <v>41</v>
      </c>
      <c r="U488" s="64" t="s">
        <v>42</v>
      </c>
      <c r="V488" s="35" t="s">
        <v>32</v>
      </c>
      <c r="W488" s="67" t="s">
        <v>35</v>
      </c>
      <c r="X488" s="12" t="s">
        <v>34</v>
      </c>
      <c r="Y488" s="68" t="s">
        <v>33</v>
      </c>
      <c r="AA488" s="66"/>
      <c r="WUG488" s="1"/>
      <c r="WUH488" s="1"/>
      <c r="WUY488"/>
      <c r="WUZ488"/>
    </row>
    <row r="489" spans="2:27 16101:16120" ht="13" customHeight="1">
      <c r="B489" s="119" t="str">
        <f>Oportuno!B489</f>
        <v>21/09/2026</v>
      </c>
      <c r="C489" s="24">
        <f>Oportuno!C489</f>
        <v>2026092</v>
      </c>
      <c r="D489" s="24">
        <f>Oportuno!D489</f>
        <v>18</v>
      </c>
      <c r="E489" s="127">
        <f>Oportuno!E489</f>
        <v>20</v>
      </c>
      <c r="F489" s="125" t="str">
        <f>Oportuno!F489</f>
        <v>Bancolombia ENERBIT</v>
      </c>
      <c r="G489" s="18">
        <f>Oportuno!G489</f>
        <v>1</v>
      </c>
      <c r="H489" s="125" t="str">
        <f>Oportuno!H489</f>
        <v>Oficinas</v>
      </c>
      <c r="I489" s="129">
        <f>Oportuno!I489</f>
        <v>0</v>
      </c>
      <c r="J489" s="213">
        <f>Oportuno!J489</f>
        <v>0</v>
      </c>
      <c r="K489" s="213">
        <f>Oportuno!K489</f>
        <v>0</v>
      </c>
      <c r="L489" s="213">
        <f>Oportuno!L489</f>
        <v>0</v>
      </c>
      <c r="M489" s="213">
        <f>Oportuno!M489</f>
        <v>0</v>
      </c>
      <c r="N489" s="213">
        <f>Oportuno!N489</f>
        <v>0</v>
      </c>
      <c r="O489" s="213">
        <f>Oportuno!O489</f>
        <v>0</v>
      </c>
      <c r="P489" s="213">
        <f>Oportuno!P489</f>
        <v>0</v>
      </c>
      <c r="Q489" s="213">
        <f>Oportuno!Q489</f>
        <v>0</v>
      </c>
      <c r="R489" s="213">
        <f>Oportuno!R489</f>
        <v>37</v>
      </c>
      <c r="S489" s="214">
        <f>Oportuno!S489</f>
        <v>2429310</v>
      </c>
      <c r="T489" s="70">
        <f>Oportuno!T489</f>
        <v>37</v>
      </c>
      <c r="U489" s="70">
        <f>Oportuno!U489</f>
        <v>2429310</v>
      </c>
      <c r="V489" s="116">
        <f>Oportuno!V489</f>
        <v>37</v>
      </c>
      <c r="W489" s="116">
        <f>Oportuno!W489</f>
        <v>2429310</v>
      </c>
      <c r="X489" s="70">
        <f>Oportuno!X489</f>
        <v>0</v>
      </c>
      <c r="Y489" s="70">
        <f>Oportuno!Y489</f>
        <v>0</v>
      </c>
      <c r="AA489" s="65"/>
    </row>
    <row r="490" spans="2:27 16101:16120" ht="13" customHeight="1">
      <c r="B490" s="119">
        <f>Oportuno!B490</f>
        <v>0</v>
      </c>
      <c r="C490" s="23">
        <f>Oportuno!C490</f>
        <v>2026092</v>
      </c>
      <c r="D490" s="23">
        <f>Oportuno!D490</f>
        <v>18</v>
      </c>
      <c r="E490" s="128">
        <f>Oportuno!E490</f>
        <v>0</v>
      </c>
      <c r="F490" s="126" t="e">
        <f>Oportuno!F490</f>
        <v>#N/A</v>
      </c>
      <c r="G490" s="36">
        <f>Oportuno!G490</f>
        <v>1</v>
      </c>
      <c r="H490" s="126" t="str">
        <f>Oportuno!H490</f>
        <v>Oficinas</v>
      </c>
      <c r="I490" s="130">
        <f>Oportuno!I490</f>
        <v>0</v>
      </c>
      <c r="J490" s="174">
        <f>Oportuno!J490</f>
        <v>0</v>
      </c>
      <c r="K490" s="174">
        <f>Oportuno!K490</f>
        <v>0</v>
      </c>
      <c r="L490" s="174">
        <f>Oportuno!L490</f>
        <v>0</v>
      </c>
      <c r="M490" s="174">
        <f>Oportuno!M490</f>
        <v>0</v>
      </c>
      <c r="N490" s="174">
        <f>Oportuno!N490</f>
        <v>0</v>
      </c>
      <c r="O490" s="174">
        <f>Oportuno!O490</f>
        <v>0</v>
      </c>
      <c r="P490" s="174">
        <f>Oportuno!P490</f>
        <v>0</v>
      </c>
      <c r="Q490" s="174">
        <f>Oportuno!Q490</f>
        <v>0</v>
      </c>
      <c r="R490" s="174">
        <f>Oportuno!R490</f>
        <v>0</v>
      </c>
      <c r="S490" s="215">
        <f>Oportuno!S490</f>
        <v>0</v>
      </c>
      <c r="T490" s="71">
        <f>Oportuno!T490</f>
        <v>0</v>
      </c>
      <c r="U490" s="71">
        <f>Oportuno!U490</f>
        <v>0</v>
      </c>
      <c r="V490" s="117">
        <f>Oportuno!V490</f>
        <v>0</v>
      </c>
      <c r="W490" s="117">
        <f>Oportuno!W490</f>
        <v>0</v>
      </c>
      <c r="X490" s="71">
        <f>Oportuno!X490</f>
        <v>0</v>
      </c>
      <c r="Y490" s="71">
        <f>Oportuno!Y490</f>
        <v>0</v>
      </c>
      <c r="AA490" s="65"/>
    </row>
    <row r="491" spans="2:27 16101:16120" ht="13" customHeight="1">
      <c r="B491" s="119">
        <f>Oportuno!B491</f>
        <v>0</v>
      </c>
      <c r="C491" s="23">
        <f>Oportuno!C491</f>
        <v>2026092</v>
      </c>
      <c r="D491" s="23">
        <f>Oportuno!D491</f>
        <v>18</v>
      </c>
      <c r="E491" s="128">
        <f>Oportuno!E491</f>
        <v>0</v>
      </c>
      <c r="F491" s="126" t="e">
        <f>Oportuno!F491</f>
        <v>#N/A</v>
      </c>
      <c r="G491" s="36">
        <f>Oportuno!G491</f>
        <v>1</v>
      </c>
      <c r="H491" s="126" t="str">
        <f>Oportuno!H491</f>
        <v>Oficinas</v>
      </c>
      <c r="I491" s="130">
        <f>Oportuno!I491</f>
        <v>0</v>
      </c>
      <c r="J491" s="174">
        <f>Oportuno!J491</f>
        <v>0</v>
      </c>
      <c r="K491" s="174">
        <f>Oportuno!K491</f>
        <v>0</v>
      </c>
      <c r="L491" s="174">
        <f>Oportuno!L491</f>
        <v>0</v>
      </c>
      <c r="M491" s="174">
        <f>Oportuno!M491</f>
        <v>0</v>
      </c>
      <c r="N491" s="174">
        <f>Oportuno!N491</f>
        <v>0</v>
      </c>
      <c r="O491" s="174">
        <f>Oportuno!O491</f>
        <v>0</v>
      </c>
      <c r="P491" s="174">
        <f>Oportuno!P491</f>
        <v>0</v>
      </c>
      <c r="Q491" s="174">
        <f>Oportuno!Q491</f>
        <v>0</v>
      </c>
      <c r="R491" s="174">
        <f>Oportuno!R491</f>
        <v>0</v>
      </c>
      <c r="S491" s="215">
        <f>Oportuno!S491</f>
        <v>0</v>
      </c>
      <c r="T491" s="71">
        <f>Oportuno!T491</f>
        <v>0</v>
      </c>
      <c r="U491" s="71">
        <f>Oportuno!U491</f>
        <v>0</v>
      </c>
      <c r="V491" s="117">
        <f>Oportuno!V491</f>
        <v>0</v>
      </c>
      <c r="W491" s="117">
        <f>Oportuno!W491</f>
        <v>0</v>
      </c>
      <c r="X491" s="71">
        <f>Oportuno!X491</f>
        <v>0</v>
      </c>
      <c r="Y491" s="71">
        <f>Oportuno!Y491</f>
        <v>0</v>
      </c>
      <c r="AA491" s="65"/>
    </row>
    <row r="492" spans="2:27 16101:16120" ht="13" customHeight="1">
      <c r="B492" s="119">
        <f>Oportuno!B492</f>
        <v>0</v>
      </c>
      <c r="C492" s="23">
        <f>Oportuno!C492</f>
        <v>2026092</v>
      </c>
      <c r="D492" s="23">
        <f>Oportuno!D492</f>
        <v>18</v>
      </c>
      <c r="E492" s="128">
        <f>Oportuno!E492</f>
        <v>0</v>
      </c>
      <c r="F492" s="126" t="e">
        <f>Oportuno!F492</f>
        <v>#N/A</v>
      </c>
      <c r="G492" s="36">
        <f>Oportuno!G492</f>
        <v>1</v>
      </c>
      <c r="H492" s="126" t="str">
        <f>Oportuno!H492</f>
        <v>Oficinas</v>
      </c>
      <c r="I492" s="130">
        <f>Oportuno!I492</f>
        <v>0</v>
      </c>
      <c r="J492" s="174">
        <f>Oportuno!J492</f>
        <v>0</v>
      </c>
      <c r="K492" s="174">
        <f>Oportuno!K492</f>
        <v>0</v>
      </c>
      <c r="L492" s="174">
        <f>Oportuno!L492</f>
        <v>0</v>
      </c>
      <c r="M492" s="174">
        <f>Oportuno!M492</f>
        <v>0</v>
      </c>
      <c r="N492" s="174">
        <f>Oportuno!N492</f>
        <v>0</v>
      </c>
      <c r="O492" s="174">
        <f>Oportuno!O492</f>
        <v>0</v>
      </c>
      <c r="P492" s="174">
        <f>Oportuno!P492</f>
        <v>0</v>
      </c>
      <c r="Q492" s="174">
        <f>Oportuno!Q492</f>
        <v>0</v>
      </c>
      <c r="R492" s="174">
        <f>Oportuno!R492</f>
        <v>0</v>
      </c>
      <c r="S492" s="215">
        <f>Oportuno!S492</f>
        <v>0</v>
      </c>
      <c r="T492" s="71">
        <f>Oportuno!T492</f>
        <v>0</v>
      </c>
      <c r="U492" s="71">
        <f>Oportuno!U492</f>
        <v>0</v>
      </c>
      <c r="V492" s="117">
        <f>Oportuno!V492</f>
        <v>0</v>
      </c>
      <c r="W492" s="117">
        <f>Oportuno!W492</f>
        <v>0</v>
      </c>
      <c r="X492" s="71">
        <f>Oportuno!X492</f>
        <v>0</v>
      </c>
      <c r="Y492" s="71">
        <f>Oportuno!Y492</f>
        <v>0</v>
      </c>
      <c r="AA492" s="65"/>
    </row>
    <row r="493" spans="2:27 16101:16120" ht="13" customHeight="1">
      <c r="B493" s="119">
        <f>Oportuno!B493</f>
        <v>0</v>
      </c>
      <c r="C493" s="23">
        <f>Oportuno!C493</f>
        <v>2026092</v>
      </c>
      <c r="D493" s="23">
        <f>Oportuno!D493</f>
        <v>18</v>
      </c>
      <c r="E493" s="128">
        <f>Oportuno!E493</f>
        <v>0</v>
      </c>
      <c r="F493" s="126" t="e">
        <f>Oportuno!F493</f>
        <v>#N/A</v>
      </c>
      <c r="G493" s="36">
        <f>Oportuno!G493</f>
        <v>1</v>
      </c>
      <c r="H493" s="126" t="str">
        <f>Oportuno!H493</f>
        <v>Oficinas</v>
      </c>
      <c r="I493" s="130">
        <f>Oportuno!I493</f>
        <v>0</v>
      </c>
      <c r="J493" s="174">
        <f>Oportuno!J493</f>
        <v>0</v>
      </c>
      <c r="K493" s="174">
        <f>Oportuno!K493</f>
        <v>0</v>
      </c>
      <c r="L493" s="174">
        <f>Oportuno!L493</f>
        <v>0</v>
      </c>
      <c r="M493" s="174">
        <f>Oportuno!M493</f>
        <v>0</v>
      </c>
      <c r="N493" s="174">
        <f>Oportuno!N493</f>
        <v>0</v>
      </c>
      <c r="O493" s="174">
        <f>Oportuno!O493</f>
        <v>0</v>
      </c>
      <c r="P493" s="174">
        <f>Oportuno!P493</f>
        <v>0</v>
      </c>
      <c r="Q493" s="174">
        <f>Oportuno!Q493</f>
        <v>0</v>
      </c>
      <c r="R493" s="174">
        <f>Oportuno!R493</f>
        <v>0</v>
      </c>
      <c r="S493" s="215">
        <f>Oportuno!S493</f>
        <v>0</v>
      </c>
      <c r="T493" s="71">
        <f>Oportuno!T493</f>
        <v>0</v>
      </c>
      <c r="U493" s="71">
        <f>Oportuno!U493</f>
        <v>0</v>
      </c>
      <c r="V493" s="117">
        <f>Oportuno!V493</f>
        <v>0</v>
      </c>
      <c r="W493" s="117">
        <f>Oportuno!W493</f>
        <v>0</v>
      </c>
      <c r="X493" s="71">
        <f>Oportuno!X493</f>
        <v>0</v>
      </c>
      <c r="Y493" s="71">
        <f>Oportuno!Y493</f>
        <v>0</v>
      </c>
      <c r="AA493" s="65"/>
    </row>
    <row r="494" spans="2:27 16101:16120" ht="13" customHeight="1">
      <c r="B494" s="119">
        <f>Oportuno!B494</f>
        <v>0</v>
      </c>
      <c r="C494" s="23">
        <f>Oportuno!C494</f>
        <v>2026092</v>
      </c>
      <c r="D494" s="23">
        <f>Oportuno!D494</f>
        <v>18</v>
      </c>
      <c r="E494" s="128">
        <f>Oportuno!E494</f>
        <v>0</v>
      </c>
      <c r="F494" s="126" t="e">
        <f>Oportuno!F494</f>
        <v>#N/A</v>
      </c>
      <c r="G494" s="36">
        <f>Oportuno!G494</f>
        <v>1</v>
      </c>
      <c r="H494" s="126" t="str">
        <f>Oportuno!H494</f>
        <v>Oficinas</v>
      </c>
      <c r="I494" s="130">
        <f>Oportuno!I494</f>
        <v>0</v>
      </c>
      <c r="J494" s="174">
        <f>Oportuno!J494</f>
        <v>0</v>
      </c>
      <c r="K494" s="174">
        <f>Oportuno!K494</f>
        <v>0</v>
      </c>
      <c r="L494" s="174">
        <f>Oportuno!L494</f>
        <v>0</v>
      </c>
      <c r="M494" s="174">
        <f>Oportuno!M494</f>
        <v>0</v>
      </c>
      <c r="N494" s="174">
        <f>Oportuno!N494</f>
        <v>0</v>
      </c>
      <c r="O494" s="174">
        <f>Oportuno!O494</f>
        <v>0</v>
      </c>
      <c r="P494" s="174">
        <f>Oportuno!P494</f>
        <v>0</v>
      </c>
      <c r="Q494" s="174">
        <f>Oportuno!Q494</f>
        <v>0</v>
      </c>
      <c r="R494" s="174">
        <f>Oportuno!R494</f>
        <v>0</v>
      </c>
      <c r="S494" s="215">
        <f>Oportuno!S494</f>
        <v>0</v>
      </c>
      <c r="T494" s="71">
        <f>Oportuno!T494</f>
        <v>0</v>
      </c>
      <c r="U494" s="71">
        <f>Oportuno!U494</f>
        <v>0</v>
      </c>
      <c r="V494" s="117">
        <f>Oportuno!V494</f>
        <v>0</v>
      </c>
      <c r="W494" s="117">
        <f>Oportuno!W494</f>
        <v>0</v>
      </c>
      <c r="X494" s="71">
        <f>Oportuno!X494</f>
        <v>0</v>
      </c>
      <c r="Y494" s="71">
        <f>Oportuno!Y494</f>
        <v>0</v>
      </c>
      <c r="AA494" s="65"/>
    </row>
    <row r="495" spans="2:27 16101:16120" ht="13" customHeight="1">
      <c r="B495" s="119">
        <f>Oportuno!B495</f>
        <v>0</v>
      </c>
      <c r="C495" s="23">
        <f>Oportuno!C495</f>
        <v>2026092</v>
      </c>
      <c r="D495" s="23">
        <f>Oportuno!D495</f>
        <v>18</v>
      </c>
      <c r="E495" s="128">
        <f>Oportuno!E495</f>
        <v>0</v>
      </c>
      <c r="F495" s="126" t="e">
        <f>Oportuno!F495</f>
        <v>#N/A</v>
      </c>
      <c r="G495" s="36">
        <f>Oportuno!G495</f>
        <v>1</v>
      </c>
      <c r="H495" s="126" t="str">
        <f>Oportuno!H495</f>
        <v>Oficinas</v>
      </c>
      <c r="I495" s="130">
        <f>Oportuno!I495</f>
        <v>0</v>
      </c>
      <c r="J495" s="174">
        <f>Oportuno!J495</f>
        <v>0</v>
      </c>
      <c r="K495" s="174">
        <f>Oportuno!K495</f>
        <v>0</v>
      </c>
      <c r="L495" s="174">
        <f>Oportuno!L495</f>
        <v>0</v>
      </c>
      <c r="M495" s="174">
        <f>Oportuno!M495</f>
        <v>0</v>
      </c>
      <c r="N495" s="174">
        <f>Oportuno!N495</f>
        <v>0</v>
      </c>
      <c r="O495" s="174">
        <f>Oportuno!O495</f>
        <v>0</v>
      </c>
      <c r="P495" s="174">
        <f>Oportuno!P495</f>
        <v>0</v>
      </c>
      <c r="Q495" s="174">
        <f>Oportuno!Q495</f>
        <v>0</v>
      </c>
      <c r="R495" s="174">
        <f>Oportuno!R495</f>
        <v>0</v>
      </c>
      <c r="S495" s="215">
        <f>Oportuno!S495</f>
        <v>0</v>
      </c>
      <c r="T495" s="71">
        <f>Oportuno!T495</f>
        <v>0</v>
      </c>
      <c r="U495" s="71">
        <f>Oportuno!U495</f>
        <v>0</v>
      </c>
      <c r="V495" s="117">
        <f>Oportuno!V495</f>
        <v>0</v>
      </c>
      <c r="W495" s="117">
        <f>Oportuno!W495</f>
        <v>0</v>
      </c>
      <c r="X495" s="71">
        <f>Oportuno!X495</f>
        <v>0</v>
      </c>
      <c r="Y495" s="71">
        <f>Oportuno!Y495</f>
        <v>0</v>
      </c>
      <c r="AA495" s="65"/>
    </row>
    <row r="496" spans="2:27 16101:16120" ht="13" customHeight="1">
      <c r="B496" s="119">
        <f>Oportuno!B496</f>
        <v>0</v>
      </c>
      <c r="C496" s="23">
        <f>Oportuno!C496</f>
        <v>2026092</v>
      </c>
      <c r="D496" s="23">
        <f>Oportuno!D496</f>
        <v>18</v>
      </c>
      <c r="E496" s="128">
        <f>Oportuno!E496</f>
        <v>0</v>
      </c>
      <c r="F496" s="126" t="e">
        <f>Oportuno!F496</f>
        <v>#N/A</v>
      </c>
      <c r="G496" s="36">
        <f>Oportuno!G496</f>
        <v>1</v>
      </c>
      <c r="H496" s="126" t="str">
        <f>Oportuno!H496</f>
        <v>Oficinas</v>
      </c>
      <c r="I496" s="130">
        <f>Oportuno!I496</f>
        <v>0</v>
      </c>
      <c r="J496" s="174">
        <f>Oportuno!J496</f>
        <v>0</v>
      </c>
      <c r="K496" s="174">
        <f>Oportuno!K496</f>
        <v>0</v>
      </c>
      <c r="L496" s="174">
        <f>Oportuno!L496</f>
        <v>0</v>
      </c>
      <c r="M496" s="174">
        <f>Oportuno!M496</f>
        <v>0</v>
      </c>
      <c r="N496" s="174">
        <f>Oportuno!N496</f>
        <v>0</v>
      </c>
      <c r="O496" s="174">
        <f>Oportuno!O496</f>
        <v>0</v>
      </c>
      <c r="P496" s="174">
        <f>Oportuno!P496</f>
        <v>0</v>
      </c>
      <c r="Q496" s="174">
        <f>Oportuno!Q496</f>
        <v>0</v>
      </c>
      <c r="R496" s="174">
        <f>Oportuno!R496</f>
        <v>0</v>
      </c>
      <c r="S496" s="215">
        <f>Oportuno!S496</f>
        <v>0</v>
      </c>
      <c r="T496" s="71">
        <f>Oportuno!T496</f>
        <v>0</v>
      </c>
      <c r="U496" s="71">
        <f>Oportuno!U496</f>
        <v>0</v>
      </c>
      <c r="V496" s="117">
        <f>Oportuno!V496</f>
        <v>0</v>
      </c>
      <c r="W496" s="117">
        <f>Oportuno!W496</f>
        <v>0</v>
      </c>
      <c r="X496" s="71">
        <f>Oportuno!X496</f>
        <v>0</v>
      </c>
      <c r="Y496" s="71">
        <f>Oportuno!Y496</f>
        <v>0</v>
      </c>
      <c r="AA496" s="65"/>
    </row>
    <row r="497" spans="2:27" ht="13" customHeight="1">
      <c r="B497" s="119">
        <f>Oportuno!B497</f>
        <v>0</v>
      </c>
      <c r="C497" s="23">
        <f>Oportuno!C497</f>
        <v>2026092</v>
      </c>
      <c r="D497" s="23">
        <f>Oportuno!D497</f>
        <v>18</v>
      </c>
      <c r="E497" s="128">
        <f>Oportuno!E497</f>
        <v>0</v>
      </c>
      <c r="F497" s="126" t="e">
        <f>Oportuno!F497</f>
        <v>#N/A</v>
      </c>
      <c r="G497" s="36">
        <f>Oportuno!G497</f>
        <v>1</v>
      </c>
      <c r="H497" s="126" t="str">
        <f>Oportuno!H497</f>
        <v>Oficinas</v>
      </c>
      <c r="I497" s="130">
        <f>Oportuno!I497</f>
        <v>0</v>
      </c>
      <c r="J497" s="174">
        <f>Oportuno!J497</f>
        <v>0</v>
      </c>
      <c r="K497" s="174">
        <f>Oportuno!K497</f>
        <v>0</v>
      </c>
      <c r="L497" s="174">
        <f>Oportuno!L497</f>
        <v>0</v>
      </c>
      <c r="M497" s="174">
        <f>Oportuno!M497</f>
        <v>0</v>
      </c>
      <c r="N497" s="174">
        <f>Oportuno!N497</f>
        <v>0</v>
      </c>
      <c r="O497" s="174">
        <f>Oportuno!O497</f>
        <v>0</v>
      </c>
      <c r="P497" s="174">
        <f>Oportuno!P497</f>
        <v>0</v>
      </c>
      <c r="Q497" s="174">
        <f>Oportuno!Q497</f>
        <v>0</v>
      </c>
      <c r="R497" s="174">
        <f>Oportuno!R497</f>
        <v>0</v>
      </c>
      <c r="S497" s="215">
        <f>Oportuno!S497</f>
        <v>0</v>
      </c>
      <c r="T497" s="71">
        <f>Oportuno!T497</f>
        <v>0</v>
      </c>
      <c r="U497" s="71">
        <f>Oportuno!U497</f>
        <v>0</v>
      </c>
      <c r="V497" s="117">
        <f>Oportuno!V497</f>
        <v>0</v>
      </c>
      <c r="W497" s="117">
        <f>Oportuno!W497</f>
        <v>0</v>
      </c>
      <c r="X497" s="71">
        <f>Oportuno!X497</f>
        <v>0</v>
      </c>
      <c r="Y497" s="71">
        <f>Oportuno!Y497</f>
        <v>0</v>
      </c>
      <c r="AA497" s="65"/>
    </row>
    <row r="498" spans="2:27" ht="13" customHeight="1">
      <c r="B498" s="119">
        <f>Oportuno!B498</f>
        <v>0</v>
      </c>
      <c r="C498" s="23">
        <f>Oportuno!C498</f>
        <v>2026092</v>
      </c>
      <c r="D498" s="23">
        <f>Oportuno!D498</f>
        <v>18</v>
      </c>
      <c r="E498" s="128">
        <f>Oportuno!E498</f>
        <v>0</v>
      </c>
      <c r="F498" s="126" t="e">
        <f>Oportuno!F498</f>
        <v>#N/A</v>
      </c>
      <c r="G498" s="36">
        <f>Oportuno!G498</f>
        <v>1</v>
      </c>
      <c r="H498" s="126" t="str">
        <f>Oportuno!H498</f>
        <v>Oficinas</v>
      </c>
      <c r="I498" s="130">
        <f>Oportuno!I498</f>
        <v>0</v>
      </c>
      <c r="J498" s="174">
        <f>Oportuno!J498</f>
        <v>0</v>
      </c>
      <c r="K498" s="174">
        <f>Oportuno!K498</f>
        <v>0</v>
      </c>
      <c r="L498" s="174">
        <f>Oportuno!L498</f>
        <v>0</v>
      </c>
      <c r="M498" s="174">
        <f>Oportuno!M498</f>
        <v>0</v>
      </c>
      <c r="N498" s="174">
        <f>Oportuno!N498</f>
        <v>0</v>
      </c>
      <c r="O498" s="174">
        <f>Oportuno!O498</f>
        <v>0</v>
      </c>
      <c r="P498" s="174">
        <f>Oportuno!P498</f>
        <v>0</v>
      </c>
      <c r="Q498" s="174">
        <f>Oportuno!Q498</f>
        <v>0</v>
      </c>
      <c r="R498" s="174">
        <f>Oportuno!R498</f>
        <v>0</v>
      </c>
      <c r="S498" s="215">
        <f>Oportuno!S498</f>
        <v>0</v>
      </c>
      <c r="T498" s="71">
        <f>Oportuno!T498</f>
        <v>0</v>
      </c>
      <c r="U498" s="71">
        <f>Oportuno!U498</f>
        <v>0</v>
      </c>
      <c r="V498" s="117">
        <f>Oportuno!V498</f>
        <v>0</v>
      </c>
      <c r="W498" s="117">
        <f>Oportuno!W498</f>
        <v>0</v>
      </c>
      <c r="X498" s="71">
        <f>Oportuno!X498</f>
        <v>0</v>
      </c>
      <c r="Y498" s="71">
        <f>Oportuno!Y498</f>
        <v>0</v>
      </c>
      <c r="AA498" s="65"/>
    </row>
    <row r="499" spans="2:27" ht="13" customHeight="1">
      <c r="B499" s="119">
        <f>Oportuno!B499</f>
        <v>0</v>
      </c>
      <c r="C499" s="23">
        <f>Oportuno!C499</f>
        <v>2026092</v>
      </c>
      <c r="D499" s="23">
        <f>Oportuno!D499</f>
        <v>18</v>
      </c>
      <c r="E499" s="128">
        <f>Oportuno!E499</f>
        <v>0</v>
      </c>
      <c r="F499" s="126" t="e">
        <f>Oportuno!F499</f>
        <v>#N/A</v>
      </c>
      <c r="G499" s="36">
        <f>Oportuno!G499</f>
        <v>1</v>
      </c>
      <c r="H499" s="126" t="str">
        <f>Oportuno!H499</f>
        <v>Oficinas</v>
      </c>
      <c r="I499" s="130">
        <f>Oportuno!I499</f>
        <v>0</v>
      </c>
      <c r="J499" s="174">
        <f>Oportuno!J499</f>
        <v>0</v>
      </c>
      <c r="K499" s="174">
        <f>Oportuno!K499</f>
        <v>0</v>
      </c>
      <c r="L499" s="174">
        <f>Oportuno!L499</f>
        <v>0</v>
      </c>
      <c r="M499" s="174">
        <f>Oportuno!M499</f>
        <v>0</v>
      </c>
      <c r="N499" s="174">
        <f>Oportuno!N499</f>
        <v>0</v>
      </c>
      <c r="O499" s="174">
        <f>Oportuno!O499</f>
        <v>0</v>
      </c>
      <c r="P499" s="174">
        <f>Oportuno!P499</f>
        <v>0</v>
      </c>
      <c r="Q499" s="174">
        <f>Oportuno!Q499</f>
        <v>0</v>
      </c>
      <c r="R499" s="174">
        <f>Oportuno!R499</f>
        <v>0</v>
      </c>
      <c r="S499" s="215">
        <f>Oportuno!S499</f>
        <v>0</v>
      </c>
      <c r="T499" s="71">
        <f>Oportuno!T499</f>
        <v>0</v>
      </c>
      <c r="U499" s="71">
        <f>Oportuno!U499</f>
        <v>0</v>
      </c>
      <c r="V499" s="117">
        <f>Oportuno!V499</f>
        <v>0</v>
      </c>
      <c r="W499" s="117">
        <f>Oportuno!W499</f>
        <v>0</v>
      </c>
      <c r="X499" s="71">
        <f>Oportuno!X499</f>
        <v>0</v>
      </c>
      <c r="Y499" s="71">
        <f>Oportuno!Y499</f>
        <v>0</v>
      </c>
      <c r="AA499" s="65"/>
    </row>
    <row r="500" spans="2:27" ht="13" customHeight="1">
      <c r="B500" s="119">
        <f>Oportuno!B500</f>
        <v>0</v>
      </c>
      <c r="C500" s="23">
        <f>Oportuno!C500</f>
        <v>2026092</v>
      </c>
      <c r="D500" s="23">
        <f>Oportuno!D500</f>
        <v>18</v>
      </c>
      <c r="E500" s="128">
        <f>Oportuno!E500</f>
        <v>0</v>
      </c>
      <c r="F500" s="126" t="e">
        <f>Oportuno!F500</f>
        <v>#N/A</v>
      </c>
      <c r="G500" s="36">
        <f>Oportuno!G500</f>
        <v>1</v>
      </c>
      <c r="H500" s="126" t="str">
        <f>Oportuno!H500</f>
        <v>Oficinas</v>
      </c>
      <c r="I500" s="130">
        <f>Oportuno!I500</f>
        <v>0</v>
      </c>
      <c r="J500" s="174">
        <f>Oportuno!J500</f>
        <v>0</v>
      </c>
      <c r="K500" s="174">
        <f>Oportuno!K500</f>
        <v>0</v>
      </c>
      <c r="L500" s="174">
        <f>Oportuno!L500</f>
        <v>0</v>
      </c>
      <c r="M500" s="174">
        <f>Oportuno!M500</f>
        <v>0</v>
      </c>
      <c r="N500" s="174">
        <f>Oportuno!N500</f>
        <v>0</v>
      </c>
      <c r="O500" s="174">
        <f>Oportuno!O500</f>
        <v>0</v>
      </c>
      <c r="P500" s="174">
        <f>Oportuno!P500</f>
        <v>0</v>
      </c>
      <c r="Q500" s="174">
        <f>Oportuno!Q500</f>
        <v>0</v>
      </c>
      <c r="R500" s="174">
        <f>Oportuno!R500</f>
        <v>0</v>
      </c>
      <c r="S500" s="215">
        <f>Oportuno!S500</f>
        <v>0</v>
      </c>
      <c r="T500" s="71">
        <f>Oportuno!T500</f>
        <v>0</v>
      </c>
      <c r="U500" s="71">
        <f>Oportuno!U500</f>
        <v>0</v>
      </c>
      <c r="V500" s="117">
        <f>Oportuno!V500</f>
        <v>0</v>
      </c>
      <c r="W500" s="117">
        <f>Oportuno!W500</f>
        <v>0</v>
      </c>
      <c r="X500" s="71">
        <f>Oportuno!X500</f>
        <v>0</v>
      </c>
      <c r="Y500" s="71">
        <f>Oportuno!Y500</f>
        <v>0</v>
      </c>
      <c r="AA500" s="65"/>
    </row>
    <row r="501" spans="2:27" ht="13" customHeight="1">
      <c r="B501" s="119">
        <f>Oportuno!B501</f>
        <v>0</v>
      </c>
      <c r="C501" s="23">
        <f>Oportuno!C501</f>
        <v>2026092</v>
      </c>
      <c r="D501" s="23">
        <f>Oportuno!D501</f>
        <v>18</v>
      </c>
      <c r="E501" s="128">
        <f>Oportuno!E501</f>
        <v>0</v>
      </c>
      <c r="F501" s="126" t="e">
        <f>Oportuno!F501</f>
        <v>#N/A</v>
      </c>
      <c r="G501" s="36">
        <f>Oportuno!G501</f>
        <v>1</v>
      </c>
      <c r="H501" s="126" t="str">
        <f>Oportuno!H501</f>
        <v>Oficinas</v>
      </c>
      <c r="I501" s="130">
        <f>Oportuno!I501</f>
        <v>0</v>
      </c>
      <c r="J501" s="174">
        <f>Oportuno!J501</f>
        <v>0</v>
      </c>
      <c r="K501" s="174">
        <f>Oportuno!K501</f>
        <v>0</v>
      </c>
      <c r="L501" s="174">
        <f>Oportuno!L501</f>
        <v>0</v>
      </c>
      <c r="M501" s="174">
        <f>Oportuno!M501</f>
        <v>0</v>
      </c>
      <c r="N501" s="174">
        <f>Oportuno!N501</f>
        <v>0</v>
      </c>
      <c r="O501" s="174">
        <f>Oportuno!O501</f>
        <v>0</v>
      </c>
      <c r="P501" s="174">
        <f>Oportuno!P501</f>
        <v>0</v>
      </c>
      <c r="Q501" s="174">
        <f>Oportuno!Q501</f>
        <v>0</v>
      </c>
      <c r="R501" s="174">
        <f>Oportuno!R501</f>
        <v>0</v>
      </c>
      <c r="S501" s="215">
        <f>Oportuno!S501</f>
        <v>0</v>
      </c>
      <c r="T501" s="71">
        <f>Oportuno!T501</f>
        <v>0</v>
      </c>
      <c r="U501" s="71">
        <f>Oportuno!U501</f>
        <v>0</v>
      </c>
      <c r="V501" s="117">
        <f>Oportuno!V501</f>
        <v>0</v>
      </c>
      <c r="W501" s="117">
        <f>Oportuno!W501</f>
        <v>0</v>
      </c>
      <c r="X501" s="71">
        <f>Oportuno!X501</f>
        <v>0</v>
      </c>
      <c r="Y501" s="71">
        <f>Oportuno!Y501</f>
        <v>0</v>
      </c>
      <c r="AA501" s="65"/>
    </row>
    <row r="502" spans="2:27" ht="13" customHeight="1">
      <c r="B502" s="119">
        <f>Oportuno!B502</f>
        <v>0</v>
      </c>
      <c r="C502" s="23">
        <f>Oportuno!C502</f>
        <v>2026092</v>
      </c>
      <c r="D502" s="23">
        <f>Oportuno!D502</f>
        <v>18</v>
      </c>
      <c r="E502" s="128">
        <f>Oportuno!E502</f>
        <v>0</v>
      </c>
      <c r="F502" s="126" t="e">
        <f>Oportuno!F502</f>
        <v>#N/A</v>
      </c>
      <c r="G502" s="36">
        <f>Oportuno!G502</f>
        <v>1</v>
      </c>
      <c r="H502" s="126" t="str">
        <f>Oportuno!H502</f>
        <v>Oficinas</v>
      </c>
      <c r="I502" s="130">
        <f>Oportuno!I502</f>
        <v>0</v>
      </c>
      <c r="J502" s="174">
        <f>Oportuno!J502</f>
        <v>0</v>
      </c>
      <c r="K502" s="174">
        <f>Oportuno!K502</f>
        <v>0</v>
      </c>
      <c r="L502" s="174">
        <f>Oportuno!L502</f>
        <v>0</v>
      </c>
      <c r="M502" s="174">
        <f>Oportuno!M502</f>
        <v>0</v>
      </c>
      <c r="N502" s="174">
        <f>Oportuno!N502</f>
        <v>0</v>
      </c>
      <c r="O502" s="174">
        <f>Oportuno!O502</f>
        <v>0</v>
      </c>
      <c r="P502" s="174">
        <f>Oportuno!P502</f>
        <v>0</v>
      </c>
      <c r="Q502" s="174">
        <f>Oportuno!Q502</f>
        <v>0</v>
      </c>
      <c r="R502" s="174">
        <f>Oportuno!R502</f>
        <v>0</v>
      </c>
      <c r="S502" s="215">
        <f>Oportuno!S502</f>
        <v>0</v>
      </c>
      <c r="T502" s="71">
        <f>Oportuno!T502</f>
        <v>0</v>
      </c>
      <c r="U502" s="71">
        <f>Oportuno!U502</f>
        <v>0</v>
      </c>
      <c r="V502" s="117">
        <f>Oportuno!V502</f>
        <v>0</v>
      </c>
      <c r="W502" s="117">
        <f>Oportuno!W502</f>
        <v>0</v>
      </c>
      <c r="X502" s="71">
        <f>Oportuno!X502</f>
        <v>0</v>
      </c>
      <c r="Y502" s="71">
        <f>Oportuno!Y502</f>
        <v>0</v>
      </c>
      <c r="AA502" s="65"/>
    </row>
    <row r="503" spans="2:27" ht="13" customHeight="1">
      <c r="B503" s="119">
        <f>Oportuno!B503</f>
        <v>0</v>
      </c>
      <c r="C503" s="23">
        <f>Oportuno!C503</f>
        <v>2026092</v>
      </c>
      <c r="D503" s="23">
        <f>Oportuno!D503</f>
        <v>18</v>
      </c>
      <c r="E503" s="128">
        <f>Oportuno!E503</f>
        <v>0</v>
      </c>
      <c r="F503" s="126" t="e">
        <f>Oportuno!F503</f>
        <v>#N/A</v>
      </c>
      <c r="G503" s="36">
        <f>Oportuno!G503</f>
        <v>1</v>
      </c>
      <c r="H503" s="126" t="str">
        <f>Oportuno!H503</f>
        <v>Oficinas</v>
      </c>
      <c r="I503" s="130">
        <f>Oportuno!I503</f>
        <v>0</v>
      </c>
      <c r="J503" s="174">
        <f>Oportuno!J503</f>
        <v>0</v>
      </c>
      <c r="K503" s="174">
        <f>Oportuno!K503</f>
        <v>0</v>
      </c>
      <c r="L503" s="174">
        <f>Oportuno!L503</f>
        <v>0</v>
      </c>
      <c r="M503" s="174">
        <f>Oportuno!M503</f>
        <v>0</v>
      </c>
      <c r="N503" s="174">
        <f>Oportuno!N503</f>
        <v>0</v>
      </c>
      <c r="O503" s="174">
        <f>Oportuno!O503</f>
        <v>0</v>
      </c>
      <c r="P503" s="174">
        <f>Oportuno!P503</f>
        <v>0</v>
      </c>
      <c r="Q503" s="174">
        <f>Oportuno!Q503</f>
        <v>0</v>
      </c>
      <c r="R503" s="174">
        <f>Oportuno!R503</f>
        <v>0</v>
      </c>
      <c r="S503" s="215">
        <f>Oportuno!S503</f>
        <v>0</v>
      </c>
      <c r="T503" s="71">
        <f>Oportuno!T503</f>
        <v>0</v>
      </c>
      <c r="U503" s="71">
        <f>Oportuno!U503</f>
        <v>0</v>
      </c>
      <c r="V503" s="117">
        <f>Oportuno!V503</f>
        <v>0</v>
      </c>
      <c r="W503" s="117">
        <f>Oportuno!W503</f>
        <v>0</v>
      </c>
      <c r="X503" s="71">
        <f>Oportuno!X503</f>
        <v>0</v>
      </c>
      <c r="Y503" s="71">
        <f>Oportuno!Y503</f>
        <v>0</v>
      </c>
      <c r="AA503" s="65"/>
    </row>
    <row r="504" spans="2:27" ht="12" customHeight="1">
      <c r="B504" s="119">
        <f>Oportuno!B504</f>
        <v>0</v>
      </c>
      <c r="C504" s="23">
        <f>Oportuno!C504</f>
        <v>2026092</v>
      </c>
      <c r="D504" s="23">
        <f>Oportuno!D504</f>
        <v>18</v>
      </c>
      <c r="E504" s="128">
        <f>Oportuno!E504</f>
        <v>0</v>
      </c>
      <c r="F504" s="126" t="e">
        <f>Oportuno!F504</f>
        <v>#N/A</v>
      </c>
      <c r="G504" s="36">
        <f>Oportuno!G504</f>
        <v>1</v>
      </c>
      <c r="H504" s="126" t="str">
        <f>Oportuno!H504</f>
        <v>Oficinas</v>
      </c>
      <c r="I504" s="130">
        <f>Oportuno!I504</f>
        <v>0</v>
      </c>
      <c r="J504" s="174">
        <f>Oportuno!J504</f>
        <v>0</v>
      </c>
      <c r="K504" s="174">
        <f>Oportuno!K504</f>
        <v>0</v>
      </c>
      <c r="L504" s="174">
        <f>Oportuno!L504</f>
        <v>0</v>
      </c>
      <c r="M504" s="174">
        <f>Oportuno!M504</f>
        <v>0</v>
      </c>
      <c r="N504" s="174">
        <f>Oportuno!N504</f>
        <v>0</v>
      </c>
      <c r="O504" s="174">
        <f>Oportuno!O504</f>
        <v>0</v>
      </c>
      <c r="P504" s="174">
        <f>Oportuno!P504</f>
        <v>0</v>
      </c>
      <c r="Q504" s="174">
        <f>Oportuno!Q504</f>
        <v>0</v>
      </c>
      <c r="R504" s="174">
        <f>Oportuno!R504</f>
        <v>0</v>
      </c>
      <c r="S504" s="215">
        <f>Oportuno!S504</f>
        <v>0</v>
      </c>
      <c r="T504" s="71">
        <f>Oportuno!T504</f>
        <v>0</v>
      </c>
      <c r="U504" s="71">
        <f>Oportuno!U504</f>
        <v>0</v>
      </c>
      <c r="V504" s="117">
        <f>Oportuno!V504</f>
        <v>0</v>
      </c>
      <c r="W504" s="117">
        <f>Oportuno!W504</f>
        <v>0</v>
      </c>
      <c r="X504" s="71">
        <f>Oportuno!X504</f>
        <v>0</v>
      </c>
      <c r="Y504" s="71">
        <f>Oportuno!Y504</f>
        <v>0</v>
      </c>
      <c r="AA504" s="65"/>
    </row>
    <row r="505" spans="2:27" ht="13" customHeight="1">
      <c r="B505" s="119">
        <f>Oportuno!B505</f>
        <v>0</v>
      </c>
      <c r="C505" s="23">
        <f>Oportuno!C505</f>
        <v>2026092</v>
      </c>
      <c r="D505" s="23">
        <f>Oportuno!D505</f>
        <v>18</v>
      </c>
      <c r="E505" s="128">
        <f>Oportuno!E505</f>
        <v>0</v>
      </c>
      <c r="F505" s="126" t="e">
        <f>Oportuno!F505</f>
        <v>#N/A</v>
      </c>
      <c r="G505" s="36">
        <f>Oportuno!G505</f>
        <v>1</v>
      </c>
      <c r="H505" s="126" t="str">
        <f>Oportuno!H505</f>
        <v>Oficinas</v>
      </c>
      <c r="I505" s="130">
        <f>Oportuno!I505</f>
        <v>0</v>
      </c>
      <c r="J505" s="174">
        <f>Oportuno!J505</f>
        <v>0</v>
      </c>
      <c r="K505" s="174">
        <f>Oportuno!K505</f>
        <v>0</v>
      </c>
      <c r="L505" s="174">
        <f>Oportuno!L505</f>
        <v>0</v>
      </c>
      <c r="M505" s="174">
        <f>Oportuno!M505</f>
        <v>0</v>
      </c>
      <c r="N505" s="174">
        <f>Oportuno!N505</f>
        <v>0</v>
      </c>
      <c r="O505" s="174">
        <f>Oportuno!O505</f>
        <v>0</v>
      </c>
      <c r="P505" s="174">
        <f>Oportuno!P505</f>
        <v>0</v>
      </c>
      <c r="Q505" s="174">
        <f>Oportuno!Q505</f>
        <v>0</v>
      </c>
      <c r="R505" s="174">
        <f>Oportuno!R505</f>
        <v>0</v>
      </c>
      <c r="S505" s="215">
        <f>Oportuno!S505</f>
        <v>0</v>
      </c>
      <c r="T505" s="71">
        <f>Oportuno!T505</f>
        <v>0</v>
      </c>
      <c r="U505" s="71">
        <f>Oportuno!U505</f>
        <v>0</v>
      </c>
      <c r="V505" s="117">
        <f>Oportuno!V505</f>
        <v>0</v>
      </c>
      <c r="W505" s="117">
        <f>Oportuno!W505</f>
        <v>0</v>
      </c>
      <c r="X505" s="71">
        <f>Oportuno!X505</f>
        <v>0</v>
      </c>
      <c r="Y505" s="71">
        <f>Oportuno!Y505</f>
        <v>0</v>
      </c>
      <c r="AA505" s="65"/>
    </row>
    <row r="506" spans="2:27" ht="13" customHeight="1">
      <c r="B506" s="119">
        <f>Oportuno!B506</f>
        <v>0</v>
      </c>
      <c r="C506" s="23">
        <f>Oportuno!C506</f>
        <v>2026092</v>
      </c>
      <c r="D506" s="23">
        <f>Oportuno!D506</f>
        <v>18</v>
      </c>
      <c r="E506" s="128">
        <f>Oportuno!E506</f>
        <v>0</v>
      </c>
      <c r="F506" s="126" t="e">
        <f>Oportuno!F506</f>
        <v>#N/A</v>
      </c>
      <c r="G506" s="36">
        <f>Oportuno!G506</f>
        <v>1</v>
      </c>
      <c r="H506" s="126" t="str">
        <f>Oportuno!H506</f>
        <v>Oficinas</v>
      </c>
      <c r="I506" s="130">
        <f>Oportuno!I506</f>
        <v>0</v>
      </c>
      <c r="J506" s="174">
        <f>Oportuno!J506</f>
        <v>0</v>
      </c>
      <c r="K506" s="174">
        <f>Oportuno!K506</f>
        <v>0</v>
      </c>
      <c r="L506" s="174">
        <f>Oportuno!L506</f>
        <v>0</v>
      </c>
      <c r="M506" s="174">
        <f>Oportuno!M506</f>
        <v>0</v>
      </c>
      <c r="N506" s="174">
        <f>Oportuno!N506</f>
        <v>0</v>
      </c>
      <c r="O506" s="174">
        <f>Oportuno!O506</f>
        <v>0</v>
      </c>
      <c r="P506" s="174">
        <f>Oportuno!P506</f>
        <v>0</v>
      </c>
      <c r="Q506" s="174">
        <f>Oportuno!Q506</f>
        <v>0</v>
      </c>
      <c r="R506" s="174">
        <f>Oportuno!R506</f>
        <v>0</v>
      </c>
      <c r="S506" s="215">
        <f>Oportuno!S506</f>
        <v>0</v>
      </c>
      <c r="T506" s="71">
        <f>Oportuno!T506</f>
        <v>0</v>
      </c>
      <c r="U506" s="71">
        <f>Oportuno!U506</f>
        <v>0</v>
      </c>
      <c r="V506" s="117">
        <f>Oportuno!V506</f>
        <v>0</v>
      </c>
      <c r="W506" s="117">
        <f>Oportuno!W506</f>
        <v>0</v>
      </c>
      <c r="X506" s="71">
        <f>Oportuno!X506</f>
        <v>0</v>
      </c>
      <c r="Y506" s="71">
        <f>Oportuno!Y506</f>
        <v>0</v>
      </c>
      <c r="AA506" s="65"/>
    </row>
    <row r="507" spans="2:27" ht="13" customHeight="1">
      <c r="B507" s="119">
        <f>Oportuno!B507</f>
        <v>0</v>
      </c>
      <c r="C507" s="23">
        <f>Oportuno!C507</f>
        <v>2026092</v>
      </c>
      <c r="D507" s="23">
        <f>Oportuno!D507</f>
        <v>18</v>
      </c>
      <c r="E507" s="128">
        <f>Oportuno!E507</f>
        <v>0</v>
      </c>
      <c r="F507" s="126" t="e">
        <f>Oportuno!F507</f>
        <v>#N/A</v>
      </c>
      <c r="G507" s="36">
        <f>Oportuno!G507</f>
        <v>1</v>
      </c>
      <c r="H507" s="126" t="str">
        <f>Oportuno!H507</f>
        <v>Oficinas</v>
      </c>
      <c r="I507" s="130">
        <f>Oportuno!I507</f>
        <v>0</v>
      </c>
      <c r="J507" s="174">
        <f>Oportuno!J507</f>
        <v>0</v>
      </c>
      <c r="K507" s="174">
        <f>Oportuno!K507</f>
        <v>0</v>
      </c>
      <c r="L507" s="174">
        <f>Oportuno!L507</f>
        <v>0</v>
      </c>
      <c r="M507" s="174">
        <f>Oportuno!M507</f>
        <v>0</v>
      </c>
      <c r="N507" s="174">
        <f>Oportuno!N507</f>
        <v>0</v>
      </c>
      <c r="O507" s="174">
        <f>Oportuno!O507</f>
        <v>0</v>
      </c>
      <c r="P507" s="174">
        <f>Oportuno!P507</f>
        <v>0</v>
      </c>
      <c r="Q507" s="174">
        <f>Oportuno!Q507</f>
        <v>0</v>
      </c>
      <c r="R507" s="174">
        <f>Oportuno!R507</f>
        <v>0</v>
      </c>
      <c r="S507" s="215">
        <f>Oportuno!S507</f>
        <v>0</v>
      </c>
      <c r="T507" s="71">
        <f>Oportuno!T507</f>
        <v>0</v>
      </c>
      <c r="U507" s="71">
        <f>Oportuno!U507</f>
        <v>0</v>
      </c>
      <c r="V507" s="117">
        <f>Oportuno!V507</f>
        <v>0</v>
      </c>
      <c r="W507" s="117">
        <f>Oportuno!W507</f>
        <v>0</v>
      </c>
      <c r="X507" s="71">
        <f>Oportuno!X507</f>
        <v>0</v>
      </c>
      <c r="Y507" s="71">
        <f>Oportuno!Y507</f>
        <v>0</v>
      </c>
      <c r="AA507" s="65"/>
    </row>
    <row r="508" spans="2:27" ht="13" customHeight="1">
      <c r="B508" s="119">
        <f>Oportuno!B508</f>
        <v>0</v>
      </c>
      <c r="C508" s="23">
        <f>Oportuno!C508</f>
        <v>2026092</v>
      </c>
      <c r="D508" s="23">
        <f>Oportuno!D508</f>
        <v>18</v>
      </c>
      <c r="E508" s="128">
        <f>Oportuno!E508</f>
        <v>0</v>
      </c>
      <c r="F508" s="126" t="e">
        <f>Oportuno!F508</f>
        <v>#N/A</v>
      </c>
      <c r="G508" s="36">
        <f>Oportuno!G508</f>
        <v>1</v>
      </c>
      <c r="H508" s="126" t="str">
        <f>Oportuno!H508</f>
        <v>Oficinas</v>
      </c>
      <c r="I508" s="130">
        <f>Oportuno!I508</f>
        <v>0</v>
      </c>
      <c r="J508" s="174">
        <f>Oportuno!J508</f>
        <v>0</v>
      </c>
      <c r="K508" s="174">
        <f>Oportuno!K508</f>
        <v>0</v>
      </c>
      <c r="L508" s="174">
        <f>Oportuno!L508</f>
        <v>0</v>
      </c>
      <c r="M508" s="174">
        <f>Oportuno!M508</f>
        <v>0</v>
      </c>
      <c r="N508" s="174">
        <f>Oportuno!N508</f>
        <v>0</v>
      </c>
      <c r="O508" s="174">
        <f>Oportuno!O508</f>
        <v>0</v>
      </c>
      <c r="P508" s="174">
        <f>Oportuno!P508</f>
        <v>0</v>
      </c>
      <c r="Q508" s="174">
        <f>Oportuno!Q508</f>
        <v>0</v>
      </c>
      <c r="R508" s="174">
        <f>Oportuno!R508</f>
        <v>0</v>
      </c>
      <c r="S508" s="215">
        <f>Oportuno!S508</f>
        <v>0</v>
      </c>
      <c r="T508" s="71">
        <f>Oportuno!T508</f>
        <v>0</v>
      </c>
      <c r="U508" s="71">
        <f>Oportuno!U508</f>
        <v>0</v>
      </c>
      <c r="V508" s="117">
        <f>Oportuno!V508</f>
        <v>0</v>
      </c>
      <c r="W508" s="117">
        <f>Oportuno!W508</f>
        <v>0</v>
      </c>
      <c r="X508" s="71">
        <f>Oportuno!X508</f>
        <v>0</v>
      </c>
      <c r="Y508" s="71">
        <f>Oportuno!Y508</f>
        <v>0</v>
      </c>
      <c r="AA508" s="65"/>
    </row>
    <row r="509" spans="2:27" ht="13" customHeight="1">
      <c r="B509" s="119">
        <f>Oportuno!B509</f>
        <v>0</v>
      </c>
      <c r="C509" s="23">
        <f>Oportuno!C509</f>
        <v>2026092</v>
      </c>
      <c r="D509" s="23">
        <f>Oportuno!D509</f>
        <v>18</v>
      </c>
      <c r="E509" s="128">
        <f>Oportuno!E509</f>
        <v>0</v>
      </c>
      <c r="F509" s="126" t="e">
        <f>Oportuno!F509</f>
        <v>#N/A</v>
      </c>
      <c r="G509" s="36">
        <f>Oportuno!G509</f>
        <v>1</v>
      </c>
      <c r="H509" s="126" t="str">
        <f>Oportuno!H509</f>
        <v>Oficinas</v>
      </c>
      <c r="I509" s="130">
        <f>Oportuno!I509</f>
        <v>0</v>
      </c>
      <c r="J509" s="174">
        <f>Oportuno!J509</f>
        <v>0</v>
      </c>
      <c r="K509" s="174">
        <f>Oportuno!K509</f>
        <v>0</v>
      </c>
      <c r="L509" s="174">
        <f>Oportuno!L509</f>
        <v>0</v>
      </c>
      <c r="M509" s="174">
        <f>Oportuno!M509</f>
        <v>0</v>
      </c>
      <c r="N509" s="174">
        <f>Oportuno!N509</f>
        <v>0</v>
      </c>
      <c r="O509" s="174">
        <f>Oportuno!O509</f>
        <v>0</v>
      </c>
      <c r="P509" s="174">
        <f>Oportuno!P509</f>
        <v>0</v>
      </c>
      <c r="Q509" s="174">
        <f>Oportuno!Q509</f>
        <v>0</v>
      </c>
      <c r="R509" s="174">
        <f>Oportuno!R509</f>
        <v>0</v>
      </c>
      <c r="S509" s="215">
        <f>Oportuno!S509</f>
        <v>0</v>
      </c>
      <c r="T509" s="71">
        <f>Oportuno!T509</f>
        <v>0</v>
      </c>
      <c r="U509" s="71">
        <f>Oportuno!U509</f>
        <v>0</v>
      </c>
      <c r="V509" s="117">
        <f>Oportuno!V509</f>
        <v>0</v>
      </c>
      <c r="W509" s="117">
        <f>Oportuno!W509</f>
        <v>0</v>
      </c>
      <c r="X509" s="71">
        <f>Oportuno!X509</f>
        <v>0</v>
      </c>
      <c r="Y509" s="71">
        <f>Oportuno!Y509</f>
        <v>0</v>
      </c>
      <c r="AA509" s="65"/>
    </row>
    <row r="510" spans="2:27" ht="13" customHeight="1">
      <c r="B510" s="119">
        <f>Oportuno!B510</f>
        <v>0</v>
      </c>
      <c r="C510" s="23">
        <f>Oportuno!C510</f>
        <v>2026092</v>
      </c>
      <c r="D510" s="23">
        <f>Oportuno!D510</f>
        <v>18</v>
      </c>
      <c r="E510" s="128">
        <f>Oportuno!E510</f>
        <v>0</v>
      </c>
      <c r="F510" s="126" t="e">
        <f>Oportuno!F510</f>
        <v>#N/A</v>
      </c>
      <c r="G510" s="36">
        <f>Oportuno!G510</f>
        <v>1</v>
      </c>
      <c r="H510" s="126" t="str">
        <f>Oportuno!H510</f>
        <v>Oficinas</v>
      </c>
      <c r="I510" s="130">
        <f>Oportuno!I510</f>
        <v>0</v>
      </c>
      <c r="J510" s="174">
        <f>Oportuno!J510</f>
        <v>0</v>
      </c>
      <c r="K510" s="174">
        <f>Oportuno!K510</f>
        <v>0</v>
      </c>
      <c r="L510" s="174">
        <f>Oportuno!L510</f>
        <v>0</v>
      </c>
      <c r="M510" s="174">
        <f>Oportuno!M510</f>
        <v>0</v>
      </c>
      <c r="N510" s="174">
        <f>Oportuno!N510</f>
        <v>0</v>
      </c>
      <c r="O510" s="174">
        <f>Oportuno!O510</f>
        <v>0</v>
      </c>
      <c r="P510" s="174">
        <f>Oportuno!P510</f>
        <v>0</v>
      </c>
      <c r="Q510" s="174">
        <f>Oportuno!Q510</f>
        <v>0</v>
      </c>
      <c r="R510" s="174">
        <f>Oportuno!R510</f>
        <v>0</v>
      </c>
      <c r="S510" s="215">
        <f>Oportuno!S510</f>
        <v>0</v>
      </c>
      <c r="T510" s="71">
        <f>Oportuno!T510</f>
        <v>0</v>
      </c>
      <c r="U510" s="71">
        <f>Oportuno!U510</f>
        <v>0</v>
      </c>
      <c r="V510" s="117">
        <f>Oportuno!V510</f>
        <v>0</v>
      </c>
      <c r="W510" s="117">
        <f>Oportuno!W510</f>
        <v>0</v>
      </c>
      <c r="X510" s="71">
        <f>Oportuno!X510</f>
        <v>0</v>
      </c>
      <c r="Y510" s="71">
        <f>Oportuno!Y510</f>
        <v>0</v>
      </c>
      <c r="AA510" s="65"/>
    </row>
    <row r="511" spans="2:27" ht="13" customHeight="1">
      <c r="B511" s="119">
        <f>Oportuno!B511</f>
        <v>0</v>
      </c>
      <c r="C511" s="23">
        <f>Oportuno!C511</f>
        <v>2026092</v>
      </c>
      <c r="D511" s="23">
        <f>Oportuno!D511</f>
        <v>18</v>
      </c>
      <c r="E511" s="128">
        <f>Oportuno!E511</f>
        <v>0</v>
      </c>
      <c r="F511" s="126" t="e">
        <f>Oportuno!F511</f>
        <v>#N/A</v>
      </c>
      <c r="G511" s="36">
        <f>Oportuno!G511</f>
        <v>1</v>
      </c>
      <c r="H511" s="126" t="str">
        <f>Oportuno!H511</f>
        <v>Oficinas</v>
      </c>
      <c r="I511" s="130">
        <f>Oportuno!I511</f>
        <v>0</v>
      </c>
      <c r="J511" s="174">
        <f>Oportuno!J511</f>
        <v>0</v>
      </c>
      <c r="K511" s="174">
        <f>Oportuno!K511</f>
        <v>0</v>
      </c>
      <c r="L511" s="174">
        <f>Oportuno!L511</f>
        <v>0</v>
      </c>
      <c r="M511" s="174">
        <f>Oportuno!M511</f>
        <v>0</v>
      </c>
      <c r="N511" s="174">
        <f>Oportuno!N511</f>
        <v>0</v>
      </c>
      <c r="O511" s="174">
        <f>Oportuno!O511</f>
        <v>0</v>
      </c>
      <c r="P511" s="174">
        <f>Oportuno!P511</f>
        <v>0</v>
      </c>
      <c r="Q511" s="174">
        <f>Oportuno!Q511</f>
        <v>0</v>
      </c>
      <c r="R511" s="174">
        <f>Oportuno!R511</f>
        <v>0</v>
      </c>
      <c r="S511" s="215">
        <f>Oportuno!S511</f>
        <v>0</v>
      </c>
      <c r="T511" s="71">
        <f>Oportuno!T511</f>
        <v>0</v>
      </c>
      <c r="U511" s="71">
        <f>Oportuno!U511</f>
        <v>0</v>
      </c>
      <c r="V511" s="117">
        <f>Oportuno!V511</f>
        <v>0</v>
      </c>
      <c r="W511" s="117">
        <f>Oportuno!W511</f>
        <v>0</v>
      </c>
      <c r="X511" s="71">
        <f>Oportuno!X511</f>
        <v>0</v>
      </c>
      <c r="Y511" s="71">
        <f>Oportuno!Y511</f>
        <v>0</v>
      </c>
      <c r="AA511" s="65"/>
    </row>
    <row r="512" spans="2:27" ht="13" customHeight="1">
      <c r="B512" s="119">
        <f>Oportuno!B512</f>
        <v>0</v>
      </c>
      <c r="C512" s="23">
        <f>Oportuno!C512</f>
        <v>2026092</v>
      </c>
      <c r="D512" s="23">
        <f>Oportuno!D512</f>
        <v>18</v>
      </c>
      <c r="E512" s="128">
        <f>Oportuno!E512</f>
        <v>0</v>
      </c>
      <c r="F512" s="126" t="e">
        <f>Oportuno!F512</f>
        <v>#N/A</v>
      </c>
      <c r="G512" s="36">
        <f>Oportuno!G512</f>
        <v>1</v>
      </c>
      <c r="H512" s="126" t="str">
        <f>Oportuno!H512</f>
        <v>Oficinas</v>
      </c>
      <c r="I512" s="130">
        <f>Oportuno!I512</f>
        <v>0</v>
      </c>
      <c r="J512" s="174">
        <f>Oportuno!J512</f>
        <v>0</v>
      </c>
      <c r="K512" s="174">
        <f>Oportuno!K512</f>
        <v>0</v>
      </c>
      <c r="L512" s="174">
        <f>Oportuno!L512</f>
        <v>0</v>
      </c>
      <c r="M512" s="174">
        <f>Oportuno!M512</f>
        <v>0</v>
      </c>
      <c r="N512" s="174">
        <f>Oportuno!N512</f>
        <v>0</v>
      </c>
      <c r="O512" s="174">
        <f>Oportuno!O512</f>
        <v>0</v>
      </c>
      <c r="P512" s="174">
        <f>Oportuno!P512</f>
        <v>0</v>
      </c>
      <c r="Q512" s="174">
        <f>Oportuno!Q512</f>
        <v>0</v>
      </c>
      <c r="R512" s="174">
        <f>Oportuno!R512</f>
        <v>0</v>
      </c>
      <c r="S512" s="215">
        <f>Oportuno!S512</f>
        <v>0</v>
      </c>
      <c r="T512" s="71">
        <f>Oportuno!T512</f>
        <v>0</v>
      </c>
      <c r="U512" s="71">
        <f>Oportuno!U512</f>
        <v>0</v>
      </c>
      <c r="V512" s="117">
        <f>Oportuno!V512</f>
        <v>0</v>
      </c>
      <c r="W512" s="117">
        <f>Oportuno!W512</f>
        <v>0</v>
      </c>
      <c r="X512" s="71">
        <f>Oportuno!X512</f>
        <v>0</v>
      </c>
      <c r="Y512" s="71">
        <f>Oportuno!Y512</f>
        <v>0</v>
      </c>
      <c r="AA512" s="65"/>
    </row>
    <row r="513" spans="2:27 16101:16120" ht="13" customHeight="1" thickBot="1">
      <c r="B513" s="119">
        <f>Oportuno!B513</f>
        <v>0</v>
      </c>
      <c r="C513" s="23">
        <f>Oportuno!C513</f>
        <v>2026092</v>
      </c>
      <c r="D513" s="23">
        <f>Oportuno!D513</f>
        <v>18</v>
      </c>
      <c r="E513" s="128">
        <f>Oportuno!E513</f>
        <v>0</v>
      </c>
      <c r="F513" s="126" t="e">
        <f>Oportuno!F513</f>
        <v>#N/A</v>
      </c>
      <c r="G513" s="36">
        <f>Oportuno!G513</f>
        <v>1</v>
      </c>
      <c r="H513" s="126" t="str">
        <f>Oportuno!H513</f>
        <v>Oficinas</v>
      </c>
      <c r="I513" s="130">
        <f>Oportuno!I513</f>
        <v>0</v>
      </c>
      <c r="J513" s="174">
        <f>Oportuno!J513</f>
        <v>0</v>
      </c>
      <c r="K513" s="174">
        <f>Oportuno!K513</f>
        <v>0</v>
      </c>
      <c r="L513" s="174">
        <f>Oportuno!L513</f>
        <v>0</v>
      </c>
      <c r="M513" s="174">
        <f>Oportuno!M513</f>
        <v>0</v>
      </c>
      <c r="N513" s="174">
        <f>Oportuno!N513</f>
        <v>0</v>
      </c>
      <c r="O513" s="174">
        <f>Oportuno!O513</f>
        <v>0</v>
      </c>
      <c r="P513" s="174">
        <f>Oportuno!P513</f>
        <v>0</v>
      </c>
      <c r="Q513" s="174">
        <f>Oportuno!Q513</f>
        <v>0</v>
      </c>
      <c r="R513" s="174">
        <f>Oportuno!R513</f>
        <v>0</v>
      </c>
      <c r="S513" s="215">
        <f>Oportuno!S513</f>
        <v>0</v>
      </c>
      <c r="T513" s="71">
        <f>Oportuno!T513</f>
        <v>0</v>
      </c>
      <c r="U513" s="71">
        <f>Oportuno!U513</f>
        <v>0</v>
      </c>
      <c r="V513" s="117">
        <f>Oportuno!V513</f>
        <v>0</v>
      </c>
      <c r="W513" s="117">
        <f>Oportuno!W513</f>
        <v>0</v>
      </c>
      <c r="X513" s="71">
        <f>Oportuno!X513</f>
        <v>0</v>
      </c>
      <c r="Y513" s="71">
        <f>Oportuno!Y513</f>
        <v>0</v>
      </c>
      <c r="AA513" s="65"/>
    </row>
    <row r="514" spans="2:27 16101:16120" ht="13" customHeight="1" thickBot="1">
      <c r="B514" s="1" t="s">
        <v>0</v>
      </c>
      <c r="C514" s="1" t="s">
        <v>0</v>
      </c>
      <c r="D514" s="20" t="s">
        <v>0</v>
      </c>
      <c r="E514" s="120" t="str">
        <f>Oportuno!E514</f>
        <v xml:space="preserve"> </v>
      </c>
      <c r="F514" s="121" t="str">
        <f>Oportuno!F514</f>
        <v>TOTAL RECAUDO</v>
      </c>
      <c r="G514" s="121" t="s">
        <v>0</v>
      </c>
      <c r="H514" s="121" t="s">
        <v>0</v>
      </c>
      <c r="I514" s="121" t="s">
        <v>0</v>
      </c>
      <c r="J514" s="122">
        <f>Oportuno!J514</f>
        <v>0</v>
      </c>
      <c r="K514" s="122">
        <f>Oportuno!K514</f>
        <v>0</v>
      </c>
      <c r="L514" s="122">
        <f>Oportuno!L514</f>
        <v>0</v>
      </c>
      <c r="M514" s="122">
        <f>Oportuno!M514</f>
        <v>0</v>
      </c>
      <c r="N514" s="122">
        <f>Oportuno!N514</f>
        <v>0</v>
      </c>
      <c r="O514" s="122">
        <f>Oportuno!O514</f>
        <v>0</v>
      </c>
      <c r="P514" s="122">
        <f>Oportuno!P514</f>
        <v>0</v>
      </c>
      <c r="Q514" s="122">
        <f>Oportuno!Q514</f>
        <v>0</v>
      </c>
      <c r="R514" s="122">
        <f>Oportuno!R514</f>
        <v>37</v>
      </c>
      <c r="S514" s="122">
        <f>Oportuno!S514</f>
        <v>2429310</v>
      </c>
      <c r="T514" s="122">
        <f>Oportuno!T514</f>
        <v>37</v>
      </c>
      <c r="U514" s="122">
        <f>Oportuno!U514</f>
        <v>2429310</v>
      </c>
      <c r="V514" s="123">
        <f>Oportuno!V514</f>
        <v>37</v>
      </c>
      <c r="W514" s="123">
        <f>Oportuno!W514</f>
        <v>2429310</v>
      </c>
      <c r="X514" s="122">
        <f>Oportuno!X514</f>
        <v>0</v>
      </c>
      <c r="Y514" s="123">
        <f>Oportuno!Y514</f>
        <v>0</v>
      </c>
      <c r="AA514" s="65"/>
    </row>
    <row r="515" spans="2:27 16101:16120" ht="13" thickBot="1">
      <c r="AA515" s="65"/>
    </row>
    <row r="516" spans="2:27 16101:16120" ht="41.25" customHeight="1" thickBot="1">
      <c r="B516" s="112" t="s">
        <v>4</v>
      </c>
      <c r="C516" s="34" t="s">
        <v>6</v>
      </c>
      <c r="D516" s="34" t="s">
        <v>7</v>
      </c>
      <c r="E516" s="34" t="s">
        <v>49</v>
      </c>
      <c r="F516" s="34" t="s">
        <v>50</v>
      </c>
      <c r="G516" s="34" t="s">
        <v>51</v>
      </c>
      <c r="H516" s="34" t="s">
        <v>52</v>
      </c>
      <c r="I516" s="34" t="s">
        <v>13</v>
      </c>
      <c r="J516" s="231" t="s">
        <v>8</v>
      </c>
      <c r="K516" s="231" t="s">
        <v>36</v>
      </c>
      <c r="L516" s="12" t="s">
        <v>9</v>
      </c>
      <c r="M516" s="12" t="s">
        <v>37</v>
      </c>
      <c r="N516" s="87" t="s">
        <v>10</v>
      </c>
      <c r="O516" s="88" t="s">
        <v>38</v>
      </c>
      <c r="P516" s="87" t="s">
        <v>11</v>
      </c>
      <c r="Q516" s="88" t="s">
        <v>39</v>
      </c>
      <c r="R516" s="232" t="s">
        <v>12</v>
      </c>
      <c r="S516" s="233" t="s">
        <v>40</v>
      </c>
      <c r="T516" s="64" t="s">
        <v>41</v>
      </c>
      <c r="U516" s="64" t="s">
        <v>42</v>
      </c>
      <c r="V516" s="35" t="s">
        <v>32</v>
      </c>
      <c r="W516" s="67" t="s">
        <v>35</v>
      </c>
      <c r="X516" s="12" t="s">
        <v>34</v>
      </c>
      <c r="Y516" s="68" t="s">
        <v>33</v>
      </c>
      <c r="AA516" s="66"/>
      <c r="WUG516" s="1"/>
      <c r="WUH516" s="1"/>
      <c r="WUY516"/>
      <c r="WUZ516"/>
    </row>
    <row r="517" spans="2:27 16101:16120" ht="13" customHeight="1">
      <c r="B517" s="119" t="str">
        <f>Oportuno!B517</f>
        <v>21/09/2026</v>
      </c>
      <c r="C517" s="24">
        <f>Oportuno!C517</f>
        <v>2026092</v>
      </c>
      <c r="D517" s="24">
        <f>Oportuno!D517</f>
        <v>19</v>
      </c>
      <c r="E517" s="127">
        <f>Oportuno!E517</f>
        <v>20</v>
      </c>
      <c r="F517" s="125" t="str">
        <f>Oportuno!F517</f>
        <v>Bancolombia ENERBIT</v>
      </c>
      <c r="G517" s="18">
        <f>Oportuno!G517</f>
        <v>1</v>
      </c>
      <c r="H517" s="125" t="str">
        <f>Oportuno!H517</f>
        <v>Oficinas</v>
      </c>
      <c r="I517" s="129">
        <f>Oportuno!I517</f>
        <v>0</v>
      </c>
      <c r="J517" s="213">
        <f>Oportuno!J517</f>
        <v>0</v>
      </c>
      <c r="K517" s="213">
        <f>Oportuno!K517</f>
        <v>0</v>
      </c>
      <c r="L517" s="213">
        <f>Oportuno!L517</f>
        <v>0</v>
      </c>
      <c r="M517" s="213">
        <f>Oportuno!M517</f>
        <v>0</v>
      </c>
      <c r="N517" s="213">
        <f>Oportuno!N517</f>
        <v>0</v>
      </c>
      <c r="O517" s="213">
        <f>Oportuno!O517</f>
        <v>0</v>
      </c>
      <c r="P517" s="213">
        <f>Oportuno!P517</f>
        <v>0</v>
      </c>
      <c r="Q517" s="213">
        <f>Oportuno!Q517</f>
        <v>0</v>
      </c>
      <c r="R517" s="213">
        <f>Oportuno!R517</f>
        <v>20</v>
      </c>
      <c r="S517" s="214">
        <f>Oportuno!S517</f>
        <v>1106630</v>
      </c>
      <c r="T517" s="70">
        <f>Oportuno!T517</f>
        <v>20</v>
      </c>
      <c r="U517" s="70">
        <f>Oportuno!U517</f>
        <v>1106630</v>
      </c>
      <c r="V517" s="116">
        <f>Oportuno!V517</f>
        <v>20</v>
      </c>
      <c r="W517" s="116">
        <f>Oportuno!W517</f>
        <v>1106630</v>
      </c>
      <c r="X517" s="70">
        <f>Oportuno!X517</f>
        <v>0</v>
      </c>
      <c r="Y517" s="70">
        <f>Oportuno!Y517</f>
        <v>0</v>
      </c>
      <c r="AA517" s="65"/>
    </row>
    <row r="518" spans="2:27 16101:16120" ht="13" customHeight="1">
      <c r="B518" s="119">
        <f>Oportuno!B518</f>
        <v>0</v>
      </c>
      <c r="C518" s="23">
        <f>Oportuno!C518</f>
        <v>2026092</v>
      </c>
      <c r="D518" s="23">
        <f>Oportuno!D518</f>
        <v>19</v>
      </c>
      <c r="E518" s="128">
        <f>Oportuno!E518</f>
        <v>0</v>
      </c>
      <c r="F518" s="126" t="e">
        <f>Oportuno!F518</f>
        <v>#N/A</v>
      </c>
      <c r="G518" s="36">
        <f>Oportuno!G518</f>
        <v>1</v>
      </c>
      <c r="H518" s="126" t="str">
        <f>Oportuno!H518</f>
        <v>Oficinas</v>
      </c>
      <c r="I518" s="130">
        <f>Oportuno!I518</f>
        <v>0</v>
      </c>
      <c r="J518" s="174">
        <f>Oportuno!J518</f>
        <v>0</v>
      </c>
      <c r="K518" s="174">
        <f>Oportuno!K518</f>
        <v>0</v>
      </c>
      <c r="L518" s="174">
        <f>Oportuno!L518</f>
        <v>0</v>
      </c>
      <c r="M518" s="174">
        <f>Oportuno!M518</f>
        <v>0</v>
      </c>
      <c r="N518" s="174">
        <f>Oportuno!N518</f>
        <v>0</v>
      </c>
      <c r="O518" s="174">
        <f>Oportuno!O518</f>
        <v>0</v>
      </c>
      <c r="P518" s="174">
        <f>Oportuno!P518</f>
        <v>0</v>
      </c>
      <c r="Q518" s="174">
        <f>Oportuno!Q518</f>
        <v>0</v>
      </c>
      <c r="R518" s="174">
        <f>Oportuno!R518</f>
        <v>0</v>
      </c>
      <c r="S518" s="215">
        <f>Oportuno!S518</f>
        <v>0</v>
      </c>
      <c r="T518" s="71">
        <f>Oportuno!T518</f>
        <v>0</v>
      </c>
      <c r="U518" s="71">
        <f>Oportuno!U518</f>
        <v>0</v>
      </c>
      <c r="V518" s="117">
        <f>Oportuno!V518</f>
        <v>0</v>
      </c>
      <c r="W518" s="117">
        <f>Oportuno!W518</f>
        <v>0</v>
      </c>
      <c r="X518" s="71">
        <f>Oportuno!X518</f>
        <v>0</v>
      </c>
      <c r="Y518" s="71">
        <f>Oportuno!Y518</f>
        <v>0</v>
      </c>
      <c r="AA518" s="65"/>
    </row>
    <row r="519" spans="2:27 16101:16120" ht="13" customHeight="1">
      <c r="B519" s="119">
        <f>Oportuno!B519</f>
        <v>0</v>
      </c>
      <c r="C519" s="23">
        <f>Oportuno!C519</f>
        <v>2026092</v>
      </c>
      <c r="D519" s="23">
        <f>Oportuno!D519</f>
        <v>19</v>
      </c>
      <c r="E519" s="128">
        <f>Oportuno!E519</f>
        <v>0</v>
      </c>
      <c r="F519" s="126" t="e">
        <f>Oportuno!F519</f>
        <v>#N/A</v>
      </c>
      <c r="G519" s="36">
        <f>Oportuno!G519</f>
        <v>1</v>
      </c>
      <c r="H519" s="126" t="str">
        <f>Oportuno!H519</f>
        <v>Oficinas</v>
      </c>
      <c r="I519" s="130">
        <f>Oportuno!I519</f>
        <v>0</v>
      </c>
      <c r="J519" s="174">
        <f>Oportuno!J519</f>
        <v>0</v>
      </c>
      <c r="K519" s="174">
        <f>Oportuno!K519</f>
        <v>0</v>
      </c>
      <c r="L519" s="174">
        <f>Oportuno!L519</f>
        <v>0</v>
      </c>
      <c r="M519" s="174">
        <f>Oportuno!M519</f>
        <v>0</v>
      </c>
      <c r="N519" s="174">
        <f>Oportuno!N519</f>
        <v>0</v>
      </c>
      <c r="O519" s="174">
        <f>Oportuno!O519</f>
        <v>0</v>
      </c>
      <c r="P519" s="174">
        <f>Oportuno!P519</f>
        <v>0</v>
      </c>
      <c r="Q519" s="174">
        <f>Oportuno!Q519</f>
        <v>0</v>
      </c>
      <c r="R519" s="174">
        <f>Oportuno!R519</f>
        <v>0</v>
      </c>
      <c r="S519" s="215">
        <f>Oportuno!S519</f>
        <v>0</v>
      </c>
      <c r="T519" s="71">
        <f>Oportuno!T519</f>
        <v>0</v>
      </c>
      <c r="U519" s="71">
        <f>Oportuno!U519</f>
        <v>0</v>
      </c>
      <c r="V519" s="117">
        <f>Oportuno!V519</f>
        <v>0</v>
      </c>
      <c r="W519" s="117">
        <f>Oportuno!W519</f>
        <v>0</v>
      </c>
      <c r="X519" s="71">
        <f>Oportuno!X519</f>
        <v>0</v>
      </c>
      <c r="Y519" s="71">
        <f>Oportuno!Y519</f>
        <v>0</v>
      </c>
      <c r="AA519" s="65"/>
    </row>
    <row r="520" spans="2:27 16101:16120" ht="13" customHeight="1">
      <c r="B520" s="119">
        <f>Oportuno!B520</f>
        <v>0</v>
      </c>
      <c r="C520" s="23">
        <f>Oportuno!C520</f>
        <v>2026092</v>
      </c>
      <c r="D520" s="23">
        <f>Oportuno!D520</f>
        <v>19</v>
      </c>
      <c r="E520" s="128">
        <f>Oportuno!E520</f>
        <v>0</v>
      </c>
      <c r="F520" s="126" t="e">
        <f>Oportuno!F520</f>
        <v>#N/A</v>
      </c>
      <c r="G520" s="36">
        <f>Oportuno!G520</f>
        <v>1</v>
      </c>
      <c r="H520" s="126" t="str">
        <f>Oportuno!H520</f>
        <v>Oficinas</v>
      </c>
      <c r="I520" s="130">
        <f>Oportuno!I520</f>
        <v>0</v>
      </c>
      <c r="J520" s="174">
        <f>Oportuno!J520</f>
        <v>0</v>
      </c>
      <c r="K520" s="174">
        <f>Oportuno!K520</f>
        <v>0</v>
      </c>
      <c r="L520" s="174">
        <f>Oportuno!L520</f>
        <v>0</v>
      </c>
      <c r="M520" s="174">
        <f>Oportuno!M520</f>
        <v>0</v>
      </c>
      <c r="N520" s="174">
        <f>Oportuno!N520</f>
        <v>0</v>
      </c>
      <c r="O520" s="174">
        <f>Oportuno!O520</f>
        <v>0</v>
      </c>
      <c r="P520" s="174">
        <f>Oportuno!P520</f>
        <v>0</v>
      </c>
      <c r="Q520" s="174">
        <f>Oportuno!Q520</f>
        <v>0</v>
      </c>
      <c r="R520" s="174">
        <f>Oportuno!R520</f>
        <v>0</v>
      </c>
      <c r="S520" s="215">
        <f>Oportuno!S520</f>
        <v>0</v>
      </c>
      <c r="T520" s="71">
        <f>Oportuno!T520</f>
        <v>0</v>
      </c>
      <c r="U520" s="71">
        <f>Oportuno!U520</f>
        <v>0</v>
      </c>
      <c r="V520" s="117">
        <f>Oportuno!V520</f>
        <v>0</v>
      </c>
      <c r="W520" s="117">
        <f>Oportuno!W520</f>
        <v>0</v>
      </c>
      <c r="X520" s="71">
        <f>Oportuno!X520</f>
        <v>0</v>
      </c>
      <c r="Y520" s="71">
        <f>Oportuno!Y520</f>
        <v>0</v>
      </c>
      <c r="AA520" s="65"/>
    </row>
    <row r="521" spans="2:27 16101:16120" ht="13" customHeight="1">
      <c r="B521" s="119">
        <f>Oportuno!B521</f>
        <v>0</v>
      </c>
      <c r="C521" s="23">
        <f>Oportuno!C521</f>
        <v>2026092</v>
      </c>
      <c r="D521" s="23">
        <f>Oportuno!D521</f>
        <v>19</v>
      </c>
      <c r="E521" s="128">
        <f>Oportuno!E521</f>
        <v>0</v>
      </c>
      <c r="F521" s="126" t="e">
        <f>Oportuno!F521</f>
        <v>#N/A</v>
      </c>
      <c r="G521" s="36">
        <f>Oportuno!G521</f>
        <v>1</v>
      </c>
      <c r="H521" s="126" t="str">
        <f>Oportuno!H521</f>
        <v>Oficinas</v>
      </c>
      <c r="I521" s="130">
        <f>Oportuno!I521</f>
        <v>0</v>
      </c>
      <c r="J521" s="174">
        <f>Oportuno!J521</f>
        <v>0</v>
      </c>
      <c r="K521" s="174">
        <f>Oportuno!K521</f>
        <v>0</v>
      </c>
      <c r="L521" s="174">
        <f>Oportuno!L521</f>
        <v>0</v>
      </c>
      <c r="M521" s="174">
        <f>Oportuno!M521</f>
        <v>0</v>
      </c>
      <c r="N521" s="174">
        <f>Oportuno!N521</f>
        <v>0</v>
      </c>
      <c r="O521" s="174">
        <f>Oportuno!O521</f>
        <v>0</v>
      </c>
      <c r="P521" s="174">
        <f>Oportuno!P521</f>
        <v>0</v>
      </c>
      <c r="Q521" s="174">
        <f>Oportuno!Q521</f>
        <v>0</v>
      </c>
      <c r="R521" s="174">
        <f>Oportuno!R521</f>
        <v>0</v>
      </c>
      <c r="S521" s="215">
        <f>Oportuno!S521</f>
        <v>0</v>
      </c>
      <c r="T521" s="71">
        <f>Oportuno!T521</f>
        <v>0</v>
      </c>
      <c r="U521" s="71">
        <f>Oportuno!U521</f>
        <v>0</v>
      </c>
      <c r="V521" s="117">
        <f>Oportuno!V521</f>
        <v>0</v>
      </c>
      <c r="W521" s="117">
        <f>Oportuno!W521</f>
        <v>0</v>
      </c>
      <c r="X521" s="71">
        <f>Oportuno!X521</f>
        <v>0</v>
      </c>
      <c r="Y521" s="71">
        <f>Oportuno!Y521</f>
        <v>0</v>
      </c>
      <c r="AA521" s="65"/>
    </row>
    <row r="522" spans="2:27 16101:16120" ht="13" customHeight="1">
      <c r="B522" s="119">
        <f>Oportuno!B522</f>
        <v>0</v>
      </c>
      <c r="C522" s="23">
        <f>Oportuno!C522</f>
        <v>2026092</v>
      </c>
      <c r="D522" s="23">
        <f>Oportuno!D522</f>
        <v>19</v>
      </c>
      <c r="E522" s="128">
        <f>Oportuno!E522</f>
        <v>0</v>
      </c>
      <c r="F522" s="126" t="e">
        <f>Oportuno!F522</f>
        <v>#N/A</v>
      </c>
      <c r="G522" s="36">
        <f>Oportuno!G522</f>
        <v>1</v>
      </c>
      <c r="H522" s="126" t="str">
        <f>Oportuno!H522</f>
        <v>Oficinas</v>
      </c>
      <c r="I522" s="130">
        <f>Oportuno!I522</f>
        <v>0</v>
      </c>
      <c r="J522" s="174">
        <f>Oportuno!J522</f>
        <v>0</v>
      </c>
      <c r="K522" s="174">
        <f>Oportuno!K522</f>
        <v>0</v>
      </c>
      <c r="L522" s="174">
        <f>Oportuno!L522</f>
        <v>0</v>
      </c>
      <c r="M522" s="174">
        <f>Oportuno!M522</f>
        <v>0</v>
      </c>
      <c r="N522" s="174">
        <f>Oportuno!N522</f>
        <v>0</v>
      </c>
      <c r="O522" s="174">
        <f>Oportuno!O522</f>
        <v>0</v>
      </c>
      <c r="P522" s="174">
        <f>Oportuno!P522</f>
        <v>0</v>
      </c>
      <c r="Q522" s="174">
        <f>Oportuno!Q522</f>
        <v>0</v>
      </c>
      <c r="R522" s="174">
        <f>Oportuno!R522</f>
        <v>0</v>
      </c>
      <c r="S522" s="215">
        <f>Oportuno!S522</f>
        <v>0</v>
      </c>
      <c r="T522" s="71">
        <f>Oportuno!T522</f>
        <v>0</v>
      </c>
      <c r="U522" s="71">
        <f>Oportuno!U522</f>
        <v>0</v>
      </c>
      <c r="V522" s="117">
        <f>Oportuno!V522</f>
        <v>0</v>
      </c>
      <c r="W522" s="117">
        <f>Oportuno!W522</f>
        <v>0</v>
      </c>
      <c r="X522" s="71">
        <f>Oportuno!X522</f>
        <v>0</v>
      </c>
      <c r="Y522" s="71">
        <f>Oportuno!Y522</f>
        <v>0</v>
      </c>
      <c r="AA522" s="65"/>
    </row>
    <row r="523" spans="2:27 16101:16120" ht="13" customHeight="1">
      <c r="B523" s="119">
        <f>Oportuno!B523</f>
        <v>0</v>
      </c>
      <c r="C523" s="23">
        <f>Oportuno!C523</f>
        <v>2026092</v>
      </c>
      <c r="D523" s="23">
        <f>Oportuno!D523</f>
        <v>19</v>
      </c>
      <c r="E523" s="128">
        <f>Oportuno!E523</f>
        <v>0</v>
      </c>
      <c r="F523" s="126" t="e">
        <f>Oportuno!F523</f>
        <v>#N/A</v>
      </c>
      <c r="G523" s="36">
        <f>Oportuno!G523</f>
        <v>1</v>
      </c>
      <c r="H523" s="126" t="str">
        <f>Oportuno!H523</f>
        <v>Oficinas</v>
      </c>
      <c r="I523" s="130">
        <f>Oportuno!I523</f>
        <v>0</v>
      </c>
      <c r="J523" s="174">
        <f>Oportuno!J523</f>
        <v>0</v>
      </c>
      <c r="K523" s="174">
        <f>Oportuno!K523</f>
        <v>0</v>
      </c>
      <c r="L523" s="174">
        <f>Oportuno!L523</f>
        <v>0</v>
      </c>
      <c r="M523" s="174">
        <f>Oportuno!M523</f>
        <v>0</v>
      </c>
      <c r="N523" s="174">
        <f>Oportuno!N523</f>
        <v>0</v>
      </c>
      <c r="O523" s="174">
        <f>Oportuno!O523</f>
        <v>0</v>
      </c>
      <c r="P523" s="174">
        <f>Oportuno!P523</f>
        <v>0</v>
      </c>
      <c r="Q523" s="174">
        <f>Oportuno!Q523</f>
        <v>0</v>
      </c>
      <c r="R523" s="174">
        <f>Oportuno!R523</f>
        <v>0</v>
      </c>
      <c r="S523" s="215">
        <f>Oportuno!S523</f>
        <v>0</v>
      </c>
      <c r="T523" s="71">
        <f>Oportuno!T523</f>
        <v>0</v>
      </c>
      <c r="U523" s="71">
        <f>Oportuno!U523</f>
        <v>0</v>
      </c>
      <c r="V523" s="117">
        <f>Oportuno!V523</f>
        <v>0</v>
      </c>
      <c r="W523" s="117">
        <f>Oportuno!W523</f>
        <v>0</v>
      </c>
      <c r="X523" s="71">
        <f>Oportuno!X523</f>
        <v>0</v>
      </c>
      <c r="Y523" s="71">
        <f>Oportuno!Y523</f>
        <v>0</v>
      </c>
      <c r="AA523" s="65"/>
    </row>
    <row r="524" spans="2:27 16101:16120" ht="13" customHeight="1">
      <c r="B524" s="119">
        <f>Oportuno!B524</f>
        <v>0</v>
      </c>
      <c r="C524" s="23">
        <f>Oportuno!C524</f>
        <v>2026092</v>
      </c>
      <c r="D524" s="23">
        <f>Oportuno!D524</f>
        <v>19</v>
      </c>
      <c r="E524" s="128">
        <f>Oportuno!E524</f>
        <v>0</v>
      </c>
      <c r="F524" s="126" t="e">
        <f>Oportuno!F524</f>
        <v>#N/A</v>
      </c>
      <c r="G524" s="36">
        <f>Oportuno!G524</f>
        <v>1</v>
      </c>
      <c r="H524" s="126" t="str">
        <f>Oportuno!H524</f>
        <v>Oficinas</v>
      </c>
      <c r="I524" s="130">
        <f>Oportuno!I524</f>
        <v>0</v>
      </c>
      <c r="J524" s="174">
        <f>Oportuno!J524</f>
        <v>0</v>
      </c>
      <c r="K524" s="174">
        <f>Oportuno!K524</f>
        <v>0</v>
      </c>
      <c r="L524" s="174">
        <f>Oportuno!L524</f>
        <v>0</v>
      </c>
      <c r="M524" s="174">
        <f>Oportuno!M524</f>
        <v>0</v>
      </c>
      <c r="N524" s="174">
        <f>Oportuno!N524</f>
        <v>0</v>
      </c>
      <c r="O524" s="174">
        <f>Oportuno!O524</f>
        <v>0</v>
      </c>
      <c r="P524" s="174">
        <f>Oportuno!P524</f>
        <v>0</v>
      </c>
      <c r="Q524" s="174">
        <f>Oportuno!Q524</f>
        <v>0</v>
      </c>
      <c r="R524" s="174">
        <f>Oportuno!R524</f>
        <v>0</v>
      </c>
      <c r="S524" s="215">
        <f>Oportuno!S524</f>
        <v>0</v>
      </c>
      <c r="T524" s="71">
        <f>Oportuno!T524</f>
        <v>0</v>
      </c>
      <c r="U524" s="71">
        <f>Oportuno!U524</f>
        <v>0</v>
      </c>
      <c r="V524" s="117">
        <f>Oportuno!V524</f>
        <v>0</v>
      </c>
      <c r="W524" s="117">
        <f>Oportuno!W524</f>
        <v>0</v>
      </c>
      <c r="X524" s="71">
        <f>Oportuno!X524</f>
        <v>0</v>
      </c>
      <c r="Y524" s="71">
        <f>Oportuno!Y524</f>
        <v>0</v>
      </c>
      <c r="AA524" s="65"/>
    </row>
    <row r="525" spans="2:27 16101:16120" ht="13" customHeight="1">
      <c r="B525" s="119">
        <f>Oportuno!B525</f>
        <v>0</v>
      </c>
      <c r="C525" s="23">
        <f>Oportuno!C525</f>
        <v>2026092</v>
      </c>
      <c r="D525" s="23">
        <f>Oportuno!D525</f>
        <v>19</v>
      </c>
      <c r="E525" s="128">
        <f>Oportuno!E525</f>
        <v>0</v>
      </c>
      <c r="F525" s="126" t="e">
        <f>Oportuno!F525</f>
        <v>#N/A</v>
      </c>
      <c r="G525" s="36">
        <f>Oportuno!G525</f>
        <v>1</v>
      </c>
      <c r="H525" s="126" t="str">
        <f>Oportuno!H525</f>
        <v>Oficinas</v>
      </c>
      <c r="I525" s="130">
        <f>Oportuno!I525</f>
        <v>0</v>
      </c>
      <c r="J525" s="174">
        <f>Oportuno!J525</f>
        <v>0</v>
      </c>
      <c r="K525" s="174">
        <f>Oportuno!K525</f>
        <v>0</v>
      </c>
      <c r="L525" s="174">
        <f>Oportuno!L525</f>
        <v>0</v>
      </c>
      <c r="M525" s="174">
        <f>Oportuno!M525</f>
        <v>0</v>
      </c>
      <c r="N525" s="174">
        <f>Oportuno!N525</f>
        <v>0</v>
      </c>
      <c r="O525" s="174">
        <f>Oportuno!O525</f>
        <v>0</v>
      </c>
      <c r="P525" s="174">
        <f>Oportuno!P525</f>
        <v>0</v>
      </c>
      <c r="Q525" s="174">
        <f>Oportuno!Q525</f>
        <v>0</v>
      </c>
      <c r="R525" s="174">
        <f>Oportuno!R525</f>
        <v>0</v>
      </c>
      <c r="S525" s="215">
        <f>Oportuno!S525</f>
        <v>0</v>
      </c>
      <c r="T525" s="71">
        <f>Oportuno!T525</f>
        <v>0</v>
      </c>
      <c r="U525" s="71">
        <f>Oportuno!U525</f>
        <v>0</v>
      </c>
      <c r="V525" s="117">
        <f>Oportuno!V525</f>
        <v>0</v>
      </c>
      <c r="W525" s="117">
        <f>Oportuno!W525</f>
        <v>0</v>
      </c>
      <c r="X525" s="71">
        <f>Oportuno!X525</f>
        <v>0</v>
      </c>
      <c r="Y525" s="71">
        <f>Oportuno!Y525</f>
        <v>0</v>
      </c>
      <c r="AA525" s="65"/>
    </row>
    <row r="526" spans="2:27 16101:16120" ht="13" customHeight="1">
      <c r="B526" s="119">
        <f>Oportuno!B526</f>
        <v>0</v>
      </c>
      <c r="C526" s="23">
        <f>Oportuno!C526</f>
        <v>2026092</v>
      </c>
      <c r="D526" s="23">
        <f>Oportuno!D526</f>
        <v>19</v>
      </c>
      <c r="E526" s="128">
        <f>Oportuno!E526</f>
        <v>0</v>
      </c>
      <c r="F526" s="126" t="e">
        <f>Oportuno!F526</f>
        <v>#N/A</v>
      </c>
      <c r="G526" s="36">
        <f>Oportuno!G526</f>
        <v>1</v>
      </c>
      <c r="H526" s="126" t="str">
        <f>Oportuno!H526</f>
        <v>Oficinas</v>
      </c>
      <c r="I526" s="130">
        <f>Oportuno!I526</f>
        <v>0</v>
      </c>
      <c r="J526" s="174">
        <f>Oportuno!J526</f>
        <v>0</v>
      </c>
      <c r="K526" s="174">
        <f>Oportuno!K526</f>
        <v>0</v>
      </c>
      <c r="L526" s="174">
        <f>Oportuno!L526</f>
        <v>0</v>
      </c>
      <c r="M526" s="174">
        <f>Oportuno!M526</f>
        <v>0</v>
      </c>
      <c r="N526" s="174">
        <f>Oportuno!N526</f>
        <v>0</v>
      </c>
      <c r="O526" s="174">
        <f>Oportuno!O526</f>
        <v>0</v>
      </c>
      <c r="P526" s="174">
        <f>Oportuno!P526</f>
        <v>0</v>
      </c>
      <c r="Q526" s="174">
        <f>Oportuno!Q526</f>
        <v>0</v>
      </c>
      <c r="R526" s="174">
        <f>Oportuno!R526</f>
        <v>0</v>
      </c>
      <c r="S526" s="215">
        <f>Oportuno!S526</f>
        <v>0</v>
      </c>
      <c r="T526" s="71">
        <f>Oportuno!T526</f>
        <v>0</v>
      </c>
      <c r="U526" s="71">
        <f>Oportuno!U526</f>
        <v>0</v>
      </c>
      <c r="V526" s="117">
        <f>Oportuno!V526</f>
        <v>0</v>
      </c>
      <c r="W526" s="117">
        <f>Oportuno!W526</f>
        <v>0</v>
      </c>
      <c r="X526" s="71">
        <f>Oportuno!X526</f>
        <v>0</v>
      </c>
      <c r="Y526" s="71">
        <f>Oportuno!Y526</f>
        <v>0</v>
      </c>
      <c r="AA526" s="65"/>
    </row>
    <row r="527" spans="2:27 16101:16120" ht="13" customHeight="1">
      <c r="B527" s="119">
        <f>Oportuno!B527</f>
        <v>0</v>
      </c>
      <c r="C527" s="23">
        <f>Oportuno!C527</f>
        <v>2026092</v>
      </c>
      <c r="D527" s="23">
        <f>Oportuno!D527</f>
        <v>19</v>
      </c>
      <c r="E527" s="128">
        <f>Oportuno!E527</f>
        <v>0</v>
      </c>
      <c r="F527" s="126" t="e">
        <f>Oportuno!F527</f>
        <v>#N/A</v>
      </c>
      <c r="G527" s="36">
        <f>Oportuno!G527</f>
        <v>1</v>
      </c>
      <c r="H527" s="126" t="str">
        <f>Oportuno!H527</f>
        <v>Oficinas</v>
      </c>
      <c r="I527" s="130">
        <f>Oportuno!I527</f>
        <v>0</v>
      </c>
      <c r="J527" s="174">
        <f>Oportuno!J527</f>
        <v>0</v>
      </c>
      <c r="K527" s="174">
        <f>Oportuno!K527</f>
        <v>0</v>
      </c>
      <c r="L527" s="174">
        <f>Oportuno!L527</f>
        <v>0</v>
      </c>
      <c r="M527" s="174">
        <f>Oportuno!M527</f>
        <v>0</v>
      </c>
      <c r="N527" s="174">
        <f>Oportuno!N527</f>
        <v>0</v>
      </c>
      <c r="O527" s="174">
        <f>Oportuno!O527</f>
        <v>0</v>
      </c>
      <c r="P527" s="174">
        <f>Oportuno!P527</f>
        <v>0</v>
      </c>
      <c r="Q527" s="174">
        <f>Oportuno!Q527</f>
        <v>0</v>
      </c>
      <c r="R527" s="174">
        <f>Oportuno!R527</f>
        <v>0</v>
      </c>
      <c r="S527" s="215">
        <f>Oportuno!S527</f>
        <v>0</v>
      </c>
      <c r="T527" s="71">
        <f>Oportuno!T527</f>
        <v>0</v>
      </c>
      <c r="U527" s="71">
        <f>Oportuno!U527</f>
        <v>0</v>
      </c>
      <c r="V527" s="117">
        <f>Oportuno!V527</f>
        <v>0</v>
      </c>
      <c r="W527" s="117">
        <f>Oportuno!W527</f>
        <v>0</v>
      </c>
      <c r="X527" s="71">
        <f>Oportuno!X527</f>
        <v>0</v>
      </c>
      <c r="Y527" s="71">
        <f>Oportuno!Y527</f>
        <v>0</v>
      </c>
      <c r="AA527" s="65"/>
    </row>
    <row r="528" spans="2:27 16101:16120" ht="13" customHeight="1">
      <c r="B528" s="119">
        <f>Oportuno!B528</f>
        <v>0</v>
      </c>
      <c r="C528" s="23">
        <f>Oportuno!C528</f>
        <v>2026092</v>
      </c>
      <c r="D528" s="23">
        <f>Oportuno!D528</f>
        <v>19</v>
      </c>
      <c r="E528" s="128">
        <f>Oportuno!E528</f>
        <v>0</v>
      </c>
      <c r="F528" s="126" t="e">
        <f>Oportuno!F528</f>
        <v>#N/A</v>
      </c>
      <c r="G528" s="36">
        <f>Oportuno!G528</f>
        <v>1</v>
      </c>
      <c r="H528" s="126" t="str">
        <f>Oportuno!H528</f>
        <v>Oficinas</v>
      </c>
      <c r="I528" s="130">
        <f>Oportuno!I528</f>
        <v>0</v>
      </c>
      <c r="J528" s="174">
        <f>Oportuno!J528</f>
        <v>0</v>
      </c>
      <c r="K528" s="174">
        <f>Oportuno!K528</f>
        <v>0</v>
      </c>
      <c r="L528" s="174">
        <f>Oportuno!L528</f>
        <v>0</v>
      </c>
      <c r="M528" s="174">
        <f>Oportuno!M528</f>
        <v>0</v>
      </c>
      <c r="N528" s="174">
        <f>Oportuno!N528</f>
        <v>0</v>
      </c>
      <c r="O528" s="174">
        <f>Oportuno!O528</f>
        <v>0</v>
      </c>
      <c r="P528" s="174">
        <f>Oportuno!P528</f>
        <v>0</v>
      </c>
      <c r="Q528" s="174">
        <f>Oportuno!Q528</f>
        <v>0</v>
      </c>
      <c r="R528" s="174">
        <f>Oportuno!R528</f>
        <v>0</v>
      </c>
      <c r="S528" s="215">
        <f>Oportuno!S528</f>
        <v>0</v>
      </c>
      <c r="T528" s="71">
        <f>Oportuno!T528</f>
        <v>0</v>
      </c>
      <c r="U528" s="71">
        <f>Oportuno!U528</f>
        <v>0</v>
      </c>
      <c r="V528" s="117">
        <f>Oportuno!V528</f>
        <v>0</v>
      </c>
      <c r="W528" s="117">
        <f>Oportuno!W528</f>
        <v>0</v>
      </c>
      <c r="X528" s="71">
        <f>Oportuno!X528</f>
        <v>0</v>
      </c>
      <c r="Y528" s="71">
        <f>Oportuno!Y528</f>
        <v>0</v>
      </c>
      <c r="AA528" s="65"/>
    </row>
    <row r="529" spans="2:27 16101:16120" ht="13" customHeight="1">
      <c r="B529" s="119">
        <f>Oportuno!B529</f>
        <v>0</v>
      </c>
      <c r="C529" s="23">
        <f>Oportuno!C529</f>
        <v>2026092</v>
      </c>
      <c r="D529" s="23">
        <f>Oportuno!D529</f>
        <v>19</v>
      </c>
      <c r="E529" s="128">
        <f>Oportuno!E529</f>
        <v>0</v>
      </c>
      <c r="F529" s="126" t="e">
        <f>Oportuno!F529</f>
        <v>#N/A</v>
      </c>
      <c r="G529" s="36">
        <f>Oportuno!G529</f>
        <v>1</v>
      </c>
      <c r="H529" s="126" t="str">
        <f>Oportuno!H529</f>
        <v>Oficinas</v>
      </c>
      <c r="I529" s="130">
        <f>Oportuno!I529</f>
        <v>0</v>
      </c>
      <c r="J529" s="174">
        <f>Oportuno!J529</f>
        <v>0</v>
      </c>
      <c r="K529" s="174">
        <f>Oportuno!K529</f>
        <v>0</v>
      </c>
      <c r="L529" s="174">
        <f>Oportuno!L529</f>
        <v>0</v>
      </c>
      <c r="M529" s="174">
        <f>Oportuno!M529</f>
        <v>0</v>
      </c>
      <c r="N529" s="174">
        <f>Oportuno!N529</f>
        <v>0</v>
      </c>
      <c r="O529" s="174">
        <f>Oportuno!O529</f>
        <v>0</v>
      </c>
      <c r="P529" s="174">
        <f>Oportuno!P529</f>
        <v>0</v>
      </c>
      <c r="Q529" s="174">
        <f>Oportuno!Q529</f>
        <v>0</v>
      </c>
      <c r="R529" s="174">
        <f>Oportuno!R529</f>
        <v>0</v>
      </c>
      <c r="S529" s="215">
        <f>Oportuno!S529</f>
        <v>0</v>
      </c>
      <c r="T529" s="71">
        <f>Oportuno!T529</f>
        <v>0</v>
      </c>
      <c r="U529" s="71">
        <f>Oportuno!U529</f>
        <v>0</v>
      </c>
      <c r="V529" s="117">
        <f>Oportuno!V529</f>
        <v>0</v>
      </c>
      <c r="W529" s="117">
        <f>Oportuno!W529</f>
        <v>0</v>
      </c>
      <c r="X529" s="71">
        <f>Oportuno!X529</f>
        <v>0</v>
      </c>
      <c r="Y529" s="71">
        <f>Oportuno!Y529</f>
        <v>0</v>
      </c>
      <c r="AA529" s="65"/>
    </row>
    <row r="530" spans="2:27 16101:16120" ht="13" customHeight="1">
      <c r="B530" s="119">
        <f>Oportuno!B530</f>
        <v>0</v>
      </c>
      <c r="C530" s="23">
        <f>Oportuno!C530</f>
        <v>2026092</v>
      </c>
      <c r="D530" s="23">
        <f>Oportuno!D530</f>
        <v>19</v>
      </c>
      <c r="E530" s="128">
        <f>Oportuno!E530</f>
        <v>0</v>
      </c>
      <c r="F530" s="126" t="e">
        <f>Oportuno!F530</f>
        <v>#N/A</v>
      </c>
      <c r="G530" s="36">
        <f>Oportuno!G530</f>
        <v>1</v>
      </c>
      <c r="H530" s="126" t="str">
        <f>Oportuno!H530</f>
        <v>Oficinas</v>
      </c>
      <c r="I530" s="130">
        <f>Oportuno!I530</f>
        <v>0</v>
      </c>
      <c r="J530" s="174">
        <f>Oportuno!J530</f>
        <v>0</v>
      </c>
      <c r="K530" s="174">
        <f>Oportuno!K530</f>
        <v>0</v>
      </c>
      <c r="L530" s="174">
        <f>Oportuno!L530</f>
        <v>0</v>
      </c>
      <c r="M530" s="174">
        <f>Oportuno!M530</f>
        <v>0</v>
      </c>
      <c r="N530" s="174">
        <f>Oportuno!N530</f>
        <v>0</v>
      </c>
      <c r="O530" s="174">
        <f>Oportuno!O530</f>
        <v>0</v>
      </c>
      <c r="P530" s="174">
        <f>Oportuno!P530</f>
        <v>0</v>
      </c>
      <c r="Q530" s="174">
        <f>Oportuno!Q530</f>
        <v>0</v>
      </c>
      <c r="R530" s="174">
        <f>Oportuno!R530</f>
        <v>0</v>
      </c>
      <c r="S530" s="215">
        <f>Oportuno!S530</f>
        <v>0</v>
      </c>
      <c r="T530" s="71">
        <f>Oportuno!T530</f>
        <v>0</v>
      </c>
      <c r="U530" s="71">
        <f>Oportuno!U530</f>
        <v>0</v>
      </c>
      <c r="V530" s="117">
        <f>Oportuno!V530</f>
        <v>0</v>
      </c>
      <c r="W530" s="117">
        <f>Oportuno!W530</f>
        <v>0</v>
      </c>
      <c r="X530" s="71">
        <f>Oportuno!X530</f>
        <v>0</v>
      </c>
      <c r="Y530" s="71">
        <f>Oportuno!Y530</f>
        <v>0</v>
      </c>
      <c r="AA530" s="65"/>
    </row>
    <row r="531" spans="2:27 16101:16120" ht="13" customHeight="1">
      <c r="B531" s="119">
        <f>Oportuno!B531</f>
        <v>0</v>
      </c>
      <c r="C531" s="23">
        <f>Oportuno!C531</f>
        <v>2026092</v>
      </c>
      <c r="D531" s="23">
        <f>Oportuno!D531</f>
        <v>19</v>
      </c>
      <c r="E531" s="128">
        <f>Oportuno!E531</f>
        <v>0</v>
      </c>
      <c r="F531" s="126" t="e">
        <f>Oportuno!F531</f>
        <v>#N/A</v>
      </c>
      <c r="G531" s="36">
        <f>Oportuno!G531</f>
        <v>1</v>
      </c>
      <c r="H531" s="126" t="str">
        <f>Oportuno!H531</f>
        <v>Oficinas</v>
      </c>
      <c r="I531" s="130">
        <f>Oportuno!I531</f>
        <v>0</v>
      </c>
      <c r="J531" s="174">
        <f>Oportuno!J531</f>
        <v>0</v>
      </c>
      <c r="K531" s="174">
        <f>Oportuno!K531</f>
        <v>0</v>
      </c>
      <c r="L531" s="174">
        <f>Oportuno!L531</f>
        <v>0</v>
      </c>
      <c r="M531" s="174">
        <f>Oportuno!M531</f>
        <v>0</v>
      </c>
      <c r="N531" s="174">
        <f>Oportuno!N531</f>
        <v>0</v>
      </c>
      <c r="O531" s="174">
        <f>Oportuno!O531</f>
        <v>0</v>
      </c>
      <c r="P531" s="174">
        <f>Oportuno!P531</f>
        <v>0</v>
      </c>
      <c r="Q531" s="174">
        <f>Oportuno!Q531</f>
        <v>0</v>
      </c>
      <c r="R531" s="174">
        <f>Oportuno!R531</f>
        <v>0</v>
      </c>
      <c r="S531" s="215">
        <f>Oportuno!S531</f>
        <v>0</v>
      </c>
      <c r="T531" s="71">
        <f>Oportuno!T531</f>
        <v>0</v>
      </c>
      <c r="U531" s="71">
        <f>Oportuno!U531</f>
        <v>0</v>
      </c>
      <c r="V531" s="117">
        <f>Oportuno!V531</f>
        <v>0</v>
      </c>
      <c r="W531" s="117">
        <f>Oportuno!W531</f>
        <v>0</v>
      </c>
      <c r="X531" s="71">
        <f>Oportuno!X531</f>
        <v>0</v>
      </c>
      <c r="Y531" s="71">
        <f>Oportuno!Y531</f>
        <v>0</v>
      </c>
      <c r="AA531" s="65"/>
    </row>
    <row r="532" spans="2:27 16101:16120" ht="12" customHeight="1">
      <c r="B532" s="119">
        <f>Oportuno!B532</f>
        <v>0</v>
      </c>
      <c r="C532" s="23">
        <f>Oportuno!C532</f>
        <v>2026092</v>
      </c>
      <c r="D532" s="23">
        <f>Oportuno!D532</f>
        <v>19</v>
      </c>
      <c r="E532" s="128">
        <f>Oportuno!E532</f>
        <v>0</v>
      </c>
      <c r="F532" s="126" t="e">
        <f>Oportuno!F532</f>
        <v>#N/A</v>
      </c>
      <c r="G532" s="36">
        <f>Oportuno!G532</f>
        <v>1</v>
      </c>
      <c r="H532" s="126" t="str">
        <f>Oportuno!H532</f>
        <v>Oficinas</v>
      </c>
      <c r="I532" s="130">
        <f>Oportuno!I532</f>
        <v>0</v>
      </c>
      <c r="J532" s="174">
        <f>Oportuno!J532</f>
        <v>0</v>
      </c>
      <c r="K532" s="174">
        <f>Oportuno!K532</f>
        <v>0</v>
      </c>
      <c r="L532" s="174">
        <f>Oportuno!L532</f>
        <v>0</v>
      </c>
      <c r="M532" s="174">
        <f>Oportuno!M532</f>
        <v>0</v>
      </c>
      <c r="N532" s="174">
        <f>Oportuno!N532</f>
        <v>0</v>
      </c>
      <c r="O532" s="174">
        <f>Oportuno!O532</f>
        <v>0</v>
      </c>
      <c r="P532" s="174">
        <f>Oportuno!P532</f>
        <v>0</v>
      </c>
      <c r="Q532" s="174">
        <f>Oportuno!Q532</f>
        <v>0</v>
      </c>
      <c r="R532" s="174">
        <f>Oportuno!R532</f>
        <v>0</v>
      </c>
      <c r="S532" s="215">
        <f>Oportuno!S532</f>
        <v>0</v>
      </c>
      <c r="T532" s="71">
        <f>Oportuno!T532</f>
        <v>0</v>
      </c>
      <c r="U532" s="71">
        <f>Oportuno!U532</f>
        <v>0</v>
      </c>
      <c r="V532" s="117">
        <f>Oportuno!V532</f>
        <v>0</v>
      </c>
      <c r="W532" s="117">
        <f>Oportuno!W532</f>
        <v>0</v>
      </c>
      <c r="X532" s="71">
        <f>Oportuno!X532</f>
        <v>0</v>
      </c>
      <c r="Y532" s="71">
        <f>Oportuno!Y532</f>
        <v>0</v>
      </c>
      <c r="AA532" s="65"/>
    </row>
    <row r="533" spans="2:27 16101:16120" ht="13" customHeight="1">
      <c r="B533" s="119">
        <f>Oportuno!B533</f>
        <v>0</v>
      </c>
      <c r="C533" s="23">
        <f>Oportuno!C533</f>
        <v>2026092</v>
      </c>
      <c r="D533" s="23">
        <f>Oportuno!D533</f>
        <v>19</v>
      </c>
      <c r="E533" s="128">
        <f>Oportuno!E533</f>
        <v>0</v>
      </c>
      <c r="F533" s="126" t="e">
        <f>Oportuno!F533</f>
        <v>#N/A</v>
      </c>
      <c r="G533" s="36">
        <f>Oportuno!G533</f>
        <v>1</v>
      </c>
      <c r="H533" s="126" t="str">
        <f>Oportuno!H533</f>
        <v>Oficinas</v>
      </c>
      <c r="I533" s="130">
        <f>Oportuno!I533</f>
        <v>0</v>
      </c>
      <c r="J533" s="174">
        <f>Oportuno!J533</f>
        <v>0</v>
      </c>
      <c r="K533" s="174">
        <f>Oportuno!K533</f>
        <v>0</v>
      </c>
      <c r="L533" s="174">
        <f>Oportuno!L533</f>
        <v>0</v>
      </c>
      <c r="M533" s="174">
        <f>Oportuno!M533</f>
        <v>0</v>
      </c>
      <c r="N533" s="174">
        <f>Oportuno!N533</f>
        <v>0</v>
      </c>
      <c r="O533" s="174">
        <f>Oportuno!O533</f>
        <v>0</v>
      </c>
      <c r="P533" s="174">
        <f>Oportuno!P533</f>
        <v>0</v>
      </c>
      <c r="Q533" s="174">
        <f>Oportuno!Q533</f>
        <v>0</v>
      </c>
      <c r="R533" s="174">
        <f>Oportuno!R533</f>
        <v>0</v>
      </c>
      <c r="S533" s="215">
        <f>Oportuno!S533</f>
        <v>0</v>
      </c>
      <c r="T533" s="71">
        <f>Oportuno!T533</f>
        <v>0</v>
      </c>
      <c r="U533" s="71">
        <f>Oportuno!U533</f>
        <v>0</v>
      </c>
      <c r="V533" s="117">
        <f>Oportuno!V533</f>
        <v>0</v>
      </c>
      <c r="W533" s="117">
        <f>Oportuno!W533</f>
        <v>0</v>
      </c>
      <c r="X533" s="71">
        <f>Oportuno!X533</f>
        <v>0</v>
      </c>
      <c r="Y533" s="71">
        <f>Oportuno!Y533</f>
        <v>0</v>
      </c>
      <c r="AA533" s="65"/>
    </row>
    <row r="534" spans="2:27 16101:16120" ht="13" customHeight="1">
      <c r="B534" s="119">
        <f>Oportuno!B534</f>
        <v>0</v>
      </c>
      <c r="C534" s="23">
        <f>Oportuno!C534</f>
        <v>2026092</v>
      </c>
      <c r="D534" s="23">
        <f>Oportuno!D534</f>
        <v>19</v>
      </c>
      <c r="E534" s="128">
        <f>Oportuno!E534</f>
        <v>0</v>
      </c>
      <c r="F534" s="126" t="e">
        <f>Oportuno!F534</f>
        <v>#N/A</v>
      </c>
      <c r="G534" s="36">
        <f>Oportuno!G534</f>
        <v>1</v>
      </c>
      <c r="H534" s="126" t="str">
        <f>Oportuno!H534</f>
        <v>Oficinas</v>
      </c>
      <c r="I534" s="130">
        <f>Oportuno!I534</f>
        <v>0</v>
      </c>
      <c r="J534" s="174">
        <f>Oportuno!J534</f>
        <v>0</v>
      </c>
      <c r="K534" s="174">
        <f>Oportuno!K534</f>
        <v>0</v>
      </c>
      <c r="L534" s="174">
        <f>Oportuno!L534</f>
        <v>0</v>
      </c>
      <c r="M534" s="174">
        <f>Oportuno!M534</f>
        <v>0</v>
      </c>
      <c r="N534" s="174">
        <f>Oportuno!N534</f>
        <v>0</v>
      </c>
      <c r="O534" s="174">
        <f>Oportuno!O534</f>
        <v>0</v>
      </c>
      <c r="P534" s="174">
        <f>Oportuno!P534</f>
        <v>0</v>
      </c>
      <c r="Q534" s="174">
        <f>Oportuno!Q534</f>
        <v>0</v>
      </c>
      <c r="R534" s="174">
        <f>Oportuno!R534</f>
        <v>0</v>
      </c>
      <c r="S534" s="215">
        <f>Oportuno!S534</f>
        <v>0</v>
      </c>
      <c r="T534" s="71">
        <f>Oportuno!T534</f>
        <v>0</v>
      </c>
      <c r="U534" s="71">
        <f>Oportuno!U534</f>
        <v>0</v>
      </c>
      <c r="V534" s="117">
        <f>Oportuno!V534</f>
        <v>0</v>
      </c>
      <c r="W534" s="117">
        <f>Oportuno!W534</f>
        <v>0</v>
      </c>
      <c r="X534" s="71">
        <f>Oportuno!X534</f>
        <v>0</v>
      </c>
      <c r="Y534" s="71">
        <f>Oportuno!Y534</f>
        <v>0</v>
      </c>
      <c r="AA534" s="65"/>
    </row>
    <row r="535" spans="2:27 16101:16120" ht="13" customHeight="1">
      <c r="B535" s="119">
        <f>Oportuno!B535</f>
        <v>0</v>
      </c>
      <c r="C535" s="23">
        <f>Oportuno!C535</f>
        <v>2026092</v>
      </c>
      <c r="D535" s="23">
        <f>Oportuno!D535</f>
        <v>19</v>
      </c>
      <c r="E535" s="128">
        <f>Oportuno!E535</f>
        <v>0</v>
      </c>
      <c r="F535" s="126" t="e">
        <f>Oportuno!F535</f>
        <v>#N/A</v>
      </c>
      <c r="G535" s="36">
        <f>Oportuno!G535</f>
        <v>1</v>
      </c>
      <c r="H535" s="126" t="str">
        <f>Oportuno!H535</f>
        <v>Oficinas</v>
      </c>
      <c r="I535" s="130">
        <f>Oportuno!I535</f>
        <v>0</v>
      </c>
      <c r="J535" s="174">
        <f>Oportuno!J535</f>
        <v>0</v>
      </c>
      <c r="K535" s="174">
        <f>Oportuno!K535</f>
        <v>0</v>
      </c>
      <c r="L535" s="174">
        <f>Oportuno!L535</f>
        <v>0</v>
      </c>
      <c r="M535" s="174">
        <f>Oportuno!M535</f>
        <v>0</v>
      </c>
      <c r="N535" s="174">
        <f>Oportuno!N535</f>
        <v>0</v>
      </c>
      <c r="O535" s="174">
        <f>Oportuno!O535</f>
        <v>0</v>
      </c>
      <c r="P535" s="174">
        <f>Oportuno!P535</f>
        <v>0</v>
      </c>
      <c r="Q535" s="174">
        <f>Oportuno!Q535</f>
        <v>0</v>
      </c>
      <c r="R535" s="174">
        <f>Oportuno!R535</f>
        <v>0</v>
      </c>
      <c r="S535" s="215">
        <f>Oportuno!S535</f>
        <v>0</v>
      </c>
      <c r="T535" s="71">
        <f>Oportuno!T535</f>
        <v>0</v>
      </c>
      <c r="U535" s="71">
        <f>Oportuno!U535</f>
        <v>0</v>
      </c>
      <c r="V535" s="117">
        <f>Oportuno!V535</f>
        <v>0</v>
      </c>
      <c r="W535" s="117">
        <f>Oportuno!W535</f>
        <v>0</v>
      </c>
      <c r="X535" s="71">
        <f>Oportuno!X535</f>
        <v>0</v>
      </c>
      <c r="Y535" s="71">
        <f>Oportuno!Y535</f>
        <v>0</v>
      </c>
      <c r="AA535" s="65"/>
    </row>
    <row r="536" spans="2:27 16101:16120" ht="13" customHeight="1">
      <c r="B536" s="119">
        <f>Oportuno!B536</f>
        <v>0</v>
      </c>
      <c r="C536" s="23">
        <f>Oportuno!C536</f>
        <v>2026092</v>
      </c>
      <c r="D536" s="23">
        <f>Oportuno!D536</f>
        <v>19</v>
      </c>
      <c r="E536" s="128">
        <f>Oportuno!E536</f>
        <v>0</v>
      </c>
      <c r="F536" s="126" t="e">
        <f>Oportuno!F536</f>
        <v>#N/A</v>
      </c>
      <c r="G536" s="36">
        <f>Oportuno!G536</f>
        <v>1</v>
      </c>
      <c r="H536" s="126" t="str">
        <f>Oportuno!H536</f>
        <v>Oficinas</v>
      </c>
      <c r="I536" s="130">
        <f>Oportuno!I536</f>
        <v>0</v>
      </c>
      <c r="J536" s="174">
        <f>Oportuno!J536</f>
        <v>0</v>
      </c>
      <c r="K536" s="174">
        <f>Oportuno!K536</f>
        <v>0</v>
      </c>
      <c r="L536" s="174">
        <f>Oportuno!L536</f>
        <v>0</v>
      </c>
      <c r="M536" s="174">
        <f>Oportuno!M536</f>
        <v>0</v>
      </c>
      <c r="N536" s="174">
        <f>Oportuno!N536</f>
        <v>0</v>
      </c>
      <c r="O536" s="174">
        <f>Oportuno!O536</f>
        <v>0</v>
      </c>
      <c r="P536" s="174">
        <f>Oportuno!P536</f>
        <v>0</v>
      </c>
      <c r="Q536" s="174">
        <f>Oportuno!Q536</f>
        <v>0</v>
      </c>
      <c r="R536" s="174">
        <f>Oportuno!R536</f>
        <v>0</v>
      </c>
      <c r="S536" s="215">
        <f>Oportuno!S536</f>
        <v>0</v>
      </c>
      <c r="T536" s="71">
        <f>Oportuno!T536</f>
        <v>0</v>
      </c>
      <c r="U536" s="71">
        <f>Oportuno!U536</f>
        <v>0</v>
      </c>
      <c r="V536" s="117">
        <f>Oportuno!V536</f>
        <v>0</v>
      </c>
      <c r="W536" s="117">
        <f>Oportuno!W536</f>
        <v>0</v>
      </c>
      <c r="X536" s="71">
        <f>Oportuno!X536</f>
        <v>0</v>
      </c>
      <c r="Y536" s="71">
        <f>Oportuno!Y536</f>
        <v>0</v>
      </c>
      <c r="AA536" s="65"/>
    </row>
    <row r="537" spans="2:27 16101:16120" ht="13" customHeight="1">
      <c r="B537" s="119">
        <f>Oportuno!B537</f>
        <v>0</v>
      </c>
      <c r="C537" s="23">
        <f>Oportuno!C537</f>
        <v>2026092</v>
      </c>
      <c r="D537" s="23">
        <f>Oportuno!D537</f>
        <v>19</v>
      </c>
      <c r="E537" s="128">
        <f>Oportuno!E537</f>
        <v>0</v>
      </c>
      <c r="F537" s="126" t="e">
        <f>Oportuno!F537</f>
        <v>#N/A</v>
      </c>
      <c r="G537" s="36">
        <f>Oportuno!G537</f>
        <v>1</v>
      </c>
      <c r="H537" s="126" t="str">
        <f>Oportuno!H537</f>
        <v>Oficinas</v>
      </c>
      <c r="I537" s="130">
        <f>Oportuno!I537</f>
        <v>0</v>
      </c>
      <c r="J537" s="174">
        <f>Oportuno!J537</f>
        <v>0</v>
      </c>
      <c r="K537" s="174">
        <f>Oportuno!K537</f>
        <v>0</v>
      </c>
      <c r="L537" s="174">
        <f>Oportuno!L537</f>
        <v>0</v>
      </c>
      <c r="M537" s="174">
        <f>Oportuno!M537</f>
        <v>0</v>
      </c>
      <c r="N537" s="174">
        <f>Oportuno!N537</f>
        <v>0</v>
      </c>
      <c r="O537" s="174">
        <f>Oportuno!O537</f>
        <v>0</v>
      </c>
      <c r="P537" s="174">
        <f>Oportuno!P537</f>
        <v>0</v>
      </c>
      <c r="Q537" s="174">
        <f>Oportuno!Q537</f>
        <v>0</v>
      </c>
      <c r="R537" s="174">
        <f>Oportuno!R537</f>
        <v>0</v>
      </c>
      <c r="S537" s="215">
        <f>Oportuno!S537</f>
        <v>0</v>
      </c>
      <c r="T537" s="71">
        <f>Oportuno!T537</f>
        <v>0</v>
      </c>
      <c r="U537" s="71">
        <f>Oportuno!U537</f>
        <v>0</v>
      </c>
      <c r="V537" s="117">
        <f>Oportuno!V537</f>
        <v>0</v>
      </c>
      <c r="W537" s="117">
        <f>Oportuno!W537</f>
        <v>0</v>
      </c>
      <c r="X537" s="71">
        <f>Oportuno!X537</f>
        <v>0</v>
      </c>
      <c r="Y537" s="71">
        <f>Oportuno!Y537</f>
        <v>0</v>
      </c>
      <c r="AA537" s="65"/>
    </row>
    <row r="538" spans="2:27 16101:16120" ht="13" customHeight="1">
      <c r="B538" s="119">
        <f>Oportuno!B538</f>
        <v>0</v>
      </c>
      <c r="C538" s="23">
        <f>Oportuno!C538</f>
        <v>2026092</v>
      </c>
      <c r="D538" s="23">
        <f>Oportuno!D538</f>
        <v>19</v>
      </c>
      <c r="E538" s="128">
        <f>Oportuno!E538</f>
        <v>0</v>
      </c>
      <c r="F538" s="126" t="e">
        <f>Oportuno!F538</f>
        <v>#N/A</v>
      </c>
      <c r="G538" s="36">
        <f>Oportuno!G538</f>
        <v>1</v>
      </c>
      <c r="H538" s="126" t="str">
        <f>Oportuno!H538</f>
        <v>Oficinas</v>
      </c>
      <c r="I538" s="130">
        <f>Oportuno!I538</f>
        <v>0</v>
      </c>
      <c r="J538" s="174">
        <f>Oportuno!J538</f>
        <v>0</v>
      </c>
      <c r="K538" s="174">
        <f>Oportuno!K538</f>
        <v>0</v>
      </c>
      <c r="L538" s="174">
        <f>Oportuno!L538</f>
        <v>0</v>
      </c>
      <c r="M538" s="174">
        <f>Oportuno!M538</f>
        <v>0</v>
      </c>
      <c r="N538" s="174">
        <f>Oportuno!N538</f>
        <v>0</v>
      </c>
      <c r="O538" s="174">
        <f>Oportuno!O538</f>
        <v>0</v>
      </c>
      <c r="P538" s="174">
        <f>Oportuno!P538</f>
        <v>0</v>
      </c>
      <c r="Q538" s="174">
        <f>Oportuno!Q538</f>
        <v>0</v>
      </c>
      <c r="R538" s="174">
        <f>Oportuno!R538</f>
        <v>0</v>
      </c>
      <c r="S538" s="215">
        <f>Oportuno!S538</f>
        <v>0</v>
      </c>
      <c r="T538" s="71">
        <f>Oportuno!T538</f>
        <v>0</v>
      </c>
      <c r="U538" s="71">
        <f>Oportuno!U538</f>
        <v>0</v>
      </c>
      <c r="V538" s="117">
        <f>Oportuno!V538</f>
        <v>0</v>
      </c>
      <c r="W538" s="117">
        <f>Oportuno!W538</f>
        <v>0</v>
      </c>
      <c r="X538" s="71">
        <f>Oportuno!X538</f>
        <v>0</v>
      </c>
      <c r="Y538" s="71">
        <f>Oportuno!Y538</f>
        <v>0</v>
      </c>
      <c r="AA538" s="65"/>
    </row>
    <row r="539" spans="2:27 16101:16120" ht="13" customHeight="1">
      <c r="B539" s="119">
        <f>Oportuno!B539</f>
        <v>0</v>
      </c>
      <c r="C539" s="23">
        <f>Oportuno!C539</f>
        <v>2026092</v>
      </c>
      <c r="D539" s="23">
        <f>Oportuno!D539</f>
        <v>19</v>
      </c>
      <c r="E539" s="128">
        <f>Oportuno!E539</f>
        <v>0</v>
      </c>
      <c r="F539" s="126" t="e">
        <f>Oportuno!F539</f>
        <v>#N/A</v>
      </c>
      <c r="G539" s="36">
        <f>Oportuno!G539</f>
        <v>1</v>
      </c>
      <c r="H539" s="126" t="str">
        <f>Oportuno!H539</f>
        <v>Oficinas</v>
      </c>
      <c r="I539" s="130">
        <f>Oportuno!I539</f>
        <v>0</v>
      </c>
      <c r="J539" s="174">
        <f>Oportuno!J539</f>
        <v>0</v>
      </c>
      <c r="K539" s="174">
        <f>Oportuno!K539</f>
        <v>0</v>
      </c>
      <c r="L539" s="174">
        <f>Oportuno!L539</f>
        <v>0</v>
      </c>
      <c r="M539" s="174">
        <f>Oportuno!M539</f>
        <v>0</v>
      </c>
      <c r="N539" s="174">
        <f>Oportuno!N539</f>
        <v>0</v>
      </c>
      <c r="O539" s="174">
        <f>Oportuno!O539</f>
        <v>0</v>
      </c>
      <c r="P539" s="174">
        <f>Oportuno!P539</f>
        <v>0</v>
      </c>
      <c r="Q539" s="174">
        <f>Oportuno!Q539</f>
        <v>0</v>
      </c>
      <c r="R539" s="174">
        <f>Oportuno!R539</f>
        <v>0</v>
      </c>
      <c r="S539" s="215">
        <f>Oportuno!S539</f>
        <v>0</v>
      </c>
      <c r="T539" s="71">
        <f>Oportuno!T539</f>
        <v>0</v>
      </c>
      <c r="U539" s="71">
        <f>Oportuno!U539</f>
        <v>0</v>
      </c>
      <c r="V539" s="117">
        <f>Oportuno!V539</f>
        <v>0</v>
      </c>
      <c r="W539" s="117">
        <f>Oportuno!W539</f>
        <v>0</v>
      </c>
      <c r="X539" s="71">
        <f>Oportuno!X539</f>
        <v>0</v>
      </c>
      <c r="Y539" s="71">
        <f>Oportuno!Y539</f>
        <v>0</v>
      </c>
      <c r="AA539" s="65"/>
    </row>
    <row r="540" spans="2:27 16101:16120" ht="13" customHeight="1">
      <c r="B540" s="119">
        <f>Oportuno!B540</f>
        <v>0</v>
      </c>
      <c r="C540" s="23">
        <f>Oportuno!C540</f>
        <v>2026092</v>
      </c>
      <c r="D540" s="23">
        <f>Oportuno!D540</f>
        <v>19</v>
      </c>
      <c r="E540" s="128">
        <f>Oportuno!E540</f>
        <v>0</v>
      </c>
      <c r="F540" s="126" t="e">
        <f>Oportuno!F540</f>
        <v>#N/A</v>
      </c>
      <c r="G540" s="36">
        <f>Oportuno!G540</f>
        <v>1</v>
      </c>
      <c r="H540" s="126" t="str">
        <f>Oportuno!H540</f>
        <v>Oficinas</v>
      </c>
      <c r="I540" s="130">
        <f>Oportuno!I540</f>
        <v>0</v>
      </c>
      <c r="J540" s="174">
        <f>Oportuno!J540</f>
        <v>0</v>
      </c>
      <c r="K540" s="174">
        <f>Oportuno!K540</f>
        <v>0</v>
      </c>
      <c r="L540" s="174">
        <f>Oportuno!L540</f>
        <v>0</v>
      </c>
      <c r="M540" s="174">
        <f>Oportuno!M540</f>
        <v>0</v>
      </c>
      <c r="N540" s="174">
        <f>Oportuno!N540</f>
        <v>0</v>
      </c>
      <c r="O540" s="174">
        <f>Oportuno!O540</f>
        <v>0</v>
      </c>
      <c r="P540" s="174">
        <f>Oportuno!P540</f>
        <v>0</v>
      </c>
      <c r="Q540" s="174">
        <f>Oportuno!Q540</f>
        <v>0</v>
      </c>
      <c r="R540" s="174">
        <f>Oportuno!R540</f>
        <v>0</v>
      </c>
      <c r="S540" s="215">
        <f>Oportuno!S540</f>
        <v>0</v>
      </c>
      <c r="T540" s="71">
        <f>Oportuno!T540</f>
        <v>0</v>
      </c>
      <c r="U540" s="71">
        <f>Oportuno!U540</f>
        <v>0</v>
      </c>
      <c r="V540" s="117">
        <f>Oportuno!V540</f>
        <v>0</v>
      </c>
      <c r="W540" s="117">
        <f>Oportuno!W540</f>
        <v>0</v>
      </c>
      <c r="X540" s="71">
        <f>Oportuno!X540</f>
        <v>0</v>
      </c>
      <c r="Y540" s="71">
        <f>Oportuno!Y540</f>
        <v>0</v>
      </c>
      <c r="AA540" s="65"/>
    </row>
    <row r="541" spans="2:27 16101:16120" ht="13" customHeight="1" thickBot="1">
      <c r="B541" s="119">
        <f>Oportuno!B541</f>
        <v>0</v>
      </c>
      <c r="C541" s="23">
        <f>Oportuno!C541</f>
        <v>2026092</v>
      </c>
      <c r="D541" s="23">
        <f>Oportuno!D541</f>
        <v>19</v>
      </c>
      <c r="E541" s="128">
        <f>Oportuno!E541</f>
        <v>0</v>
      </c>
      <c r="F541" s="126" t="e">
        <f>Oportuno!F541</f>
        <v>#N/A</v>
      </c>
      <c r="G541" s="36">
        <f>Oportuno!G541</f>
        <v>1</v>
      </c>
      <c r="H541" s="126" t="str">
        <f>Oportuno!H541</f>
        <v>Oficinas</v>
      </c>
      <c r="I541" s="130">
        <f>Oportuno!I541</f>
        <v>0</v>
      </c>
      <c r="J541" s="174">
        <f>Oportuno!J541</f>
        <v>0</v>
      </c>
      <c r="K541" s="174">
        <f>Oportuno!K541</f>
        <v>0</v>
      </c>
      <c r="L541" s="174">
        <f>Oportuno!L541</f>
        <v>0</v>
      </c>
      <c r="M541" s="174">
        <f>Oportuno!M541</f>
        <v>0</v>
      </c>
      <c r="N541" s="174">
        <f>Oportuno!N541</f>
        <v>0</v>
      </c>
      <c r="O541" s="174">
        <f>Oportuno!O541</f>
        <v>0</v>
      </c>
      <c r="P541" s="174">
        <f>Oportuno!P541</f>
        <v>0</v>
      </c>
      <c r="Q541" s="174">
        <f>Oportuno!Q541</f>
        <v>0</v>
      </c>
      <c r="R541" s="174">
        <f>Oportuno!R541</f>
        <v>0</v>
      </c>
      <c r="S541" s="215">
        <f>Oportuno!S541</f>
        <v>0</v>
      </c>
      <c r="T541" s="71">
        <f>Oportuno!T541</f>
        <v>0</v>
      </c>
      <c r="U541" s="71">
        <f>Oportuno!U541</f>
        <v>0</v>
      </c>
      <c r="V541" s="117">
        <f>Oportuno!V541</f>
        <v>0</v>
      </c>
      <c r="W541" s="117">
        <f>Oportuno!W541</f>
        <v>0</v>
      </c>
      <c r="X541" s="71">
        <f>Oportuno!X541</f>
        <v>0</v>
      </c>
      <c r="Y541" s="71">
        <f>Oportuno!Y541</f>
        <v>0</v>
      </c>
      <c r="AA541" s="65"/>
    </row>
    <row r="542" spans="2:27 16101:16120" ht="13" customHeight="1" thickBot="1">
      <c r="B542" s="1" t="s">
        <v>0</v>
      </c>
      <c r="C542" s="1" t="s">
        <v>0</v>
      </c>
      <c r="D542" s="20" t="s">
        <v>0</v>
      </c>
      <c r="E542" s="120" t="str">
        <f>Oportuno!E542</f>
        <v xml:space="preserve"> </v>
      </c>
      <c r="F542" s="121" t="str">
        <f>Oportuno!F542</f>
        <v>TOTAL RECAUDO</v>
      </c>
      <c r="G542" s="121" t="s">
        <v>0</v>
      </c>
      <c r="H542" s="121" t="s">
        <v>0</v>
      </c>
      <c r="I542" s="121" t="s">
        <v>0</v>
      </c>
      <c r="J542" s="122">
        <f>Oportuno!J542</f>
        <v>0</v>
      </c>
      <c r="K542" s="122">
        <f>Oportuno!K542</f>
        <v>0</v>
      </c>
      <c r="L542" s="122">
        <f>Oportuno!L542</f>
        <v>0</v>
      </c>
      <c r="M542" s="122">
        <f>Oportuno!M542</f>
        <v>0</v>
      </c>
      <c r="N542" s="122">
        <f>Oportuno!N542</f>
        <v>0</v>
      </c>
      <c r="O542" s="122">
        <f>Oportuno!O542</f>
        <v>0</v>
      </c>
      <c r="P542" s="122">
        <f>Oportuno!P542</f>
        <v>0</v>
      </c>
      <c r="Q542" s="122">
        <f>Oportuno!Q542</f>
        <v>0</v>
      </c>
      <c r="R542" s="122">
        <f>Oportuno!R542</f>
        <v>20</v>
      </c>
      <c r="S542" s="122">
        <f>Oportuno!S542</f>
        <v>1106630</v>
      </c>
      <c r="T542" s="122">
        <f>Oportuno!T542</f>
        <v>20</v>
      </c>
      <c r="U542" s="122">
        <f>Oportuno!U542</f>
        <v>1106630</v>
      </c>
      <c r="V542" s="123">
        <f>Oportuno!V542</f>
        <v>20</v>
      </c>
      <c r="W542" s="123">
        <f>Oportuno!W542</f>
        <v>1106630</v>
      </c>
      <c r="X542" s="122">
        <f>Oportuno!X542</f>
        <v>0</v>
      </c>
      <c r="Y542" s="123">
        <f>Oportuno!Y542</f>
        <v>0</v>
      </c>
      <c r="AA542" s="65"/>
    </row>
    <row r="543" spans="2:27 16101:16120" ht="13" thickBot="1">
      <c r="AA543" s="65"/>
    </row>
    <row r="544" spans="2:27 16101:16120" ht="41.25" customHeight="1" thickBot="1">
      <c r="B544" s="112" t="s">
        <v>4</v>
      </c>
      <c r="C544" s="34" t="s">
        <v>6</v>
      </c>
      <c r="D544" s="34" t="s">
        <v>7</v>
      </c>
      <c r="E544" s="34" t="s">
        <v>49</v>
      </c>
      <c r="F544" s="34" t="s">
        <v>50</v>
      </c>
      <c r="G544" s="34" t="s">
        <v>51</v>
      </c>
      <c r="H544" s="34" t="s">
        <v>52</v>
      </c>
      <c r="I544" s="34" t="s">
        <v>13</v>
      </c>
      <c r="J544" s="231" t="s">
        <v>8</v>
      </c>
      <c r="K544" s="231" t="s">
        <v>36</v>
      </c>
      <c r="L544" s="12" t="s">
        <v>9</v>
      </c>
      <c r="M544" s="12" t="s">
        <v>37</v>
      </c>
      <c r="N544" s="87" t="s">
        <v>10</v>
      </c>
      <c r="O544" s="88" t="s">
        <v>38</v>
      </c>
      <c r="P544" s="87" t="s">
        <v>11</v>
      </c>
      <c r="Q544" s="88" t="s">
        <v>39</v>
      </c>
      <c r="R544" s="232" t="s">
        <v>12</v>
      </c>
      <c r="S544" s="233" t="s">
        <v>40</v>
      </c>
      <c r="T544" s="64" t="s">
        <v>41</v>
      </c>
      <c r="U544" s="64" t="s">
        <v>42</v>
      </c>
      <c r="V544" s="35" t="s">
        <v>32</v>
      </c>
      <c r="W544" s="67" t="s">
        <v>35</v>
      </c>
      <c r="X544" s="12" t="s">
        <v>34</v>
      </c>
      <c r="Y544" s="68" t="s">
        <v>33</v>
      </c>
      <c r="AA544" s="66"/>
      <c r="WUG544" s="1"/>
      <c r="WUH544" s="1"/>
      <c r="WUY544"/>
      <c r="WUZ544"/>
    </row>
    <row r="545" spans="2:27" ht="13" customHeight="1">
      <c r="B545" s="119" t="str">
        <f>Oportuno!B545</f>
        <v>21/09/2026</v>
      </c>
      <c r="C545" s="24">
        <f>Oportuno!C545</f>
        <v>2026092</v>
      </c>
      <c r="D545" s="24">
        <f>Oportuno!D545</f>
        <v>20</v>
      </c>
      <c r="E545" s="127">
        <f>Oportuno!E545</f>
        <v>20</v>
      </c>
      <c r="F545" s="125" t="str">
        <f>Oportuno!F545</f>
        <v>Bancolombia ENERBIT</v>
      </c>
      <c r="G545" s="18">
        <f>Oportuno!G545</f>
        <v>1</v>
      </c>
      <c r="H545" s="125" t="str">
        <f>Oportuno!H545</f>
        <v>Oficinas</v>
      </c>
      <c r="I545" s="129">
        <f>Oportuno!I545</f>
        <v>0</v>
      </c>
      <c r="J545" s="213">
        <f>Oportuno!J545</f>
        <v>0</v>
      </c>
      <c r="K545" s="213">
        <f>Oportuno!K545</f>
        <v>0</v>
      </c>
      <c r="L545" s="213">
        <f>Oportuno!L545</f>
        <v>0</v>
      </c>
      <c r="M545" s="213">
        <f>Oportuno!M545</f>
        <v>0</v>
      </c>
      <c r="N545" s="213">
        <f>Oportuno!N545</f>
        <v>0</v>
      </c>
      <c r="O545" s="213">
        <f>Oportuno!O545</f>
        <v>0</v>
      </c>
      <c r="P545" s="213">
        <f>Oportuno!P545</f>
        <v>0</v>
      </c>
      <c r="Q545" s="213">
        <f>Oportuno!Q545</f>
        <v>0</v>
      </c>
      <c r="R545" s="213">
        <f>Oportuno!R545</f>
        <v>16</v>
      </c>
      <c r="S545" s="214">
        <f>Oportuno!S545</f>
        <v>803070</v>
      </c>
      <c r="T545" s="70">
        <f>Oportuno!T545</f>
        <v>16</v>
      </c>
      <c r="U545" s="70">
        <f>Oportuno!U545</f>
        <v>803070</v>
      </c>
      <c r="V545" s="116">
        <f>Oportuno!V545</f>
        <v>16</v>
      </c>
      <c r="W545" s="116">
        <f>Oportuno!W545</f>
        <v>803070</v>
      </c>
      <c r="X545" s="70">
        <f>Oportuno!X545</f>
        <v>0</v>
      </c>
      <c r="Y545" s="70">
        <f>Oportuno!Y545</f>
        <v>0</v>
      </c>
      <c r="AA545" s="65"/>
    </row>
    <row r="546" spans="2:27" ht="13" customHeight="1">
      <c r="B546" s="119">
        <f>Oportuno!B546</f>
        <v>0</v>
      </c>
      <c r="C546" s="23">
        <f>Oportuno!C546</f>
        <v>2026092</v>
      </c>
      <c r="D546" s="23">
        <f>Oportuno!D546</f>
        <v>20</v>
      </c>
      <c r="E546" s="128">
        <f>Oportuno!E546</f>
        <v>0</v>
      </c>
      <c r="F546" s="126" t="e">
        <f>Oportuno!F546</f>
        <v>#N/A</v>
      </c>
      <c r="G546" s="36">
        <f>Oportuno!G546</f>
        <v>1</v>
      </c>
      <c r="H546" s="126" t="str">
        <f>Oportuno!H546</f>
        <v>Oficinas</v>
      </c>
      <c r="I546" s="130">
        <f>Oportuno!I546</f>
        <v>0</v>
      </c>
      <c r="J546" s="174">
        <f>Oportuno!J546</f>
        <v>0</v>
      </c>
      <c r="K546" s="174">
        <f>Oportuno!K546</f>
        <v>0</v>
      </c>
      <c r="L546" s="174">
        <f>Oportuno!L546</f>
        <v>0</v>
      </c>
      <c r="M546" s="174">
        <f>Oportuno!M546</f>
        <v>0</v>
      </c>
      <c r="N546" s="174">
        <f>Oportuno!N546</f>
        <v>0</v>
      </c>
      <c r="O546" s="174">
        <f>Oportuno!O546</f>
        <v>0</v>
      </c>
      <c r="P546" s="174">
        <f>Oportuno!P546</f>
        <v>0</v>
      </c>
      <c r="Q546" s="174">
        <f>Oportuno!Q546</f>
        <v>0</v>
      </c>
      <c r="R546" s="174">
        <f>Oportuno!R546</f>
        <v>0</v>
      </c>
      <c r="S546" s="215">
        <f>Oportuno!S546</f>
        <v>0</v>
      </c>
      <c r="T546" s="71">
        <f>Oportuno!T546</f>
        <v>0</v>
      </c>
      <c r="U546" s="71">
        <f>Oportuno!U546</f>
        <v>0</v>
      </c>
      <c r="V546" s="117">
        <f>Oportuno!V546</f>
        <v>0</v>
      </c>
      <c r="W546" s="117">
        <f>Oportuno!W546</f>
        <v>0</v>
      </c>
      <c r="X546" s="71">
        <f>Oportuno!X546</f>
        <v>0</v>
      </c>
      <c r="Y546" s="71">
        <f>Oportuno!Y546</f>
        <v>0</v>
      </c>
      <c r="AA546" s="65"/>
    </row>
    <row r="547" spans="2:27" ht="13" customHeight="1">
      <c r="B547" s="119">
        <f>Oportuno!B547</f>
        <v>0</v>
      </c>
      <c r="C547" s="23">
        <f>Oportuno!C547</f>
        <v>2026092</v>
      </c>
      <c r="D547" s="23">
        <f>Oportuno!D547</f>
        <v>20</v>
      </c>
      <c r="E547" s="128">
        <f>Oportuno!E547</f>
        <v>0</v>
      </c>
      <c r="F547" s="126" t="e">
        <f>Oportuno!F547</f>
        <v>#N/A</v>
      </c>
      <c r="G547" s="36">
        <f>Oportuno!G547</f>
        <v>1</v>
      </c>
      <c r="H547" s="126" t="str">
        <f>Oportuno!H547</f>
        <v>Oficinas</v>
      </c>
      <c r="I547" s="130">
        <f>Oportuno!I547</f>
        <v>0</v>
      </c>
      <c r="J547" s="174">
        <f>Oportuno!J547</f>
        <v>0</v>
      </c>
      <c r="K547" s="174">
        <f>Oportuno!K547</f>
        <v>0</v>
      </c>
      <c r="L547" s="174">
        <f>Oportuno!L547</f>
        <v>0</v>
      </c>
      <c r="M547" s="174">
        <f>Oportuno!M547</f>
        <v>0</v>
      </c>
      <c r="N547" s="174">
        <f>Oportuno!N547</f>
        <v>0</v>
      </c>
      <c r="O547" s="174">
        <f>Oportuno!O547</f>
        <v>0</v>
      </c>
      <c r="P547" s="174">
        <f>Oportuno!P547</f>
        <v>0</v>
      </c>
      <c r="Q547" s="174">
        <f>Oportuno!Q547</f>
        <v>0</v>
      </c>
      <c r="R547" s="174">
        <f>Oportuno!R547</f>
        <v>0</v>
      </c>
      <c r="S547" s="215">
        <f>Oportuno!S547</f>
        <v>0</v>
      </c>
      <c r="T547" s="71">
        <f>Oportuno!T547</f>
        <v>0</v>
      </c>
      <c r="U547" s="71">
        <f>Oportuno!U547</f>
        <v>0</v>
      </c>
      <c r="V547" s="117">
        <f>Oportuno!V547</f>
        <v>0</v>
      </c>
      <c r="W547" s="117">
        <f>Oportuno!W547</f>
        <v>0</v>
      </c>
      <c r="X547" s="71">
        <f>Oportuno!X547</f>
        <v>0</v>
      </c>
      <c r="Y547" s="71">
        <f>Oportuno!Y547</f>
        <v>0</v>
      </c>
      <c r="AA547" s="65"/>
    </row>
    <row r="548" spans="2:27" ht="13" customHeight="1">
      <c r="B548" s="119">
        <f>Oportuno!B548</f>
        <v>0</v>
      </c>
      <c r="C548" s="23">
        <f>Oportuno!C548</f>
        <v>2026092</v>
      </c>
      <c r="D548" s="23">
        <f>Oportuno!D548</f>
        <v>20</v>
      </c>
      <c r="E548" s="128">
        <f>Oportuno!E548</f>
        <v>0</v>
      </c>
      <c r="F548" s="126" t="e">
        <f>Oportuno!F548</f>
        <v>#N/A</v>
      </c>
      <c r="G548" s="36">
        <f>Oportuno!G548</f>
        <v>1</v>
      </c>
      <c r="H548" s="126" t="str">
        <f>Oportuno!H548</f>
        <v>Oficinas</v>
      </c>
      <c r="I548" s="130">
        <f>Oportuno!I548</f>
        <v>0</v>
      </c>
      <c r="J548" s="174">
        <f>Oportuno!J548</f>
        <v>0</v>
      </c>
      <c r="K548" s="174">
        <f>Oportuno!K548</f>
        <v>0</v>
      </c>
      <c r="L548" s="174">
        <f>Oportuno!L548</f>
        <v>0</v>
      </c>
      <c r="M548" s="174">
        <f>Oportuno!M548</f>
        <v>0</v>
      </c>
      <c r="N548" s="174">
        <f>Oportuno!N548</f>
        <v>0</v>
      </c>
      <c r="O548" s="174">
        <f>Oportuno!O548</f>
        <v>0</v>
      </c>
      <c r="P548" s="174">
        <f>Oportuno!P548</f>
        <v>0</v>
      </c>
      <c r="Q548" s="174">
        <f>Oportuno!Q548</f>
        <v>0</v>
      </c>
      <c r="R548" s="174">
        <f>Oportuno!R548</f>
        <v>0</v>
      </c>
      <c r="S548" s="215">
        <f>Oportuno!S548</f>
        <v>0</v>
      </c>
      <c r="T548" s="71">
        <f>Oportuno!T548</f>
        <v>0</v>
      </c>
      <c r="U548" s="71">
        <f>Oportuno!U548</f>
        <v>0</v>
      </c>
      <c r="V548" s="117">
        <f>Oportuno!V548</f>
        <v>0</v>
      </c>
      <c r="W548" s="117">
        <f>Oportuno!W548</f>
        <v>0</v>
      </c>
      <c r="X548" s="71">
        <f>Oportuno!X548</f>
        <v>0</v>
      </c>
      <c r="Y548" s="71">
        <f>Oportuno!Y548</f>
        <v>0</v>
      </c>
      <c r="AA548" s="65"/>
    </row>
    <row r="549" spans="2:27" ht="13" customHeight="1">
      <c r="B549" s="119">
        <f>Oportuno!B549</f>
        <v>0</v>
      </c>
      <c r="C549" s="23">
        <f>Oportuno!C549</f>
        <v>2026092</v>
      </c>
      <c r="D549" s="23">
        <f>Oportuno!D549</f>
        <v>20</v>
      </c>
      <c r="E549" s="128">
        <f>Oportuno!E549</f>
        <v>0</v>
      </c>
      <c r="F549" s="126" t="e">
        <f>Oportuno!F549</f>
        <v>#N/A</v>
      </c>
      <c r="G549" s="36">
        <f>Oportuno!G549</f>
        <v>1</v>
      </c>
      <c r="H549" s="126" t="str">
        <f>Oportuno!H549</f>
        <v>Oficinas</v>
      </c>
      <c r="I549" s="130">
        <f>Oportuno!I549</f>
        <v>0</v>
      </c>
      <c r="J549" s="174">
        <f>Oportuno!J549</f>
        <v>0</v>
      </c>
      <c r="K549" s="174">
        <f>Oportuno!K549</f>
        <v>0</v>
      </c>
      <c r="L549" s="174">
        <f>Oportuno!L549</f>
        <v>0</v>
      </c>
      <c r="M549" s="174">
        <f>Oportuno!M549</f>
        <v>0</v>
      </c>
      <c r="N549" s="174">
        <f>Oportuno!N549</f>
        <v>0</v>
      </c>
      <c r="O549" s="174">
        <f>Oportuno!O549</f>
        <v>0</v>
      </c>
      <c r="P549" s="174">
        <f>Oportuno!P549</f>
        <v>0</v>
      </c>
      <c r="Q549" s="174">
        <f>Oportuno!Q549</f>
        <v>0</v>
      </c>
      <c r="R549" s="174">
        <f>Oportuno!R549</f>
        <v>0</v>
      </c>
      <c r="S549" s="215">
        <f>Oportuno!S549</f>
        <v>0</v>
      </c>
      <c r="T549" s="71">
        <f>Oportuno!T549</f>
        <v>0</v>
      </c>
      <c r="U549" s="71">
        <f>Oportuno!U549</f>
        <v>0</v>
      </c>
      <c r="V549" s="117">
        <f>Oportuno!V549</f>
        <v>0</v>
      </c>
      <c r="W549" s="117">
        <f>Oportuno!W549</f>
        <v>0</v>
      </c>
      <c r="X549" s="71">
        <f>Oportuno!X549</f>
        <v>0</v>
      </c>
      <c r="Y549" s="71">
        <f>Oportuno!Y549</f>
        <v>0</v>
      </c>
      <c r="AA549" s="65"/>
    </row>
    <row r="550" spans="2:27" ht="13" customHeight="1">
      <c r="B550" s="119">
        <f>Oportuno!B550</f>
        <v>0</v>
      </c>
      <c r="C550" s="23">
        <f>Oportuno!C550</f>
        <v>2026092</v>
      </c>
      <c r="D550" s="23">
        <f>Oportuno!D550</f>
        <v>20</v>
      </c>
      <c r="E550" s="128">
        <f>Oportuno!E550</f>
        <v>0</v>
      </c>
      <c r="F550" s="126" t="e">
        <f>Oportuno!F550</f>
        <v>#N/A</v>
      </c>
      <c r="G550" s="36">
        <f>Oportuno!G550</f>
        <v>1</v>
      </c>
      <c r="H550" s="126" t="str">
        <f>Oportuno!H550</f>
        <v>Oficinas</v>
      </c>
      <c r="I550" s="130">
        <f>Oportuno!I550</f>
        <v>0</v>
      </c>
      <c r="J550" s="174">
        <f>Oportuno!J550</f>
        <v>0</v>
      </c>
      <c r="K550" s="174">
        <f>Oportuno!K550</f>
        <v>0</v>
      </c>
      <c r="L550" s="174">
        <f>Oportuno!L550</f>
        <v>0</v>
      </c>
      <c r="M550" s="174">
        <f>Oportuno!M550</f>
        <v>0</v>
      </c>
      <c r="N550" s="174">
        <f>Oportuno!N550</f>
        <v>0</v>
      </c>
      <c r="O550" s="174">
        <f>Oportuno!O550</f>
        <v>0</v>
      </c>
      <c r="P550" s="174">
        <f>Oportuno!P550</f>
        <v>0</v>
      </c>
      <c r="Q550" s="174">
        <f>Oportuno!Q550</f>
        <v>0</v>
      </c>
      <c r="R550" s="174">
        <f>Oportuno!R550</f>
        <v>0</v>
      </c>
      <c r="S550" s="215">
        <f>Oportuno!S550</f>
        <v>0</v>
      </c>
      <c r="T550" s="71">
        <f>Oportuno!T550</f>
        <v>0</v>
      </c>
      <c r="U550" s="71">
        <f>Oportuno!U550</f>
        <v>0</v>
      </c>
      <c r="V550" s="117">
        <f>Oportuno!V550</f>
        <v>0</v>
      </c>
      <c r="W550" s="117">
        <f>Oportuno!W550</f>
        <v>0</v>
      </c>
      <c r="X550" s="71">
        <f>Oportuno!X550</f>
        <v>0</v>
      </c>
      <c r="Y550" s="71">
        <f>Oportuno!Y550</f>
        <v>0</v>
      </c>
      <c r="AA550" s="65"/>
    </row>
    <row r="551" spans="2:27" ht="13" customHeight="1">
      <c r="B551" s="119">
        <f>Oportuno!B551</f>
        <v>0</v>
      </c>
      <c r="C551" s="23">
        <f>Oportuno!C551</f>
        <v>2026092</v>
      </c>
      <c r="D551" s="23">
        <f>Oportuno!D551</f>
        <v>20</v>
      </c>
      <c r="E551" s="128">
        <f>Oportuno!E551</f>
        <v>0</v>
      </c>
      <c r="F551" s="126" t="e">
        <f>Oportuno!F551</f>
        <v>#N/A</v>
      </c>
      <c r="G551" s="36">
        <f>Oportuno!G551</f>
        <v>1</v>
      </c>
      <c r="H551" s="126" t="str">
        <f>Oportuno!H551</f>
        <v>Oficinas</v>
      </c>
      <c r="I551" s="130">
        <f>Oportuno!I551</f>
        <v>0</v>
      </c>
      <c r="J551" s="174">
        <f>Oportuno!J551</f>
        <v>0</v>
      </c>
      <c r="K551" s="174">
        <f>Oportuno!K551</f>
        <v>0</v>
      </c>
      <c r="L551" s="174">
        <f>Oportuno!L551</f>
        <v>0</v>
      </c>
      <c r="M551" s="174">
        <f>Oportuno!M551</f>
        <v>0</v>
      </c>
      <c r="N551" s="174">
        <f>Oportuno!N551</f>
        <v>0</v>
      </c>
      <c r="O551" s="174">
        <f>Oportuno!O551</f>
        <v>0</v>
      </c>
      <c r="P551" s="174">
        <f>Oportuno!P551</f>
        <v>0</v>
      </c>
      <c r="Q551" s="174">
        <f>Oportuno!Q551</f>
        <v>0</v>
      </c>
      <c r="R551" s="174">
        <f>Oportuno!R551</f>
        <v>0</v>
      </c>
      <c r="S551" s="215">
        <f>Oportuno!S551</f>
        <v>0</v>
      </c>
      <c r="T551" s="71">
        <f>Oportuno!T551</f>
        <v>0</v>
      </c>
      <c r="U551" s="71">
        <f>Oportuno!U551</f>
        <v>0</v>
      </c>
      <c r="V551" s="117">
        <f>Oportuno!V551</f>
        <v>0</v>
      </c>
      <c r="W551" s="117">
        <f>Oportuno!W551</f>
        <v>0</v>
      </c>
      <c r="X551" s="71">
        <f>Oportuno!X551</f>
        <v>0</v>
      </c>
      <c r="Y551" s="71">
        <f>Oportuno!Y551</f>
        <v>0</v>
      </c>
      <c r="AA551" s="65"/>
    </row>
    <row r="552" spans="2:27" ht="13" customHeight="1">
      <c r="B552" s="119">
        <f>Oportuno!B552</f>
        <v>0</v>
      </c>
      <c r="C552" s="23">
        <f>Oportuno!C552</f>
        <v>2026092</v>
      </c>
      <c r="D552" s="23">
        <f>Oportuno!D552</f>
        <v>20</v>
      </c>
      <c r="E552" s="128">
        <f>Oportuno!E552</f>
        <v>0</v>
      </c>
      <c r="F552" s="126" t="e">
        <f>Oportuno!F552</f>
        <v>#N/A</v>
      </c>
      <c r="G552" s="36">
        <f>Oportuno!G552</f>
        <v>1</v>
      </c>
      <c r="H552" s="126" t="str">
        <f>Oportuno!H552</f>
        <v>Oficinas</v>
      </c>
      <c r="I552" s="130">
        <f>Oportuno!I552</f>
        <v>0</v>
      </c>
      <c r="J552" s="174">
        <f>Oportuno!J552</f>
        <v>0</v>
      </c>
      <c r="K552" s="174">
        <f>Oportuno!K552</f>
        <v>0</v>
      </c>
      <c r="L552" s="174">
        <f>Oportuno!L552</f>
        <v>0</v>
      </c>
      <c r="M552" s="174">
        <f>Oportuno!M552</f>
        <v>0</v>
      </c>
      <c r="N552" s="174">
        <f>Oportuno!N552</f>
        <v>0</v>
      </c>
      <c r="O552" s="174">
        <f>Oportuno!O552</f>
        <v>0</v>
      </c>
      <c r="P552" s="174">
        <f>Oportuno!P552</f>
        <v>0</v>
      </c>
      <c r="Q552" s="174">
        <f>Oportuno!Q552</f>
        <v>0</v>
      </c>
      <c r="R552" s="174">
        <f>Oportuno!R552</f>
        <v>0</v>
      </c>
      <c r="S552" s="215">
        <f>Oportuno!S552</f>
        <v>0</v>
      </c>
      <c r="T552" s="71">
        <f>Oportuno!T552</f>
        <v>0</v>
      </c>
      <c r="U552" s="71">
        <f>Oportuno!U552</f>
        <v>0</v>
      </c>
      <c r="V552" s="117">
        <f>Oportuno!V552</f>
        <v>0</v>
      </c>
      <c r="W552" s="117">
        <f>Oportuno!W552</f>
        <v>0</v>
      </c>
      <c r="X552" s="71">
        <f>Oportuno!X552</f>
        <v>0</v>
      </c>
      <c r="Y552" s="71">
        <f>Oportuno!Y552</f>
        <v>0</v>
      </c>
      <c r="AA552" s="65"/>
    </row>
    <row r="553" spans="2:27" ht="13" customHeight="1">
      <c r="B553" s="119">
        <f>Oportuno!B553</f>
        <v>0</v>
      </c>
      <c r="C553" s="23">
        <f>Oportuno!C553</f>
        <v>2026092</v>
      </c>
      <c r="D553" s="23">
        <f>Oportuno!D553</f>
        <v>20</v>
      </c>
      <c r="E553" s="128">
        <f>Oportuno!E553</f>
        <v>0</v>
      </c>
      <c r="F553" s="126" t="e">
        <f>Oportuno!F553</f>
        <v>#N/A</v>
      </c>
      <c r="G553" s="36">
        <f>Oportuno!G553</f>
        <v>1</v>
      </c>
      <c r="H553" s="126" t="str">
        <f>Oportuno!H553</f>
        <v>Oficinas</v>
      </c>
      <c r="I553" s="130">
        <f>Oportuno!I553</f>
        <v>0</v>
      </c>
      <c r="J553" s="174">
        <f>Oportuno!J553</f>
        <v>0</v>
      </c>
      <c r="K553" s="174">
        <f>Oportuno!K553</f>
        <v>0</v>
      </c>
      <c r="L553" s="174">
        <f>Oportuno!L553</f>
        <v>0</v>
      </c>
      <c r="M553" s="174">
        <f>Oportuno!M553</f>
        <v>0</v>
      </c>
      <c r="N553" s="174">
        <f>Oportuno!N553</f>
        <v>0</v>
      </c>
      <c r="O553" s="174">
        <f>Oportuno!O553</f>
        <v>0</v>
      </c>
      <c r="P553" s="174">
        <f>Oportuno!P553</f>
        <v>0</v>
      </c>
      <c r="Q553" s="174">
        <f>Oportuno!Q553</f>
        <v>0</v>
      </c>
      <c r="R553" s="174">
        <f>Oportuno!R553</f>
        <v>0</v>
      </c>
      <c r="S553" s="215">
        <f>Oportuno!S553</f>
        <v>0</v>
      </c>
      <c r="T553" s="71">
        <f>Oportuno!T553</f>
        <v>0</v>
      </c>
      <c r="U553" s="71">
        <f>Oportuno!U553</f>
        <v>0</v>
      </c>
      <c r="V553" s="117">
        <f>Oportuno!V553</f>
        <v>0</v>
      </c>
      <c r="W553" s="117">
        <f>Oportuno!W553</f>
        <v>0</v>
      </c>
      <c r="X553" s="71">
        <f>Oportuno!X553</f>
        <v>0</v>
      </c>
      <c r="Y553" s="71">
        <f>Oportuno!Y553</f>
        <v>0</v>
      </c>
      <c r="AA553" s="65"/>
    </row>
    <row r="554" spans="2:27" ht="13" customHeight="1">
      <c r="B554" s="119">
        <f>Oportuno!B554</f>
        <v>0</v>
      </c>
      <c r="C554" s="23">
        <f>Oportuno!C554</f>
        <v>2026092</v>
      </c>
      <c r="D554" s="23">
        <f>Oportuno!D554</f>
        <v>20</v>
      </c>
      <c r="E554" s="128">
        <f>Oportuno!E554</f>
        <v>0</v>
      </c>
      <c r="F554" s="126" t="e">
        <f>Oportuno!F554</f>
        <v>#N/A</v>
      </c>
      <c r="G554" s="36">
        <f>Oportuno!G554</f>
        <v>1</v>
      </c>
      <c r="H554" s="126" t="str">
        <f>Oportuno!H554</f>
        <v>Oficinas</v>
      </c>
      <c r="I554" s="130">
        <f>Oportuno!I554</f>
        <v>0</v>
      </c>
      <c r="J554" s="174">
        <f>Oportuno!J554</f>
        <v>0</v>
      </c>
      <c r="K554" s="174">
        <f>Oportuno!K554</f>
        <v>0</v>
      </c>
      <c r="L554" s="174">
        <f>Oportuno!L554</f>
        <v>0</v>
      </c>
      <c r="M554" s="174">
        <f>Oportuno!M554</f>
        <v>0</v>
      </c>
      <c r="N554" s="174">
        <f>Oportuno!N554</f>
        <v>0</v>
      </c>
      <c r="O554" s="174">
        <f>Oportuno!O554</f>
        <v>0</v>
      </c>
      <c r="P554" s="174">
        <f>Oportuno!P554</f>
        <v>0</v>
      </c>
      <c r="Q554" s="174">
        <f>Oportuno!Q554</f>
        <v>0</v>
      </c>
      <c r="R554" s="174">
        <f>Oportuno!R554</f>
        <v>0</v>
      </c>
      <c r="S554" s="215">
        <f>Oportuno!S554</f>
        <v>0</v>
      </c>
      <c r="T554" s="71">
        <f>Oportuno!T554</f>
        <v>0</v>
      </c>
      <c r="U554" s="71">
        <f>Oportuno!U554</f>
        <v>0</v>
      </c>
      <c r="V554" s="117">
        <f>Oportuno!V554</f>
        <v>0</v>
      </c>
      <c r="W554" s="117">
        <f>Oportuno!W554</f>
        <v>0</v>
      </c>
      <c r="X554" s="71">
        <f>Oportuno!X554</f>
        <v>0</v>
      </c>
      <c r="Y554" s="71">
        <f>Oportuno!Y554</f>
        <v>0</v>
      </c>
      <c r="AA554" s="65"/>
    </row>
    <row r="555" spans="2:27" ht="13" customHeight="1">
      <c r="B555" s="119">
        <f>Oportuno!B555</f>
        <v>0</v>
      </c>
      <c r="C555" s="23">
        <f>Oportuno!C555</f>
        <v>2026092</v>
      </c>
      <c r="D555" s="23">
        <f>Oportuno!D555</f>
        <v>20</v>
      </c>
      <c r="E555" s="128">
        <f>Oportuno!E555</f>
        <v>0</v>
      </c>
      <c r="F555" s="126" t="e">
        <f>Oportuno!F555</f>
        <v>#N/A</v>
      </c>
      <c r="G555" s="36">
        <f>Oportuno!G555</f>
        <v>1</v>
      </c>
      <c r="H555" s="126" t="str">
        <f>Oportuno!H555</f>
        <v>Oficinas</v>
      </c>
      <c r="I555" s="130">
        <f>Oportuno!I555</f>
        <v>0</v>
      </c>
      <c r="J555" s="174">
        <f>Oportuno!J555</f>
        <v>0</v>
      </c>
      <c r="K555" s="174">
        <f>Oportuno!K555</f>
        <v>0</v>
      </c>
      <c r="L555" s="174">
        <f>Oportuno!L555</f>
        <v>0</v>
      </c>
      <c r="M555" s="174">
        <f>Oportuno!M555</f>
        <v>0</v>
      </c>
      <c r="N555" s="174">
        <f>Oportuno!N555</f>
        <v>0</v>
      </c>
      <c r="O555" s="174">
        <f>Oportuno!O555</f>
        <v>0</v>
      </c>
      <c r="P555" s="174">
        <f>Oportuno!P555</f>
        <v>0</v>
      </c>
      <c r="Q555" s="174">
        <f>Oportuno!Q555</f>
        <v>0</v>
      </c>
      <c r="R555" s="174">
        <f>Oportuno!R555</f>
        <v>0</v>
      </c>
      <c r="S555" s="215">
        <f>Oportuno!S555</f>
        <v>0</v>
      </c>
      <c r="T555" s="71">
        <f>Oportuno!T555</f>
        <v>0</v>
      </c>
      <c r="U555" s="71">
        <f>Oportuno!U555</f>
        <v>0</v>
      </c>
      <c r="V555" s="117">
        <f>Oportuno!V555</f>
        <v>0</v>
      </c>
      <c r="W555" s="117">
        <f>Oportuno!W555</f>
        <v>0</v>
      </c>
      <c r="X555" s="71">
        <f>Oportuno!X555</f>
        <v>0</v>
      </c>
      <c r="Y555" s="71">
        <f>Oportuno!Y555</f>
        <v>0</v>
      </c>
      <c r="AA555" s="65"/>
    </row>
    <row r="556" spans="2:27" ht="13" customHeight="1">
      <c r="B556" s="119">
        <f>Oportuno!B556</f>
        <v>0</v>
      </c>
      <c r="C556" s="23">
        <f>Oportuno!C556</f>
        <v>2026092</v>
      </c>
      <c r="D556" s="23">
        <f>Oportuno!D556</f>
        <v>20</v>
      </c>
      <c r="E556" s="128">
        <f>Oportuno!E556</f>
        <v>0</v>
      </c>
      <c r="F556" s="126" t="e">
        <f>Oportuno!F556</f>
        <v>#N/A</v>
      </c>
      <c r="G556" s="36">
        <f>Oportuno!G556</f>
        <v>1</v>
      </c>
      <c r="H556" s="126" t="str">
        <f>Oportuno!H556</f>
        <v>Oficinas</v>
      </c>
      <c r="I556" s="130">
        <f>Oportuno!I556</f>
        <v>0</v>
      </c>
      <c r="J556" s="174">
        <f>Oportuno!J556</f>
        <v>0</v>
      </c>
      <c r="K556" s="174">
        <f>Oportuno!K556</f>
        <v>0</v>
      </c>
      <c r="L556" s="174">
        <f>Oportuno!L556</f>
        <v>0</v>
      </c>
      <c r="M556" s="174">
        <f>Oportuno!M556</f>
        <v>0</v>
      </c>
      <c r="N556" s="174">
        <f>Oportuno!N556</f>
        <v>0</v>
      </c>
      <c r="O556" s="174">
        <f>Oportuno!O556</f>
        <v>0</v>
      </c>
      <c r="P556" s="174">
        <f>Oportuno!P556</f>
        <v>0</v>
      </c>
      <c r="Q556" s="174">
        <f>Oportuno!Q556</f>
        <v>0</v>
      </c>
      <c r="R556" s="174">
        <f>Oportuno!R556</f>
        <v>0</v>
      </c>
      <c r="S556" s="215">
        <f>Oportuno!S556</f>
        <v>0</v>
      </c>
      <c r="T556" s="71">
        <f>Oportuno!T556</f>
        <v>0</v>
      </c>
      <c r="U556" s="71">
        <f>Oportuno!U556</f>
        <v>0</v>
      </c>
      <c r="V556" s="117">
        <f>Oportuno!V556</f>
        <v>0</v>
      </c>
      <c r="W556" s="117">
        <f>Oportuno!W556</f>
        <v>0</v>
      </c>
      <c r="X556" s="71">
        <f>Oportuno!X556</f>
        <v>0</v>
      </c>
      <c r="Y556" s="71">
        <f>Oportuno!Y556</f>
        <v>0</v>
      </c>
      <c r="AA556" s="65"/>
    </row>
    <row r="557" spans="2:27" ht="13" customHeight="1">
      <c r="B557" s="119">
        <f>Oportuno!B557</f>
        <v>0</v>
      </c>
      <c r="C557" s="23">
        <f>Oportuno!C557</f>
        <v>2026092</v>
      </c>
      <c r="D557" s="23">
        <f>Oportuno!D557</f>
        <v>20</v>
      </c>
      <c r="E557" s="128">
        <f>Oportuno!E557</f>
        <v>0</v>
      </c>
      <c r="F557" s="126" t="e">
        <f>Oportuno!F557</f>
        <v>#N/A</v>
      </c>
      <c r="G557" s="36">
        <f>Oportuno!G557</f>
        <v>1</v>
      </c>
      <c r="H557" s="126" t="str">
        <f>Oportuno!H557</f>
        <v>Oficinas</v>
      </c>
      <c r="I557" s="130">
        <f>Oportuno!I557</f>
        <v>0</v>
      </c>
      <c r="J557" s="174">
        <f>Oportuno!J557</f>
        <v>0</v>
      </c>
      <c r="K557" s="174">
        <f>Oportuno!K557</f>
        <v>0</v>
      </c>
      <c r="L557" s="174">
        <f>Oportuno!L557</f>
        <v>0</v>
      </c>
      <c r="M557" s="174">
        <f>Oportuno!M557</f>
        <v>0</v>
      </c>
      <c r="N557" s="174">
        <f>Oportuno!N557</f>
        <v>0</v>
      </c>
      <c r="O557" s="174">
        <f>Oportuno!O557</f>
        <v>0</v>
      </c>
      <c r="P557" s="174">
        <f>Oportuno!P557</f>
        <v>0</v>
      </c>
      <c r="Q557" s="174">
        <f>Oportuno!Q557</f>
        <v>0</v>
      </c>
      <c r="R557" s="174">
        <f>Oportuno!R557</f>
        <v>0</v>
      </c>
      <c r="S557" s="215">
        <f>Oportuno!S557</f>
        <v>0</v>
      </c>
      <c r="T557" s="71">
        <f>Oportuno!T557</f>
        <v>0</v>
      </c>
      <c r="U557" s="71">
        <f>Oportuno!U557</f>
        <v>0</v>
      </c>
      <c r="V557" s="117">
        <f>Oportuno!V557</f>
        <v>0</v>
      </c>
      <c r="W557" s="117">
        <f>Oportuno!W557</f>
        <v>0</v>
      </c>
      <c r="X557" s="71">
        <f>Oportuno!X557</f>
        <v>0</v>
      </c>
      <c r="Y557" s="71">
        <f>Oportuno!Y557</f>
        <v>0</v>
      </c>
      <c r="AA557" s="65"/>
    </row>
    <row r="558" spans="2:27" ht="13" customHeight="1">
      <c r="B558" s="119">
        <f>Oportuno!B558</f>
        <v>0</v>
      </c>
      <c r="C558" s="23">
        <f>Oportuno!C558</f>
        <v>2026092</v>
      </c>
      <c r="D558" s="23">
        <f>Oportuno!D558</f>
        <v>20</v>
      </c>
      <c r="E558" s="128">
        <f>Oportuno!E558</f>
        <v>0</v>
      </c>
      <c r="F558" s="126" t="e">
        <f>Oportuno!F558</f>
        <v>#N/A</v>
      </c>
      <c r="G558" s="36">
        <f>Oportuno!G558</f>
        <v>1</v>
      </c>
      <c r="H558" s="126" t="str">
        <f>Oportuno!H558</f>
        <v>Oficinas</v>
      </c>
      <c r="I558" s="130">
        <f>Oportuno!I558</f>
        <v>0</v>
      </c>
      <c r="J558" s="174">
        <f>Oportuno!J558</f>
        <v>0</v>
      </c>
      <c r="K558" s="174">
        <f>Oportuno!K558</f>
        <v>0</v>
      </c>
      <c r="L558" s="174">
        <f>Oportuno!L558</f>
        <v>0</v>
      </c>
      <c r="M558" s="174">
        <f>Oportuno!M558</f>
        <v>0</v>
      </c>
      <c r="N558" s="174">
        <f>Oportuno!N558</f>
        <v>0</v>
      </c>
      <c r="O558" s="174">
        <f>Oportuno!O558</f>
        <v>0</v>
      </c>
      <c r="P558" s="174">
        <f>Oportuno!P558</f>
        <v>0</v>
      </c>
      <c r="Q558" s="174">
        <f>Oportuno!Q558</f>
        <v>0</v>
      </c>
      <c r="R558" s="174">
        <f>Oportuno!R558</f>
        <v>0</v>
      </c>
      <c r="S558" s="215">
        <f>Oportuno!S558</f>
        <v>0</v>
      </c>
      <c r="T558" s="71">
        <f>Oportuno!T558</f>
        <v>0</v>
      </c>
      <c r="U558" s="71">
        <f>Oportuno!U558</f>
        <v>0</v>
      </c>
      <c r="V558" s="117">
        <f>Oportuno!V558</f>
        <v>0</v>
      </c>
      <c r="W558" s="117">
        <f>Oportuno!W558</f>
        <v>0</v>
      </c>
      <c r="X558" s="71">
        <f>Oportuno!X558</f>
        <v>0</v>
      </c>
      <c r="Y558" s="71">
        <f>Oportuno!Y558</f>
        <v>0</v>
      </c>
      <c r="AA558" s="65"/>
    </row>
    <row r="559" spans="2:27" ht="13" customHeight="1">
      <c r="B559" s="119">
        <f>Oportuno!B559</f>
        <v>0</v>
      </c>
      <c r="C559" s="23">
        <f>Oportuno!C559</f>
        <v>2026092</v>
      </c>
      <c r="D559" s="23">
        <f>Oportuno!D559</f>
        <v>20</v>
      </c>
      <c r="E559" s="128">
        <f>Oportuno!E559</f>
        <v>0</v>
      </c>
      <c r="F559" s="126" t="e">
        <f>Oportuno!F559</f>
        <v>#N/A</v>
      </c>
      <c r="G559" s="36">
        <f>Oportuno!G559</f>
        <v>1</v>
      </c>
      <c r="H559" s="126" t="str">
        <f>Oportuno!H559</f>
        <v>Oficinas</v>
      </c>
      <c r="I559" s="130">
        <f>Oportuno!I559</f>
        <v>0</v>
      </c>
      <c r="J559" s="174">
        <f>Oportuno!J559</f>
        <v>0</v>
      </c>
      <c r="K559" s="174">
        <f>Oportuno!K559</f>
        <v>0</v>
      </c>
      <c r="L559" s="174">
        <f>Oportuno!L559</f>
        <v>0</v>
      </c>
      <c r="M559" s="174">
        <f>Oportuno!M559</f>
        <v>0</v>
      </c>
      <c r="N559" s="174">
        <f>Oportuno!N559</f>
        <v>0</v>
      </c>
      <c r="O559" s="174">
        <f>Oportuno!O559</f>
        <v>0</v>
      </c>
      <c r="P559" s="174">
        <f>Oportuno!P559</f>
        <v>0</v>
      </c>
      <c r="Q559" s="174">
        <f>Oportuno!Q559</f>
        <v>0</v>
      </c>
      <c r="R559" s="174">
        <f>Oportuno!R559</f>
        <v>0</v>
      </c>
      <c r="S559" s="215">
        <f>Oportuno!S559</f>
        <v>0</v>
      </c>
      <c r="T559" s="71">
        <f>Oportuno!T559</f>
        <v>0</v>
      </c>
      <c r="U559" s="71">
        <f>Oportuno!U559</f>
        <v>0</v>
      </c>
      <c r="V559" s="117">
        <f>Oportuno!V559</f>
        <v>0</v>
      </c>
      <c r="W559" s="117">
        <f>Oportuno!W559</f>
        <v>0</v>
      </c>
      <c r="X559" s="71">
        <f>Oportuno!X559</f>
        <v>0</v>
      </c>
      <c r="Y559" s="71">
        <f>Oportuno!Y559</f>
        <v>0</v>
      </c>
      <c r="AA559" s="65"/>
    </row>
    <row r="560" spans="2:27" ht="12" customHeight="1">
      <c r="B560" s="119">
        <f>Oportuno!B560</f>
        <v>0</v>
      </c>
      <c r="C560" s="23">
        <f>Oportuno!C560</f>
        <v>2026092</v>
      </c>
      <c r="D560" s="23">
        <f>Oportuno!D560</f>
        <v>20</v>
      </c>
      <c r="E560" s="128">
        <f>Oportuno!E560</f>
        <v>0</v>
      </c>
      <c r="F560" s="126" t="e">
        <f>Oportuno!F560</f>
        <v>#N/A</v>
      </c>
      <c r="G560" s="36">
        <f>Oportuno!G560</f>
        <v>1</v>
      </c>
      <c r="H560" s="126" t="str">
        <f>Oportuno!H560</f>
        <v>Oficinas</v>
      </c>
      <c r="I560" s="130">
        <f>Oportuno!I560</f>
        <v>0</v>
      </c>
      <c r="J560" s="174">
        <f>Oportuno!J560</f>
        <v>0</v>
      </c>
      <c r="K560" s="174">
        <f>Oportuno!K560</f>
        <v>0</v>
      </c>
      <c r="L560" s="174">
        <f>Oportuno!L560</f>
        <v>0</v>
      </c>
      <c r="M560" s="174">
        <f>Oportuno!M560</f>
        <v>0</v>
      </c>
      <c r="N560" s="174">
        <f>Oportuno!N560</f>
        <v>0</v>
      </c>
      <c r="O560" s="174">
        <f>Oportuno!O560</f>
        <v>0</v>
      </c>
      <c r="P560" s="174">
        <f>Oportuno!P560</f>
        <v>0</v>
      </c>
      <c r="Q560" s="174">
        <f>Oportuno!Q560</f>
        <v>0</v>
      </c>
      <c r="R560" s="174">
        <f>Oportuno!R560</f>
        <v>0</v>
      </c>
      <c r="S560" s="215">
        <f>Oportuno!S560</f>
        <v>0</v>
      </c>
      <c r="T560" s="71">
        <f>Oportuno!T560</f>
        <v>0</v>
      </c>
      <c r="U560" s="71">
        <f>Oportuno!U560</f>
        <v>0</v>
      </c>
      <c r="V560" s="117">
        <f>Oportuno!V560</f>
        <v>0</v>
      </c>
      <c r="W560" s="117">
        <f>Oportuno!W560</f>
        <v>0</v>
      </c>
      <c r="X560" s="71">
        <f>Oportuno!X560</f>
        <v>0</v>
      </c>
      <c r="Y560" s="71">
        <f>Oportuno!Y560</f>
        <v>0</v>
      </c>
      <c r="AA560" s="65"/>
    </row>
    <row r="561" spans="2:27 16101:16120" ht="13" customHeight="1">
      <c r="B561" s="119">
        <f>Oportuno!B561</f>
        <v>0</v>
      </c>
      <c r="C561" s="23">
        <f>Oportuno!C561</f>
        <v>2026092</v>
      </c>
      <c r="D561" s="23">
        <f>Oportuno!D561</f>
        <v>20</v>
      </c>
      <c r="E561" s="128">
        <f>Oportuno!E561</f>
        <v>0</v>
      </c>
      <c r="F561" s="126" t="e">
        <f>Oportuno!F561</f>
        <v>#N/A</v>
      </c>
      <c r="G561" s="36">
        <f>Oportuno!G561</f>
        <v>1</v>
      </c>
      <c r="H561" s="126" t="str">
        <f>Oportuno!H561</f>
        <v>Oficinas</v>
      </c>
      <c r="I561" s="130">
        <f>Oportuno!I561</f>
        <v>0</v>
      </c>
      <c r="J561" s="174">
        <f>Oportuno!J561</f>
        <v>0</v>
      </c>
      <c r="K561" s="174">
        <f>Oportuno!K561</f>
        <v>0</v>
      </c>
      <c r="L561" s="174">
        <f>Oportuno!L561</f>
        <v>0</v>
      </c>
      <c r="M561" s="174">
        <f>Oportuno!M561</f>
        <v>0</v>
      </c>
      <c r="N561" s="174">
        <f>Oportuno!N561</f>
        <v>0</v>
      </c>
      <c r="O561" s="174">
        <f>Oportuno!O561</f>
        <v>0</v>
      </c>
      <c r="P561" s="174">
        <f>Oportuno!P561</f>
        <v>0</v>
      </c>
      <c r="Q561" s="174">
        <f>Oportuno!Q561</f>
        <v>0</v>
      </c>
      <c r="R561" s="174">
        <f>Oportuno!R561</f>
        <v>0</v>
      </c>
      <c r="S561" s="215">
        <f>Oportuno!S561</f>
        <v>0</v>
      </c>
      <c r="T561" s="71">
        <f>Oportuno!T561</f>
        <v>0</v>
      </c>
      <c r="U561" s="71">
        <f>Oportuno!U561</f>
        <v>0</v>
      </c>
      <c r="V561" s="117">
        <f>Oportuno!V561</f>
        <v>0</v>
      </c>
      <c r="W561" s="117">
        <f>Oportuno!W561</f>
        <v>0</v>
      </c>
      <c r="X561" s="71">
        <f>Oportuno!X561</f>
        <v>0</v>
      </c>
      <c r="Y561" s="71">
        <f>Oportuno!Y561</f>
        <v>0</v>
      </c>
      <c r="AA561" s="65"/>
    </row>
    <row r="562" spans="2:27 16101:16120" ht="13" customHeight="1">
      <c r="B562" s="119">
        <f>Oportuno!B562</f>
        <v>0</v>
      </c>
      <c r="C562" s="23">
        <f>Oportuno!C562</f>
        <v>2026092</v>
      </c>
      <c r="D562" s="23">
        <f>Oportuno!D562</f>
        <v>20</v>
      </c>
      <c r="E562" s="128">
        <f>Oportuno!E562</f>
        <v>0</v>
      </c>
      <c r="F562" s="126" t="e">
        <f>Oportuno!F562</f>
        <v>#N/A</v>
      </c>
      <c r="G562" s="36">
        <f>Oportuno!G562</f>
        <v>1</v>
      </c>
      <c r="H562" s="126" t="str">
        <f>Oportuno!H562</f>
        <v>Oficinas</v>
      </c>
      <c r="I562" s="130">
        <f>Oportuno!I562</f>
        <v>0</v>
      </c>
      <c r="J562" s="174">
        <f>Oportuno!J562</f>
        <v>0</v>
      </c>
      <c r="K562" s="174">
        <f>Oportuno!K562</f>
        <v>0</v>
      </c>
      <c r="L562" s="174">
        <f>Oportuno!L562</f>
        <v>0</v>
      </c>
      <c r="M562" s="174">
        <f>Oportuno!M562</f>
        <v>0</v>
      </c>
      <c r="N562" s="174">
        <f>Oportuno!N562</f>
        <v>0</v>
      </c>
      <c r="O562" s="174">
        <f>Oportuno!O562</f>
        <v>0</v>
      </c>
      <c r="P562" s="174">
        <f>Oportuno!P562</f>
        <v>0</v>
      </c>
      <c r="Q562" s="174">
        <f>Oportuno!Q562</f>
        <v>0</v>
      </c>
      <c r="R562" s="174">
        <f>Oportuno!R562</f>
        <v>0</v>
      </c>
      <c r="S562" s="215">
        <f>Oportuno!S562</f>
        <v>0</v>
      </c>
      <c r="T562" s="71">
        <f>Oportuno!T562</f>
        <v>0</v>
      </c>
      <c r="U562" s="71">
        <f>Oportuno!U562</f>
        <v>0</v>
      </c>
      <c r="V562" s="117">
        <f>Oportuno!V562</f>
        <v>0</v>
      </c>
      <c r="W562" s="117">
        <f>Oportuno!W562</f>
        <v>0</v>
      </c>
      <c r="X562" s="71">
        <f>Oportuno!X562</f>
        <v>0</v>
      </c>
      <c r="Y562" s="71">
        <f>Oportuno!Y562</f>
        <v>0</v>
      </c>
      <c r="AA562" s="65"/>
    </row>
    <row r="563" spans="2:27 16101:16120" ht="13" customHeight="1">
      <c r="B563" s="119">
        <f>Oportuno!B563</f>
        <v>0</v>
      </c>
      <c r="C563" s="23">
        <f>Oportuno!C563</f>
        <v>2026092</v>
      </c>
      <c r="D563" s="23">
        <f>Oportuno!D563</f>
        <v>20</v>
      </c>
      <c r="E563" s="128">
        <f>Oportuno!E563</f>
        <v>0</v>
      </c>
      <c r="F563" s="126" t="e">
        <f>Oportuno!F563</f>
        <v>#N/A</v>
      </c>
      <c r="G563" s="36">
        <f>Oportuno!G563</f>
        <v>1</v>
      </c>
      <c r="H563" s="126" t="str">
        <f>Oportuno!H563</f>
        <v>Oficinas</v>
      </c>
      <c r="I563" s="130">
        <f>Oportuno!I563</f>
        <v>0</v>
      </c>
      <c r="J563" s="174">
        <f>Oportuno!J563</f>
        <v>0</v>
      </c>
      <c r="K563" s="174">
        <f>Oportuno!K563</f>
        <v>0</v>
      </c>
      <c r="L563" s="174">
        <f>Oportuno!L563</f>
        <v>0</v>
      </c>
      <c r="M563" s="174">
        <f>Oportuno!M563</f>
        <v>0</v>
      </c>
      <c r="N563" s="174">
        <f>Oportuno!N563</f>
        <v>0</v>
      </c>
      <c r="O563" s="174">
        <f>Oportuno!O563</f>
        <v>0</v>
      </c>
      <c r="P563" s="174">
        <f>Oportuno!P563</f>
        <v>0</v>
      </c>
      <c r="Q563" s="174">
        <f>Oportuno!Q563</f>
        <v>0</v>
      </c>
      <c r="R563" s="174">
        <f>Oportuno!R563</f>
        <v>0</v>
      </c>
      <c r="S563" s="215">
        <f>Oportuno!S563</f>
        <v>0</v>
      </c>
      <c r="T563" s="71">
        <f>Oportuno!T563</f>
        <v>0</v>
      </c>
      <c r="U563" s="71">
        <f>Oportuno!U563</f>
        <v>0</v>
      </c>
      <c r="V563" s="117">
        <f>Oportuno!V563</f>
        <v>0</v>
      </c>
      <c r="W563" s="117">
        <f>Oportuno!W563</f>
        <v>0</v>
      </c>
      <c r="X563" s="71">
        <f>Oportuno!X563</f>
        <v>0</v>
      </c>
      <c r="Y563" s="71">
        <f>Oportuno!Y563</f>
        <v>0</v>
      </c>
      <c r="AA563" s="65"/>
    </row>
    <row r="564" spans="2:27 16101:16120" ht="13" customHeight="1">
      <c r="B564" s="119">
        <f>Oportuno!B564</f>
        <v>0</v>
      </c>
      <c r="C564" s="23">
        <f>Oportuno!C564</f>
        <v>2026092</v>
      </c>
      <c r="D564" s="23">
        <f>Oportuno!D564</f>
        <v>20</v>
      </c>
      <c r="E564" s="128">
        <f>Oportuno!E564</f>
        <v>0</v>
      </c>
      <c r="F564" s="126" t="e">
        <f>Oportuno!F564</f>
        <v>#N/A</v>
      </c>
      <c r="G564" s="36">
        <f>Oportuno!G564</f>
        <v>1</v>
      </c>
      <c r="H564" s="126" t="str">
        <f>Oportuno!H564</f>
        <v>Oficinas</v>
      </c>
      <c r="I564" s="130">
        <f>Oportuno!I564</f>
        <v>0</v>
      </c>
      <c r="J564" s="174">
        <f>Oportuno!J564</f>
        <v>0</v>
      </c>
      <c r="K564" s="174">
        <f>Oportuno!K564</f>
        <v>0</v>
      </c>
      <c r="L564" s="174">
        <f>Oportuno!L564</f>
        <v>0</v>
      </c>
      <c r="M564" s="174">
        <f>Oportuno!M564</f>
        <v>0</v>
      </c>
      <c r="N564" s="174">
        <f>Oportuno!N564</f>
        <v>0</v>
      </c>
      <c r="O564" s="174">
        <f>Oportuno!O564</f>
        <v>0</v>
      </c>
      <c r="P564" s="174">
        <f>Oportuno!P564</f>
        <v>0</v>
      </c>
      <c r="Q564" s="174">
        <f>Oportuno!Q564</f>
        <v>0</v>
      </c>
      <c r="R564" s="174">
        <f>Oportuno!R564</f>
        <v>0</v>
      </c>
      <c r="S564" s="215">
        <f>Oportuno!S564</f>
        <v>0</v>
      </c>
      <c r="T564" s="71">
        <f>Oportuno!T564</f>
        <v>0</v>
      </c>
      <c r="U564" s="71">
        <f>Oportuno!U564</f>
        <v>0</v>
      </c>
      <c r="V564" s="117">
        <f>Oportuno!V564</f>
        <v>0</v>
      </c>
      <c r="W564" s="117">
        <f>Oportuno!W564</f>
        <v>0</v>
      </c>
      <c r="X564" s="71">
        <f>Oportuno!X564</f>
        <v>0</v>
      </c>
      <c r="Y564" s="71">
        <f>Oportuno!Y564</f>
        <v>0</v>
      </c>
      <c r="AA564" s="65"/>
    </row>
    <row r="565" spans="2:27 16101:16120" ht="13" customHeight="1">
      <c r="B565" s="119">
        <f>Oportuno!B565</f>
        <v>0</v>
      </c>
      <c r="C565" s="23">
        <f>Oportuno!C565</f>
        <v>2026092</v>
      </c>
      <c r="D565" s="23">
        <f>Oportuno!D565</f>
        <v>20</v>
      </c>
      <c r="E565" s="128">
        <f>Oportuno!E565</f>
        <v>0</v>
      </c>
      <c r="F565" s="126" t="e">
        <f>Oportuno!F565</f>
        <v>#N/A</v>
      </c>
      <c r="G565" s="36">
        <f>Oportuno!G565</f>
        <v>1</v>
      </c>
      <c r="H565" s="126" t="str">
        <f>Oportuno!H565</f>
        <v>Oficinas</v>
      </c>
      <c r="I565" s="130">
        <f>Oportuno!I565</f>
        <v>0</v>
      </c>
      <c r="J565" s="174">
        <f>Oportuno!J565</f>
        <v>0</v>
      </c>
      <c r="K565" s="174">
        <f>Oportuno!K565</f>
        <v>0</v>
      </c>
      <c r="L565" s="174">
        <f>Oportuno!L565</f>
        <v>0</v>
      </c>
      <c r="M565" s="174">
        <f>Oportuno!M565</f>
        <v>0</v>
      </c>
      <c r="N565" s="174">
        <f>Oportuno!N565</f>
        <v>0</v>
      </c>
      <c r="O565" s="174">
        <f>Oportuno!O565</f>
        <v>0</v>
      </c>
      <c r="P565" s="174">
        <f>Oportuno!P565</f>
        <v>0</v>
      </c>
      <c r="Q565" s="174">
        <f>Oportuno!Q565</f>
        <v>0</v>
      </c>
      <c r="R565" s="174">
        <f>Oportuno!R565</f>
        <v>0</v>
      </c>
      <c r="S565" s="215">
        <f>Oportuno!S565</f>
        <v>0</v>
      </c>
      <c r="T565" s="71">
        <f>Oportuno!T565</f>
        <v>0</v>
      </c>
      <c r="U565" s="71">
        <f>Oportuno!U565</f>
        <v>0</v>
      </c>
      <c r="V565" s="117">
        <f>Oportuno!V565</f>
        <v>0</v>
      </c>
      <c r="W565" s="117">
        <f>Oportuno!W565</f>
        <v>0</v>
      </c>
      <c r="X565" s="71">
        <f>Oportuno!X565</f>
        <v>0</v>
      </c>
      <c r="Y565" s="71">
        <f>Oportuno!Y565</f>
        <v>0</v>
      </c>
      <c r="AA565" s="65"/>
    </row>
    <row r="566" spans="2:27 16101:16120" ht="13" customHeight="1">
      <c r="B566" s="119">
        <f>Oportuno!B566</f>
        <v>0</v>
      </c>
      <c r="C566" s="23">
        <f>Oportuno!C566</f>
        <v>2026092</v>
      </c>
      <c r="D566" s="23">
        <f>Oportuno!D566</f>
        <v>20</v>
      </c>
      <c r="E566" s="128">
        <f>Oportuno!E566</f>
        <v>0</v>
      </c>
      <c r="F566" s="126" t="e">
        <f>Oportuno!F566</f>
        <v>#N/A</v>
      </c>
      <c r="G566" s="36">
        <f>Oportuno!G566</f>
        <v>1</v>
      </c>
      <c r="H566" s="126" t="str">
        <f>Oportuno!H566</f>
        <v>Oficinas</v>
      </c>
      <c r="I566" s="130">
        <f>Oportuno!I566</f>
        <v>0</v>
      </c>
      <c r="J566" s="174">
        <f>Oportuno!J566</f>
        <v>0</v>
      </c>
      <c r="K566" s="174">
        <f>Oportuno!K566</f>
        <v>0</v>
      </c>
      <c r="L566" s="174">
        <f>Oportuno!L566</f>
        <v>0</v>
      </c>
      <c r="M566" s="174">
        <f>Oportuno!M566</f>
        <v>0</v>
      </c>
      <c r="N566" s="174">
        <f>Oportuno!N566</f>
        <v>0</v>
      </c>
      <c r="O566" s="174">
        <f>Oportuno!O566</f>
        <v>0</v>
      </c>
      <c r="P566" s="174">
        <f>Oportuno!P566</f>
        <v>0</v>
      </c>
      <c r="Q566" s="174">
        <f>Oportuno!Q566</f>
        <v>0</v>
      </c>
      <c r="R566" s="174">
        <f>Oportuno!R566</f>
        <v>0</v>
      </c>
      <c r="S566" s="215">
        <f>Oportuno!S566</f>
        <v>0</v>
      </c>
      <c r="T566" s="71">
        <f>Oportuno!T566</f>
        <v>0</v>
      </c>
      <c r="U566" s="71">
        <f>Oportuno!U566</f>
        <v>0</v>
      </c>
      <c r="V566" s="117">
        <f>Oportuno!V566</f>
        <v>0</v>
      </c>
      <c r="W566" s="117">
        <f>Oportuno!W566</f>
        <v>0</v>
      </c>
      <c r="X566" s="71">
        <f>Oportuno!X566</f>
        <v>0</v>
      </c>
      <c r="Y566" s="71">
        <f>Oportuno!Y566</f>
        <v>0</v>
      </c>
      <c r="AA566" s="65"/>
    </row>
    <row r="567" spans="2:27 16101:16120" ht="13" customHeight="1">
      <c r="B567" s="119">
        <f>Oportuno!B567</f>
        <v>0</v>
      </c>
      <c r="C567" s="23">
        <f>Oportuno!C567</f>
        <v>2026092</v>
      </c>
      <c r="D567" s="23">
        <f>Oportuno!D567</f>
        <v>20</v>
      </c>
      <c r="E567" s="128">
        <f>Oportuno!E567</f>
        <v>0</v>
      </c>
      <c r="F567" s="126" t="e">
        <f>Oportuno!F567</f>
        <v>#N/A</v>
      </c>
      <c r="G567" s="36">
        <f>Oportuno!G567</f>
        <v>1</v>
      </c>
      <c r="H567" s="126" t="str">
        <f>Oportuno!H567</f>
        <v>Oficinas</v>
      </c>
      <c r="I567" s="130">
        <f>Oportuno!I567</f>
        <v>0</v>
      </c>
      <c r="J567" s="174">
        <f>Oportuno!J567</f>
        <v>0</v>
      </c>
      <c r="K567" s="174">
        <f>Oportuno!K567</f>
        <v>0</v>
      </c>
      <c r="L567" s="174">
        <f>Oportuno!L567</f>
        <v>0</v>
      </c>
      <c r="M567" s="174">
        <f>Oportuno!M567</f>
        <v>0</v>
      </c>
      <c r="N567" s="174">
        <f>Oportuno!N567</f>
        <v>0</v>
      </c>
      <c r="O567" s="174">
        <f>Oportuno!O567</f>
        <v>0</v>
      </c>
      <c r="P567" s="174">
        <f>Oportuno!P567</f>
        <v>0</v>
      </c>
      <c r="Q567" s="174">
        <f>Oportuno!Q567</f>
        <v>0</v>
      </c>
      <c r="R567" s="174">
        <f>Oportuno!R567</f>
        <v>0</v>
      </c>
      <c r="S567" s="215">
        <f>Oportuno!S567</f>
        <v>0</v>
      </c>
      <c r="T567" s="71">
        <f>Oportuno!T567</f>
        <v>0</v>
      </c>
      <c r="U567" s="71">
        <f>Oportuno!U567</f>
        <v>0</v>
      </c>
      <c r="V567" s="117">
        <f>Oportuno!V567</f>
        <v>0</v>
      </c>
      <c r="W567" s="117">
        <f>Oportuno!W567</f>
        <v>0</v>
      </c>
      <c r="X567" s="71">
        <f>Oportuno!X567</f>
        <v>0</v>
      </c>
      <c r="Y567" s="71">
        <f>Oportuno!Y567</f>
        <v>0</v>
      </c>
      <c r="AA567" s="65"/>
    </row>
    <row r="568" spans="2:27 16101:16120" ht="13" customHeight="1">
      <c r="B568" s="119">
        <f>Oportuno!B568</f>
        <v>0</v>
      </c>
      <c r="C568" s="23">
        <f>Oportuno!C568</f>
        <v>2026092</v>
      </c>
      <c r="D568" s="23">
        <f>Oportuno!D568</f>
        <v>20</v>
      </c>
      <c r="E568" s="128">
        <f>Oportuno!E568</f>
        <v>0</v>
      </c>
      <c r="F568" s="126" t="e">
        <f>Oportuno!F568</f>
        <v>#N/A</v>
      </c>
      <c r="G568" s="36">
        <f>Oportuno!G568</f>
        <v>1</v>
      </c>
      <c r="H568" s="126" t="str">
        <f>Oportuno!H568</f>
        <v>Oficinas</v>
      </c>
      <c r="I568" s="130">
        <f>Oportuno!I568</f>
        <v>0</v>
      </c>
      <c r="J568" s="174">
        <f>Oportuno!J568</f>
        <v>0</v>
      </c>
      <c r="K568" s="174">
        <f>Oportuno!K568</f>
        <v>0</v>
      </c>
      <c r="L568" s="174">
        <f>Oportuno!L568</f>
        <v>0</v>
      </c>
      <c r="M568" s="174">
        <f>Oportuno!M568</f>
        <v>0</v>
      </c>
      <c r="N568" s="174">
        <f>Oportuno!N568</f>
        <v>0</v>
      </c>
      <c r="O568" s="174">
        <f>Oportuno!O568</f>
        <v>0</v>
      </c>
      <c r="P568" s="174">
        <f>Oportuno!P568</f>
        <v>0</v>
      </c>
      <c r="Q568" s="174">
        <f>Oportuno!Q568</f>
        <v>0</v>
      </c>
      <c r="R568" s="174">
        <f>Oportuno!R568</f>
        <v>0</v>
      </c>
      <c r="S568" s="215">
        <f>Oportuno!S568</f>
        <v>0</v>
      </c>
      <c r="T568" s="71">
        <f>Oportuno!T568</f>
        <v>0</v>
      </c>
      <c r="U568" s="71">
        <f>Oportuno!U568</f>
        <v>0</v>
      </c>
      <c r="V568" s="117">
        <f>Oportuno!V568</f>
        <v>0</v>
      </c>
      <c r="W568" s="117">
        <f>Oportuno!W568</f>
        <v>0</v>
      </c>
      <c r="X568" s="71">
        <f>Oportuno!X568</f>
        <v>0</v>
      </c>
      <c r="Y568" s="71">
        <f>Oportuno!Y568</f>
        <v>0</v>
      </c>
      <c r="AA568" s="65"/>
    </row>
    <row r="569" spans="2:27 16101:16120" ht="13" customHeight="1" thickBot="1">
      <c r="B569" s="119">
        <f>Oportuno!B569</f>
        <v>0</v>
      </c>
      <c r="C569" s="23">
        <f>Oportuno!C569</f>
        <v>2026092</v>
      </c>
      <c r="D569" s="23">
        <f>Oportuno!D569</f>
        <v>20</v>
      </c>
      <c r="E569" s="128">
        <f>Oportuno!E569</f>
        <v>0</v>
      </c>
      <c r="F569" s="126" t="e">
        <f>Oportuno!F569</f>
        <v>#N/A</v>
      </c>
      <c r="G569" s="36">
        <f>Oportuno!G569</f>
        <v>1</v>
      </c>
      <c r="H569" s="126" t="str">
        <f>Oportuno!H569</f>
        <v>Oficinas</v>
      </c>
      <c r="I569" s="130">
        <f>Oportuno!I569</f>
        <v>0</v>
      </c>
      <c r="J569" s="174">
        <f>Oportuno!J569</f>
        <v>0</v>
      </c>
      <c r="K569" s="174">
        <f>Oportuno!K569</f>
        <v>0</v>
      </c>
      <c r="L569" s="174">
        <f>Oportuno!L569</f>
        <v>0</v>
      </c>
      <c r="M569" s="174">
        <f>Oportuno!M569</f>
        <v>0</v>
      </c>
      <c r="N569" s="174">
        <f>Oportuno!N569</f>
        <v>0</v>
      </c>
      <c r="O569" s="174">
        <f>Oportuno!O569</f>
        <v>0</v>
      </c>
      <c r="P569" s="174">
        <f>Oportuno!P569</f>
        <v>0</v>
      </c>
      <c r="Q569" s="174">
        <f>Oportuno!Q569</f>
        <v>0</v>
      </c>
      <c r="R569" s="174">
        <f>Oportuno!R569</f>
        <v>0</v>
      </c>
      <c r="S569" s="215">
        <f>Oportuno!S569</f>
        <v>0</v>
      </c>
      <c r="T569" s="71">
        <f>Oportuno!T569</f>
        <v>0</v>
      </c>
      <c r="U569" s="71">
        <f>Oportuno!U569</f>
        <v>0</v>
      </c>
      <c r="V569" s="117">
        <f>Oportuno!V569</f>
        <v>0</v>
      </c>
      <c r="W569" s="117">
        <f>Oportuno!W569</f>
        <v>0</v>
      </c>
      <c r="X569" s="71">
        <f>Oportuno!X569</f>
        <v>0</v>
      </c>
      <c r="Y569" s="71">
        <f>Oportuno!Y569</f>
        <v>0</v>
      </c>
      <c r="AA569" s="65"/>
    </row>
    <row r="570" spans="2:27 16101:16120" ht="13" customHeight="1" thickBot="1">
      <c r="B570" s="1" t="s">
        <v>0</v>
      </c>
      <c r="C570" s="1" t="s">
        <v>0</v>
      </c>
      <c r="D570" s="20" t="s">
        <v>0</v>
      </c>
      <c r="E570" s="120" t="str">
        <f>Oportuno!E570</f>
        <v xml:space="preserve"> </v>
      </c>
      <c r="F570" s="121" t="str">
        <f>Oportuno!F570</f>
        <v>TOTAL RECAUDO</v>
      </c>
      <c r="G570" s="121" t="s">
        <v>0</v>
      </c>
      <c r="H570" s="121" t="s">
        <v>0</v>
      </c>
      <c r="I570" s="121" t="s">
        <v>0</v>
      </c>
      <c r="J570" s="122">
        <f>Oportuno!J570</f>
        <v>0</v>
      </c>
      <c r="K570" s="122">
        <f>Oportuno!K570</f>
        <v>0</v>
      </c>
      <c r="L570" s="122">
        <f>Oportuno!L570</f>
        <v>0</v>
      </c>
      <c r="M570" s="122">
        <f>Oportuno!M570</f>
        <v>0</v>
      </c>
      <c r="N570" s="122">
        <f>Oportuno!N570</f>
        <v>0</v>
      </c>
      <c r="O570" s="122">
        <f>Oportuno!O570</f>
        <v>0</v>
      </c>
      <c r="P570" s="122">
        <f>Oportuno!P570</f>
        <v>0</v>
      </c>
      <c r="Q570" s="122">
        <f>Oportuno!Q570</f>
        <v>0</v>
      </c>
      <c r="R570" s="122">
        <f>Oportuno!R570</f>
        <v>16</v>
      </c>
      <c r="S570" s="122">
        <f>Oportuno!S570</f>
        <v>803070</v>
      </c>
      <c r="T570" s="122">
        <f>Oportuno!T570</f>
        <v>16</v>
      </c>
      <c r="U570" s="122">
        <f>Oportuno!U570</f>
        <v>803070</v>
      </c>
      <c r="V570" s="123">
        <f>Oportuno!V570</f>
        <v>16</v>
      </c>
      <c r="W570" s="123">
        <f>Oportuno!W570</f>
        <v>803070</v>
      </c>
      <c r="X570" s="122">
        <f>Oportuno!X570</f>
        <v>0</v>
      </c>
      <c r="Y570" s="123">
        <f>Oportuno!Y570</f>
        <v>0</v>
      </c>
      <c r="AA570" s="65"/>
    </row>
    <row r="571" spans="2:27 16101:16120" ht="13" thickBot="1">
      <c r="AA571" s="65"/>
    </row>
    <row r="572" spans="2:27 16101:16120" ht="41.25" customHeight="1" thickBot="1">
      <c r="B572" s="112" t="s">
        <v>4</v>
      </c>
      <c r="C572" s="34" t="s">
        <v>6</v>
      </c>
      <c r="D572" s="34" t="s">
        <v>7</v>
      </c>
      <c r="E572" s="34" t="s">
        <v>49</v>
      </c>
      <c r="F572" s="34" t="s">
        <v>50</v>
      </c>
      <c r="G572" s="34" t="s">
        <v>51</v>
      </c>
      <c r="H572" s="34" t="s">
        <v>52</v>
      </c>
      <c r="I572" s="34" t="s">
        <v>13</v>
      </c>
      <c r="J572" s="231" t="s">
        <v>8</v>
      </c>
      <c r="K572" s="231" t="s">
        <v>36</v>
      </c>
      <c r="L572" s="12" t="s">
        <v>9</v>
      </c>
      <c r="M572" s="12" t="s">
        <v>37</v>
      </c>
      <c r="N572" s="87" t="s">
        <v>10</v>
      </c>
      <c r="O572" s="88" t="s">
        <v>38</v>
      </c>
      <c r="P572" s="87" t="s">
        <v>11</v>
      </c>
      <c r="Q572" s="88" t="s">
        <v>39</v>
      </c>
      <c r="R572" s="232" t="s">
        <v>12</v>
      </c>
      <c r="S572" s="233" t="s">
        <v>40</v>
      </c>
      <c r="T572" s="64" t="s">
        <v>41</v>
      </c>
      <c r="U572" s="64" t="s">
        <v>42</v>
      </c>
      <c r="V572" s="35" t="s">
        <v>32</v>
      </c>
      <c r="W572" s="67" t="s">
        <v>35</v>
      </c>
      <c r="X572" s="12" t="s">
        <v>34</v>
      </c>
      <c r="Y572" s="68" t="s">
        <v>33</v>
      </c>
      <c r="AA572" s="66"/>
      <c r="WUG572" s="1"/>
      <c r="WUH572" s="1"/>
      <c r="WUY572"/>
      <c r="WUZ572"/>
    </row>
    <row r="573" spans="2:27 16101:16120" ht="13" customHeight="1">
      <c r="B573" s="119" t="str">
        <f>Oportuno!B573</f>
        <v>22/09/2026</v>
      </c>
      <c r="C573" s="24">
        <f>Oportuno!C573</f>
        <v>2026092</v>
      </c>
      <c r="D573" s="24">
        <f>Oportuno!D573</f>
        <v>21</v>
      </c>
      <c r="E573" s="127">
        <f>Oportuno!E573</f>
        <v>20</v>
      </c>
      <c r="F573" s="125" t="str">
        <f>Oportuno!F573</f>
        <v>Bancolombia ENERBIT</v>
      </c>
      <c r="G573" s="18">
        <f>Oportuno!G573</f>
        <v>1</v>
      </c>
      <c r="H573" s="125" t="str">
        <f>Oportuno!H573</f>
        <v>Oficinas</v>
      </c>
      <c r="I573" s="129">
        <f>Oportuno!I573</f>
        <v>0</v>
      </c>
      <c r="J573" s="213">
        <f>Oportuno!J573</f>
        <v>0</v>
      </c>
      <c r="K573" s="213">
        <f>Oportuno!K573</f>
        <v>0</v>
      </c>
      <c r="L573" s="213">
        <f>Oportuno!L573</f>
        <v>0</v>
      </c>
      <c r="M573" s="213">
        <f>Oportuno!M573</f>
        <v>0</v>
      </c>
      <c r="N573" s="213">
        <f>Oportuno!N573</f>
        <v>0</v>
      </c>
      <c r="O573" s="213">
        <f>Oportuno!O573</f>
        <v>0</v>
      </c>
      <c r="P573" s="213">
        <f>Oportuno!P573</f>
        <v>0</v>
      </c>
      <c r="Q573" s="213">
        <f>Oportuno!Q573</f>
        <v>0</v>
      </c>
      <c r="R573" s="213">
        <f>Oportuno!R573</f>
        <v>46</v>
      </c>
      <c r="S573" s="214">
        <f>Oportuno!S573</f>
        <v>3087090</v>
      </c>
      <c r="T573" s="70">
        <f>Oportuno!T573</f>
        <v>46</v>
      </c>
      <c r="U573" s="70">
        <f>Oportuno!U573</f>
        <v>3087090</v>
      </c>
      <c r="V573" s="116">
        <f>Oportuno!V573</f>
        <v>46</v>
      </c>
      <c r="W573" s="116">
        <f>Oportuno!W573</f>
        <v>3087090</v>
      </c>
      <c r="X573" s="70">
        <f>Oportuno!X573</f>
        <v>0</v>
      </c>
      <c r="Y573" s="70">
        <f>Oportuno!Y573</f>
        <v>0</v>
      </c>
      <c r="AA573" s="65"/>
    </row>
    <row r="574" spans="2:27 16101:16120" ht="13" customHeight="1">
      <c r="B574" s="119">
        <f>Oportuno!B574</f>
        <v>0</v>
      </c>
      <c r="C574" s="23">
        <f>Oportuno!C574</f>
        <v>2026092</v>
      </c>
      <c r="D574" s="23">
        <f>Oportuno!D574</f>
        <v>21</v>
      </c>
      <c r="E574" s="128">
        <f>Oportuno!E574</f>
        <v>0</v>
      </c>
      <c r="F574" s="126" t="e">
        <f>Oportuno!F574</f>
        <v>#N/A</v>
      </c>
      <c r="G574" s="36">
        <f>Oportuno!G574</f>
        <v>1</v>
      </c>
      <c r="H574" s="126" t="str">
        <f>Oportuno!H574</f>
        <v>Oficinas</v>
      </c>
      <c r="I574" s="130">
        <f>Oportuno!I574</f>
        <v>0</v>
      </c>
      <c r="J574" s="174">
        <f>Oportuno!J574</f>
        <v>0</v>
      </c>
      <c r="K574" s="174">
        <f>Oportuno!K574</f>
        <v>0</v>
      </c>
      <c r="L574" s="174">
        <f>Oportuno!L574</f>
        <v>0</v>
      </c>
      <c r="M574" s="174">
        <f>Oportuno!M574</f>
        <v>0</v>
      </c>
      <c r="N574" s="174">
        <f>Oportuno!N574</f>
        <v>0</v>
      </c>
      <c r="O574" s="174">
        <f>Oportuno!O574</f>
        <v>0</v>
      </c>
      <c r="P574" s="174">
        <f>Oportuno!P574</f>
        <v>0</v>
      </c>
      <c r="Q574" s="174">
        <f>Oportuno!Q574</f>
        <v>0</v>
      </c>
      <c r="R574" s="174">
        <f>Oportuno!R574</f>
        <v>0</v>
      </c>
      <c r="S574" s="215">
        <f>Oportuno!S574</f>
        <v>0</v>
      </c>
      <c r="T574" s="71">
        <f>Oportuno!T574</f>
        <v>0</v>
      </c>
      <c r="U574" s="71">
        <f>Oportuno!U574</f>
        <v>0</v>
      </c>
      <c r="V574" s="117">
        <f>Oportuno!V574</f>
        <v>0</v>
      </c>
      <c r="W574" s="117">
        <f>Oportuno!W574</f>
        <v>0</v>
      </c>
      <c r="X574" s="71">
        <f>Oportuno!X574</f>
        <v>0</v>
      </c>
      <c r="Y574" s="71">
        <f>Oportuno!Y574</f>
        <v>0</v>
      </c>
      <c r="AA574" s="65"/>
    </row>
    <row r="575" spans="2:27 16101:16120" ht="13" customHeight="1">
      <c r="B575" s="119">
        <f>Oportuno!B575</f>
        <v>0</v>
      </c>
      <c r="C575" s="23">
        <f>Oportuno!C575</f>
        <v>2026092</v>
      </c>
      <c r="D575" s="23">
        <f>Oportuno!D575</f>
        <v>21</v>
      </c>
      <c r="E575" s="128">
        <f>Oportuno!E575</f>
        <v>0</v>
      </c>
      <c r="F575" s="126" t="e">
        <f>Oportuno!F575</f>
        <v>#N/A</v>
      </c>
      <c r="G575" s="36">
        <f>Oportuno!G575</f>
        <v>1</v>
      </c>
      <c r="H575" s="126" t="str">
        <f>Oportuno!H575</f>
        <v>Oficinas</v>
      </c>
      <c r="I575" s="130">
        <f>Oportuno!I575</f>
        <v>0</v>
      </c>
      <c r="J575" s="174">
        <f>Oportuno!J575</f>
        <v>0</v>
      </c>
      <c r="K575" s="174">
        <f>Oportuno!K575</f>
        <v>0</v>
      </c>
      <c r="L575" s="174">
        <f>Oportuno!L575</f>
        <v>0</v>
      </c>
      <c r="M575" s="174">
        <f>Oportuno!M575</f>
        <v>0</v>
      </c>
      <c r="N575" s="174">
        <f>Oportuno!N575</f>
        <v>0</v>
      </c>
      <c r="O575" s="174">
        <f>Oportuno!O575</f>
        <v>0</v>
      </c>
      <c r="P575" s="174">
        <f>Oportuno!P575</f>
        <v>0</v>
      </c>
      <c r="Q575" s="174">
        <f>Oportuno!Q575</f>
        <v>0</v>
      </c>
      <c r="R575" s="174">
        <f>Oportuno!R575</f>
        <v>0</v>
      </c>
      <c r="S575" s="215">
        <f>Oportuno!S575</f>
        <v>0</v>
      </c>
      <c r="T575" s="71">
        <f>Oportuno!T575</f>
        <v>0</v>
      </c>
      <c r="U575" s="71">
        <f>Oportuno!U575</f>
        <v>0</v>
      </c>
      <c r="V575" s="117">
        <f>Oportuno!V575</f>
        <v>0</v>
      </c>
      <c r="W575" s="117">
        <f>Oportuno!W575</f>
        <v>0</v>
      </c>
      <c r="X575" s="71">
        <f>Oportuno!X575</f>
        <v>0</v>
      </c>
      <c r="Y575" s="71">
        <f>Oportuno!Y575</f>
        <v>0</v>
      </c>
      <c r="AA575" s="65"/>
    </row>
    <row r="576" spans="2:27 16101:16120" ht="13" customHeight="1">
      <c r="B576" s="119">
        <f>Oportuno!B576</f>
        <v>0</v>
      </c>
      <c r="C576" s="23">
        <f>Oportuno!C576</f>
        <v>2026092</v>
      </c>
      <c r="D576" s="23">
        <f>Oportuno!D576</f>
        <v>21</v>
      </c>
      <c r="E576" s="128">
        <f>Oportuno!E576</f>
        <v>0</v>
      </c>
      <c r="F576" s="126" t="e">
        <f>Oportuno!F576</f>
        <v>#N/A</v>
      </c>
      <c r="G576" s="36">
        <f>Oportuno!G576</f>
        <v>1</v>
      </c>
      <c r="H576" s="126" t="str">
        <f>Oportuno!H576</f>
        <v>Oficinas</v>
      </c>
      <c r="I576" s="130">
        <f>Oportuno!I576</f>
        <v>0</v>
      </c>
      <c r="J576" s="174">
        <f>Oportuno!J576</f>
        <v>0</v>
      </c>
      <c r="K576" s="174">
        <f>Oportuno!K576</f>
        <v>0</v>
      </c>
      <c r="L576" s="174">
        <f>Oportuno!L576</f>
        <v>0</v>
      </c>
      <c r="M576" s="174">
        <f>Oportuno!M576</f>
        <v>0</v>
      </c>
      <c r="N576" s="174">
        <f>Oportuno!N576</f>
        <v>0</v>
      </c>
      <c r="O576" s="174">
        <f>Oportuno!O576</f>
        <v>0</v>
      </c>
      <c r="P576" s="174">
        <f>Oportuno!P576</f>
        <v>0</v>
      </c>
      <c r="Q576" s="174">
        <f>Oportuno!Q576</f>
        <v>0</v>
      </c>
      <c r="R576" s="174">
        <f>Oportuno!R576</f>
        <v>0</v>
      </c>
      <c r="S576" s="215">
        <f>Oportuno!S576</f>
        <v>0</v>
      </c>
      <c r="T576" s="71">
        <f>Oportuno!T576</f>
        <v>0</v>
      </c>
      <c r="U576" s="71">
        <f>Oportuno!U576</f>
        <v>0</v>
      </c>
      <c r="V576" s="117">
        <f>Oportuno!V576</f>
        <v>0</v>
      </c>
      <c r="W576" s="117">
        <f>Oportuno!W576</f>
        <v>0</v>
      </c>
      <c r="X576" s="71">
        <f>Oportuno!X576</f>
        <v>0</v>
      </c>
      <c r="Y576" s="71">
        <f>Oportuno!Y576</f>
        <v>0</v>
      </c>
      <c r="AA576" s="65"/>
    </row>
    <row r="577" spans="2:27" ht="13" customHeight="1">
      <c r="B577" s="119">
        <f>Oportuno!B577</f>
        <v>0</v>
      </c>
      <c r="C577" s="23">
        <f>Oportuno!C577</f>
        <v>2026092</v>
      </c>
      <c r="D577" s="23">
        <f>Oportuno!D577</f>
        <v>21</v>
      </c>
      <c r="E577" s="128">
        <f>Oportuno!E577</f>
        <v>0</v>
      </c>
      <c r="F577" s="126" t="e">
        <f>Oportuno!F577</f>
        <v>#N/A</v>
      </c>
      <c r="G577" s="36">
        <f>Oportuno!G577</f>
        <v>1</v>
      </c>
      <c r="H577" s="126" t="str">
        <f>Oportuno!H577</f>
        <v>Oficinas</v>
      </c>
      <c r="I577" s="130">
        <f>Oportuno!I577</f>
        <v>0</v>
      </c>
      <c r="J577" s="174">
        <f>Oportuno!J577</f>
        <v>0</v>
      </c>
      <c r="K577" s="174">
        <f>Oportuno!K577</f>
        <v>0</v>
      </c>
      <c r="L577" s="174">
        <f>Oportuno!L577</f>
        <v>0</v>
      </c>
      <c r="M577" s="174">
        <f>Oportuno!M577</f>
        <v>0</v>
      </c>
      <c r="N577" s="174">
        <f>Oportuno!N577</f>
        <v>0</v>
      </c>
      <c r="O577" s="174">
        <f>Oportuno!O577</f>
        <v>0</v>
      </c>
      <c r="P577" s="174">
        <f>Oportuno!P577</f>
        <v>0</v>
      </c>
      <c r="Q577" s="174">
        <f>Oportuno!Q577</f>
        <v>0</v>
      </c>
      <c r="R577" s="174">
        <f>Oportuno!R577</f>
        <v>0</v>
      </c>
      <c r="S577" s="215">
        <f>Oportuno!S577</f>
        <v>0</v>
      </c>
      <c r="T577" s="71">
        <f>Oportuno!T577</f>
        <v>0</v>
      </c>
      <c r="U577" s="71">
        <f>Oportuno!U577</f>
        <v>0</v>
      </c>
      <c r="V577" s="117">
        <f>Oportuno!V577</f>
        <v>0</v>
      </c>
      <c r="W577" s="117">
        <f>Oportuno!W577</f>
        <v>0</v>
      </c>
      <c r="X577" s="71">
        <f>Oportuno!X577</f>
        <v>0</v>
      </c>
      <c r="Y577" s="71">
        <f>Oportuno!Y577</f>
        <v>0</v>
      </c>
      <c r="AA577" s="65"/>
    </row>
    <row r="578" spans="2:27" ht="13" customHeight="1">
      <c r="B578" s="119">
        <f>Oportuno!B578</f>
        <v>0</v>
      </c>
      <c r="C578" s="23">
        <f>Oportuno!C578</f>
        <v>2026092</v>
      </c>
      <c r="D578" s="23">
        <f>Oportuno!D578</f>
        <v>21</v>
      </c>
      <c r="E578" s="128">
        <f>Oportuno!E578</f>
        <v>0</v>
      </c>
      <c r="F578" s="126" t="e">
        <f>Oportuno!F578</f>
        <v>#N/A</v>
      </c>
      <c r="G578" s="36">
        <f>Oportuno!G578</f>
        <v>1</v>
      </c>
      <c r="H578" s="126" t="str">
        <f>Oportuno!H578</f>
        <v>Oficinas</v>
      </c>
      <c r="I578" s="130">
        <f>Oportuno!I578</f>
        <v>0</v>
      </c>
      <c r="J578" s="174">
        <f>Oportuno!J578</f>
        <v>0</v>
      </c>
      <c r="K578" s="174">
        <f>Oportuno!K578</f>
        <v>0</v>
      </c>
      <c r="L578" s="174">
        <f>Oportuno!L578</f>
        <v>0</v>
      </c>
      <c r="M578" s="174">
        <f>Oportuno!M578</f>
        <v>0</v>
      </c>
      <c r="N578" s="174">
        <f>Oportuno!N578</f>
        <v>0</v>
      </c>
      <c r="O578" s="174">
        <f>Oportuno!O578</f>
        <v>0</v>
      </c>
      <c r="P578" s="174">
        <f>Oportuno!P578</f>
        <v>0</v>
      </c>
      <c r="Q578" s="174">
        <f>Oportuno!Q578</f>
        <v>0</v>
      </c>
      <c r="R578" s="174">
        <f>Oportuno!R578</f>
        <v>0</v>
      </c>
      <c r="S578" s="215">
        <f>Oportuno!S578</f>
        <v>0</v>
      </c>
      <c r="T578" s="71">
        <f>Oportuno!T578</f>
        <v>0</v>
      </c>
      <c r="U578" s="71">
        <f>Oportuno!U578</f>
        <v>0</v>
      </c>
      <c r="V578" s="117">
        <f>Oportuno!V578</f>
        <v>0</v>
      </c>
      <c r="W578" s="117">
        <f>Oportuno!W578</f>
        <v>0</v>
      </c>
      <c r="X578" s="71">
        <f>Oportuno!X578</f>
        <v>0</v>
      </c>
      <c r="Y578" s="71">
        <f>Oportuno!Y578</f>
        <v>0</v>
      </c>
      <c r="AA578" s="65"/>
    </row>
    <row r="579" spans="2:27" ht="13" customHeight="1">
      <c r="B579" s="119">
        <f>Oportuno!B579</f>
        <v>0</v>
      </c>
      <c r="C579" s="23">
        <f>Oportuno!C579</f>
        <v>2026092</v>
      </c>
      <c r="D579" s="23">
        <f>Oportuno!D579</f>
        <v>21</v>
      </c>
      <c r="E579" s="128">
        <f>Oportuno!E579</f>
        <v>0</v>
      </c>
      <c r="F579" s="126" t="e">
        <f>Oportuno!F579</f>
        <v>#N/A</v>
      </c>
      <c r="G579" s="36">
        <f>Oportuno!G579</f>
        <v>1</v>
      </c>
      <c r="H579" s="126" t="str">
        <f>Oportuno!H579</f>
        <v>Oficinas</v>
      </c>
      <c r="I579" s="130">
        <f>Oportuno!I579</f>
        <v>0</v>
      </c>
      <c r="J579" s="174">
        <f>Oportuno!J579</f>
        <v>0</v>
      </c>
      <c r="K579" s="174">
        <f>Oportuno!K579</f>
        <v>0</v>
      </c>
      <c r="L579" s="174">
        <f>Oportuno!L579</f>
        <v>0</v>
      </c>
      <c r="M579" s="174">
        <f>Oportuno!M579</f>
        <v>0</v>
      </c>
      <c r="N579" s="174">
        <f>Oportuno!N579</f>
        <v>0</v>
      </c>
      <c r="O579" s="174">
        <f>Oportuno!O579</f>
        <v>0</v>
      </c>
      <c r="P579" s="174">
        <f>Oportuno!P579</f>
        <v>0</v>
      </c>
      <c r="Q579" s="174">
        <f>Oportuno!Q579</f>
        <v>0</v>
      </c>
      <c r="R579" s="174">
        <f>Oportuno!R579</f>
        <v>0</v>
      </c>
      <c r="S579" s="215">
        <f>Oportuno!S579</f>
        <v>0</v>
      </c>
      <c r="T579" s="71">
        <f>Oportuno!T579</f>
        <v>0</v>
      </c>
      <c r="U579" s="71">
        <f>Oportuno!U579</f>
        <v>0</v>
      </c>
      <c r="V579" s="117">
        <f>Oportuno!V579</f>
        <v>0</v>
      </c>
      <c r="W579" s="117">
        <f>Oportuno!W579</f>
        <v>0</v>
      </c>
      <c r="X579" s="71">
        <f>Oportuno!X579</f>
        <v>0</v>
      </c>
      <c r="Y579" s="71">
        <f>Oportuno!Y579</f>
        <v>0</v>
      </c>
      <c r="AA579" s="65"/>
    </row>
    <row r="580" spans="2:27" ht="13" customHeight="1">
      <c r="B580" s="119">
        <f>Oportuno!B580</f>
        <v>0</v>
      </c>
      <c r="C580" s="23">
        <f>Oportuno!C580</f>
        <v>2026092</v>
      </c>
      <c r="D580" s="23">
        <f>Oportuno!D580</f>
        <v>21</v>
      </c>
      <c r="E580" s="128">
        <f>Oportuno!E580</f>
        <v>0</v>
      </c>
      <c r="F580" s="126" t="e">
        <f>Oportuno!F580</f>
        <v>#N/A</v>
      </c>
      <c r="G580" s="36">
        <f>Oportuno!G580</f>
        <v>1</v>
      </c>
      <c r="H580" s="126" t="str">
        <f>Oportuno!H580</f>
        <v>Oficinas</v>
      </c>
      <c r="I580" s="130">
        <f>Oportuno!I580</f>
        <v>0</v>
      </c>
      <c r="J580" s="174">
        <f>Oportuno!J580</f>
        <v>0</v>
      </c>
      <c r="K580" s="174">
        <f>Oportuno!K580</f>
        <v>0</v>
      </c>
      <c r="L580" s="174">
        <f>Oportuno!L580</f>
        <v>0</v>
      </c>
      <c r="M580" s="174">
        <f>Oportuno!M580</f>
        <v>0</v>
      </c>
      <c r="N580" s="174">
        <f>Oportuno!N580</f>
        <v>0</v>
      </c>
      <c r="O580" s="174">
        <f>Oportuno!O580</f>
        <v>0</v>
      </c>
      <c r="P580" s="174">
        <f>Oportuno!P580</f>
        <v>0</v>
      </c>
      <c r="Q580" s="174">
        <f>Oportuno!Q580</f>
        <v>0</v>
      </c>
      <c r="R580" s="174">
        <f>Oportuno!R580</f>
        <v>0</v>
      </c>
      <c r="S580" s="215">
        <f>Oportuno!S580</f>
        <v>0</v>
      </c>
      <c r="T580" s="71">
        <f>Oportuno!T580</f>
        <v>0</v>
      </c>
      <c r="U580" s="71">
        <f>Oportuno!U580</f>
        <v>0</v>
      </c>
      <c r="V580" s="117">
        <f>Oportuno!V580</f>
        <v>0</v>
      </c>
      <c r="W580" s="117">
        <f>Oportuno!W580</f>
        <v>0</v>
      </c>
      <c r="X580" s="71">
        <f>Oportuno!X580</f>
        <v>0</v>
      </c>
      <c r="Y580" s="71">
        <f>Oportuno!Y580</f>
        <v>0</v>
      </c>
      <c r="AA580" s="65"/>
    </row>
    <row r="581" spans="2:27" ht="13" customHeight="1">
      <c r="B581" s="119">
        <f>Oportuno!B581</f>
        <v>0</v>
      </c>
      <c r="C581" s="23">
        <f>Oportuno!C581</f>
        <v>2026092</v>
      </c>
      <c r="D581" s="23">
        <f>Oportuno!D581</f>
        <v>21</v>
      </c>
      <c r="E581" s="128">
        <f>Oportuno!E581</f>
        <v>0</v>
      </c>
      <c r="F581" s="126" t="e">
        <f>Oportuno!F581</f>
        <v>#N/A</v>
      </c>
      <c r="G581" s="36">
        <f>Oportuno!G581</f>
        <v>1</v>
      </c>
      <c r="H581" s="126" t="str">
        <f>Oportuno!H581</f>
        <v>Oficinas</v>
      </c>
      <c r="I581" s="130">
        <f>Oportuno!I581</f>
        <v>0</v>
      </c>
      <c r="J581" s="174">
        <f>Oportuno!J581</f>
        <v>0</v>
      </c>
      <c r="K581" s="174">
        <f>Oportuno!K581</f>
        <v>0</v>
      </c>
      <c r="L581" s="174">
        <f>Oportuno!L581</f>
        <v>0</v>
      </c>
      <c r="M581" s="174">
        <f>Oportuno!M581</f>
        <v>0</v>
      </c>
      <c r="N581" s="174">
        <f>Oportuno!N581</f>
        <v>0</v>
      </c>
      <c r="O581" s="174">
        <f>Oportuno!O581</f>
        <v>0</v>
      </c>
      <c r="P581" s="174">
        <f>Oportuno!P581</f>
        <v>0</v>
      </c>
      <c r="Q581" s="174">
        <f>Oportuno!Q581</f>
        <v>0</v>
      </c>
      <c r="R581" s="174">
        <f>Oportuno!R581</f>
        <v>0</v>
      </c>
      <c r="S581" s="215">
        <f>Oportuno!S581</f>
        <v>0</v>
      </c>
      <c r="T581" s="71">
        <f>Oportuno!T581</f>
        <v>0</v>
      </c>
      <c r="U581" s="71">
        <f>Oportuno!U581</f>
        <v>0</v>
      </c>
      <c r="V581" s="117">
        <f>Oportuno!V581</f>
        <v>0</v>
      </c>
      <c r="W581" s="117">
        <f>Oportuno!W581</f>
        <v>0</v>
      </c>
      <c r="X581" s="71">
        <f>Oportuno!X581</f>
        <v>0</v>
      </c>
      <c r="Y581" s="71">
        <f>Oportuno!Y581</f>
        <v>0</v>
      </c>
      <c r="AA581" s="65"/>
    </row>
    <row r="582" spans="2:27" ht="13" customHeight="1">
      <c r="B582" s="119">
        <f>Oportuno!B582</f>
        <v>0</v>
      </c>
      <c r="C582" s="23">
        <f>Oportuno!C582</f>
        <v>2026092</v>
      </c>
      <c r="D582" s="23">
        <f>Oportuno!D582</f>
        <v>21</v>
      </c>
      <c r="E582" s="128">
        <f>Oportuno!E582</f>
        <v>0</v>
      </c>
      <c r="F582" s="126" t="e">
        <f>Oportuno!F582</f>
        <v>#N/A</v>
      </c>
      <c r="G582" s="36">
        <f>Oportuno!G582</f>
        <v>1</v>
      </c>
      <c r="H582" s="126" t="str">
        <f>Oportuno!H582</f>
        <v>Oficinas</v>
      </c>
      <c r="I582" s="130">
        <f>Oportuno!I582</f>
        <v>0</v>
      </c>
      <c r="J582" s="174">
        <f>Oportuno!J582</f>
        <v>0</v>
      </c>
      <c r="K582" s="174">
        <f>Oportuno!K582</f>
        <v>0</v>
      </c>
      <c r="L582" s="174">
        <f>Oportuno!L582</f>
        <v>0</v>
      </c>
      <c r="M582" s="174">
        <f>Oportuno!M582</f>
        <v>0</v>
      </c>
      <c r="N582" s="174">
        <f>Oportuno!N582</f>
        <v>0</v>
      </c>
      <c r="O582" s="174">
        <f>Oportuno!O582</f>
        <v>0</v>
      </c>
      <c r="P582" s="174">
        <f>Oportuno!P582</f>
        <v>0</v>
      </c>
      <c r="Q582" s="174">
        <f>Oportuno!Q582</f>
        <v>0</v>
      </c>
      <c r="R582" s="174">
        <f>Oportuno!R582</f>
        <v>0</v>
      </c>
      <c r="S582" s="215">
        <f>Oportuno!S582</f>
        <v>0</v>
      </c>
      <c r="T582" s="71">
        <f>Oportuno!T582</f>
        <v>0</v>
      </c>
      <c r="U582" s="71">
        <f>Oportuno!U582</f>
        <v>0</v>
      </c>
      <c r="V582" s="117">
        <f>Oportuno!V582</f>
        <v>0</v>
      </c>
      <c r="W582" s="117">
        <f>Oportuno!W582</f>
        <v>0</v>
      </c>
      <c r="X582" s="71">
        <f>Oportuno!X582</f>
        <v>0</v>
      </c>
      <c r="Y582" s="71">
        <f>Oportuno!Y582</f>
        <v>0</v>
      </c>
      <c r="AA582" s="65"/>
    </row>
    <row r="583" spans="2:27" ht="13" customHeight="1">
      <c r="B583" s="119">
        <f>Oportuno!B583</f>
        <v>0</v>
      </c>
      <c r="C583" s="23">
        <f>Oportuno!C583</f>
        <v>2026092</v>
      </c>
      <c r="D583" s="23">
        <f>Oportuno!D583</f>
        <v>21</v>
      </c>
      <c r="E583" s="128">
        <f>Oportuno!E583</f>
        <v>0</v>
      </c>
      <c r="F583" s="126" t="e">
        <f>Oportuno!F583</f>
        <v>#N/A</v>
      </c>
      <c r="G583" s="36">
        <f>Oportuno!G583</f>
        <v>1</v>
      </c>
      <c r="H583" s="126" t="str">
        <f>Oportuno!H583</f>
        <v>Oficinas</v>
      </c>
      <c r="I583" s="130">
        <f>Oportuno!I583</f>
        <v>0</v>
      </c>
      <c r="J583" s="174">
        <f>Oportuno!J583</f>
        <v>0</v>
      </c>
      <c r="K583" s="174">
        <f>Oportuno!K583</f>
        <v>0</v>
      </c>
      <c r="L583" s="174">
        <f>Oportuno!L583</f>
        <v>0</v>
      </c>
      <c r="M583" s="174">
        <f>Oportuno!M583</f>
        <v>0</v>
      </c>
      <c r="N583" s="174">
        <f>Oportuno!N583</f>
        <v>0</v>
      </c>
      <c r="O583" s="174">
        <f>Oportuno!O583</f>
        <v>0</v>
      </c>
      <c r="P583" s="174">
        <f>Oportuno!P583</f>
        <v>0</v>
      </c>
      <c r="Q583" s="174">
        <f>Oportuno!Q583</f>
        <v>0</v>
      </c>
      <c r="R583" s="174">
        <f>Oportuno!R583</f>
        <v>0</v>
      </c>
      <c r="S583" s="215">
        <f>Oportuno!S583</f>
        <v>0</v>
      </c>
      <c r="T583" s="71">
        <f>Oportuno!T583</f>
        <v>0</v>
      </c>
      <c r="U583" s="71">
        <f>Oportuno!U583</f>
        <v>0</v>
      </c>
      <c r="V583" s="117">
        <f>Oportuno!V583</f>
        <v>0</v>
      </c>
      <c r="W583" s="117">
        <f>Oportuno!W583</f>
        <v>0</v>
      </c>
      <c r="X583" s="71">
        <f>Oportuno!X583</f>
        <v>0</v>
      </c>
      <c r="Y583" s="71">
        <f>Oportuno!Y583</f>
        <v>0</v>
      </c>
      <c r="AA583" s="65"/>
    </row>
    <row r="584" spans="2:27" ht="13" customHeight="1">
      <c r="B584" s="119">
        <f>Oportuno!B584</f>
        <v>0</v>
      </c>
      <c r="C584" s="23">
        <f>Oportuno!C584</f>
        <v>2026092</v>
      </c>
      <c r="D584" s="23">
        <f>Oportuno!D584</f>
        <v>21</v>
      </c>
      <c r="E584" s="128">
        <f>Oportuno!E584</f>
        <v>0</v>
      </c>
      <c r="F584" s="126" t="e">
        <f>Oportuno!F584</f>
        <v>#N/A</v>
      </c>
      <c r="G584" s="36">
        <f>Oportuno!G584</f>
        <v>1</v>
      </c>
      <c r="H584" s="126" t="str">
        <f>Oportuno!H584</f>
        <v>Oficinas</v>
      </c>
      <c r="I584" s="130">
        <f>Oportuno!I584</f>
        <v>0</v>
      </c>
      <c r="J584" s="174">
        <f>Oportuno!J584</f>
        <v>0</v>
      </c>
      <c r="K584" s="174">
        <f>Oportuno!K584</f>
        <v>0</v>
      </c>
      <c r="L584" s="174">
        <f>Oportuno!L584</f>
        <v>0</v>
      </c>
      <c r="M584" s="174">
        <f>Oportuno!M584</f>
        <v>0</v>
      </c>
      <c r="N584" s="174">
        <f>Oportuno!N584</f>
        <v>0</v>
      </c>
      <c r="O584" s="174">
        <f>Oportuno!O584</f>
        <v>0</v>
      </c>
      <c r="P584" s="174">
        <f>Oportuno!P584</f>
        <v>0</v>
      </c>
      <c r="Q584" s="174">
        <f>Oportuno!Q584</f>
        <v>0</v>
      </c>
      <c r="R584" s="174">
        <f>Oportuno!R584</f>
        <v>0</v>
      </c>
      <c r="S584" s="215">
        <f>Oportuno!S584</f>
        <v>0</v>
      </c>
      <c r="T584" s="71">
        <f>Oportuno!T584</f>
        <v>0</v>
      </c>
      <c r="U584" s="71">
        <f>Oportuno!U584</f>
        <v>0</v>
      </c>
      <c r="V584" s="117">
        <f>Oportuno!V584</f>
        <v>0</v>
      </c>
      <c r="W584" s="117">
        <f>Oportuno!W584</f>
        <v>0</v>
      </c>
      <c r="X584" s="71">
        <f>Oportuno!X584</f>
        <v>0</v>
      </c>
      <c r="Y584" s="71">
        <f>Oportuno!Y584</f>
        <v>0</v>
      </c>
      <c r="AA584" s="65"/>
    </row>
    <row r="585" spans="2:27" ht="13" customHeight="1">
      <c r="B585" s="119">
        <f>Oportuno!B585</f>
        <v>0</v>
      </c>
      <c r="C585" s="23">
        <f>Oportuno!C585</f>
        <v>2026092</v>
      </c>
      <c r="D585" s="23">
        <f>Oportuno!D585</f>
        <v>21</v>
      </c>
      <c r="E585" s="128">
        <f>Oportuno!E585</f>
        <v>0</v>
      </c>
      <c r="F585" s="126" t="e">
        <f>Oportuno!F585</f>
        <v>#N/A</v>
      </c>
      <c r="G585" s="36">
        <f>Oportuno!G585</f>
        <v>1</v>
      </c>
      <c r="H585" s="126" t="str">
        <f>Oportuno!H585</f>
        <v>Oficinas</v>
      </c>
      <c r="I585" s="130">
        <f>Oportuno!I585</f>
        <v>0</v>
      </c>
      <c r="J585" s="174">
        <f>Oportuno!J585</f>
        <v>0</v>
      </c>
      <c r="K585" s="174">
        <f>Oportuno!K585</f>
        <v>0</v>
      </c>
      <c r="L585" s="174">
        <f>Oportuno!L585</f>
        <v>0</v>
      </c>
      <c r="M585" s="174">
        <f>Oportuno!M585</f>
        <v>0</v>
      </c>
      <c r="N585" s="174">
        <f>Oportuno!N585</f>
        <v>0</v>
      </c>
      <c r="O585" s="174">
        <f>Oportuno!O585</f>
        <v>0</v>
      </c>
      <c r="P585" s="174">
        <f>Oportuno!P585</f>
        <v>0</v>
      </c>
      <c r="Q585" s="174">
        <f>Oportuno!Q585</f>
        <v>0</v>
      </c>
      <c r="R585" s="174">
        <f>Oportuno!R585</f>
        <v>0</v>
      </c>
      <c r="S585" s="215">
        <f>Oportuno!S585</f>
        <v>0</v>
      </c>
      <c r="T585" s="71">
        <f>Oportuno!T585</f>
        <v>0</v>
      </c>
      <c r="U585" s="71">
        <f>Oportuno!U585</f>
        <v>0</v>
      </c>
      <c r="V585" s="117">
        <f>Oportuno!V585</f>
        <v>0</v>
      </c>
      <c r="W585" s="117">
        <f>Oportuno!W585</f>
        <v>0</v>
      </c>
      <c r="X585" s="71">
        <f>Oportuno!X585</f>
        <v>0</v>
      </c>
      <c r="Y585" s="71">
        <f>Oportuno!Y585</f>
        <v>0</v>
      </c>
      <c r="AA585" s="65"/>
    </row>
    <row r="586" spans="2:27" ht="13" customHeight="1">
      <c r="B586" s="119">
        <f>Oportuno!B586</f>
        <v>0</v>
      </c>
      <c r="C586" s="23">
        <f>Oportuno!C586</f>
        <v>2026092</v>
      </c>
      <c r="D586" s="23">
        <f>Oportuno!D586</f>
        <v>21</v>
      </c>
      <c r="E586" s="128">
        <f>Oportuno!E586</f>
        <v>0</v>
      </c>
      <c r="F586" s="126" t="e">
        <f>Oportuno!F586</f>
        <v>#N/A</v>
      </c>
      <c r="G586" s="36">
        <f>Oportuno!G586</f>
        <v>1</v>
      </c>
      <c r="H586" s="126" t="str">
        <f>Oportuno!H586</f>
        <v>Oficinas</v>
      </c>
      <c r="I586" s="130">
        <f>Oportuno!I586</f>
        <v>0</v>
      </c>
      <c r="J586" s="174">
        <f>Oportuno!J586</f>
        <v>0</v>
      </c>
      <c r="K586" s="174">
        <f>Oportuno!K586</f>
        <v>0</v>
      </c>
      <c r="L586" s="174">
        <f>Oportuno!L586</f>
        <v>0</v>
      </c>
      <c r="M586" s="174">
        <f>Oportuno!M586</f>
        <v>0</v>
      </c>
      <c r="N586" s="174">
        <f>Oportuno!N586</f>
        <v>0</v>
      </c>
      <c r="O586" s="174">
        <f>Oportuno!O586</f>
        <v>0</v>
      </c>
      <c r="P586" s="174">
        <f>Oportuno!P586</f>
        <v>0</v>
      </c>
      <c r="Q586" s="174">
        <f>Oportuno!Q586</f>
        <v>0</v>
      </c>
      <c r="R586" s="174">
        <f>Oportuno!R586</f>
        <v>0</v>
      </c>
      <c r="S586" s="215">
        <f>Oportuno!S586</f>
        <v>0</v>
      </c>
      <c r="T586" s="71">
        <f>Oportuno!T586</f>
        <v>0</v>
      </c>
      <c r="U586" s="71">
        <f>Oportuno!U586</f>
        <v>0</v>
      </c>
      <c r="V586" s="117">
        <f>Oportuno!V586</f>
        <v>0</v>
      </c>
      <c r="W586" s="117">
        <f>Oportuno!W586</f>
        <v>0</v>
      </c>
      <c r="X586" s="71">
        <f>Oportuno!X586</f>
        <v>0</v>
      </c>
      <c r="Y586" s="71">
        <f>Oportuno!Y586</f>
        <v>0</v>
      </c>
      <c r="AA586" s="65"/>
    </row>
    <row r="587" spans="2:27" ht="13" customHeight="1">
      <c r="B587" s="119">
        <f>Oportuno!B587</f>
        <v>0</v>
      </c>
      <c r="C587" s="23">
        <f>Oportuno!C587</f>
        <v>2026092</v>
      </c>
      <c r="D587" s="23">
        <f>Oportuno!D587</f>
        <v>21</v>
      </c>
      <c r="E587" s="128">
        <f>Oportuno!E587</f>
        <v>0</v>
      </c>
      <c r="F587" s="126" t="e">
        <f>Oportuno!F587</f>
        <v>#N/A</v>
      </c>
      <c r="G587" s="36">
        <f>Oportuno!G587</f>
        <v>1</v>
      </c>
      <c r="H587" s="126" t="str">
        <f>Oportuno!H587</f>
        <v>Oficinas</v>
      </c>
      <c r="I587" s="130">
        <f>Oportuno!I587</f>
        <v>0</v>
      </c>
      <c r="J587" s="174">
        <f>Oportuno!J587</f>
        <v>0</v>
      </c>
      <c r="K587" s="174">
        <f>Oportuno!K587</f>
        <v>0</v>
      </c>
      <c r="L587" s="174">
        <f>Oportuno!L587</f>
        <v>0</v>
      </c>
      <c r="M587" s="174">
        <f>Oportuno!M587</f>
        <v>0</v>
      </c>
      <c r="N587" s="174">
        <f>Oportuno!N587</f>
        <v>0</v>
      </c>
      <c r="O587" s="174">
        <f>Oportuno!O587</f>
        <v>0</v>
      </c>
      <c r="P587" s="174">
        <f>Oportuno!P587</f>
        <v>0</v>
      </c>
      <c r="Q587" s="174">
        <f>Oportuno!Q587</f>
        <v>0</v>
      </c>
      <c r="R587" s="174">
        <f>Oportuno!R587</f>
        <v>0</v>
      </c>
      <c r="S587" s="215">
        <f>Oportuno!S587</f>
        <v>0</v>
      </c>
      <c r="T587" s="71">
        <f>Oportuno!T587</f>
        <v>0</v>
      </c>
      <c r="U587" s="71">
        <f>Oportuno!U587</f>
        <v>0</v>
      </c>
      <c r="V587" s="117">
        <f>Oportuno!V587</f>
        <v>0</v>
      </c>
      <c r="W587" s="117">
        <f>Oportuno!W587</f>
        <v>0</v>
      </c>
      <c r="X587" s="71">
        <f>Oportuno!X587</f>
        <v>0</v>
      </c>
      <c r="Y587" s="71">
        <f>Oportuno!Y587</f>
        <v>0</v>
      </c>
      <c r="AA587" s="65"/>
    </row>
    <row r="588" spans="2:27" ht="12" customHeight="1">
      <c r="B588" s="119">
        <f>Oportuno!B588</f>
        <v>0</v>
      </c>
      <c r="C588" s="23">
        <f>Oportuno!C588</f>
        <v>2026092</v>
      </c>
      <c r="D588" s="23">
        <f>Oportuno!D588</f>
        <v>21</v>
      </c>
      <c r="E588" s="128">
        <f>Oportuno!E588</f>
        <v>0</v>
      </c>
      <c r="F588" s="126" t="e">
        <f>Oportuno!F588</f>
        <v>#N/A</v>
      </c>
      <c r="G588" s="36">
        <f>Oportuno!G588</f>
        <v>1</v>
      </c>
      <c r="H588" s="126" t="str">
        <f>Oportuno!H588</f>
        <v>Oficinas</v>
      </c>
      <c r="I588" s="130">
        <f>Oportuno!I588</f>
        <v>0</v>
      </c>
      <c r="J588" s="174">
        <f>Oportuno!J588</f>
        <v>0</v>
      </c>
      <c r="K588" s="174">
        <f>Oportuno!K588</f>
        <v>0</v>
      </c>
      <c r="L588" s="174">
        <f>Oportuno!L588</f>
        <v>0</v>
      </c>
      <c r="M588" s="174">
        <f>Oportuno!M588</f>
        <v>0</v>
      </c>
      <c r="N588" s="174">
        <f>Oportuno!N588</f>
        <v>0</v>
      </c>
      <c r="O588" s="174">
        <f>Oportuno!O588</f>
        <v>0</v>
      </c>
      <c r="P588" s="174">
        <f>Oportuno!P588</f>
        <v>0</v>
      </c>
      <c r="Q588" s="174">
        <f>Oportuno!Q588</f>
        <v>0</v>
      </c>
      <c r="R588" s="174">
        <f>Oportuno!R588</f>
        <v>0</v>
      </c>
      <c r="S588" s="215">
        <f>Oportuno!S588</f>
        <v>0</v>
      </c>
      <c r="T588" s="71">
        <f>Oportuno!T588</f>
        <v>0</v>
      </c>
      <c r="U588" s="71">
        <f>Oportuno!U588</f>
        <v>0</v>
      </c>
      <c r="V588" s="117">
        <f>Oportuno!V588</f>
        <v>0</v>
      </c>
      <c r="W588" s="117">
        <f>Oportuno!W588</f>
        <v>0</v>
      </c>
      <c r="X588" s="71">
        <f>Oportuno!X588</f>
        <v>0</v>
      </c>
      <c r="Y588" s="71">
        <f>Oportuno!Y588</f>
        <v>0</v>
      </c>
      <c r="AA588" s="65"/>
    </row>
    <row r="589" spans="2:27" ht="13" customHeight="1">
      <c r="B589" s="119">
        <f>Oportuno!B589</f>
        <v>0</v>
      </c>
      <c r="C589" s="23">
        <f>Oportuno!C589</f>
        <v>2026092</v>
      </c>
      <c r="D589" s="23">
        <f>Oportuno!D589</f>
        <v>21</v>
      </c>
      <c r="E589" s="128">
        <f>Oportuno!E589</f>
        <v>0</v>
      </c>
      <c r="F589" s="126" t="e">
        <f>Oportuno!F589</f>
        <v>#N/A</v>
      </c>
      <c r="G589" s="36">
        <f>Oportuno!G589</f>
        <v>1</v>
      </c>
      <c r="H589" s="126" t="str">
        <f>Oportuno!H589</f>
        <v>Oficinas</v>
      </c>
      <c r="I589" s="130">
        <f>Oportuno!I589</f>
        <v>0</v>
      </c>
      <c r="J589" s="174">
        <f>Oportuno!J589</f>
        <v>0</v>
      </c>
      <c r="K589" s="174">
        <f>Oportuno!K589</f>
        <v>0</v>
      </c>
      <c r="L589" s="174">
        <f>Oportuno!L589</f>
        <v>0</v>
      </c>
      <c r="M589" s="174">
        <f>Oportuno!M589</f>
        <v>0</v>
      </c>
      <c r="N589" s="174">
        <f>Oportuno!N589</f>
        <v>0</v>
      </c>
      <c r="O589" s="174">
        <f>Oportuno!O589</f>
        <v>0</v>
      </c>
      <c r="P589" s="174">
        <f>Oportuno!P589</f>
        <v>0</v>
      </c>
      <c r="Q589" s="174">
        <f>Oportuno!Q589</f>
        <v>0</v>
      </c>
      <c r="R589" s="174">
        <f>Oportuno!R589</f>
        <v>0</v>
      </c>
      <c r="S589" s="215">
        <f>Oportuno!S589</f>
        <v>0</v>
      </c>
      <c r="T589" s="71">
        <f>Oportuno!T589</f>
        <v>0</v>
      </c>
      <c r="U589" s="71">
        <f>Oportuno!U589</f>
        <v>0</v>
      </c>
      <c r="V589" s="117">
        <f>Oportuno!V589</f>
        <v>0</v>
      </c>
      <c r="W589" s="117">
        <f>Oportuno!W589</f>
        <v>0</v>
      </c>
      <c r="X589" s="71">
        <f>Oportuno!X589</f>
        <v>0</v>
      </c>
      <c r="Y589" s="71">
        <f>Oportuno!Y589</f>
        <v>0</v>
      </c>
      <c r="AA589" s="65"/>
    </row>
    <row r="590" spans="2:27" ht="13" customHeight="1">
      <c r="B590" s="119">
        <f>Oportuno!B590</f>
        <v>0</v>
      </c>
      <c r="C590" s="23">
        <f>Oportuno!C590</f>
        <v>2026092</v>
      </c>
      <c r="D590" s="23">
        <f>Oportuno!D590</f>
        <v>21</v>
      </c>
      <c r="E590" s="128">
        <f>Oportuno!E590</f>
        <v>0</v>
      </c>
      <c r="F590" s="126" t="e">
        <f>Oportuno!F590</f>
        <v>#N/A</v>
      </c>
      <c r="G590" s="36">
        <f>Oportuno!G590</f>
        <v>1</v>
      </c>
      <c r="H590" s="126" t="str">
        <f>Oportuno!H590</f>
        <v>Oficinas</v>
      </c>
      <c r="I590" s="130">
        <f>Oportuno!I590</f>
        <v>0</v>
      </c>
      <c r="J590" s="174">
        <f>Oportuno!J590</f>
        <v>0</v>
      </c>
      <c r="K590" s="174">
        <f>Oportuno!K590</f>
        <v>0</v>
      </c>
      <c r="L590" s="174">
        <f>Oportuno!L590</f>
        <v>0</v>
      </c>
      <c r="M590" s="174">
        <f>Oportuno!M590</f>
        <v>0</v>
      </c>
      <c r="N590" s="174">
        <f>Oportuno!N590</f>
        <v>0</v>
      </c>
      <c r="O590" s="174">
        <f>Oportuno!O590</f>
        <v>0</v>
      </c>
      <c r="P590" s="174">
        <f>Oportuno!P590</f>
        <v>0</v>
      </c>
      <c r="Q590" s="174">
        <f>Oportuno!Q590</f>
        <v>0</v>
      </c>
      <c r="R590" s="174">
        <f>Oportuno!R590</f>
        <v>0</v>
      </c>
      <c r="S590" s="215">
        <f>Oportuno!S590</f>
        <v>0</v>
      </c>
      <c r="T590" s="71">
        <f>Oportuno!T590</f>
        <v>0</v>
      </c>
      <c r="U590" s="71">
        <f>Oportuno!U590</f>
        <v>0</v>
      </c>
      <c r="V590" s="117">
        <f>Oportuno!V590</f>
        <v>0</v>
      </c>
      <c r="W590" s="117">
        <f>Oportuno!W590</f>
        <v>0</v>
      </c>
      <c r="X590" s="71">
        <f>Oportuno!X590</f>
        <v>0</v>
      </c>
      <c r="Y590" s="71">
        <f>Oportuno!Y590</f>
        <v>0</v>
      </c>
      <c r="AA590" s="65"/>
    </row>
    <row r="591" spans="2:27" ht="13" customHeight="1">
      <c r="B591" s="119">
        <f>Oportuno!B591</f>
        <v>0</v>
      </c>
      <c r="C591" s="23">
        <f>Oportuno!C591</f>
        <v>2026092</v>
      </c>
      <c r="D591" s="23">
        <f>Oportuno!D591</f>
        <v>21</v>
      </c>
      <c r="E591" s="128">
        <f>Oportuno!E591</f>
        <v>0</v>
      </c>
      <c r="F591" s="126" t="e">
        <f>Oportuno!F591</f>
        <v>#N/A</v>
      </c>
      <c r="G591" s="36">
        <f>Oportuno!G591</f>
        <v>1</v>
      </c>
      <c r="H591" s="126" t="str">
        <f>Oportuno!H591</f>
        <v>Oficinas</v>
      </c>
      <c r="I591" s="130">
        <f>Oportuno!I591</f>
        <v>0</v>
      </c>
      <c r="J591" s="174">
        <f>Oportuno!J591</f>
        <v>0</v>
      </c>
      <c r="K591" s="174">
        <f>Oportuno!K591</f>
        <v>0</v>
      </c>
      <c r="L591" s="174">
        <f>Oportuno!L591</f>
        <v>0</v>
      </c>
      <c r="M591" s="174">
        <f>Oportuno!M591</f>
        <v>0</v>
      </c>
      <c r="N591" s="174">
        <f>Oportuno!N591</f>
        <v>0</v>
      </c>
      <c r="O591" s="174">
        <f>Oportuno!O591</f>
        <v>0</v>
      </c>
      <c r="P591" s="174">
        <f>Oportuno!P591</f>
        <v>0</v>
      </c>
      <c r="Q591" s="174">
        <f>Oportuno!Q591</f>
        <v>0</v>
      </c>
      <c r="R591" s="174">
        <f>Oportuno!R591</f>
        <v>0</v>
      </c>
      <c r="S591" s="215">
        <f>Oportuno!S591</f>
        <v>0</v>
      </c>
      <c r="T591" s="71">
        <f>Oportuno!T591</f>
        <v>0</v>
      </c>
      <c r="U591" s="71">
        <f>Oportuno!U591</f>
        <v>0</v>
      </c>
      <c r="V591" s="117">
        <f>Oportuno!V591</f>
        <v>0</v>
      </c>
      <c r="W591" s="117">
        <f>Oportuno!W591</f>
        <v>0</v>
      </c>
      <c r="X591" s="71">
        <f>Oportuno!X591</f>
        <v>0</v>
      </c>
      <c r="Y591" s="71">
        <f>Oportuno!Y591</f>
        <v>0</v>
      </c>
      <c r="AA591" s="65"/>
    </row>
    <row r="592" spans="2:27" ht="13" customHeight="1">
      <c r="B592" s="119">
        <f>Oportuno!B592</f>
        <v>0</v>
      </c>
      <c r="C592" s="23">
        <f>Oportuno!C592</f>
        <v>2026092</v>
      </c>
      <c r="D592" s="23">
        <f>Oportuno!D592</f>
        <v>21</v>
      </c>
      <c r="E592" s="128">
        <f>Oportuno!E592</f>
        <v>0</v>
      </c>
      <c r="F592" s="126" t="e">
        <f>Oportuno!F592</f>
        <v>#N/A</v>
      </c>
      <c r="G592" s="36">
        <f>Oportuno!G592</f>
        <v>1</v>
      </c>
      <c r="H592" s="126" t="str">
        <f>Oportuno!H592</f>
        <v>Oficinas</v>
      </c>
      <c r="I592" s="130">
        <f>Oportuno!I592</f>
        <v>0</v>
      </c>
      <c r="J592" s="174">
        <f>Oportuno!J592</f>
        <v>0</v>
      </c>
      <c r="K592" s="174">
        <f>Oportuno!K592</f>
        <v>0</v>
      </c>
      <c r="L592" s="174">
        <f>Oportuno!L592</f>
        <v>0</v>
      </c>
      <c r="M592" s="174">
        <f>Oportuno!M592</f>
        <v>0</v>
      </c>
      <c r="N592" s="174">
        <f>Oportuno!N592</f>
        <v>0</v>
      </c>
      <c r="O592" s="174">
        <f>Oportuno!O592</f>
        <v>0</v>
      </c>
      <c r="P592" s="174">
        <f>Oportuno!P592</f>
        <v>0</v>
      </c>
      <c r="Q592" s="174">
        <f>Oportuno!Q592</f>
        <v>0</v>
      </c>
      <c r="R592" s="174">
        <f>Oportuno!R592</f>
        <v>0</v>
      </c>
      <c r="S592" s="215">
        <f>Oportuno!S592</f>
        <v>0</v>
      </c>
      <c r="T592" s="71">
        <f>Oportuno!T592</f>
        <v>0</v>
      </c>
      <c r="U592" s="71">
        <f>Oportuno!U592</f>
        <v>0</v>
      </c>
      <c r="V592" s="117">
        <f>Oportuno!V592</f>
        <v>0</v>
      </c>
      <c r="W592" s="117">
        <f>Oportuno!W592</f>
        <v>0</v>
      </c>
      <c r="X592" s="71">
        <f>Oportuno!X592</f>
        <v>0</v>
      </c>
      <c r="Y592" s="71">
        <f>Oportuno!Y592</f>
        <v>0</v>
      </c>
      <c r="AA592" s="65"/>
    </row>
    <row r="593" spans="2:27 16101:16120" ht="13" customHeight="1">
      <c r="B593" s="119">
        <f>Oportuno!B593</f>
        <v>0</v>
      </c>
      <c r="C593" s="23">
        <f>Oportuno!C593</f>
        <v>2026092</v>
      </c>
      <c r="D593" s="23">
        <f>Oportuno!D593</f>
        <v>21</v>
      </c>
      <c r="E593" s="128">
        <f>Oportuno!E593</f>
        <v>0</v>
      </c>
      <c r="F593" s="126" t="e">
        <f>Oportuno!F593</f>
        <v>#N/A</v>
      </c>
      <c r="G593" s="36">
        <f>Oportuno!G593</f>
        <v>1</v>
      </c>
      <c r="H593" s="126" t="str">
        <f>Oportuno!H593</f>
        <v>Oficinas</v>
      </c>
      <c r="I593" s="130">
        <f>Oportuno!I593</f>
        <v>0</v>
      </c>
      <c r="J593" s="174">
        <f>Oportuno!J593</f>
        <v>0</v>
      </c>
      <c r="K593" s="174">
        <f>Oportuno!K593</f>
        <v>0</v>
      </c>
      <c r="L593" s="174">
        <f>Oportuno!L593</f>
        <v>0</v>
      </c>
      <c r="M593" s="174">
        <f>Oportuno!M593</f>
        <v>0</v>
      </c>
      <c r="N593" s="174">
        <f>Oportuno!N593</f>
        <v>0</v>
      </c>
      <c r="O593" s="174">
        <f>Oportuno!O593</f>
        <v>0</v>
      </c>
      <c r="P593" s="174">
        <f>Oportuno!P593</f>
        <v>0</v>
      </c>
      <c r="Q593" s="174">
        <f>Oportuno!Q593</f>
        <v>0</v>
      </c>
      <c r="R593" s="174">
        <f>Oportuno!R593</f>
        <v>0</v>
      </c>
      <c r="S593" s="215">
        <f>Oportuno!S593</f>
        <v>0</v>
      </c>
      <c r="T593" s="71">
        <f>Oportuno!T593</f>
        <v>0</v>
      </c>
      <c r="U593" s="71">
        <f>Oportuno!U593</f>
        <v>0</v>
      </c>
      <c r="V593" s="117">
        <f>Oportuno!V593</f>
        <v>0</v>
      </c>
      <c r="W593" s="117">
        <f>Oportuno!W593</f>
        <v>0</v>
      </c>
      <c r="X593" s="71">
        <f>Oportuno!X593</f>
        <v>0</v>
      </c>
      <c r="Y593" s="71">
        <f>Oportuno!Y593</f>
        <v>0</v>
      </c>
      <c r="AA593" s="65"/>
    </row>
    <row r="594" spans="2:27 16101:16120" ht="13" customHeight="1">
      <c r="B594" s="119">
        <f>Oportuno!B594</f>
        <v>0</v>
      </c>
      <c r="C594" s="23">
        <f>Oportuno!C594</f>
        <v>2026092</v>
      </c>
      <c r="D594" s="23">
        <f>Oportuno!D594</f>
        <v>21</v>
      </c>
      <c r="E594" s="128">
        <f>Oportuno!E594</f>
        <v>0</v>
      </c>
      <c r="F594" s="126" t="e">
        <f>Oportuno!F594</f>
        <v>#N/A</v>
      </c>
      <c r="G594" s="36">
        <f>Oportuno!G594</f>
        <v>1</v>
      </c>
      <c r="H594" s="126" t="str">
        <f>Oportuno!H594</f>
        <v>Oficinas</v>
      </c>
      <c r="I594" s="130">
        <f>Oportuno!I594</f>
        <v>0</v>
      </c>
      <c r="J594" s="174">
        <f>Oportuno!J594</f>
        <v>0</v>
      </c>
      <c r="K594" s="174">
        <f>Oportuno!K594</f>
        <v>0</v>
      </c>
      <c r="L594" s="174">
        <f>Oportuno!L594</f>
        <v>0</v>
      </c>
      <c r="M594" s="174">
        <f>Oportuno!M594</f>
        <v>0</v>
      </c>
      <c r="N594" s="174">
        <f>Oportuno!N594</f>
        <v>0</v>
      </c>
      <c r="O594" s="174">
        <f>Oportuno!O594</f>
        <v>0</v>
      </c>
      <c r="P594" s="174">
        <f>Oportuno!P594</f>
        <v>0</v>
      </c>
      <c r="Q594" s="174">
        <f>Oportuno!Q594</f>
        <v>0</v>
      </c>
      <c r="R594" s="174">
        <f>Oportuno!R594</f>
        <v>0</v>
      </c>
      <c r="S594" s="215">
        <f>Oportuno!S594</f>
        <v>0</v>
      </c>
      <c r="T594" s="71">
        <f>Oportuno!T594</f>
        <v>0</v>
      </c>
      <c r="U594" s="71">
        <f>Oportuno!U594</f>
        <v>0</v>
      </c>
      <c r="V594" s="117">
        <f>Oportuno!V594</f>
        <v>0</v>
      </c>
      <c r="W594" s="117">
        <f>Oportuno!W594</f>
        <v>0</v>
      </c>
      <c r="X594" s="71">
        <f>Oportuno!X594</f>
        <v>0</v>
      </c>
      <c r="Y594" s="71">
        <f>Oportuno!Y594</f>
        <v>0</v>
      </c>
      <c r="AA594" s="65"/>
    </row>
    <row r="595" spans="2:27 16101:16120" ht="13" customHeight="1">
      <c r="B595" s="119">
        <f>Oportuno!B595</f>
        <v>0</v>
      </c>
      <c r="C595" s="23">
        <f>Oportuno!C595</f>
        <v>2026092</v>
      </c>
      <c r="D595" s="23">
        <f>Oportuno!D595</f>
        <v>21</v>
      </c>
      <c r="E595" s="128">
        <f>Oportuno!E595</f>
        <v>0</v>
      </c>
      <c r="F595" s="126" t="e">
        <f>Oportuno!F595</f>
        <v>#N/A</v>
      </c>
      <c r="G595" s="36">
        <f>Oportuno!G595</f>
        <v>1</v>
      </c>
      <c r="H595" s="126" t="str">
        <f>Oportuno!H595</f>
        <v>Oficinas</v>
      </c>
      <c r="I595" s="130">
        <f>Oportuno!I595</f>
        <v>0</v>
      </c>
      <c r="J595" s="174">
        <f>Oportuno!J595</f>
        <v>0</v>
      </c>
      <c r="K595" s="174">
        <f>Oportuno!K595</f>
        <v>0</v>
      </c>
      <c r="L595" s="174">
        <f>Oportuno!L595</f>
        <v>0</v>
      </c>
      <c r="M595" s="174">
        <f>Oportuno!M595</f>
        <v>0</v>
      </c>
      <c r="N595" s="174">
        <f>Oportuno!N595</f>
        <v>0</v>
      </c>
      <c r="O595" s="174">
        <f>Oportuno!O595</f>
        <v>0</v>
      </c>
      <c r="P595" s="174">
        <f>Oportuno!P595</f>
        <v>0</v>
      </c>
      <c r="Q595" s="174">
        <f>Oportuno!Q595</f>
        <v>0</v>
      </c>
      <c r="R595" s="174">
        <f>Oportuno!R595</f>
        <v>0</v>
      </c>
      <c r="S595" s="215">
        <f>Oportuno!S595</f>
        <v>0</v>
      </c>
      <c r="T595" s="71">
        <f>Oportuno!T595</f>
        <v>0</v>
      </c>
      <c r="U595" s="71">
        <f>Oportuno!U595</f>
        <v>0</v>
      </c>
      <c r="V595" s="117">
        <f>Oportuno!V595</f>
        <v>0</v>
      </c>
      <c r="W595" s="117">
        <f>Oportuno!W595</f>
        <v>0</v>
      </c>
      <c r="X595" s="71">
        <f>Oportuno!X595</f>
        <v>0</v>
      </c>
      <c r="Y595" s="71">
        <f>Oportuno!Y595</f>
        <v>0</v>
      </c>
      <c r="AA595" s="65"/>
    </row>
    <row r="596" spans="2:27 16101:16120" ht="13" customHeight="1">
      <c r="B596" s="119">
        <f>Oportuno!B596</f>
        <v>0</v>
      </c>
      <c r="C596" s="23">
        <f>Oportuno!C596</f>
        <v>2026092</v>
      </c>
      <c r="D596" s="23">
        <f>Oportuno!D596</f>
        <v>21</v>
      </c>
      <c r="E596" s="128">
        <f>Oportuno!E596</f>
        <v>0</v>
      </c>
      <c r="F596" s="126" t="e">
        <f>Oportuno!F596</f>
        <v>#N/A</v>
      </c>
      <c r="G596" s="36">
        <f>Oportuno!G596</f>
        <v>1</v>
      </c>
      <c r="H596" s="126" t="str">
        <f>Oportuno!H596</f>
        <v>Oficinas</v>
      </c>
      <c r="I596" s="130">
        <f>Oportuno!I596</f>
        <v>0</v>
      </c>
      <c r="J596" s="174">
        <f>Oportuno!J596</f>
        <v>0</v>
      </c>
      <c r="K596" s="174">
        <f>Oportuno!K596</f>
        <v>0</v>
      </c>
      <c r="L596" s="174">
        <f>Oportuno!L596</f>
        <v>0</v>
      </c>
      <c r="M596" s="174">
        <f>Oportuno!M596</f>
        <v>0</v>
      </c>
      <c r="N596" s="174">
        <f>Oportuno!N596</f>
        <v>0</v>
      </c>
      <c r="O596" s="174">
        <f>Oportuno!O596</f>
        <v>0</v>
      </c>
      <c r="P596" s="174">
        <f>Oportuno!P596</f>
        <v>0</v>
      </c>
      <c r="Q596" s="174">
        <f>Oportuno!Q596</f>
        <v>0</v>
      </c>
      <c r="R596" s="174">
        <f>Oportuno!R596</f>
        <v>0</v>
      </c>
      <c r="S596" s="215">
        <f>Oportuno!S596</f>
        <v>0</v>
      </c>
      <c r="T596" s="71">
        <f>Oportuno!T596</f>
        <v>0</v>
      </c>
      <c r="U596" s="71">
        <f>Oportuno!U596</f>
        <v>0</v>
      </c>
      <c r="V596" s="117">
        <f>Oportuno!V596</f>
        <v>0</v>
      </c>
      <c r="W596" s="117">
        <f>Oportuno!W596</f>
        <v>0</v>
      </c>
      <c r="X596" s="71">
        <f>Oportuno!X596</f>
        <v>0</v>
      </c>
      <c r="Y596" s="71">
        <f>Oportuno!Y596</f>
        <v>0</v>
      </c>
      <c r="AA596" s="65"/>
    </row>
    <row r="597" spans="2:27 16101:16120" ht="13" customHeight="1" thickBot="1">
      <c r="B597" s="119">
        <f>Oportuno!B597</f>
        <v>0</v>
      </c>
      <c r="C597" s="23">
        <f>Oportuno!C597</f>
        <v>2026092</v>
      </c>
      <c r="D597" s="23">
        <f>Oportuno!D597</f>
        <v>21</v>
      </c>
      <c r="E597" s="128">
        <f>Oportuno!E597</f>
        <v>0</v>
      </c>
      <c r="F597" s="126" t="e">
        <f>Oportuno!F597</f>
        <v>#N/A</v>
      </c>
      <c r="G597" s="36">
        <f>Oportuno!G597</f>
        <v>1</v>
      </c>
      <c r="H597" s="126" t="str">
        <f>Oportuno!H597</f>
        <v>Oficinas</v>
      </c>
      <c r="I597" s="130">
        <f>Oportuno!I597</f>
        <v>0</v>
      </c>
      <c r="J597" s="174">
        <f>Oportuno!J597</f>
        <v>0</v>
      </c>
      <c r="K597" s="174">
        <f>Oportuno!K597</f>
        <v>0</v>
      </c>
      <c r="L597" s="174">
        <f>Oportuno!L597</f>
        <v>0</v>
      </c>
      <c r="M597" s="174">
        <f>Oportuno!M597</f>
        <v>0</v>
      </c>
      <c r="N597" s="174">
        <f>Oportuno!N597</f>
        <v>0</v>
      </c>
      <c r="O597" s="174">
        <f>Oportuno!O597</f>
        <v>0</v>
      </c>
      <c r="P597" s="174">
        <f>Oportuno!P597</f>
        <v>0</v>
      </c>
      <c r="Q597" s="174">
        <f>Oportuno!Q597</f>
        <v>0</v>
      </c>
      <c r="R597" s="174">
        <f>Oportuno!R597</f>
        <v>0</v>
      </c>
      <c r="S597" s="215">
        <f>Oportuno!S597</f>
        <v>0</v>
      </c>
      <c r="T597" s="71">
        <f>Oportuno!T597</f>
        <v>0</v>
      </c>
      <c r="U597" s="71">
        <f>Oportuno!U597</f>
        <v>0</v>
      </c>
      <c r="V597" s="117">
        <f>Oportuno!V597</f>
        <v>0</v>
      </c>
      <c r="W597" s="117">
        <f>Oportuno!W597</f>
        <v>0</v>
      </c>
      <c r="X597" s="71">
        <f>Oportuno!X597</f>
        <v>0</v>
      </c>
      <c r="Y597" s="71">
        <f>Oportuno!Y597</f>
        <v>0</v>
      </c>
      <c r="AA597" s="65"/>
    </row>
    <row r="598" spans="2:27 16101:16120" ht="13" customHeight="1" thickBot="1">
      <c r="B598" s="1" t="s">
        <v>0</v>
      </c>
      <c r="C598" s="1" t="s">
        <v>0</v>
      </c>
      <c r="D598" s="20" t="s">
        <v>0</v>
      </c>
      <c r="E598" s="120" t="str">
        <f>Oportuno!E598</f>
        <v xml:space="preserve"> </v>
      </c>
      <c r="F598" s="121" t="str">
        <f>Oportuno!F598</f>
        <v>TOTAL RECAUDO</v>
      </c>
      <c r="G598" s="121" t="s">
        <v>0</v>
      </c>
      <c r="H598" s="121" t="s">
        <v>0</v>
      </c>
      <c r="I598" s="121" t="s">
        <v>0</v>
      </c>
      <c r="J598" s="122">
        <f>Oportuno!J598</f>
        <v>0</v>
      </c>
      <c r="K598" s="122">
        <f>Oportuno!K598</f>
        <v>0</v>
      </c>
      <c r="L598" s="122">
        <f>Oportuno!L598</f>
        <v>0</v>
      </c>
      <c r="M598" s="122">
        <f>Oportuno!M598</f>
        <v>0</v>
      </c>
      <c r="N598" s="122">
        <f>Oportuno!N598</f>
        <v>0</v>
      </c>
      <c r="O598" s="122">
        <f>Oportuno!O598</f>
        <v>0</v>
      </c>
      <c r="P598" s="122">
        <f>Oportuno!P598</f>
        <v>0</v>
      </c>
      <c r="Q598" s="122">
        <f>Oportuno!Q598</f>
        <v>0</v>
      </c>
      <c r="R598" s="122">
        <f>Oportuno!R598</f>
        <v>46</v>
      </c>
      <c r="S598" s="122">
        <f>Oportuno!S598</f>
        <v>3087090</v>
      </c>
      <c r="T598" s="122">
        <f>Oportuno!T598</f>
        <v>46</v>
      </c>
      <c r="U598" s="122">
        <f>Oportuno!U598</f>
        <v>3087090</v>
      </c>
      <c r="V598" s="123">
        <f>Oportuno!V598</f>
        <v>46</v>
      </c>
      <c r="W598" s="123">
        <f>Oportuno!W598</f>
        <v>3087090</v>
      </c>
      <c r="X598" s="122">
        <f>Oportuno!X598</f>
        <v>0</v>
      </c>
      <c r="Y598" s="123">
        <f>Oportuno!Y598</f>
        <v>0</v>
      </c>
      <c r="AA598" s="65"/>
    </row>
    <row r="599" spans="2:27 16101:16120" ht="13" thickBot="1">
      <c r="AA599" s="65"/>
    </row>
    <row r="600" spans="2:27 16101:16120" ht="41.25" customHeight="1" thickBot="1">
      <c r="B600" s="112" t="s">
        <v>4</v>
      </c>
      <c r="C600" s="34" t="s">
        <v>6</v>
      </c>
      <c r="D600" s="34" t="s">
        <v>7</v>
      </c>
      <c r="E600" s="34" t="s">
        <v>49</v>
      </c>
      <c r="F600" s="34" t="s">
        <v>50</v>
      </c>
      <c r="G600" s="34" t="s">
        <v>51</v>
      </c>
      <c r="H600" s="34" t="s">
        <v>52</v>
      </c>
      <c r="I600" s="34" t="s">
        <v>13</v>
      </c>
      <c r="J600" s="231" t="s">
        <v>8</v>
      </c>
      <c r="K600" s="231" t="s">
        <v>36</v>
      </c>
      <c r="L600" s="12" t="s">
        <v>9</v>
      </c>
      <c r="M600" s="12" t="s">
        <v>37</v>
      </c>
      <c r="N600" s="87" t="s">
        <v>10</v>
      </c>
      <c r="O600" s="88" t="s">
        <v>38</v>
      </c>
      <c r="P600" s="87" t="s">
        <v>11</v>
      </c>
      <c r="Q600" s="88" t="s">
        <v>39</v>
      </c>
      <c r="R600" s="232" t="s">
        <v>12</v>
      </c>
      <c r="S600" s="233" t="s">
        <v>40</v>
      </c>
      <c r="T600" s="64" t="s">
        <v>41</v>
      </c>
      <c r="U600" s="64" t="s">
        <v>42</v>
      </c>
      <c r="V600" s="35" t="s">
        <v>32</v>
      </c>
      <c r="W600" s="67" t="s">
        <v>35</v>
      </c>
      <c r="X600" s="12" t="s">
        <v>34</v>
      </c>
      <c r="Y600" s="68" t="s">
        <v>33</v>
      </c>
      <c r="AA600" s="66"/>
      <c r="WUG600" s="1"/>
      <c r="WUH600" s="1"/>
      <c r="WUY600"/>
      <c r="WUZ600"/>
    </row>
    <row r="601" spans="2:27 16101:16120" ht="13" customHeight="1">
      <c r="B601" s="119" t="str">
        <f>Oportuno!B601</f>
        <v>23/09/2026</v>
      </c>
      <c r="C601" s="24">
        <f>Oportuno!C601</f>
        <v>2026092</v>
      </c>
      <c r="D601" s="24">
        <f>Oportuno!D601</f>
        <v>22</v>
      </c>
      <c r="E601" s="127">
        <f>Oportuno!E601</f>
        <v>20</v>
      </c>
      <c r="F601" s="125" t="str">
        <f>Oportuno!F601</f>
        <v>Bancolombia ENERBIT</v>
      </c>
      <c r="G601" s="18">
        <f>Oportuno!G601</f>
        <v>1</v>
      </c>
      <c r="H601" s="125" t="str">
        <f>Oportuno!H601</f>
        <v>Oficinas</v>
      </c>
      <c r="I601" s="129">
        <f>Oportuno!I601</f>
        <v>0</v>
      </c>
      <c r="J601" s="213">
        <f>Oportuno!J601</f>
        <v>0</v>
      </c>
      <c r="K601" s="213">
        <f>Oportuno!K601</f>
        <v>0</v>
      </c>
      <c r="L601" s="213">
        <f>Oportuno!L601</f>
        <v>0</v>
      </c>
      <c r="M601" s="213">
        <f>Oportuno!M601</f>
        <v>0</v>
      </c>
      <c r="N601" s="213">
        <f>Oportuno!N601</f>
        <v>0</v>
      </c>
      <c r="O601" s="213">
        <f>Oportuno!O601</f>
        <v>0</v>
      </c>
      <c r="P601" s="213">
        <f>Oportuno!P601</f>
        <v>0</v>
      </c>
      <c r="Q601" s="213">
        <f>Oportuno!Q601</f>
        <v>0</v>
      </c>
      <c r="R601" s="213">
        <f>Oportuno!R601</f>
        <v>104</v>
      </c>
      <c r="S601" s="214">
        <f>Oportuno!S601</f>
        <v>4633830</v>
      </c>
      <c r="T601" s="70">
        <f>Oportuno!T601</f>
        <v>104</v>
      </c>
      <c r="U601" s="70">
        <f>Oportuno!U601</f>
        <v>4633830</v>
      </c>
      <c r="V601" s="116">
        <f>Oportuno!V601</f>
        <v>104</v>
      </c>
      <c r="W601" s="116">
        <f>Oportuno!W601</f>
        <v>4633830</v>
      </c>
      <c r="X601" s="70">
        <f>Oportuno!X601</f>
        <v>0</v>
      </c>
      <c r="Y601" s="70">
        <f>Oportuno!Y601</f>
        <v>0</v>
      </c>
      <c r="AA601" s="65"/>
    </row>
    <row r="602" spans="2:27 16101:16120" ht="13" customHeight="1">
      <c r="B602" s="119">
        <f>Oportuno!B602</f>
        <v>0</v>
      </c>
      <c r="C602" s="23">
        <f>Oportuno!C602</f>
        <v>2026092</v>
      </c>
      <c r="D602" s="23">
        <f>Oportuno!D602</f>
        <v>22</v>
      </c>
      <c r="E602" s="128">
        <f>Oportuno!E602</f>
        <v>0</v>
      </c>
      <c r="F602" s="126" t="e">
        <f>Oportuno!F602</f>
        <v>#N/A</v>
      </c>
      <c r="G602" s="36">
        <f>Oportuno!G602</f>
        <v>1</v>
      </c>
      <c r="H602" s="126" t="str">
        <f>Oportuno!H602</f>
        <v>Oficinas</v>
      </c>
      <c r="I602" s="130">
        <f>Oportuno!I602</f>
        <v>0</v>
      </c>
      <c r="J602" s="174">
        <f>Oportuno!J602</f>
        <v>0</v>
      </c>
      <c r="K602" s="174">
        <f>Oportuno!K602</f>
        <v>0</v>
      </c>
      <c r="L602" s="174">
        <f>Oportuno!L602</f>
        <v>0</v>
      </c>
      <c r="M602" s="174">
        <f>Oportuno!M602</f>
        <v>0</v>
      </c>
      <c r="N602" s="174">
        <f>Oportuno!N602</f>
        <v>0</v>
      </c>
      <c r="O602" s="174">
        <f>Oportuno!O602</f>
        <v>0</v>
      </c>
      <c r="P602" s="174">
        <f>Oportuno!P602</f>
        <v>0</v>
      </c>
      <c r="Q602" s="174">
        <f>Oportuno!Q602</f>
        <v>0</v>
      </c>
      <c r="R602" s="174">
        <f>Oportuno!R602</f>
        <v>0</v>
      </c>
      <c r="S602" s="215">
        <f>Oportuno!S602</f>
        <v>0</v>
      </c>
      <c r="T602" s="71">
        <f>Oportuno!T602</f>
        <v>0</v>
      </c>
      <c r="U602" s="71">
        <f>Oportuno!U602</f>
        <v>0</v>
      </c>
      <c r="V602" s="117">
        <f>Oportuno!V602</f>
        <v>0</v>
      </c>
      <c r="W602" s="117">
        <f>Oportuno!W602</f>
        <v>0</v>
      </c>
      <c r="X602" s="71">
        <f>Oportuno!X602</f>
        <v>0</v>
      </c>
      <c r="Y602" s="71">
        <f>Oportuno!Y602</f>
        <v>0</v>
      </c>
      <c r="AA602" s="65"/>
    </row>
    <row r="603" spans="2:27 16101:16120" ht="13" customHeight="1">
      <c r="B603" s="119">
        <f>Oportuno!B603</f>
        <v>0</v>
      </c>
      <c r="C603" s="23">
        <f>Oportuno!C603</f>
        <v>2026092</v>
      </c>
      <c r="D603" s="23">
        <f>Oportuno!D603</f>
        <v>22</v>
      </c>
      <c r="E603" s="128">
        <f>Oportuno!E603</f>
        <v>0</v>
      </c>
      <c r="F603" s="126" t="e">
        <f>Oportuno!F603</f>
        <v>#N/A</v>
      </c>
      <c r="G603" s="36">
        <f>Oportuno!G603</f>
        <v>1</v>
      </c>
      <c r="H603" s="126" t="str">
        <f>Oportuno!H603</f>
        <v>Oficinas</v>
      </c>
      <c r="I603" s="130">
        <f>Oportuno!I603</f>
        <v>0</v>
      </c>
      <c r="J603" s="174">
        <f>Oportuno!J603</f>
        <v>0</v>
      </c>
      <c r="K603" s="174">
        <f>Oportuno!K603</f>
        <v>0</v>
      </c>
      <c r="L603" s="174">
        <f>Oportuno!L603</f>
        <v>0</v>
      </c>
      <c r="M603" s="174">
        <f>Oportuno!M603</f>
        <v>0</v>
      </c>
      <c r="N603" s="174">
        <f>Oportuno!N603</f>
        <v>0</v>
      </c>
      <c r="O603" s="174">
        <f>Oportuno!O603</f>
        <v>0</v>
      </c>
      <c r="P603" s="174">
        <f>Oportuno!P603</f>
        <v>0</v>
      </c>
      <c r="Q603" s="174">
        <f>Oportuno!Q603</f>
        <v>0</v>
      </c>
      <c r="R603" s="174">
        <f>Oportuno!R603</f>
        <v>0</v>
      </c>
      <c r="S603" s="215">
        <f>Oportuno!S603</f>
        <v>0</v>
      </c>
      <c r="T603" s="71">
        <f>Oportuno!T603</f>
        <v>0</v>
      </c>
      <c r="U603" s="71">
        <f>Oportuno!U603</f>
        <v>0</v>
      </c>
      <c r="V603" s="117">
        <f>Oportuno!V603</f>
        <v>0</v>
      </c>
      <c r="W603" s="117">
        <f>Oportuno!W603</f>
        <v>0</v>
      </c>
      <c r="X603" s="71">
        <f>Oportuno!X603</f>
        <v>0</v>
      </c>
      <c r="Y603" s="71">
        <f>Oportuno!Y603</f>
        <v>0</v>
      </c>
      <c r="AA603" s="65"/>
    </row>
    <row r="604" spans="2:27 16101:16120" ht="13" customHeight="1">
      <c r="B604" s="119">
        <f>Oportuno!B604</f>
        <v>0</v>
      </c>
      <c r="C604" s="23">
        <f>Oportuno!C604</f>
        <v>2026092</v>
      </c>
      <c r="D604" s="23">
        <f>Oportuno!D604</f>
        <v>22</v>
      </c>
      <c r="E604" s="128">
        <f>Oportuno!E604</f>
        <v>0</v>
      </c>
      <c r="F604" s="126" t="e">
        <f>Oportuno!F604</f>
        <v>#N/A</v>
      </c>
      <c r="G604" s="36">
        <f>Oportuno!G604</f>
        <v>1</v>
      </c>
      <c r="H604" s="126" t="str">
        <f>Oportuno!H604</f>
        <v>Oficinas</v>
      </c>
      <c r="I604" s="130">
        <f>Oportuno!I604</f>
        <v>0</v>
      </c>
      <c r="J604" s="174">
        <f>Oportuno!J604</f>
        <v>0</v>
      </c>
      <c r="K604" s="174">
        <f>Oportuno!K604</f>
        <v>0</v>
      </c>
      <c r="L604" s="174">
        <f>Oportuno!L604</f>
        <v>0</v>
      </c>
      <c r="M604" s="174">
        <f>Oportuno!M604</f>
        <v>0</v>
      </c>
      <c r="N604" s="174">
        <f>Oportuno!N604</f>
        <v>0</v>
      </c>
      <c r="O604" s="174">
        <f>Oportuno!O604</f>
        <v>0</v>
      </c>
      <c r="P604" s="174">
        <f>Oportuno!P604</f>
        <v>0</v>
      </c>
      <c r="Q604" s="174">
        <f>Oportuno!Q604</f>
        <v>0</v>
      </c>
      <c r="R604" s="174">
        <f>Oportuno!R604</f>
        <v>0</v>
      </c>
      <c r="S604" s="215">
        <f>Oportuno!S604</f>
        <v>0</v>
      </c>
      <c r="T604" s="71">
        <f>Oportuno!T604</f>
        <v>0</v>
      </c>
      <c r="U604" s="71">
        <f>Oportuno!U604</f>
        <v>0</v>
      </c>
      <c r="V604" s="117">
        <f>Oportuno!V604</f>
        <v>0</v>
      </c>
      <c r="W604" s="117">
        <f>Oportuno!W604</f>
        <v>0</v>
      </c>
      <c r="X604" s="71">
        <f>Oportuno!X604</f>
        <v>0</v>
      </c>
      <c r="Y604" s="71">
        <f>Oportuno!Y604</f>
        <v>0</v>
      </c>
      <c r="AA604" s="65"/>
    </row>
    <row r="605" spans="2:27 16101:16120" ht="13" customHeight="1">
      <c r="B605" s="119">
        <f>Oportuno!B605</f>
        <v>0</v>
      </c>
      <c r="C605" s="23">
        <f>Oportuno!C605</f>
        <v>2026092</v>
      </c>
      <c r="D605" s="23">
        <f>Oportuno!D605</f>
        <v>22</v>
      </c>
      <c r="E605" s="128">
        <f>Oportuno!E605</f>
        <v>0</v>
      </c>
      <c r="F605" s="126" t="e">
        <f>Oportuno!F605</f>
        <v>#N/A</v>
      </c>
      <c r="G605" s="36">
        <f>Oportuno!G605</f>
        <v>1</v>
      </c>
      <c r="H605" s="126" t="str">
        <f>Oportuno!H605</f>
        <v>Oficinas</v>
      </c>
      <c r="I605" s="130">
        <f>Oportuno!I605</f>
        <v>0</v>
      </c>
      <c r="J605" s="174">
        <f>Oportuno!J605</f>
        <v>0</v>
      </c>
      <c r="K605" s="174">
        <f>Oportuno!K605</f>
        <v>0</v>
      </c>
      <c r="L605" s="174">
        <f>Oportuno!L605</f>
        <v>0</v>
      </c>
      <c r="M605" s="174">
        <f>Oportuno!M605</f>
        <v>0</v>
      </c>
      <c r="N605" s="174">
        <f>Oportuno!N605</f>
        <v>0</v>
      </c>
      <c r="O605" s="174">
        <f>Oportuno!O605</f>
        <v>0</v>
      </c>
      <c r="P605" s="174">
        <f>Oportuno!P605</f>
        <v>0</v>
      </c>
      <c r="Q605" s="174">
        <f>Oportuno!Q605</f>
        <v>0</v>
      </c>
      <c r="R605" s="174">
        <f>Oportuno!R605</f>
        <v>0</v>
      </c>
      <c r="S605" s="215">
        <f>Oportuno!S605</f>
        <v>0</v>
      </c>
      <c r="T605" s="71">
        <f>Oportuno!T605</f>
        <v>0</v>
      </c>
      <c r="U605" s="71">
        <f>Oportuno!U605</f>
        <v>0</v>
      </c>
      <c r="V605" s="117">
        <f>Oportuno!V605</f>
        <v>0</v>
      </c>
      <c r="W605" s="117">
        <f>Oportuno!W605</f>
        <v>0</v>
      </c>
      <c r="X605" s="71">
        <f>Oportuno!X605</f>
        <v>0</v>
      </c>
      <c r="Y605" s="71">
        <f>Oportuno!Y605</f>
        <v>0</v>
      </c>
      <c r="AA605" s="65"/>
    </row>
    <row r="606" spans="2:27 16101:16120" ht="13" customHeight="1">
      <c r="B606" s="119">
        <f>Oportuno!B606</f>
        <v>0</v>
      </c>
      <c r="C606" s="23">
        <f>Oportuno!C606</f>
        <v>2026092</v>
      </c>
      <c r="D606" s="23">
        <f>Oportuno!D606</f>
        <v>22</v>
      </c>
      <c r="E606" s="128">
        <f>Oportuno!E606</f>
        <v>0</v>
      </c>
      <c r="F606" s="126" t="e">
        <f>Oportuno!F606</f>
        <v>#N/A</v>
      </c>
      <c r="G606" s="36">
        <f>Oportuno!G606</f>
        <v>1</v>
      </c>
      <c r="H606" s="126" t="str">
        <f>Oportuno!H606</f>
        <v>Oficinas</v>
      </c>
      <c r="I606" s="130">
        <f>Oportuno!I606</f>
        <v>0</v>
      </c>
      <c r="J606" s="174">
        <f>Oportuno!J606</f>
        <v>0</v>
      </c>
      <c r="K606" s="174">
        <f>Oportuno!K606</f>
        <v>0</v>
      </c>
      <c r="L606" s="174">
        <f>Oportuno!L606</f>
        <v>0</v>
      </c>
      <c r="M606" s="174">
        <f>Oportuno!M606</f>
        <v>0</v>
      </c>
      <c r="N606" s="174">
        <f>Oportuno!N606</f>
        <v>0</v>
      </c>
      <c r="O606" s="174">
        <f>Oportuno!O606</f>
        <v>0</v>
      </c>
      <c r="P606" s="174">
        <f>Oportuno!P606</f>
        <v>0</v>
      </c>
      <c r="Q606" s="174">
        <f>Oportuno!Q606</f>
        <v>0</v>
      </c>
      <c r="R606" s="174">
        <f>Oportuno!R606</f>
        <v>0</v>
      </c>
      <c r="S606" s="215">
        <f>Oportuno!S606</f>
        <v>0</v>
      </c>
      <c r="T606" s="71">
        <f>Oportuno!T606</f>
        <v>0</v>
      </c>
      <c r="U606" s="71">
        <f>Oportuno!U606</f>
        <v>0</v>
      </c>
      <c r="V606" s="117">
        <f>Oportuno!V606</f>
        <v>0</v>
      </c>
      <c r="W606" s="117">
        <f>Oportuno!W606</f>
        <v>0</v>
      </c>
      <c r="X606" s="71">
        <f>Oportuno!X606</f>
        <v>0</v>
      </c>
      <c r="Y606" s="71">
        <f>Oportuno!Y606</f>
        <v>0</v>
      </c>
      <c r="AA606" s="65"/>
    </row>
    <row r="607" spans="2:27 16101:16120" ht="13" customHeight="1">
      <c r="B607" s="119">
        <f>Oportuno!B607</f>
        <v>0</v>
      </c>
      <c r="C607" s="23">
        <f>Oportuno!C607</f>
        <v>2026092</v>
      </c>
      <c r="D607" s="23">
        <f>Oportuno!D607</f>
        <v>22</v>
      </c>
      <c r="E607" s="128">
        <f>Oportuno!E607</f>
        <v>0</v>
      </c>
      <c r="F607" s="126" t="e">
        <f>Oportuno!F607</f>
        <v>#N/A</v>
      </c>
      <c r="G607" s="36">
        <f>Oportuno!G607</f>
        <v>1</v>
      </c>
      <c r="H607" s="126" t="str">
        <f>Oportuno!H607</f>
        <v>Oficinas</v>
      </c>
      <c r="I607" s="130">
        <f>Oportuno!I607</f>
        <v>0</v>
      </c>
      <c r="J607" s="174">
        <f>Oportuno!J607</f>
        <v>0</v>
      </c>
      <c r="K607" s="174">
        <f>Oportuno!K607</f>
        <v>0</v>
      </c>
      <c r="L607" s="174">
        <f>Oportuno!L607</f>
        <v>0</v>
      </c>
      <c r="M607" s="174">
        <f>Oportuno!M607</f>
        <v>0</v>
      </c>
      <c r="N607" s="174">
        <f>Oportuno!N607</f>
        <v>0</v>
      </c>
      <c r="O607" s="174">
        <f>Oportuno!O607</f>
        <v>0</v>
      </c>
      <c r="P607" s="174">
        <f>Oportuno!P607</f>
        <v>0</v>
      </c>
      <c r="Q607" s="174">
        <f>Oportuno!Q607</f>
        <v>0</v>
      </c>
      <c r="R607" s="174">
        <f>Oportuno!R607</f>
        <v>0</v>
      </c>
      <c r="S607" s="215">
        <f>Oportuno!S607</f>
        <v>0</v>
      </c>
      <c r="T607" s="71">
        <f>Oportuno!T607</f>
        <v>0</v>
      </c>
      <c r="U607" s="71">
        <f>Oportuno!U607</f>
        <v>0</v>
      </c>
      <c r="V607" s="117">
        <f>Oportuno!V607</f>
        <v>0</v>
      </c>
      <c r="W607" s="117">
        <f>Oportuno!W607</f>
        <v>0</v>
      </c>
      <c r="X607" s="71">
        <f>Oportuno!X607</f>
        <v>0</v>
      </c>
      <c r="Y607" s="71">
        <f>Oportuno!Y607</f>
        <v>0</v>
      </c>
      <c r="AA607" s="65"/>
    </row>
    <row r="608" spans="2:27 16101:16120" ht="13" customHeight="1">
      <c r="B608" s="119">
        <f>Oportuno!B608</f>
        <v>0</v>
      </c>
      <c r="C608" s="23">
        <f>Oportuno!C608</f>
        <v>2026092</v>
      </c>
      <c r="D608" s="23">
        <f>Oportuno!D608</f>
        <v>22</v>
      </c>
      <c r="E608" s="128">
        <f>Oportuno!E608</f>
        <v>0</v>
      </c>
      <c r="F608" s="126" t="e">
        <f>Oportuno!F608</f>
        <v>#N/A</v>
      </c>
      <c r="G608" s="36">
        <f>Oportuno!G608</f>
        <v>1</v>
      </c>
      <c r="H608" s="126" t="str">
        <f>Oportuno!H608</f>
        <v>Oficinas</v>
      </c>
      <c r="I608" s="130">
        <f>Oportuno!I608</f>
        <v>0</v>
      </c>
      <c r="J608" s="174">
        <f>Oportuno!J608</f>
        <v>0</v>
      </c>
      <c r="K608" s="174">
        <f>Oportuno!K608</f>
        <v>0</v>
      </c>
      <c r="L608" s="174">
        <f>Oportuno!L608</f>
        <v>0</v>
      </c>
      <c r="M608" s="174">
        <f>Oportuno!M608</f>
        <v>0</v>
      </c>
      <c r="N608" s="174">
        <f>Oportuno!N608</f>
        <v>0</v>
      </c>
      <c r="O608" s="174">
        <f>Oportuno!O608</f>
        <v>0</v>
      </c>
      <c r="P608" s="174">
        <f>Oportuno!P608</f>
        <v>0</v>
      </c>
      <c r="Q608" s="174">
        <f>Oportuno!Q608</f>
        <v>0</v>
      </c>
      <c r="R608" s="174">
        <f>Oportuno!R608</f>
        <v>0</v>
      </c>
      <c r="S608" s="215">
        <f>Oportuno!S608</f>
        <v>0</v>
      </c>
      <c r="T608" s="71">
        <f>Oportuno!T608</f>
        <v>0</v>
      </c>
      <c r="U608" s="71">
        <f>Oportuno!U608</f>
        <v>0</v>
      </c>
      <c r="V608" s="117">
        <f>Oportuno!V608</f>
        <v>0</v>
      </c>
      <c r="W608" s="117">
        <f>Oportuno!W608</f>
        <v>0</v>
      </c>
      <c r="X608" s="71">
        <f>Oportuno!X608</f>
        <v>0</v>
      </c>
      <c r="Y608" s="71">
        <f>Oportuno!Y608</f>
        <v>0</v>
      </c>
      <c r="AA608" s="65"/>
    </row>
    <row r="609" spans="2:27" ht="13" customHeight="1">
      <c r="B609" s="119">
        <f>Oportuno!B609</f>
        <v>0</v>
      </c>
      <c r="C609" s="23">
        <f>Oportuno!C609</f>
        <v>2026092</v>
      </c>
      <c r="D609" s="23">
        <f>Oportuno!D609</f>
        <v>22</v>
      </c>
      <c r="E609" s="128">
        <f>Oportuno!E609</f>
        <v>0</v>
      </c>
      <c r="F609" s="126" t="e">
        <f>Oportuno!F609</f>
        <v>#N/A</v>
      </c>
      <c r="G609" s="36">
        <f>Oportuno!G609</f>
        <v>1</v>
      </c>
      <c r="H609" s="126" t="str">
        <f>Oportuno!H609</f>
        <v>Oficinas</v>
      </c>
      <c r="I609" s="130">
        <f>Oportuno!I609</f>
        <v>0</v>
      </c>
      <c r="J609" s="174">
        <f>Oportuno!J609</f>
        <v>0</v>
      </c>
      <c r="K609" s="174">
        <f>Oportuno!K609</f>
        <v>0</v>
      </c>
      <c r="L609" s="174">
        <f>Oportuno!L609</f>
        <v>0</v>
      </c>
      <c r="M609" s="174">
        <f>Oportuno!M609</f>
        <v>0</v>
      </c>
      <c r="N609" s="174">
        <f>Oportuno!N609</f>
        <v>0</v>
      </c>
      <c r="O609" s="174">
        <f>Oportuno!O609</f>
        <v>0</v>
      </c>
      <c r="P609" s="174">
        <f>Oportuno!P609</f>
        <v>0</v>
      </c>
      <c r="Q609" s="174">
        <f>Oportuno!Q609</f>
        <v>0</v>
      </c>
      <c r="R609" s="174">
        <f>Oportuno!R609</f>
        <v>0</v>
      </c>
      <c r="S609" s="215">
        <f>Oportuno!S609</f>
        <v>0</v>
      </c>
      <c r="T609" s="71">
        <f>Oportuno!T609</f>
        <v>0</v>
      </c>
      <c r="U609" s="71">
        <f>Oportuno!U609</f>
        <v>0</v>
      </c>
      <c r="V609" s="117">
        <f>Oportuno!V609</f>
        <v>0</v>
      </c>
      <c r="W609" s="117">
        <f>Oportuno!W609</f>
        <v>0</v>
      </c>
      <c r="X609" s="71">
        <f>Oportuno!X609</f>
        <v>0</v>
      </c>
      <c r="Y609" s="71">
        <f>Oportuno!Y609</f>
        <v>0</v>
      </c>
      <c r="AA609" s="65"/>
    </row>
    <row r="610" spans="2:27" ht="13" customHeight="1">
      <c r="B610" s="119">
        <f>Oportuno!B610</f>
        <v>0</v>
      </c>
      <c r="C610" s="23">
        <f>Oportuno!C610</f>
        <v>2026092</v>
      </c>
      <c r="D610" s="23">
        <f>Oportuno!D610</f>
        <v>22</v>
      </c>
      <c r="E610" s="128">
        <f>Oportuno!E610</f>
        <v>0</v>
      </c>
      <c r="F610" s="126" t="e">
        <f>Oportuno!F610</f>
        <v>#N/A</v>
      </c>
      <c r="G610" s="36">
        <f>Oportuno!G610</f>
        <v>1</v>
      </c>
      <c r="H610" s="126" t="str">
        <f>Oportuno!H610</f>
        <v>Oficinas</v>
      </c>
      <c r="I610" s="130">
        <f>Oportuno!I610</f>
        <v>0</v>
      </c>
      <c r="J610" s="174">
        <f>Oportuno!J610</f>
        <v>0</v>
      </c>
      <c r="K610" s="174">
        <f>Oportuno!K610</f>
        <v>0</v>
      </c>
      <c r="L610" s="174">
        <f>Oportuno!L610</f>
        <v>0</v>
      </c>
      <c r="M610" s="174">
        <f>Oportuno!M610</f>
        <v>0</v>
      </c>
      <c r="N610" s="174">
        <f>Oportuno!N610</f>
        <v>0</v>
      </c>
      <c r="O610" s="174">
        <f>Oportuno!O610</f>
        <v>0</v>
      </c>
      <c r="P610" s="174">
        <f>Oportuno!P610</f>
        <v>0</v>
      </c>
      <c r="Q610" s="174">
        <f>Oportuno!Q610</f>
        <v>0</v>
      </c>
      <c r="R610" s="174">
        <f>Oportuno!R610</f>
        <v>0</v>
      </c>
      <c r="S610" s="215">
        <f>Oportuno!S610</f>
        <v>0</v>
      </c>
      <c r="T610" s="71">
        <f>Oportuno!T610</f>
        <v>0</v>
      </c>
      <c r="U610" s="71">
        <f>Oportuno!U610</f>
        <v>0</v>
      </c>
      <c r="V610" s="117">
        <f>Oportuno!V610</f>
        <v>0</v>
      </c>
      <c r="W610" s="117">
        <f>Oportuno!W610</f>
        <v>0</v>
      </c>
      <c r="X610" s="71">
        <f>Oportuno!X610</f>
        <v>0</v>
      </c>
      <c r="Y610" s="71">
        <f>Oportuno!Y610</f>
        <v>0</v>
      </c>
      <c r="AA610" s="65"/>
    </row>
    <row r="611" spans="2:27" ht="13" customHeight="1">
      <c r="B611" s="119">
        <f>Oportuno!B611</f>
        <v>0</v>
      </c>
      <c r="C611" s="23">
        <f>Oportuno!C611</f>
        <v>2026092</v>
      </c>
      <c r="D611" s="23">
        <f>Oportuno!D611</f>
        <v>22</v>
      </c>
      <c r="E611" s="128">
        <f>Oportuno!E611</f>
        <v>0</v>
      </c>
      <c r="F611" s="126" t="e">
        <f>Oportuno!F611</f>
        <v>#N/A</v>
      </c>
      <c r="G611" s="36">
        <f>Oportuno!G611</f>
        <v>1</v>
      </c>
      <c r="H611" s="126" t="str">
        <f>Oportuno!H611</f>
        <v>Oficinas</v>
      </c>
      <c r="I611" s="130">
        <f>Oportuno!I611</f>
        <v>0</v>
      </c>
      <c r="J611" s="174">
        <f>Oportuno!J611</f>
        <v>0</v>
      </c>
      <c r="K611" s="174">
        <f>Oportuno!K611</f>
        <v>0</v>
      </c>
      <c r="L611" s="174">
        <f>Oportuno!L611</f>
        <v>0</v>
      </c>
      <c r="M611" s="174">
        <f>Oportuno!M611</f>
        <v>0</v>
      </c>
      <c r="N611" s="174">
        <f>Oportuno!N611</f>
        <v>0</v>
      </c>
      <c r="O611" s="174">
        <f>Oportuno!O611</f>
        <v>0</v>
      </c>
      <c r="P611" s="174">
        <f>Oportuno!P611</f>
        <v>0</v>
      </c>
      <c r="Q611" s="174">
        <f>Oportuno!Q611</f>
        <v>0</v>
      </c>
      <c r="R611" s="174">
        <f>Oportuno!R611</f>
        <v>0</v>
      </c>
      <c r="S611" s="215">
        <f>Oportuno!S611</f>
        <v>0</v>
      </c>
      <c r="T611" s="71">
        <f>Oportuno!T611</f>
        <v>0</v>
      </c>
      <c r="U611" s="71">
        <f>Oportuno!U611</f>
        <v>0</v>
      </c>
      <c r="V611" s="117">
        <f>Oportuno!V611</f>
        <v>0</v>
      </c>
      <c r="W611" s="117">
        <f>Oportuno!W611</f>
        <v>0</v>
      </c>
      <c r="X611" s="71">
        <f>Oportuno!X611</f>
        <v>0</v>
      </c>
      <c r="Y611" s="71">
        <f>Oportuno!Y611</f>
        <v>0</v>
      </c>
      <c r="AA611" s="65"/>
    </row>
    <row r="612" spans="2:27" ht="13" customHeight="1">
      <c r="B612" s="119">
        <f>Oportuno!B612</f>
        <v>0</v>
      </c>
      <c r="C612" s="23">
        <f>Oportuno!C612</f>
        <v>2026092</v>
      </c>
      <c r="D612" s="23">
        <f>Oportuno!D612</f>
        <v>22</v>
      </c>
      <c r="E612" s="128">
        <f>Oportuno!E612</f>
        <v>0</v>
      </c>
      <c r="F612" s="126" t="e">
        <f>Oportuno!F612</f>
        <v>#N/A</v>
      </c>
      <c r="G612" s="36">
        <f>Oportuno!G612</f>
        <v>1</v>
      </c>
      <c r="H612" s="126" t="str">
        <f>Oportuno!H612</f>
        <v>Oficinas</v>
      </c>
      <c r="I612" s="130">
        <f>Oportuno!I612</f>
        <v>0</v>
      </c>
      <c r="J612" s="174">
        <f>Oportuno!J612</f>
        <v>0</v>
      </c>
      <c r="K612" s="174">
        <f>Oportuno!K612</f>
        <v>0</v>
      </c>
      <c r="L612" s="174">
        <f>Oportuno!L612</f>
        <v>0</v>
      </c>
      <c r="M612" s="174">
        <f>Oportuno!M612</f>
        <v>0</v>
      </c>
      <c r="N612" s="174">
        <f>Oportuno!N612</f>
        <v>0</v>
      </c>
      <c r="O612" s="174">
        <f>Oportuno!O612</f>
        <v>0</v>
      </c>
      <c r="P612" s="174">
        <f>Oportuno!P612</f>
        <v>0</v>
      </c>
      <c r="Q612" s="174">
        <f>Oportuno!Q612</f>
        <v>0</v>
      </c>
      <c r="R612" s="174">
        <f>Oportuno!R612</f>
        <v>0</v>
      </c>
      <c r="S612" s="215">
        <f>Oportuno!S612</f>
        <v>0</v>
      </c>
      <c r="T612" s="71">
        <f>Oportuno!T612</f>
        <v>0</v>
      </c>
      <c r="U612" s="71">
        <f>Oportuno!U612</f>
        <v>0</v>
      </c>
      <c r="V612" s="117">
        <f>Oportuno!V612</f>
        <v>0</v>
      </c>
      <c r="W612" s="117">
        <f>Oportuno!W612</f>
        <v>0</v>
      </c>
      <c r="X612" s="71">
        <f>Oportuno!X612</f>
        <v>0</v>
      </c>
      <c r="Y612" s="71">
        <f>Oportuno!Y612</f>
        <v>0</v>
      </c>
      <c r="AA612" s="65"/>
    </row>
    <row r="613" spans="2:27" ht="13" customHeight="1">
      <c r="B613" s="119">
        <f>Oportuno!B613</f>
        <v>0</v>
      </c>
      <c r="C613" s="23">
        <f>Oportuno!C613</f>
        <v>2026092</v>
      </c>
      <c r="D613" s="23">
        <f>Oportuno!D613</f>
        <v>22</v>
      </c>
      <c r="E613" s="128">
        <f>Oportuno!E613</f>
        <v>0</v>
      </c>
      <c r="F613" s="126" t="e">
        <f>Oportuno!F613</f>
        <v>#N/A</v>
      </c>
      <c r="G613" s="36">
        <f>Oportuno!G613</f>
        <v>1</v>
      </c>
      <c r="H613" s="126" t="str">
        <f>Oportuno!H613</f>
        <v>Oficinas</v>
      </c>
      <c r="I613" s="130">
        <f>Oportuno!I613</f>
        <v>0</v>
      </c>
      <c r="J613" s="174">
        <f>Oportuno!J613</f>
        <v>0</v>
      </c>
      <c r="K613" s="174">
        <f>Oportuno!K613</f>
        <v>0</v>
      </c>
      <c r="L613" s="174">
        <f>Oportuno!L613</f>
        <v>0</v>
      </c>
      <c r="M613" s="174">
        <f>Oportuno!M613</f>
        <v>0</v>
      </c>
      <c r="N613" s="174">
        <f>Oportuno!N613</f>
        <v>0</v>
      </c>
      <c r="O613" s="174">
        <f>Oportuno!O613</f>
        <v>0</v>
      </c>
      <c r="P613" s="174">
        <f>Oportuno!P613</f>
        <v>0</v>
      </c>
      <c r="Q613" s="174">
        <f>Oportuno!Q613</f>
        <v>0</v>
      </c>
      <c r="R613" s="174">
        <f>Oportuno!R613</f>
        <v>0</v>
      </c>
      <c r="S613" s="215">
        <f>Oportuno!S613</f>
        <v>0</v>
      </c>
      <c r="T613" s="71">
        <f>Oportuno!T613</f>
        <v>0</v>
      </c>
      <c r="U613" s="71">
        <f>Oportuno!U613</f>
        <v>0</v>
      </c>
      <c r="V613" s="117">
        <f>Oportuno!V613</f>
        <v>0</v>
      </c>
      <c r="W613" s="117">
        <f>Oportuno!W613</f>
        <v>0</v>
      </c>
      <c r="X613" s="71">
        <f>Oportuno!X613</f>
        <v>0</v>
      </c>
      <c r="Y613" s="71">
        <f>Oportuno!Y613</f>
        <v>0</v>
      </c>
      <c r="AA613" s="65"/>
    </row>
    <row r="614" spans="2:27" ht="13" customHeight="1">
      <c r="B614" s="119">
        <f>Oportuno!B614</f>
        <v>0</v>
      </c>
      <c r="C614" s="23">
        <f>Oportuno!C614</f>
        <v>2026092</v>
      </c>
      <c r="D614" s="23">
        <f>Oportuno!D614</f>
        <v>22</v>
      </c>
      <c r="E614" s="128">
        <f>Oportuno!E614</f>
        <v>0</v>
      </c>
      <c r="F614" s="126" t="e">
        <f>Oportuno!F614</f>
        <v>#N/A</v>
      </c>
      <c r="G614" s="36">
        <f>Oportuno!G614</f>
        <v>1</v>
      </c>
      <c r="H614" s="126" t="str">
        <f>Oportuno!H614</f>
        <v>Oficinas</v>
      </c>
      <c r="I614" s="130">
        <f>Oportuno!I614</f>
        <v>0</v>
      </c>
      <c r="J614" s="174">
        <f>Oportuno!J614</f>
        <v>0</v>
      </c>
      <c r="K614" s="174">
        <f>Oportuno!K614</f>
        <v>0</v>
      </c>
      <c r="L614" s="174">
        <f>Oportuno!L614</f>
        <v>0</v>
      </c>
      <c r="M614" s="174">
        <f>Oportuno!M614</f>
        <v>0</v>
      </c>
      <c r="N614" s="174">
        <f>Oportuno!N614</f>
        <v>0</v>
      </c>
      <c r="O614" s="174">
        <f>Oportuno!O614</f>
        <v>0</v>
      </c>
      <c r="P614" s="174">
        <f>Oportuno!P614</f>
        <v>0</v>
      </c>
      <c r="Q614" s="174">
        <f>Oportuno!Q614</f>
        <v>0</v>
      </c>
      <c r="R614" s="174">
        <f>Oportuno!R614</f>
        <v>0</v>
      </c>
      <c r="S614" s="215">
        <f>Oportuno!S614</f>
        <v>0</v>
      </c>
      <c r="T614" s="71">
        <f>Oportuno!T614</f>
        <v>0</v>
      </c>
      <c r="U614" s="71">
        <f>Oportuno!U614</f>
        <v>0</v>
      </c>
      <c r="V614" s="117">
        <f>Oportuno!V614</f>
        <v>0</v>
      </c>
      <c r="W614" s="117">
        <f>Oportuno!W614</f>
        <v>0</v>
      </c>
      <c r="X614" s="71">
        <f>Oportuno!X614</f>
        <v>0</v>
      </c>
      <c r="Y614" s="71">
        <f>Oportuno!Y614</f>
        <v>0</v>
      </c>
      <c r="AA614" s="65"/>
    </row>
    <row r="615" spans="2:27" ht="13" customHeight="1">
      <c r="B615" s="119">
        <f>Oportuno!B615</f>
        <v>0</v>
      </c>
      <c r="C615" s="23">
        <f>Oportuno!C615</f>
        <v>2026092</v>
      </c>
      <c r="D615" s="23">
        <f>Oportuno!D615</f>
        <v>22</v>
      </c>
      <c r="E615" s="128">
        <f>Oportuno!E615</f>
        <v>0</v>
      </c>
      <c r="F615" s="126" t="e">
        <f>Oportuno!F615</f>
        <v>#N/A</v>
      </c>
      <c r="G615" s="36">
        <f>Oportuno!G615</f>
        <v>1</v>
      </c>
      <c r="H615" s="126" t="str">
        <f>Oportuno!H615</f>
        <v>Oficinas</v>
      </c>
      <c r="I615" s="130">
        <f>Oportuno!I615</f>
        <v>0</v>
      </c>
      <c r="J615" s="174">
        <f>Oportuno!J615</f>
        <v>0</v>
      </c>
      <c r="K615" s="174">
        <f>Oportuno!K615</f>
        <v>0</v>
      </c>
      <c r="L615" s="174">
        <f>Oportuno!L615</f>
        <v>0</v>
      </c>
      <c r="M615" s="174">
        <f>Oportuno!M615</f>
        <v>0</v>
      </c>
      <c r="N615" s="174">
        <f>Oportuno!N615</f>
        <v>0</v>
      </c>
      <c r="O615" s="174">
        <f>Oportuno!O615</f>
        <v>0</v>
      </c>
      <c r="P615" s="174">
        <f>Oportuno!P615</f>
        <v>0</v>
      </c>
      <c r="Q615" s="174">
        <f>Oportuno!Q615</f>
        <v>0</v>
      </c>
      <c r="R615" s="174">
        <f>Oportuno!R615</f>
        <v>0</v>
      </c>
      <c r="S615" s="215">
        <f>Oportuno!S615</f>
        <v>0</v>
      </c>
      <c r="T615" s="71">
        <f>Oportuno!T615</f>
        <v>0</v>
      </c>
      <c r="U615" s="71">
        <f>Oportuno!U615</f>
        <v>0</v>
      </c>
      <c r="V615" s="117">
        <f>Oportuno!V615</f>
        <v>0</v>
      </c>
      <c r="W615" s="117">
        <f>Oportuno!W615</f>
        <v>0</v>
      </c>
      <c r="X615" s="71">
        <f>Oportuno!X615</f>
        <v>0</v>
      </c>
      <c r="Y615" s="71">
        <f>Oportuno!Y615</f>
        <v>0</v>
      </c>
      <c r="AA615" s="65"/>
    </row>
    <row r="616" spans="2:27" ht="12" customHeight="1">
      <c r="B616" s="119">
        <f>Oportuno!B616</f>
        <v>0</v>
      </c>
      <c r="C616" s="23">
        <f>Oportuno!C616</f>
        <v>2026092</v>
      </c>
      <c r="D616" s="23">
        <f>Oportuno!D616</f>
        <v>22</v>
      </c>
      <c r="E616" s="128">
        <f>Oportuno!E616</f>
        <v>0</v>
      </c>
      <c r="F616" s="126" t="e">
        <f>Oportuno!F616</f>
        <v>#N/A</v>
      </c>
      <c r="G616" s="36">
        <f>Oportuno!G616</f>
        <v>1</v>
      </c>
      <c r="H616" s="126" t="str">
        <f>Oportuno!H616</f>
        <v>Oficinas</v>
      </c>
      <c r="I616" s="130">
        <f>Oportuno!I616</f>
        <v>0</v>
      </c>
      <c r="J616" s="174">
        <f>Oportuno!J616</f>
        <v>0</v>
      </c>
      <c r="K616" s="174">
        <f>Oportuno!K616</f>
        <v>0</v>
      </c>
      <c r="L616" s="174">
        <f>Oportuno!L616</f>
        <v>0</v>
      </c>
      <c r="M616" s="174">
        <f>Oportuno!M616</f>
        <v>0</v>
      </c>
      <c r="N616" s="174">
        <f>Oportuno!N616</f>
        <v>0</v>
      </c>
      <c r="O616" s="174">
        <f>Oportuno!O616</f>
        <v>0</v>
      </c>
      <c r="P616" s="174">
        <f>Oportuno!P616</f>
        <v>0</v>
      </c>
      <c r="Q616" s="174">
        <f>Oportuno!Q616</f>
        <v>0</v>
      </c>
      <c r="R616" s="174">
        <f>Oportuno!R616</f>
        <v>0</v>
      </c>
      <c r="S616" s="215">
        <f>Oportuno!S616</f>
        <v>0</v>
      </c>
      <c r="T616" s="71">
        <f>Oportuno!T616</f>
        <v>0</v>
      </c>
      <c r="U616" s="71">
        <f>Oportuno!U616</f>
        <v>0</v>
      </c>
      <c r="V616" s="117">
        <f>Oportuno!V616</f>
        <v>0</v>
      </c>
      <c r="W616" s="117">
        <f>Oportuno!W616</f>
        <v>0</v>
      </c>
      <c r="X616" s="71">
        <f>Oportuno!X616</f>
        <v>0</v>
      </c>
      <c r="Y616" s="71">
        <f>Oportuno!Y616</f>
        <v>0</v>
      </c>
      <c r="AA616" s="65"/>
    </row>
    <row r="617" spans="2:27" ht="13" customHeight="1">
      <c r="B617" s="119">
        <f>Oportuno!B617</f>
        <v>0</v>
      </c>
      <c r="C617" s="23">
        <f>Oportuno!C617</f>
        <v>2026092</v>
      </c>
      <c r="D617" s="23">
        <f>Oportuno!D617</f>
        <v>22</v>
      </c>
      <c r="E617" s="128">
        <f>Oportuno!E617</f>
        <v>0</v>
      </c>
      <c r="F617" s="126" t="e">
        <f>Oportuno!F617</f>
        <v>#N/A</v>
      </c>
      <c r="G617" s="36">
        <f>Oportuno!G617</f>
        <v>1</v>
      </c>
      <c r="H617" s="126" t="str">
        <f>Oportuno!H617</f>
        <v>Oficinas</v>
      </c>
      <c r="I617" s="130">
        <f>Oportuno!I617</f>
        <v>0</v>
      </c>
      <c r="J617" s="174">
        <f>Oportuno!J617</f>
        <v>0</v>
      </c>
      <c r="K617" s="174">
        <f>Oportuno!K617</f>
        <v>0</v>
      </c>
      <c r="L617" s="174">
        <f>Oportuno!L617</f>
        <v>0</v>
      </c>
      <c r="M617" s="174">
        <f>Oportuno!M617</f>
        <v>0</v>
      </c>
      <c r="N617" s="174">
        <f>Oportuno!N617</f>
        <v>0</v>
      </c>
      <c r="O617" s="174">
        <f>Oportuno!O617</f>
        <v>0</v>
      </c>
      <c r="P617" s="174">
        <f>Oportuno!P617</f>
        <v>0</v>
      </c>
      <c r="Q617" s="174">
        <f>Oportuno!Q617</f>
        <v>0</v>
      </c>
      <c r="R617" s="174">
        <f>Oportuno!R617</f>
        <v>0</v>
      </c>
      <c r="S617" s="215">
        <f>Oportuno!S617</f>
        <v>0</v>
      </c>
      <c r="T617" s="71">
        <f>Oportuno!T617</f>
        <v>0</v>
      </c>
      <c r="U617" s="71">
        <f>Oportuno!U617</f>
        <v>0</v>
      </c>
      <c r="V617" s="117">
        <f>Oportuno!V617</f>
        <v>0</v>
      </c>
      <c r="W617" s="117">
        <f>Oportuno!W617</f>
        <v>0</v>
      </c>
      <c r="X617" s="71">
        <f>Oportuno!X617</f>
        <v>0</v>
      </c>
      <c r="Y617" s="71">
        <f>Oportuno!Y617</f>
        <v>0</v>
      </c>
      <c r="AA617" s="65"/>
    </row>
    <row r="618" spans="2:27" ht="13" customHeight="1">
      <c r="B618" s="119">
        <f>Oportuno!B618</f>
        <v>0</v>
      </c>
      <c r="C618" s="23">
        <f>Oportuno!C618</f>
        <v>2026092</v>
      </c>
      <c r="D618" s="23">
        <f>Oportuno!D618</f>
        <v>22</v>
      </c>
      <c r="E618" s="128">
        <f>Oportuno!E618</f>
        <v>0</v>
      </c>
      <c r="F618" s="126" t="e">
        <f>Oportuno!F618</f>
        <v>#N/A</v>
      </c>
      <c r="G618" s="36">
        <f>Oportuno!G618</f>
        <v>1</v>
      </c>
      <c r="H618" s="126" t="str">
        <f>Oportuno!H618</f>
        <v>Oficinas</v>
      </c>
      <c r="I618" s="130">
        <f>Oportuno!I618</f>
        <v>0</v>
      </c>
      <c r="J618" s="174">
        <f>Oportuno!J618</f>
        <v>0</v>
      </c>
      <c r="K618" s="174">
        <f>Oportuno!K618</f>
        <v>0</v>
      </c>
      <c r="L618" s="174">
        <f>Oportuno!L618</f>
        <v>0</v>
      </c>
      <c r="M618" s="174">
        <f>Oportuno!M618</f>
        <v>0</v>
      </c>
      <c r="N618" s="174">
        <f>Oportuno!N618</f>
        <v>0</v>
      </c>
      <c r="O618" s="174">
        <f>Oportuno!O618</f>
        <v>0</v>
      </c>
      <c r="P618" s="174">
        <f>Oportuno!P618</f>
        <v>0</v>
      </c>
      <c r="Q618" s="174">
        <f>Oportuno!Q618</f>
        <v>0</v>
      </c>
      <c r="R618" s="174">
        <f>Oportuno!R618</f>
        <v>0</v>
      </c>
      <c r="S618" s="215">
        <f>Oportuno!S618</f>
        <v>0</v>
      </c>
      <c r="T618" s="71">
        <f>Oportuno!T618</f>
        <v>0</v>
      </c>
      <c r="U618" s="71">
        <f>Oportuno!U618</f>
        <v>0</v>
      </c>
      <c r="V618" s="117">
        <f>Oportuno!V618</f>
        <v>0</v>
      </c>
      <c r="W618" s="117">
        <f>Oportuno!W618</f>
        <v>0</v>
      </c>
      <c r="X618" s="71">
        <f>Oportuno!X618</f>
        <v>0</v>
      </c>
      <c r="Y618" s="71">
        <f>Oportuno!Y618</f>
        <v>0</v>
      </c>
      <c r="AA618" s="65"/>
    </row>
    <row r="619" spans="2:27" ht="13" customHeight="1">
      <c r="B619" s="119">
        <f>Oportuno!B619</f>
        <v>0</v>
      </c>
      <c r="C619" s="23">
        <f>Oportuno!C619</f>
        <v>2026092</v>
      </c>
      <c r="D619" s="23">
        <f>Oportuno!D619</f>
        <v>22</v>
      </c>
      <c r="E619" s="128">
        <f>Oportuno!E619</f>
        <v>0</v>
      </c>
      <c r="F619" s="126" t="e">
        <f>Oportuno!F619</f>
        <v>#N/A</v>
      </c>
      <c r="G619" s="36">
        <f>Oportuno!G619</f>
        <v>1</v>
      </c>
      <c r="H619" s="126" t="str">
        <f>Oportuno!H619</f>
        <v>Oficinas</v>
      </c>
      <c r="I619" s="130">
        <f>Oportuno!I619</f>
        <v>0</v>
      </c>
      <c r="J619" s="174">
        <f>Oportuno!J619</f>
        <v>0</v>
      </c>
      <c r="K619" s="174">
        <f>Oportuno!K619</f>
        <v>0</v>
      </c>
      <c r="L619" s="174">
        <f>Oportuno!L619</f>
        <v>0</v>
      </c>
      <c r="M619" s="174">
        <f>Oportuno!M619</f>
        <v>0</v>
      </c>
      <c r="N619" s="174">
        <f>Oportuno!N619</f>
        <v>0</v>
      </c>
      <c r="O619" s="174">
        <f>Oportuno!O619</f>
        <v>0</v>
      </c>
      <c r="P619" s="174">
        <f>Oportuno!P619</f>
        <v>0</v>
      </c>
      <c r="Q619" s="174">
        <f>Oportuno!Q619</f>
        <v>0</v>
      </c>
      <c r="R619" s="174">
        <f>Oportuno!R619</f>
        <v>0</v>
      </c>
      <c r="S619" s="215">
        <f>Oportuno!S619</f>
        <v>0</v>
      </c>
      <c r="T619" s="71">
        <f>Oportuno!T619</f>
        <v>0</v>
      </c>
      <c r="U619" s="71">
        <f>Oportuno!U619</f>
        <v>0</v>
      </c>
      <c r="V619" s="117">
        <f>Oportuno!V619</f>
        <v>0</v>
      </c>
      <c r="W619" s="117">
        <f>Oportuno!W619</f>
        <v>0</v>
      </c>
      <c r="X619" s="71">
        <f>Oportuno!X619</f>
        <v>0</v>
      </c>
      <c r="Y619" s="71">
        <f>Oportuno!Y619</f>
        <v>0</v>
      </c>
      <c r="AA619" s="65"/>
    </row>
    <row r="620" spans="2:27" ht="13" customHeight="1">
      <c r="B620" s="119">
        <f>Oportuno!B620</f>
        <v>0</v>
      </c>
      <c r="C620" s="23">
        <f>Oportuno!C620</f>
        <v>2026092</v>
      </c>
      <c r="D620" s="23">
        <f>Oportuno!D620</f>
        <v>22</v>
      </c>
      <c r="E620" s="128">
        <f>Oportuno!E620</f>
        <v>0</v>
      </c>
      <c r="F620" s="126" t="e">
        <f>Oportuno!F620</f>
        <v>#N/A</v>
      </c>
      <c r="G620" s="36">
        <f>Oportuno!G620</f>
        <v>1</v>
      </c>
      <c r="H620" s="126" t="str">
        <f>Oportuno!H620</f>
        <v>Oficinas</v>
      </c>
      <c r="I620" s="130">
        <f>Oportuno!I620</f>
        <v>0</v>
      </c>
      <c r="J620" s="174">
        <f>Oportuno!J620</f>
        <v>0</v>
      </c>
      <c r="K620" s="174">
        <f>Oportuno!K620</f>
        <v>0</v>
      </c>
      <c r="L620" s="174">
        <f>Oportuno!L620</f>
        <v>0</v>
      </c>
      <c r="M620" s="174">
        <f>Oportuno!M620</f>
        <v>0</v>
      </c>
      <c r="N620" s="174">
        <f>Oportuno!N620</f>
        <v>0</v>
      </c>
      <c r="O620" s="174">
        <f>Oportuno!O620</f>
        <v>0</v>
      </c>
      <c r="P620" s="174">
        <f>Oportuno!P620</f>
        <v>0</v>
      </c>
      <c r="Q620" s="174">
        <f>Oportuno!Q620</f>
        <v>0</v>
      </c>
      <c r="R620" s="174">
        <f>Oportuno!R620</f>
        <v>0</v>
      </c>
      <c r="S620" s="215">
        <f>Oportuno!S620</f>
        <v>0</v>
      </c>
      <c r="T620" s="71">
        <f>Oportuno!T620</f>
        <v>0</v>
      </c>
      <c r="U620" s="71">
        <f>Oportuno!U620</f>
        <v>0</v>
      </c>
      <c r="V620" s="117">
        <f>Oportuno!V620</f>
        <v>0</v>
      </c>
      <c r="W620" s="117">
        <f>Oportuno!W620</f>
        <v>0</v>
      </c>
      <c r="X620" s="71">
        <f>Oportuno!X620</f>
        <v>0</v>
      </c>
      <c r="Y620" s="71">
        <f>Oportuno!Y620</f>
        <v>0</v>
      </c>
      <c r="AA620" s="65"/>
    </row>
    <row r="621" spans="2:27" ht="13" customHeight="1">
      <c r="B621" s="119">
        <f>Oportuno!B621</f>
        <v>0</v>
      </c>
      <c r="C621" s="23">
        <f>Oportuno!C621</f>
        <v>2026092</v>
      </c>
      <c r="D621" s="23">
        <f>Oportuno!D621</f>
        <v>22</v>
      </c>
      <c r="E621" s="128">
        <f>Oportuno!E621</f>
        <v>0</v>
      </c>
      <c r="F621" s="126" t="e">
        <f>Oportuno!F621</f>
        <v>#N/A</v>
      </c>
      <c r="G621" s="36">
        <f>Oportuno!G621</f>
        <v>1</v>
      </c>
      <c r="H621" s="126" t="str">
        <f>Oportuno!H621</f>
        <v>Oficinas</v>
      </c>
      <c r="I621" s="130">
        <f>Oportuno!I621</f>
        <v>0</v>
      </c>
      <c r="J621" s="174">
        <f>Oportuno!J621</f>
        <v>0</v>
      </c>
      <c r="K621" s="174">
        <f>Oportuno!K621</f>
        <v>0</v>
      </c>
      <c r="L621" s="174">
        <f>Oportuno!L621</f>
        <v>0</v>
      </c>
      <c r="M621" s="174">
        <f>Oportuno!M621</f>
        <v>0</v>
      </c>
      <c r="N621" s="174">
        <f>Oportuno!N621</f>
        <v>0</v>
      </c>
      <c r="O621" s="174">
        <f>Oportuno!O621</f>
        <v>0</v>
      </c>
      <c r="P621" s="174">
        <f>Oportuno!P621</f>
        <v>0</v>
      </c>
      <c r="Q621" s="174">
        <f>Oportuno!Q621</f>
        <v>0</v>
      </c>
      <c r="R621" s="174">
        <f>Oportuno!R621</f>
        <v>0</v>
      </c>
      <c r="S621" s="215">
        <f>Oportuno!S621</f>
        <v>0</v>
      </c>
      <c r="T621" s="71">
        <f>Oportuno!T621</f>
        <v>0</v>
      </c>
      <c r="U621" s="71">
        <f>Oportuno!U621</f>
        <v>0</v>
      </c>
      <c r="V621" s="117">
        <f>Oportuno!V621</f>
        <v>0</v>
      </c>
      <c r="W621" s="117">
        <f>Oportuno!W621</f>
        <v>0</v>
      </c>
      <c r="X621" s="71">
        <f>Oportuno!X621</f>
        <v>0</v>
      </c>
      <c r="Y621" s="71">
        <f>Oportuno!Y621</f>
        <v>0</v>
      </c>
      <c r="AA621" s="65"/>
    </row>
    <row r="622" spans="2:27" ht="13" customHeight="1">
      <c r="B622" s="119">
        <f>Oportuno!B622</f>
        <v>0</v>
      </c>
      <c r="C622" s="23">
        <f>Oportuno!C622</f>
        <v>2026092</v>
      </c>
      <c r="D622" s="23">
        <f>Oportuno!D622</f>
        <v>22</v>
      </c>
      <c r="E622" s="128">
        <f>Oportuno!E622</f>
        <v>0</v>
      </c>
      <c r="F622" s="126" t="e">
        <f>Oportuno!F622</f>
        <v>#N/A</v>
      </c>
      <c r="G622" s="36">
        <f>Oportuno!G622</f>
        <v>1</v>
      </c>
      <c r="H622" s="126" t="str">
        <f>Oportuno!H622</f>
        <v>Oficinas</v>
      </c>
      <c r="I622" s="130">
        <f>Oportuno!I622</f>
        <v>0</v>
      </c>
      <c r="J622" s="174">
        <f>Oportuno!J622</f>
        <v>0</v>
      </c>
      <c r="K622" s="174">
        <f>Oportuno!K622</f>
        <v>0</v>
      </c>
      <c r="L622" s="174">
        <f>Oportuno!L622</f>
        <v>0</v>
      </c>
      <c r="M622" s="174">
        <f>Oportuno!M622</f>
        <v>0</v>
      </c>
      <c r="N622" s="174">
        <f>Oportuno!N622</f>
        <v>0</v>
      </c>
      <c r="O622" s="174">
        <f>Oportuno!O622</f>
        <v>0</v>
      </c>
      <c r="P622" s="174">
        <f>Oportuno!P622</f>
        <v>0</v>
      </c>
      <c r="Q622" s="174">
        <f>Oportuno!Q622</f>
        <v>0</v>
      </c>
      <c r="R622" s="174">
        <f>Oportuno!R622</f>
        <v>0</v>
      </c>
      <c r="S622" s="215">
        <f>Oportuno!S622</f>
        <v>0</v>
      </c>
      <c r="T622" s="71">
        <f>Oportuno!T622</f>
        <v>0</v>
      </c>
      <c r="U622" s="71">
        <f>Oportuno!U622</f>
        <v>0</v>
      </c>
      <c r="V622" s="117">
        <f>Oportuno!V622</f>
        <v>0</v>
      </c>
      <c r="W622" s="117">
        <f>Oportuno!W622</f>
        <v>0</v>
      </c>
      <c r="X622" s="71">
        <f>Oportuno!X622</f>
        <v>0</v>
      </c>
      <c r="Y622" s="71">
        <f>Oportuno!Y622</f>
        <v>0</v>
      </c>
      <c r="AA622" s="65"/>
    </row>
    <row r="623" spans="2:27" ht="13" customHeight="1">
      <c r="B623" s="119">
        <f>Oportuno!B623</f>
        <v>0</v>
      </c>
      <c r="C623" s="23">
        <f>Oportuno!C623</f>
        <v>2026092</v>
      </c>
      <c r="D623" s="23">
        <f>Oportuno!D623</f>
        <v>22</v>
      </c>
      <c r="E623" s="128">
        <f>Oportuno!E623</f>
        <v>0</v>
      </c>
      <c r="F623" s="126" t="e">
        <f>Oportuno!F623</f>
        <v>#N/A</v>
      </c>
      <c r="G623" s="36">
        <f>Oportuno!G623</f>
        <v>1</v>
      </c>
      <c r="H623" s="126" t="str">
        <f>Oportuno!H623</f>
        <v>Oficinas</v>
      </c>
      <c r="I623" s="130">
        <f>Oportuno!I623</f>
        <v>0</v>
      </c>
      <c r="J623" s="174">
        <f>Oportuno!J623</f>
        <v>0</v>
      </c>
      <c r="K623" s="174">
        <f>Oportuno!K623</f>
        <v>0</v>
      </c>
      <c r="L623" s="174">
        <f>Oportuno!L623</f>
        <v>0</v>
      </c>
      <c r="M623" s="174">
        <f>Oportuno!M623</f>
        <v>0</v>
      </c>
      <c r="N623" s="174">
        <f>Oportuno!N623</f>
        <v>0</v>
      </c>
      <c r="O623" s="174">
        <f>Oportuno!O623</f>
        <v>0</v>
      </c>
      <c r="P623" s="174">
        <f>Oportuno!P623</f>
        <v>0</v>
      </c>
      <c r="Q623" s="174">
        <f>Oportuno!Q623</f>
        <v>0</v>
      </c>
      <c r="R623" s="174">
        <f>Oportuno!R623</f>
        <v>0</v>
      </c>
      <c r="S623" s="215">
        <f>Oportuno!S623</f>
        <v>0</v>
      </c>
      <c r="T623" s="71">
        <f>Oportuno!T623</f>
        <v>0</v>
      </c>
      <c r="U623" s="71">
        <f>Oportuno!U623</f>
        <v>0</v>
      </c>
      <c r="V623" s="117">
        <f>Oportuno!V623</f>
        <v>0</v>
      </c>
      <c r="W623" s="117">
        <f>Oportuno!W623</f>
        <v>0</v>
      </c>
      <c r="X623" s="71">
        <f>Oportuno!X623</f>
        <v>0</v>
      </c>
      <c r="Y623" s="71">
        <f>Oportuno!Y623</f>
        <v>0</v>
      </c>
      <c r="AA623" s="65"/>
    </row>
    <row r="624" spans="2:27" ht="13" customHeight="1">
      <c r="B624" s="119">
        <f>Oportuno!B624</f>
        <v>0</v>
      </c>
      <c r="C624" s="23">
        <f>Oportuno!C624</f>
        <v>2026092</v>
      </c>
      <c r="D624" s="23">
        <f>Oportuno!D624</f>
        <v>22</v>
      </c>
      <c r="E624" s="128">
        <f>Oportuno!E624</f>
        <v>0</v>
      </c>
      <c r="F624" s="126" t="e">
        <f>Oportuno!F624</f>
        <v>#N/A</v>
      </c>
      <c r="G624" s="36">
        <f>Oportuno!G624</f>
        <v>1</v>
      </c>
      <c r="H624" s="126" t="str">
        <f>Oportuno!H624</f>
        <v>Oficinas</v>
      </c>
      <c r="I624" s="130">
        <f>Oportuno!I624</f>
        <v>0</v>
      </c>
      <c r="J624" s="174">
        <f>Oportuno!J624</f>
        <v>0</v>
      </c>
      <c r="K624" s="174">
        <f>Oportuno!K624</f>
        <v>0</v>
      </c>
      <c r="L624" s="174">
        <f>Oportuno!L624</f>
        <v>0</v>
      </c>
      <c r="M624" s="174">
        <f>Oportuno!M624</f>
        <v>0</v>
      </c>
      <c r="N624" s="174">
        <f>Oportuno!N624</f>
        <v>0</v>
      </c>
      <c r="O624" s="174">
        <f>Oportuno!O624</f>
        <v>0</v>
      </c>
      <c r="P624" s="174">
        <f>Oportuno!P624</f>
        <v>0</v>
      </c>
      <c r="Q624" s="174">
        <f>Oportuno!Q624</f>
        <v>0</v>
      </c>
      <c r="R624" s="174">
        <f>Oportuno!R624</f>
        <v>0</v>
      </c>
      <c r="S624" s="215">
        <f>Oportuno!S624</f>
        <v>0</v>
      </c>
      <c r="T624" s="71">
        <f>Oportuno!T624</f>
        <v>0</v>
      </c>
      <c r="U624" s="71">
        <f>Oportuno!U624</f>
        <v>0</v>
      </c>
      <c r="V624" s="117">
        <f>Oportuno!V624</f>
        <v>0</v>
      </c>
      <c r="W624" s="117">
        <f>Oportuno!W624</f>
        <v>0</v>
      </c>
      <c r="X624" s="71">
        <f>Oportuno!X624</f>
        <v>0</v>
      </c>
      <c r="Y624" s="71">
        <f>Oportuno!Y624</f>
        <v>0</v>
      </c>
      <c r="AA624" s="65"/>
    </row>
    <row r="625" spans="2:27 16101:16120" ht="13" customHeight="1" thickBot="1">
      <c r="B625" s="119">
        <f>Oportuno!B625</f>
        <v>0</v>
      </c>
      <c r="C625" s="23">
        <f>Oportuno!C625</f>
        <v>2026092</v>
      </c>
      <c r="D625" s="23">
        <f>Oportuno!D625</f>
        <v>22</v>
      </c>
      <c r="E625" s="128">
        <f>Oportuno!E625</f>
        <v>0</v>
      </c>
      <c r="F625" s="126" t="e">
        <f>Oportuno!F625</f>
        <v>#N/A</v>
      </c>
      <c r="G625" s="36">
        <f>Oportuno!G625</f>
        <v>1</v>
      </c>
      <c r="H625" s="126" t="str">
        <f>Oportuno!H625</f>
        <v>Oficinas</v>
      </c>
      <c r="I625" s="130">
        <f>Oportuno!I625</f>
        <v>0</v>
      </c>
      <c r="J625" s="174">
        <f>Oportuno!J625</f>
        <v>0</v>
      </c>
      <c r="K625" s="174">
        <f>Oportuno!K625</f>
        <v>0</v>
      </c>
      <c r="L625" s="174">
        <f>Oportuno!L625</f>
        <v>0</v>
      </c>
      <c r="M625" s="174">
        <f>Oportuno!M625</f>
        <v>0</v>
      </c>
      <c r="N625" s="174">
        <f>Oportuno!N625</f>
        <v>0</v>
      </c>
      <c r="O625" s="174">
        <f>Oportuno!O625</f>
        <v>0</v>
      </c>
      <c r="P625" s="174">
        <f>Oportuno!P625</f>
        <v>0</v>
      </c>
      <c r="Q625" s="174">
        <f>Oportuno!Q625</f>
        <v>0</v>
      </c>
      <c r="R625" s="174">
        <f>Oportuno!R625</f>
        <v>0</v>
      </c>
      <c r="S625" s="215">
        <f>Oportuno!S625</f>
        <v>0</v>
      </c>
      <c r="T625" s="71">
        <f>Oportuno!T625</f>
        <v>0</v>
      </c>
      <c r="U625" s="71">
        <f>Oportuno!U625</f>
        <v>0</v>
      </c>
      <c r="V625" s="117">
        <f>Oportuno!V625</f>
        <v>0</v>
      </c>
      <c r="W625" s="117">
        <f>Oportuno!W625</f>
        <v>0</v>
      </c>
      <c r="X625" s="71">
        <f>Oportuno!X625</f>
        <v>0</v>
      </c>
      <c r="Y625" s="71">
        <f>Oportuno!Y625</f>
        <v>0</v>
      </c>
      <c r="AA625" s="65"/>
    </row>
    <row r="626" spans="2:27 16101:16120" ht="13" customHeight="1" thickBot="1">
      <c r="B626" s="1" t="s">
        <v>0</v>
      </c>
      <c r="C626" s="1" t="s">
        <v>0</v>
      </c>
      <c r="D626" s="20" t="s">
        <v>0</v>
      </c>
      <c r="E626" s="120" t="str">
        <f>Oportuno!E626</f>
        <v xml:space="preserve"> </v>
      </c>
      <c r="F626" s="121" t="str">
        <f>Oportuno!F626</f>
        <v>TOTAL RECAUDO</v>
      </c>
      <c r="G626" s="121" t="s">
        <v>0</v>
      </c>
      <c r="H626" s="121" t="s">
        <v>0</v>
      </c>
      <c r="I626" s="121" t="s">
        <v>0</v>
      </c>
      <c r="J626" s="122">
        <f>Oportuno!J626</f>
        <v>0</v>
      </c>
      <c r="K626" s="122">
        <f>Oportuno!K626</f>
        <v>0</v>
      </c>
      <c r="L626" s="122">
        <f>Oportuno!L626</f>
        <v>0</v>
      </c>
      <c r="M626" s="122">
        <f>Oportuno!M626</f>
        <v>0</v>
      </c>
      <c r="N626" s="122">
        <f>Oportuno!N626</f>
        <v>0</v>
      </c>
      <c r="O626" s="122">
        <f>Oportuno!O626</f>
        <v>0</v>
      </c>
      <c r="P626" s="122">
        <f>Oportuno!P626</f>
        <v>0</v>
      </c>
      <c r="Q626" s="122">
        <f>Oportuno!Q626</f>
        <v>0</v>
      </c>
      <c r="R626" s="122">
        <f>Oportuno!R626</f>
        <v>104</v>
      </c>
      <c r="S626" s="122">
        <f>Oportuno!S626</f>
        <v>4633830</v>
      </c>
      <c r="T626" s="122">
        <f>Oportuno!T626</f>
        <v>104</v>
      </c>
      <c r="U626" s="122">
        <f>Oportuno!U626</f>
        <v>4633830</v>
      </c>
      <c r="V626" s="123">
        <f>Oportuno!V626</f>
        <v>104</v>
      </c>
      <c r="W626" s="123">
        <f>Oportuno!W626</f>
        <v>4633830</v>
      </c>
      <c r="X626" s="122">
        <f>Oportuno!X626</f>
        <v>0</v>
      </c>
      <c r="Y626" s="123">
        <f>Oportuno!Y626</f>
        <v>0</v>
      </c>
      <c r="AA626" s="65"/>
    </row>
    <row r="627" spans="2:27 16101:16120" ht="13" thickBot="1">
      <c r="AA627" s="65"/>
    </row>
    <row r="628" spans="2:27 16101:16120" ht="41.25" customHeight="1" thickBot="1">
      <c r="B628" s="112" t="s">
        <v>4</v>
      </c>
      <c r="C628" s="34" t="s">
        <v>6</v>
      </c>
      <c r="D628" s="34" t="s">
        <v>7</v>
      </c>
      <c r="E628" s="34" t="s">
        <v>49</v>
      </c>
      <c r="F628" s="34" t="s">
        <v>50</v>
      </c>
      <c r="G628" s="34" t="s">
        <v>51</v>
      </c>
      <c r="H628" s="34" t="s">
        <v>52</v>
      </c>
      <c r="I628" s="34" t="s">
        <v>13</v>
      </c>
      <c r="J628" s="231" t="s">
        <v>8</v>
      </c>
      <c r="K628" s="231" t="s">
        <v>36</v>
      </c>
      <c r="L628" s="12" t="s">
        <v>9</v>
      </c>
      <c r="M628" s="12" t="s">
        <v>37</v>
      </c>
      <c r="N628" s="87" t="s">
        <v>10</v>
      </c>
      <c r="O628" s="88" t="s">
        <v>38</v>
      </c>
      <c r="P628" s="87" t="s">
        <v>11</v>
      </c>
      <c r="Q628" s="88" t="s">
        <v>39</v>
      </c>
      <c r="R628" s="232" t="s">
        <v>12</v>
      </c>
      <c r="S628" s="233" t="s">
        <v>40</v>
      </c>
      <c r="T628" s="64" t="s">
        <v>41</v>
      </c>
      <c r="U628" s="64" t="s">
        <v>42</v>
      </c>
      <c r="V628" s="35" t="s">
        <v>32</v>
      </c>
      <c r="W628" s="67" t="s">
        <v>35</v>
      </c>
      <c r="X628" s="12" t="s">
        <v>34</v>
      </c>
      <c r="Y628" s="68" t="s">
        <v>33</v>
      </c>
      <c r="AA628" s="66"/>
      <c r="WUG628" s="1"/>
      <c r="WUH628" s="1"/>
      <c r="WUY628"/>
      <c r="WUZ628"/>
    </row>
    <row r="629" spans="2:27 16101:16120" ht="13" customHeight="1">
      <c r="B629" s="119" t="str">
        <f>Oportuno!B629</f>
        <v>25/09/2026</v>
      </c>
      <c r="C629" s="24">
        <f>Oportuno!C629</f>
        <v>2026092</v>
      </c>
      <c r="D629" s="24">
        <f>Oportuno!D629</f>
        <v>23</v>
      </c>
      <c r="E629" s="127">
        <f>Oportuno!E629</f>
        <v>20</v>
      </c>
      <c r="F629" s="125" t="str">
        <f>Oportuno!F629</f>
        <v>Bancolombia ENERBIT</v>
      </c>
      <c r="G629" s="18">
        <f>Oportuno!G629</f>
        <v>1</v>
      </c>
      <c r="H629" s="125" t="str">
        <f>Oportuno!H629</f>
        <v>Oficinas</v>
      </c>
      <c r="I629" s="129">
        <f>Oportuno!I629</f>
        <v>0</v>
      </c>
      <c r="J629" s="213">
        <f>Oportuno!J629</f>
        <v>0</v>
      </c>
      <c r="K629" s="213">
        <f>Oportuno!K629</f>
        <v>0</v>
      </c>
      <c r="L629" s="213">
        <f>Oportuno!L629</f>
        <v>0</v>
      </c>
      <c r="M629" s="213">
        <f>Oportuno!M629</f>
        <v>0</v>
      </c>
      <c r="N629" s="213">
        <f>Oportuno!N629</f>
        <v>0</v>
      </c>
      <c r="O629" s="213">
        <f>Oportuno!O629</f>
        <v>0</v>
      </c>
      <c r="P629" s="213">
        <f>Oportuno!P629</f>
        <v>0</v>
      </c>
      <c r="Q629" s="213">
        <f>Oportuno!Q629</f>
        <v>0</v>
      </c>
      <c r="R629" s="213">
        <f>Oportuno!R629</f>
        <v>63</v>
      </c>
      <c r="S629" s="214">
        <f>Oportuno!S629</f>
        <v>3800640</v>
      </c>
      <c r="T629" s="70">
        <f>Oportuno!T629</f>
        <v>63</v>
      </c>
      <c r="U629" s="70">
        <f>Oportuno!U629</f>
        <v>3800640</v>
      </c>
      <c r="V629" s="116">
        <f>Oportuno!V629</f>
        <v>63</v>
      </c>
      <c r="W629" s="116">
        <f>Oportuno!W629</f>
        <v>3800640</v>
      </c>
      <c r="X629" s="70">
        <f>Oportuno!X629</f>
        <v>0</v>
      </c>
      <c r="Y629" s="70">
        <f>Oportuno!Y629</f>
        <v>0</v>
      </c>
      <c r="AA629" s="65"/>
    </row>
    <row r="630" spans="2:27 16101:16120" ht="13" customHeight="1">
      <c r="B630" s="119">
        <f>Oportuno!B630</f>
        <v>0</v>
      </c>
      <c r="C630" s="23">
        <f>Oportuno!C630</f>
        <v>2026092</v>
      </c>
      <c r="D630" s="23">
        <f>Oportuno!D630</f>
        <v>23</v>
      </c>
      <c r="E630" s="128">
        <f>Oportuno!E630</f>
        <v>0</v>
      </c>
      <c r="F630" s="126" t="e">
        <f>Oportuno!F630</f>
        <v>#N/A</v>
      </c>
      <c r="G630" s="36">
        <f>Oportuno!G630</f>
        <v>1</v>
      </c>
      <c r="H630" s="126" t="str">
        <f>Oportuno!H630</f>
        <v>Oficinas</v>
      </c>
      <c r="I630" s="130">
        <f>Oportuno!I630</f>
        <v>0</v>
      </c>
      <c r="J630" s="174">
        <f>Oportuno!J630</f>
        <v>0</v>
      </c>
      <c r="K630" s="174">
        <f>Oportuno!K630</f>
        <v>0</v>
      </c>
      <c r="L630" s="174">
        <f>Oportuno!L630</f>
        <v>0</v>
      </c>
      <c r="M630" s="174">
        <f>Oportuno!M630</f>
        <v>0</v>
      </c>
      <c r="N630" s="174">
        <f>Oportuno!N630</f>
        <v>0</v>
      </c>
      <c r="O630" s="174">
        <f>Oportuno!O630</f>
        <v>0</v>
      </c>
      <c r="P630" s="174">
        <f>Oportuno!P630</f>
        <v>0</v>
      </c>
      <c r="Q630" s="174">
        <f>Oportuno!Q630</f>
        <v>0</v>
      </c>
      <c r="R630" s="174">
        <f>Oportuno!R630</f>
        <v>0</v>
      </c>
      <c r="S630" s="215">
        <f>Oportuno!S630</f>
        <v>0</v>
      </c>
      <c r="T630" s="71">
        <f>Oportuno!T630</f>
        <v>0</v>
      </c>
      <c r="U630" s="71">
        <f>Oportuno!U630</f>
        <v>0</v>
      </c>
      <c r="V630" s="117">
        <f>Oportuno!V630</f>
        <v>0</v>
      </c>
      <c r="W630" s="117">
        <f>Oportuno!W630</f>
        <v>0</v>
      </c>
      <c r="X630" s="71">
        <f>Oportuno!X630</f>
        <v>0</v>
      </c>
      <c r="Y630" s="71">
        <f>Oportuno!Y630</f>
        <v>0</v>
      </c>
      <c r="AA630" s="65"/>
    </row>
    <row r="631" spans="2:27 16101:16120" ht="13" customHeight="1">
      <c r="B631" s="119">
        <f>Oportuno!B631</f>
        <v>0</v>
      </c>
      <c r="C631" s="23">
        <f>Oportuno!C631</f>
        <v>2026092</v>
      </c>
      <c r="D631" s="23">
        <f>Oportuno!D631</f>
        <v>23</v>
      </c>
      <c r="E631" s="128">
        <f>Oportuno!E631</f>
        <v>0</v>
      </c>
      <c r="F631" s="126" t="e">
        <f>Oportuno!F631</f>
        <v>#N/A</v>
      </c>
      <c r="G631" s="36">
        <f>Oportuno!G631</f>
        <v>1</v>
      </c>
      <c r="H631" s="126" t="str">
        <f>Oportuno!H631</f>
        <v>Oficinas</v>
      </c>
      <c r="I631" s="130">
        <f>Oportuno!I631</f>
        <v>0</v>
      </c>
      <c r="J631" s="174">
        <f>Oportuno!J631</f>
        <v>0</v>
      </c>
      <c r="K631" s="174">
        <f>Oportuno!K631</f>
        <v>0</v>
      </c>
      <c r="L631" s="174">
        <f>Oportuno!L631</f>
        <v>0</v>
      </c>
      <c r="M631" s="174">
        <f>Oportuno!M631</f>
        <v>0</v>
      </c>
      <c r="N631" s="174">
        <f>Oportuno!N631</f>
        <v>0</v>
      </c>
      <c r="O631" s="174">
        <f>Oportuno!O631</f>
        <v>0</v>
      </c>
      <c r="P631" s="174">
        <f>Oportuno!P631</f>
        <v>0</v>
      </c>
      <c r="Q631" s="174">
        <f>Oportuno!Q631</f>
        <v>0</v>
      </c>
      <c r="R631" s="174">
        <f>Oportuno!R631</f>
        <v>0</v>
      </c>
      <c r="S631" s="215">
        <f>Oportuno!S631</f>
        <v>0</v>
      </c>
      <c r="T631" s="71">
        <f>Oportuno!T631</f>
        <v>0</v>
      </c>
      <c r="U631" s="71">
        <f>Oportuno!U631</f>
        <v>0</v>
      </c>
      <c r="V631" s="117">
        <f>Oportuno!V631</f>
        <v>0</v>
      </c>
      <c r="W631" s="117">
        <f>Oportuno!W631</f>
        <v>0</v>
      </c>
      <c r="X631" s="71">
        <f>Oportuno!X631</f>
        <v>0</v>
      </c>
      <c r="Y631" s="71">
        <f>Oportuno!Y631</f>
        <v>0</v>
      </c>
      <c r="AA631" s="65"/>
    </row>
    <row r="632" spans="2:27 16101:16120" ht="13" customHeight="1">
      <c r="B632" s="119">
        <f>Oportuno!B632</f>
        <v>0</v>
      </c>
      <c r="C632" s="23">
        <f>Oportuno!C632</f>
        <v>2026092</v>
      </c>
      <c r="D632" s="23">
        <f>Oportuno!D632</f>
        <v>23</v>
      </c>
      <c r="E632" s="128">
        <f>Oportuno!E632</f>
        <v>0</v>
      </c>
      <c r="F632" s="126" t="e">
        <f>Oportuno!F632</f>
        <v>#N/A</v>
      </c>
      <c r="G632" s="36">
        <f>Oportuno!G632</f>
        <v>1</v>
      </c>
      <c r="H632" s="126" t="str">
        <f>Oportuno!H632</f>
        <v>Oficinas</v>
      </c>
      <c r="I632" s="130">
        <f>Oportuno!I632</f>
        <v>0</v>
      </c>
      <c r="J632" s="174">
        <f>Oportuno!J632</f>
        <v>0</v>
      </c>
      <c r="K632" s="174">
        <f>Oportuno!K632</f>
        <v>0</v>
      </c>
      <c r="L632" s="174">
        <f>Oportuno!L632</f>
        <v>0</v>
      </c>
      <c r="M632" s="174">
        <f>Oportuno!M632</f>
        <v>0</v>
      </c>
      <c r="N632" s="174">
        <f>Oportuno!N632</f>
        <v>0</v>
      </c>
      <c r="O632" s="174">
        <f>Oportuno!O632</f>
        <v>0</v>
      </c>
      <c r="P632" s="174">
        <f>Oportuno!P632</f>
        <v>0</v>
      </c>
      <c r="Q632" s="174">
        <f>Oportuno!Q632</f>
        <v>0</v>
      </c>
      <c r="R632" s="174">
        <f>Oportuno!R632</f>
        <v>0</v>
      </c>
      <c r="S632" s="215">
        <f>Oportuno!S632</f>
        <v>0</v>
      </c>
      <c r="T632" s="71">
        <f>Oportuno!T632</f>
        <v>0</v>
      </c>
      <c r="U632" s="71">
        <f>Oportuno!U632</f>
        <v>0</v>
      </c>
      <c r="V632" s="117">
        <f>Oportuno!V632</f>
        <v>0</v>
      </c>
      <c r="W632" s="117">
        <f>Oportuno!W632</f>
        <v>0</v>
      </c>
      <c r="X632" s="71">
        <f>Oportuno!X632</f>
        <v>0</v>
      </c>
      <c r="Y632" s="71">
        <f>Oportuno!Y632</f>
        <v>0</v>
      </c>
      <c r="AA632" s="65"/>
    </row>
    <row r="633" spans="2:27 16101:16120" ht="13" customHeight="1">
      <c r="B633" s="119">
        <f>Oportuno!B633</f>
        <v>0</v>
      </c>
      <c r="C633" s="23">
        <f>Oportuno!C633</f>
        <v>2026092</v>
      </c>
      <c r="D633" s="23">
        <f>Oportuno!D633</f>
        <v>23</v>
      </c>
      <c r="E633" s="128">
        <f>Oportuno!E633</f>
        <v>0</v>
      </c>
      <c r="F633" s="126" t="e">
        <f>Oportuno!F633</f>
        <v>#N/A</v>
      </c>
      <c r="G633" s="36">
        <f>Oportuno!G633</f>
        <v>1</v>
      </c>
      <c r="H633" s="126" t="str">
        <f>Oportuno!H633</f>
        <v>Oficinas</v>
      </c>
      <c r="I633" s="130">
        <f>Oportuno!I633</f>
        <v>0</v>
      </c>
      <c r="J633" s="174">
        <f>Oportuno!J633</f>
        <v>0</v>
      </c>
      <c r="K633" s="174">
        <f>Oportuno!K633</f>
        <v>0</v>
      </c>
      <c r="L633" s="174">
        <f>Oportuno!L633</f>
        <v>0</v>
      </c>
      <c r="M633" s="174">
        <f>Oportuno!M633</f>
        <v>0</v>
      </c>
      <c r="N633" s="174">
        <f>Oportuno!N633</f>
        <v>0</v>
      </c>
      <c r="O633" s="174">
        <f>Oportuno!O633</f>
        <v>0</v>
      </c>
      <c r="P633" s="174">
        <f>Oportuno!P633</f>
        <v>0</v>
      </c>
      <c r="Q633" s="174">
        <f>Oportuno!Q633</f>
        <v>0</v>
      </c>
      <c r="R633" s="174">
        <f>Oportuno!R633</f>
        <v>0</v>
      </c>
      <c r="S633" s="215">
        <f>Oportuno!S633</f>
        <v>0</v>
      </c>
      <c r="T633" s="71">
        <f>Oportuno!T633</f>
        <v>0</v>
      </c>
      <c r="U633" s="71">
        <f>Oportuno!U633</f>
        <v>0</v>
      </c>
      <c r="V633" s="117">
        <f>Oportuno!V633</f>
        <v>0</v>
      </c>
      <c r="W633" s="117">
        <f>Oportuno!W633</f>
        <v>0</v>
      </c>
      <c r="X633" s="71">
        <f>Oportuno!X633</f>
        <v>0</v>
      </c>
      <c r="Y633" s="71">
        <f>Oportuno!Y633</f>
        <v>0</v>
      </c>
      <c r="AA633" s="65"/>
    </row>
    <row r="634" spans="2:27 16101:16120" ht="13" customHeight="1">
      <c r="B634" s="119">
        <f>Oportuno!B634</f>
        <v>0</v>
      </c>
      <c r="C634" s="23">
        <f>Oportuno!C634</f>
        <v>2026092</v>
      </c>
      <c r="D634" s="23">
        <f>Oportuno!D634</f>
        <v>23</v>
      </c>
      <c r="E634" s="128">
        <f>Oportuno!E634</f>
        <v>0</v>
      </c>
      <c r="F634" s="126" t="e">
        <f>Oportuno!F634</f>
        <v>#N/A</v>
      </c>
      <c r="G634" s="36">
        <f>Oportuno!G634</f>
        <v>1</v>
      </c>
      <c r="H634" s="126" t="str">
        <f>Oportuno!H634</f>
        <v>Oficinas</v>
      </c>
      <c r="I634" s="130">
        <f>Oportuno!I634</f>
        <v>0</v>
      </c>
      <c r="J634" s="174">
        <f>Oportuno!J634</f>
        <v>0</v>
      </c>
      <c r="K634" s="174">
        <f>Oportuno!K634</f>
        <v>0</v>
      </c>
      <c r="L634" s="174">
        <f>Oportuno!L634</f>
        <v>0</v>
      </c>
      <c r="M634" s="174">
        <f>Oportuno!M634</f>
        <v>0</v>
      </c>
      <c r="N634" s="174">
        <f>Oportuno!N634</f>
        <v>0</v>
      </c>
      <c r="O634" s="174">
        <f>Oportuno!O634</f>
        <v>0</v>
      </c>
      <c r="P634" s="174">
        <f>Oportuno!P634</f>
        <v>0</v>
      </c>
      <c r="Q634" s="174">
        <f>Oportuno!Q634</f>
        <v>0</v>
      </c>
      <c r="R634" s="174">
        <f>Oportuno!R634</f>
        <v>0</v>
      </c>
      <c r="S634" s="215">
        <f>Oportuno!S634</f>
        <v>0</v>
      </c>
      <c r="T634" s="71">
        <f>Oportuno!T634</f>
        <v>0</v>
      </c>
      <c r="U634" s="71">
        <f>Oportuno!U634</f>
        <v>0</v>
      </c>
      <c r="V634" s="117">
        <f>Oportuno!V634</f>
        <v>0</v>
      </c>
      <c r="W634" s="117">
        <f>Oportuno!W634</f>
        <v>0</v>
      </c>
      <c r="X634" s="71">
        <f>Oportuno!X634</f>
        <v>0</v>
      </c>
      <c r="Y634" s="71">
        <f>Oportuno!Y634</f>
        <v>0</v>
      </c>
      <c r="AA634" s="65"/>
    </row>
    <row r="635" spans="2:27 16101:16120" ht="13" customHeight="1">
      <c r="B635" s="119">
        <f>Oportuno!B635</f>
        <v>0</v>
      </c>
      <c r="C635" s="23">
        <f>Oportuno!C635</f>
        <v>2026092</v>
      </c>
      <c r="D635" s="23">
        <f>Oportuno!D635</f>
        <v>23</v>
      </c>
      <c r="E635" s="128">
        <f>Oportuno!E635</f>
        <v>0</v>
      </c>
      <c r="F635" s="126" t="e">
        <f>Oportuno!F635</f>
        <v>#N/A</v>
      </c>
      <c r="G635" s="36">
        <f>Oportuno!G635</f>
        <v>1</v>
      </c>
      <c r="H635" s="126" t="str">
        <f>Oportuno!H635</f>
        <v>Oficinas</v>
      </c>
      <c r="I635" s="130">
        <f>Oportuno!I635</f>
        <v>0</v>
      </c>
      <c r="J635" s="174">
        <f>Oportuno!J635</f>
        <v>0</v>
      </c>
      <c r="K635" s="174">
        <f>Oportuno!K635</f>
        <v>0</v>
      </c>
      <c r="L635" s="174">
        <f>Oportuno!L635</f>
        <v>0</v>
      </c>
      <c r="M635" s="174">
        <f>Oportuno!M635</f>
        <v>0</v>
      </c>
      <c r="N635" s="174">
        <f>Oportuno!N635</f>
        <v>0</v>
      </c>
      <c r="O635" s="174">
        <f>Oportuno!O635</f>
        <v>0</v>
      </c>
      <c r="P635" s="174">
        <f>Oportuno!P635</f>
        <v>0</v>
      </c>
      <c r="Q635" s="174">
        <f>Oportuno!Q635</f>
        <v>0</v>
      </c>
      <c r="R635" s="174">
        <f>Oportuno!R635</f>
        <v>0</v>
      </c>
      <c r="S635" s="215">
        <f>Oportuno!S635</f>
        <v>0</v>
      </c>
      <c r="T635" s="71">
        <f>Oportuno!T635</f>
        <v>0</v>
      </c>
      <c r="U635" s="71">
        <f>Oportuno!U635</f>
        <v>0</v>
      </c>
      <c r="V635" s="117">
        <f>Oportuno!V635</f>
        <v>0</v>
      </c>
      <c r="W635" s="117">
        <f>Oportuno!W635</f>
        <v>0</v>
      </c>
      <c r="X635" s="71">
        <f>Oportuno!X635</f>
        <v>0</v>
      </c>
      <c r="Y635" s="71">
        <f>Oportuno!Y635</f>
        <v>0</v>
      </c>
      <c r="AA635" s="65"/>
    </row>
    <row r="636" spans="2:27 16101:16120" ht="13" customHeight="1">
      <c r="B636" s="119">
        <f>Oportuno!B636</f>
        <v>0</v>
      </c>
      <c r="C636" s="23">
        <f>Oportuno!C636</f>
        <v>2026092</v>
      </c>
      <c r="D636" s="23">
        <f>Oportuno!D636</f>
        <v>23</v>
      </c>
      <c r="E636" s="128">
        <f>Oportuno!E636</f>
        <v>0</v>
      </c>
      <c r="F636" s="126" t="e">
        <f>Oportuno!F636</f>
        <v>#N/A</v>
      </c>
      <c r="G636" s="36">
        <f>Oportuno!G636</f>
        <v>1</v>
      </c>
      <c r="H636" s="126" t="str">
        <f>Oportuno!H636</f>
        <v>Oficinas</v>
      </c>
      <c r="I636" s="130">
        <f>Oportuno!I636</f>
        <v>0</v>
      </c>
      <c r="J636" s="174">
        <f>Oportuno!J636</f>
        <v>0</v>
      </c>
      <c r="K636" s="174">
        <f>Oportuno!K636</f>
        <v>0</v>
      </c>
      <c r="L636" s="174">
        <f>Oportuno!L636</f>
        <v>0</v>
      </c>
      <c r="M636" s="174">
        <f>Oportuno!M636</f>
        <v>0</v>
      </c>
      <c r="N636" s="174">
        <f>Oportuno!N636</f>
        <v>0</v>
      </c>
      <c r="O636" s="174">
        <f>Oportuno!O636</f>
        <v>0</v>
      </c>
      <c r="P636" s="174">
        <f>Oportuno!P636</f>
        <v>0</v>
      </c>
      <c r="Q636" s="174">
        <f>Oportuno!Q636</f>
        <v>0</v>
      </c>
      <c r="R636" s="174">
        <f>Oportuno!R636</f>
        <v>0</v>
      </c>
      <c r="S636" s="215">
        <f>Oportuno!S636</f>
        <v>0</v>
      </c>
      <c r="T636" s="71">
        <f>Oportuno!T636</f>
        <v>0</v>
      </c>
      <c r="U636" s="71">
        <f>Oportuno!U636</f>
        <v>0</v>
      </c>
      <c r="V636" s="117">
        <f>Oportuno!V636</f>
        <v>0</v>
      </c>
      <c r="W636" s="117">
        <f>Oportuno!W636</f>
        <v>0</v>
      </c>
      <c r="X636" s="71">
        <f>Oportuno!X636</f>
        <v>0</v>
      </c>
      <c r="Y636" s="71">
        <f>Oportuno!Y636</f>
        <v>0</v>
      </c>
      <c r="AA636" s="65"/>
    </row>
    <row r="637" spans="2:27 16101:16120" ht="13" customHeight="1">
      <c r="B637" s="119">
        <f>Oportuno!B637</f>
        <v>0</v>
      </c>
      <c r="C637" s="23">
        <f>Oportuno!C637</f>
        <v>2026092</v>
      </c>
      <c r="D637" s="23">
        <f>Oportuno!D637</f>
        <v>23</v>
      </c>
      <c r="E637" s="128">
        <f>Oportuno!E637</f>
        <v>0</v>
      </c>
      <c r="F637" s="126" t="e">
        <f>Oportuno!F637</f>
        <v>#N/A</v>
      </c>
      <c r="G637" s="36">
        <f>Oportuno!G637</f>
        <v>1</v>
      </c>
      <c r="H637" s="126" t="str">
        <f>Oportuno!H637</f>
        <v>Oficinas</v>
      </c>
      <c r="I637" s="130">
        <f>Oportuno!I637</f>
        <v>0</v>
      </c>
      <c r="J637" s="174">
        <f>Oportuno!J637</f>
        <v>0</v>
      </c>
      <c r="K637" s="174">
        <f>Oportuno!K637</f>
        <v>0</v>
      </c>
      <c r="L637" s="174">
        <f>Oportuno!L637</f>
        <v>0</v>
      </c>
      <c r="M637" s="174">
        <f>Oportuno!M637</f>
        <v>0</v>
      </c>
      <c r="N637" s="174">
        <f>Oportuno!N637</f>
        <v>0</v>
      </c>
      <c r="O637" s="174">
        <f>Oportuno!O637</f>
        <v>0</v>
      </c>
      <c r="P637" s="174">
        <f>Oportuno!P637</f>
        <v>0</v>
      </c>
      <c r="Q637" s="174">
        <f>Oportuno!Q637</f>
        <v>0</v>
      </c>
      <c r="R637" s="174">
        <f>Oportuno!R637</f>
        <v>0</v>
      </c>
      <c r="S637" s="215">
        <f>Oportuno!S637</f>
        <v>0</v>
      </c>
      <c r="T637" s="71">
        <f>Oportuno!T637</f>
        <v>0</v>
      </c>
      <c r="U637" s="71">
        <f>Oportuno!U637</f>
        <v>0</v>
      </c>
      <c r="V637" s="117">
        <f>Oportuno!V637</f>
        <v>0</v>
      </c>
      <c r="W637" s="117">
        <f>Oportuno!W637</f>
        <v>0</v>
      </c>
      <c r="X637" s="71">
        <f>Oportuno!X637</f>
        <v>0</v>
      </c>
      <c r="Y637" s="71">
        <f>Oportuno!Y637</f>
        <v>0</v>
      </c>
      <c r="AA637" s="65"/>
    </row>
    <row r="638" spans="2:27 16101:16120" ht="13" customHeight="1">
      <c r="B638" s="119">
        <f>Oportuno!B638</f>
        <v>0</v>
      </c>
      <c r="C638" s="23">
        <f>Oportuno!C638</f>
        <v>2026092</v>
      </c>
      <c r="D638" s="23">
        <f>Oportuno!D638</f>
        <v>23</v>
      </c>
      <c r="E638" s="128">
        <f>Oportuno!E638</f>
        <v>0</v>
      </c>
      <c r="F638" s="126" t="e">
        <f>Oportuno!F638</f>
        <v>#N/A</v>
      </c>
      <c r="G638" s="36">
        <f>Oportuno!G638</f>
        <v>1</v>
      </c>
      <c r="H638" s="126" t="str">
        <f>Oportuno!H638</f>
        <v>Oficinas</v>
      </c>
      <c r="I638" s="130">
        <f>Oportuno!I638</f>
        <v>0</v>
      </c>
      <c r="J638" s="174">
        <f>Oportuno!J638</f>
        <v>0</v>
      </c>
      <c r="K638" s="174">
        <f>Oportuno!K638</f>
        <v>0</v>
      </c>
      <c r="L638" s="174">
        <f>Oportuno!L638</f>
        <v>0</v>
      </c>
      <c r="M638" s="174">
        <f>Oportuno!M638</f>
        <v>0</v>
      </c>
      <c r="N638" s="174">
        <f>Oportuno!N638</f>
        <v>0</v>
      </c>
      <c r="O638" s="174">
        <f>Oportuno!O638</f>
        <v>0</v>
      </c>
      <c r="P638" s="174">
        <f>Oportuno!P638</f>
        <v>0</v>
      </c>
      <c r="Q638" s="174">
        <f>Oportuno!Q638</f>
        <v>0</v>
      </c>
      <c r="R638" s="174">
        <f>Oportuno!R638</f>
        <v>0</v>
      </c>
      <c r="S638" s="215">
        <f>Oportuno!S638</f>
        <v>0</v>
      </c>
      <c r="T638" s="71">
        <f>Oportuno!T638</f>
        <v>0</v>
      </c>
      <c r="U638" s="71">
        <f>Oportuno!U638</f>
        <v>0</v>
      </c>
      <c r="V638" s="117">
        <f>Oportuno!V638</f>
        <v>0</v>
      </c>
      <c r="W638" s="117">
        <f>Oportuno!W638</f>
        <v>0</v>
      </c>
      <c r="X638" s="71">
        <f>Oportuno!X638</f>
        <v>0</v>
      </c>
      <c r="Y638" s="71">
        <f>Oportuno!Y638</f>
        <v>0</v>
      </c>
      <c r="AA638" s="65"/>
    </row>
    <row r="639" spans="2:27 16101:16120" ht="13" customHeight="1">
      <c r="B639" s="119">
        <f>Oportuno!B639</f>
        <v>0</v>
      </c>
      <c r="C639" s="23">
        <f>Oportuno!C639</f>
        <v>2026092</v>
      </c>
      <c r="D639" s="23">
        <f>Oportuno!D639</f>
        <v>23</v>
      </c>
      <c r="E639" s="128">
        <f>Oportuno!E639</f>
        <v>0</v>
      </c>
      <c r="F639" s="126" t="e">
        <f>Oportuno!F639</f>
        <v>#N/A</v>
      </c>
      <c r="G639" s="36">
        <f>Oportuno!G639</f>
        <v>1</v>
      </c>
      <c r="H639" s="126" t="str">
        <f>Oportuno!H639</f>
        <v>Oficinas</v>
      </c>
      <c r="I639" s="130">
        <f>Oportuno!I639</f>
        <v>0</v>
      </c>
      <c r="J639" s="174">
        <f>Oportuno!J639</f>
        <v>0</v>
      </c>
      <c r="K639" s="174">
        <f>Oportuno!K639</f>
        <v>0</v>
      </c>
      <c r="L639" s="174">
        <f>Oportuno!L639</f>
        <v>0</v>
      </c>
      <c r="M639" s="174">
        <f>Oportuno!M639</f>
        <v>0</v>
      </c>
      <c r="N639" s="174">
        <f>Oportuno!N639</f>
        <v>0</v>
      </c>
      <c r="O639" s="174">
        <f>Oportuno!O639</f>
        <v>0</v>
      </c>
      <c r="P639" s="174">
        <f>Oportuno!P639</f>
        <v>0</v>
      </c>
      <c r="Q639" s="174">
        <f>Oportuno!Q639</f>
        <v>0</v>
      </c>
      <c r="R639" s="174">
        <f>Oportuno!R639</f>
        <v>0</v>
      </c>
      <c r="S639" s="215">
        <f>Oportuno!S639</f>
        <v>0</v>
      </c>
      <c r="T639" s="71">
        <f>Oportuno!T639</f>
        <v>0</v>
      </c>
      <c r="U639" s="71">
        <f>Oportuno!U639</f>
        <v>0</v>
      </c>
      <c r="V639" s="117">
        <f>Oportuno!V639</f>
        <v>0</v>
      </c>
      <c r="W639" s="117">
        <f>Oportuno!W639</f>
        <v>0</v>
      </c>
      <c r="X639" s="71">
        <f>Oportuno!X639</f>
        <v>0</v>
      </c>
      <c r="Y639" s="71">
        <f>Oportuno!Y639</f>
        <v>0</v>
      </c>
      <c r="AA639" s="65"/>
    </row>
    <row r="640" spans="2:27 16101:16120" ht="13" customHeight="1">
      <c r="B640" s="119">
        <f>Oportuno!B640</f>
        <v>0</v>
      </c>
      <c r="C640" s="23">
        <f>Oportuno!C640</f>
        <v>2026092</v>
      </c>
      <c r="D640" s="23">
        <f>Oportuno!D640</f>
        <v>23</v>
      </c>
      <c r="E640" s="128">
        <f>Oportuno!E640</f>
        <v>0</v>
      </c>
      <c r="F640" s="126" t="e">
        <f>Oportuno!F640</f>
        <v>#N/A</v>
      </c>
      <c r="G640" s="36">
        <f>Oportuno!G640</f>
        <v>1</v>
      </c>
      <c r="H640" s="126" t="str">
        <f>Oportuno!H640</f>
        <v>Oficinas</v>
      </c>
      <c r="I640" s="130">
        <f>Oportuno!I640</f>
        <v>0</v>
      </c>
      <c r="J640" s="174">
        <f>Oportuno!J640</f>
        <v>0</v>
      </c>
      <c r="K640" s="174">
        <f>Oportuno!K640</f>
        <v>0</v>
      </c>
      <c r="L640" s="174">
        <f>Oportuno!L640</f>
        <v>0</v>
      </c>
      <c r="M640" s="174">
        <f>Oportuno!M640</f>
        <v>0</v>
      </c>
      <c r="N640" s="174">
        <f>Oportuno!N640</f>
        <v>0</v>
      </c>
      <c r="O640" s="174">
        <f>Oportuno!O640</f>
        <v>0</v>
      </c>
      <c r="P640" s="174">
        <f>Oportuno!P640</f>
        <v>0</v>
      </c>
      <c r="Q640" s="174">
        <f>Oportuno!Q640</f>
        <v>0</v>
      </c>
      <c r="R640" s="174">
        <f>Oportuno!R640</f>
        <v>0</v>
      </c>
      <c r="S640" s="215">
        <f>Oportuno!S640</f>
        <v>0</v>
      </c>
      <c r="T640" s="71">
        <f>Oportuno!T640</f>
        <v>0</v>
      </c>
      <c r="U640" s="71">
        <f>Oportuno!U640</f>
        <v>0</v>
      </c>
      <c r="V640" s="117">
        <f>Oportuno!V640</f>
        <v>0</v>
      </c>
      <c r="W640" s="117">
        <f>Oportuno!W640</f>
        <v>0</v>
      </c>
      <c r="X640" s="71">
        <f>Oportuno!X640</f>
        <v>0</v>
      </c>
      <c r="Y640" s="71">
        <f>Oportuno!Y640</f>
        <v>0</v>
      </c>
      <c r="AA640" s="65"/>
    </row>
    <row r="641" spans="2:27 16101:16120" ht="13" customHeight="1">
      <c r="B641" s="119">
        <f>Oportuno!B641</f>
        <v>0</v>
      </c>
      <c r="C641" s="23">
        <f>Oportuno!C641</f>
        <v>2026092</v>
      </c>
      <c r="D641" s="23">
        <f>Oportuno!D641</f>
        <v>23</v>
      </c>
      <c r="E641" s="128">
        <f>Oportuno!E641</f>
        <v>0</v>
      </c>
      <c r="F641" s="126" t="e">
        <f>Oportuno!F641</f>
        <v>#N/A</v>
      </c>
      <c r="G641" s="36">
        <f>Oportuno!G641</f>
        <v>1</v>
      </c>
      <c r="H641" s="126" t="str">
        <f>Oportuno!H641</f>
        <v>Oficinas</v>
      </c>
      <c r="I641" s="130">
        <f>Oportuno!I641</f>
        <v>0</v>
      </c>
      <c r="J641" s="174">
        <f>Oportuno!J641</f>
        <v>0</v>
      </c>
      <c r="K641" s="174">
        <f>Oportuno!K641</f>
        <v>0</v>
      </c>
      <c r="L641" s="174">
        <f>Oportuno!L641</f>
        <v>0</v>
      </c>
      <c r="M641" s="174">
        <f>Oportuno!M641</f>
        <v>0</v>
      </c>
      <c r="N641" s="174">
        <f>Oportuno!N641</f>
        <v>0</v>
      </c>
      <c r="O641" s="174">
        <f>Oportuno!O641</f>
        <v>0</v>
      </c>
      <c r="P641" s="174">
        <f>Oportuno!P641</f>
        <v>0</v>
      </c>
      <c r="Q641" s="174">
        <f>Oportuno!Q641</f>
        <v>0</v>
      </c>
      <c r="R641" s="174">
        <f>Oportuno!R641</f>
        <v>0</v>
      </c>
      <c r="S641" s="215">
        <f>Oportuno!S641</f>
        <v>0</v>
      </c>
      <c r="T641" s="71">
        <f>Oportuno!T641</f>
        <v>0</v>
      </c>
      <c r="U641" s="71">
        <f>Oportuno!U641</f>
        <v>0</v>
      </c>
      <c r="V641" s="117">
        <f>Oportuno!V641</f>
        <v>0</v>
      </c>
      <c r="W641" s="117">
        <f>Oportuno!W641</f>
        <v>0</v>
      </c>
      <c r="X641" s="71">
        <f>Oportuno!X641</f>
        <v>0</v>
      </c>
      <c r="Y641" s="71">
        <f>Oportuno!Y641</f>
        <v>0</v>
      </c>
      <c r="AA641" s="65"/>
    </row>
    <row r="642" spans="2:27 16101:16120" ht="13" customHeight="1">
      <c r="B642" s="119">
        <f>Oportuno!B642</f>
        <v>0</v>
      </c>
      <c r="C642" s="23">
        <f>Oportuno!C642</f>
        <v>2026092</v>
      </c>
      <c r="D642" s="23">
        <f>Oportuno!D642</f>
        <v>23</v>
      </c>
      <c r="E642" s="128">
        <f>Oportuno!E642</f>
        <v>0</v>
      </c>
      <c r="F642" s="126" t="e">
        <f>Oportuno!F642</f>
        <v>#N/A</v>
      </c>
      <c r="G642" s="36">
        <f>Oportuno!G642</f>
        <v>1</v>
      </c>
      <c r="H642" s="126" t="str">
        <f>Oportuno!H642</f>
        <v>Oficinas</v>
      </c>
      <c r="I642" s="130">
        <f>Oportuno!I642</f>
        <v>0</v>
      </c>
      <c r="J642" s="174">
        <f>Oportuno!J642</f>
        <v>0</v>
      </c>
      <c r="K642" s="174">
        <f>Oportuno!K642</f>
        <v>0</v>
      </c>
      <c r="L642" s="174">
        <f>Oportuno!L642</f>
        <v>0</v>
      </c>
      <c r="M642" s="174">
        <f>Oportuno!M642</f>
        <v>0</v>
      </c>
      <c r="N642" s="174">
        <f>Oportuno!N642</f>
        <v>0</v>
      </c>
      <c r="O642" s="174">
        <f>Oportuno!O642</f>
        <v>0</v>
      </c>
      <c r="P642" s="174">
        <f>Oportuno!P642</f>
        <v>0</v>
      </c>
      <c r="Q642" s="174">
        <f>Oportuno!Q642</f>
        <v>0</v>
      </c>
      <c r="R642" s="174">
        <f>Oportuno!R642</f>
        <v>0</v>
      </c>
      <c r="S642" s="215">
        <f>Oportuno!S642</f>
        <v>0</v>
      </c>
      <c r="T642" s="71">
        <f>Oportuno!T642</f>
        <v>0</v>
      </c>
      <c r="U642" s="71">
        <f>Oportuno!U642</f>
        <v>0</v>
      </c>
      <c r="V642" s="117">
        <f>Oportuno!V642</f>
        <v>0</v>
      </c>
      <c r="W642" s="117">
        <f>Oportuno!W642</f>
        <v>0</v>
      </c>
      <c r="X642" s="71">
        <f>Oportuno!X642</f>
        <v>0</v>
      </c>
      <c r="Y642" s="71">
        <f>Oportuno!Y642</f>
        <v>0</v>
      </c>
      <c r="AA642" s="65"/>
    </row>
    <row r="643" spans="2:27 16101:16120" ht="13" customHeight="1">
      <c r="B643" s="119">
        <f>Oportuno!B643</f>
        <v>0</v>
      </c>
      <c r="C643" s="23">
        <f>Oportuno!C643</f>
        <v>2026092</v>
      </c>
      <c r="D643" s="23">
        <f>Oportuno!D643</f>
        <v>23</v>
      </c>
      <c r="E643" s="128">
        <f>Oportuno!E643</f>
        <v>0</v>
      </c>
      <c r="F643" s="126" t="e">
        <f>Oportuno!F643</f>
        <v>#N/A</v>
      </c>
      <c r="G643" s="36">
        <f>Oportuno!G643</f>
        <v>1</v>
      </c>
      <c r="H643" s="126" t="str">
        <f>Oportuno!H643</f>
        <v>Oficinas</v>
      </c>
      <c r="I643" s="130">
        <f>Oportuno!I643</f>
        <v>0</v>
      </c>
      <c r="J643" s="174">
        <f>Oportuno!J643</f>
        <v>0</v>
      </c>
      <c r="K643" s="174">
        <f>Oportuno!K643</f>
        <v>0</v>
      </c>
      <c r="L643" s="174">
        <f>Oportuno!L643</f>
        <v>0</v>
      </c>
      <c r="M643" s="174">
        <f>Oportuno!M643</f>
        <v>0</v>
      </c>
      <c r="N643" s="174">
        <f>Oportuno!N643</f>
        <v>0</v>
      </c>
      <c r="O643" s="174">
        <f>Oportuno!O643</f>
        <v>0</v>
      </c>
      <c r="P643" s="174">
        <f>Oportuno!P643</f>
        <v>0</v>
      </c>
      <c r="Q643" s="174">
        <f>Oportuno!Q643</f>
        <v>0</v>
      </c>
      <c r="R643" s="174">
        <f>Oportuno!R643</f>
        <v>0</v>
      </c>
      <c r="S643" s="215">
        <f>Oportuno!S643</f>
        <v>0</v>
      </c>
      <c r="T643" s="71">
        <f>Oportuno!T643</f>
        <v>0</v>
      </c>
      <c r="U643" s="71">
        <f>Oportuno!U643</f>
        <v>0</v>
      </c>
      <c r="V643" s="117">
        <f>Oportuno!V643</f>
        <v>0</v>
      </c>
      <c r="W643" s="117">
        <f>Oportuno!W643</f>
        <v>0</v>
      </c>
      <c r="X643" s="71">
        <f>Oportuno!X643</f>
        <v>0</v>
      </c>
      <c r="Y643" s="71">
        <f>Oportuno!Y643</f>
        <v>0</v>
      </c>
      <c r="AA643" s="65"/>
    </row>
    <row r="644" spans="2:27 16101:16120" ht="12" customHeight="1">
      <c r="B644" s="119">
        <f>Oportuno!B644</f>
        <v>0</v>
      </c>
      <c r="C644" s="23">
        <f>Oportuno!C644</f>
        <v>2026092</v>
      </c>
      <c r="D644" s="23">
        <f>Oportuno!D644</f>
        <v>23</v>
      </c>
      <c r="E644" s="128">
        <f>Oportuno!E644</f>
        <v>0</v>
      </c>
      <c r="F644" s="126" t="e">
        <f>Oportuno!F644</f>
        <v>#N/A</v>
      </c>
      <c r="G644" s="36">
        <f>Oportuno!G644</f>
        <v>1</v>
      </c>
      <c r="H644" s="126" t="str">
        <f>Oportuno!H644</f>
        <v>Oficinas</v>
      </c>
      <c r="I644" s="130">
        <f>Oportuno!I644</f>
        <v>0</v>
      </c>
      <c r="J644" s="174">
        <f>Oportuno!J644</f>
        <v>0</v>
      </c>
      <c r="K644" s="174">
        <f>Oportuno!K644</f>
        <v>0</v>
      </c>
      <c r="L644" s="174">
        <f>Oportuno!L644</f>
        <v>0</v>
      </c>
      <c r="M644" s="174">
        <f>Oportuno!M644</f>
        <v>0</v>
      </c>
      <c r="N644" s="174">
        <f>Oportuno!N644</f>
        <v>0</v>
      </c>
      <c r="O644" s="174">
        <f>Oportuno!O644</f>
        <v>0</v>
      </c>
      <c r="P644" s="174">
        <f>Oportuno!P644</f>
        <v>0</v>
      </c>
      <c r="Q644" s="174">
        <f>Oportuno!Q644</f>
        <v>0</v>
      </c>
      <c r="R644" s="174">
        <f>Oportuno!R644</f>
        <v>0</v>
      </c>
      <c r="S644" s="215">
        <f>Oportuno!S644</f>
        <v>0</v>
      </c>
      <c r="T644" s="71">
        <f>Oportuno!T644</f>
        <v>0</v>
      </c>
      <c r="U644" s="71">
        <f>Oportuno!U644</f>
        <v>0</v>
      </c>
      <c r="V644" s="117">
        <f>Oportuno!V644</f>
        <v>0</v>
      </c>
      <c r="W644" s="117">
        <f>Oportuno!W644</f>
        <v>0</v>
      </c>
      <c r="X644" s="71">
        <f>Oportuno!X644</f>
        <v>0</v>
      </c>
      <c r="Y644" s="71">
        <f>Oportuno!Y644</f>
        <v>0</v>
      </c>
      <c r="AA644" s="65"/>
    </row>
    <row r="645" spans="2:27 16101:16120" ht="13" customHeight="1">
      <c r="B645" s="119">
        <f>Oportuno!B645</f>
        <v>0</v>
      </c>
      <c r="C645" s="23">
        <f>Oportuno!C645</f>
        <v>2026092</v>
      </c>
      <c r="D645" s="23">
        <f>Oportuno!D645</f>
        <v>23</v>
      </c>
      <c r="E645" s="128">
        <f>Oportuno!E645</f>
        <v>0</v>
      </c>
      <c r="F645" s="126" t="e">
        <f>Oportuno!F645</f>
        <v>#N/A</v>
      </c>
      <c r="G645" s="36">
        <f>Oportuno!G645</f>
        <v>1</v>
      </c>
      <c r="H645" s="126" t="str">
        <f>Oportuno!H645</f>
        <v>Oficinas</v>
      </c>
      <c r="I645" s="130">
        <f>Oportuno!I645</f>
        <v>0</v>
      </c>
      <c r="J645" s="174">
        <f>Oportuno!J645</f>
        <v>0</v>
      </c>
      <c r="K645" s="174">
        <f>Oportuno!K645</f>
        <v>0</v>
      </c>
      <c r="L645" s="174">
        <f>Oportuno!L645</f>
        <v>0</v>
      </c>
      <c r="M645" s="174">
        <f>Oportuno!M645</f>
        <v>0</v>
      </c>
      <c r="N645" s="174">
        <f>Oportuno!N645</f>
        <v>0</v>
      </c>
      <c r="O645" s="174">
        <f>Oportuno!O645</f>
        <v>0</v>
      </c>
      <c r="P645" s="174">
        <f>Oportuno!P645</f>
        <v>0</v>
      </c>
      <c r="Q645" s="174">
        <f>Oportuno!Q645</f>
        <v>0</v>
      </c>
      <c r="R645" s="174">
        <f>Oportuno!R645</f>
        <v>0</v>
      </c>
      <c r="S645" s="215">
        <f>Oportuno!S645</f>
        <v>0</v>
      </c>
      <c r="T645" s="71">
        <f>Oportuno!T645</f>
        <v>0</v>
      </c>
      <c r="U645" s="71">
        <f>Oportuno!U645</f>
        <v>0</v>
      </c>
      <c r="V645" s="117">
        <f>Oportuno!V645</f>
        <v>0</v>
      </c>
      <c r="W645" s="117">
        <f>Oportuno!W645</f>
        <v>0</v>
      </c>
      <c r="X645" s="71">
        <f>Oportuno!X645</f>
        <v>0</v>
      </c>
      <c r="Y645" s="71">
        <f>Oportuno!Y645</f>
        <v>0</v>
      </c>
      <c r="AA645" s="65"/>
    </row>
    <row r="646" spans="2:27 16101:16120" ht="13" customHeight="1">
      <c r="B646" s="119">
        <f>Oportuno!B646</f>
        <v>0</v>
      </c>
      <c r="C646" s="23">
        <f>Oportuno!C646</f>
        <v>2026092</v>
      </c>
      <c r="D646" s="23">
        <f>Oportuno!D646</f>
        <v>23</v>
      </c>
      <c r="E646" s="128">
        <f>Oportuno!E646</f>
        <v>0</v>
      </c>
      <c r="F646" s="126" t="e">
        <f>Oportuno!F646</f>
        <v>#N/A</v>
      </c>
      <c r="G646" s="36">
        <f>Oportuno!G646</f>
        <v>1</v>
      </c>
      <c r="H646" s="126" t="str">
        <f>Oportuno!H646</f>
        <v>Oficinas</v>
      </c>
      <c r="I646" s="130">
        <f>Oportuno!I646</f>
        <v>0</v>
      </c>
      <c r="J646" s="174">
        <f>Oportuno!J646</f>
        <v>0</v>
      </c>
      <c r="K646" s="174">
        <f>Oportuno!K646</f>
        <v>0</v>
      </c>
      <c r="L646" s="174">
        <f>Oportuno!L646</f>
        <v>0</v>
      </c>
      <c r="M646" s="174">
        <f>Oportuno!M646</f>
        <v>0</v>
      </c>
      <c r="N646" s="174">
        <f>Oportuno!N646</f>
        <v>0</v>
      </c>
      <c r="O646" s="174">
        <f>Oportuno!O646</f>
        <v>0</v>
      </c>
      <c r="P646" s="174">
        <f>Oportuno!P646</f>
        <v>0</v>
      </c>
      <c r="Q646" s="174">
        <f>Oportuno!Q646</f>
        <v>0</v>
      </c>
      <c r="R646" s="174">
        <f>Oportuno!R646</f>
        <v>0</v>
      </c>
      <c r="S646" s="215">
        <f>Oportuno!S646</f>
        <v>0</v>
      </c>
      <c r="T646" s="71">
        <f>Oportuno!T646</f>
        <v>0</v>
      </c>
      <c r="U646" s="71">
        <f>Oportuno!U646</f>
        <v>0</v>
      </c>
      <c r="V646" s="117">
        <f>Oportuno!V646</f>
        <v>0</v>
      </c>
      <c r="W646" s="117">
        <f>Oportuno!W646</f>
        <v>0</v>
      </c>
      <c r="X646" s="71">
        <f>Oportuno!X646</f>
        <v>0</v>
      </c>
      <c r="Y646" s="71">
        <f>Oportuno!Y646</f>
        <v>0</v>
      </c>
      <c r="AA646" s="65"/>
    </row>
    <row r="647" spans="2:27 16101:16120" ht="13" customHeight="1">
      <c r="B647" s="119">
        <f>Oportuno!B647</f>
        <v>0</v>
      </c>
      <c r="C647" s="23">
        <f>Oportuno!C647</f>
        <v>2026092</v>
      </c>
      <c r="D647" s="23">
        <f>Oportuno!D647</f>
        <v>23</v>
      </c>
      <c r="E647" s="128">
        <f>Oportuno!E647</f>
        <v>0</v>
      </c>
      <c r="F647" s="126" t="e">
        <f>Oportuno!F647</f>
        <v>#N/A</v>
      </c>
      <c r="G647" s="36">
        <f>Oportuno!G647</f>
        <v>1</v>
      </c>
      <c r="H647" s="126" t="str">
        <f>Oportuno!H647</f>
        <v>Oficinas</v>
      </c>
      <c r="I647" s="130">
        <f>Oportuno!I647</f>
        <v>0</v>
      </c>
      <c r="J647" s="174">
        <f>Oportuno!J647</f>
        <v>0</v>
      </c>
      <c r="K647" s="174">
        <f>Oportuno!K647</f>
        <v>0</v>
      </c>
      <c r="L647" s="174">
        <f>Oportuno!L647</f>
        <v>0</v>
      </c>
      <c r="M647" s="174">
        <f>Oportuno!M647</f>
        <v>0</v>
      </c>
      <c r="N647" s="174">
        <f>Oportuno!N647</f>
        <v>0</v>
      </c>
      <c r="O647" s="174">
        <f>Oportuno!O647</f>
        <v>0</v>
      </c>
      <c r="P647" s="174">
        <f>Oportuno!P647</f>
        <v>0</v>
      </c>
      <c r="Q647" s="174">
        <f>Oportuno!Q647</f>
        <v>0</v>
      </c>
      <c r="R647" s="174">
        <f>Oportuno!R647</f>
        <v>0</v>
      </c>
      <c r="S647" s="215">
        <f>Oportuno!S647</f>
        <v>0</v>
      </c>
      <c r="T647" s="71">
        <f>Oportuno!T647</f>
        <v>0</v>
      </c>
      <c r="U647" s="71">
        <f>Oportuno!U647</f>
        <v>0</v>
      </c>
      <c r="V647" s="117">
        <f>Oportuno!V647</f>
        <v>0</v>
      </c>
      <c r="W647" s="117">
        <f>Oportuno!W647</f>
        <v>0</v>
      </c>
      <c r="X647" s="71">
        <f>Oportuno!X647</f>
        <v>0</v>
      </c>
      <c r="Y647" s="71">
        <f>Oportuno!Y647</f>
        <v>0</v>
      </c>
      <c r="AA647" s="65"/>
    </row>
    <row r="648" spans="2:27 16101:16120" ht="13" customHeight="1">
      <c r="B648" s="119">
        <f>Oportuno!B648</f>
        <v>0</v>
      </c>
      <c r="C648" s="23">
        <f>Oportuno!C648</f>
        <v>2026092</v>
      </c>
      <c r="D648" s="23">
        <f>Oportuno!D648</f>
        <v>23</v>
      </c>
      <c r="E648" s="128">
        <f>Oportuno!E648</f>
        <v>0</v>
      </c>
      <c r="F648" s="126" t="e">
        <f>Oportuno!F648</f>
        <v>#N/A</v>
      </c>
      <c r="G648" s="36">
        <f>Oportuno!G648</f>
        <v>1</v>
      </c>
      <c r="H648" s="126" t="str">
        <f>Oportuno!H648</f>
        <v>Oficinas</v>
      </c>
      <c r="I648" s="130">
        <f>Oportuno!I648</f>
        <v>0</v>
      </c>
      <c r="J648" s="174">
        <f>Oportuno!J648</f>
        <v>0</v>
      </c>
      <c r="K648" s="174">
        <f>Oportuno!K648</f>
        <v>0</v>
      </c>
      <c r="L648" s="174">
        <f>Oportuno!L648</f>
        <v>0</v>
      </c>
      <c r="M648" s="174">
        <f>Oportuno!M648</f>
        <v>0</v>
      </c>
      <c r="N648" s="174">
        <f>Oportuno!N648</f>
        <v>0</v>
      </c>
      <c r="O648" s="174">
        <f>Oportuno!O648</f>
        <v>0</v>
      </c>
      <c r="P648" s="174">
        <f>Oportuno!P648</f>
        <v>0</v>
      </c>
      <c r="Q648" s="174">
        <f>Oportuno!Q648</f>
        <v>0</v>
      </c>
      <c r="R648" s="174">
        <f>Oportuno!R648</f>
        <v>0</v>
      </c>
      <c r="S648" s="215">
        <f>Oportuno!S648</f>
        <v>0</v>
      </c>
      <c r="T648" s="71">
        <f>Oportuno!T648</f>
        <v>0</v>
      </c>
      <c r="U648" s="71">
        <f>Oportuno!U648</f>
        <v>0</v>
      </c>
      <c r="V648" s="117">
        <f>Oportuno!V648</f>
        <v>0</v>
      </c>
      <c r="W648" s="117">
        <f>Oportuno!W648</f>
        <v>0</v>
      </c>
      <c r="X648" s="71">
        <f>Oportuno!X648</f>
        <v>0</v>
      </c>
      <c r="Y648" s="71">
        <f>Oportuno!Y648</f>
        <v>0</v>
      </c>
      <c r="AA648" s="65"/>
    </row>
    <row r="649" spans="2:27 16101:16120" ht="13" customHeight="1">
      <c r="B649" s="119">
        <f>Oportuno!B649</f>
        <v>0</v>
      </c>
      <c r="C649" s="23">
        <f>Oportuno!C649</f>
        <v>2026092</v>
      </c>
      <c r="D649" s="23">
        <f>Oportuno!D649</f>
        <v>23</v>
      </c>
      <c r="E649" s="128">
        <f>Oportuno!E649</f>
        <v>0</v>
      </c>
      <c r="F649" s="126" t="e">
        <f>Oportuno!F649</f>
        <v>#N/A</v>
      </c>
      <c r="G649" s="36">
        <f>Oportuno!G649</f>
        <v>1</v>
      </c>
      <c r="H649" s="126" t="str">
        <f>Oportuno!H649</f>
        <v>Oficinas</v>
      </c>
      <c r="I649" s="130">
        <f>Oportuno!I649</f>
        <v>0</v>
      </c>
      <c r="J649" s="174">
        <f>Oportuno!J649</f>
        <v>0</v>
      </c>
      <c r="K649" s="174">
        <f>Oportuno!K649</f>
        <v>0</v>
      </c>
      <c r="L649" s="174">
        <f>Oportuno!L649</f>
        <v>0</v>
      </c>
      <c r="M649" s="174">
        <f>Oportuno!M649</f>
        <v>0</v>
      </c>
      <c r="N649" s="174">
        <f>Oportuno!N649</f>
        <v>0</v>
      </c>
      <c r="O649" s="174">
        <f>Oportuno!O649</f>
        <v>0</v>
      </c>
      <c r="P649" s="174">
        <f>Oportuno!P649</f>
        <v>0</v>
      </c>
      <c r="Q649" s="174">
        <f>Oportuno!Q649</f>
        <v>0</v>
      </c>
      <c r="R649" s="174">
        <f>Oportuno!R649</f>
        <v>0</v>
      </c>
      <c r="S649" s="215">
        <f>Oportuno!S649</f>
        <v>0</v>
      </c>
      <c r="T649" s="71">
        <f>Oportuno!T649</f>
        <v>0</v>
      </c>
      <c r="U649" s="71">
        <f>Oportuno!U649</f>
        <v>0</v>
      </c>
      <c r="V649" s="117">
        <f>Oportuno!V649</f>
        <v>0</v>
      </c>
      <c r="W649" s="117">
        <f>Oportuno!W649</f>
        <v>0</v>
      </c>
      <c r="X649" s="71">
        <f>Oportuno!X649</f>
        <v>0</v>
      </c>
      <c r="Y649" s="71">
        <f>Oportuno!Y649</f>
        <v>0</v>
      </c>
      <c r="AA649" s="65"/>
    </row>
    <row r="650" spans="2:27 16101:16120" ht="13" customHeight="1">
      <c r="B650" s="119">
        <f>Oportuno!B650</f>
        <v>0</v>
      </c>
      <c r="C650" s="23">
        <f>Oportuno!C650</f>
        <v>2026092</v>
      </c>
      <c r="D650" s="23">
        <f>Oportuno!D650</f>
        <v>23</v>
      </c>
      <c r="E650" s="128">
        <f>Oportuno!E650</f>
        <v>0</v>
      </c>
      <c r="F650" s="126" t="e">
        <f>Oportuno!F650</f>
        <v>#N/A</v>
      </c>
      <c r="G650" s="36">
        <f>Oportuno!G650</f>
        <v>1</v>
      </c>
      <c r="H650" s="126" t="str">
        <f>Oportuno!H650</f>
        <v>Oficinas</v>
      </c>
      <c r="I650" s="130">
        <f>Oportuno!I650</f>
        <v>0</v>
      </c>
      <c r="J650" s="174">
        <f>Oportuno!J650</f>
        <v>0</v>
      </c>
      <c r="K650" s="174">
        <f>Oportuno!K650</f>
        <v>0</v>
      </c>
      <c r="L650" s="174">
        <f>Oportuno!L650</f>
        <v>0</v>
      </c>
      <c r="M650" s="174">
        <f>Oportuno!M650</f>
        <v>0</v>
      </c>
      <c r="N650" s="174">
        <f>Oportuno!N650</f>
        <v>0</v>
      </c>
      <c r="O650" s="174">
        <f>Oportuno!O650</f>
        <v>0</v>
      </c>
      <c r="P650" s="174">
        <f>Oportuno!P650</f>
        <v>0</v>
      </c>
      <c r="Q650" s="174">
        <f>Oportuno!Q650</f>
        <v>0</v>
      </c>
      <c r="R650" s="174">
        <f>Oportuno!R650</f>
        <v>0</v>
      </c>
      <c r="S650" s="215">
        <f>Oportuno!S650</f>
        <v>0</v>
      </c>
      <c r="T650" s="71">
        <f>Oportuno!T650</f>
        <v>0</v>
      </c>
      <c r="U650" s="71">
        <f>Oportuno!U650</f>
        <v>0</v>
      </c>
      <c r="V650" s="117">
        <f>Oportuno!V650</f>
        <v>0</v>
      </c>
      <c r="W650" s="117">
        <f>Oportuno!W650</f>
        <v>0</v>
      </c>
      <c r="X650" s="71">
        <f>Oportuno!X650</f>
        <v>0</v>
      </c>
      <c r="Y650" s="71">
        <f>Oportuno!Y650</f>
        <v>0</v>
      </c>
      <c r="AA650" s="65"/>
    </row>
    <row r="651" spans="2:27 16101:16120" ht="13" customHeight="1">
      <c r="B651" s="119">
        <f>Oportuno!B651</f>
        <v>0</v>
      </c>
      <c r="C651" s="23">
        <f>Oportuno!C651</f>
        <v>2026092</v>
      </c>
      <c r="D651" s="23">
        <f>Oportuno!D651</f>
        <v>23</v>
      </c>
      <c r="E651" s="128">
        <f>Oportuno!E651</f>
        <v>0</v>
      </c>
      <c r="F651" s="126" t="e">
        <f>Oportuno!F651</f>
        <v>#N/A</v>
      </c>
      <c r="G651" s="36">
        <f>Oportuno!G651</f>
        <v>1</v>
      </c>
      <c r="H651" s="126" t="str">
        <f>Oportuno!H651</f>
        <v>Oficinas</v>
      </c>
      <c r="I651" s="130">
        <f>Oportuno!I651</f>
        <v>0</v>
      </c>
      <c r="J651" s="174">
        <f>Oportuno!J651</f>
        <v>0</v>
      </c>
      <c r="K651" s="174">
        <f>Oportuno!K651</f>
        <v>0</v>
      </c>
      <c r="L651" s="174">
        <f>Oportuno!L651</f>
        <v>0</v>
      </c>
      <c r="M651" s="174">
        <f>Oportuno!M651</f>
        <v>0</v>
      </c>
      <c r="N651" s="174">
        <f>Oportuno!N651</f>
        <v>0</v>
      </c>
      <c r="O651" s="174">
        <f>Oportuno!O651</f>
        <v>0</v>
      </c>
      <c r="P651" s="174">
        <f>Oportuno!P651</f>
        <v>0</v>
      </c>
      <c r="Q651" s="174">
        <f>Oportuno!Q651</f>
        <v>0</v>
      </c>
      <c r="R651" s="174">
        <f>Oportuno!R651</f>
        <v>0</v>
      </c>
      <c r="S651" s="215">
        <f>Oportuno!S651</f>
        <v>0</v>
      </c>
      <c r="T651" s="71">
        <f>Oportuno!T651</f>
        <v>0</v>
      </c>
      <c r="U651" s="71">
        <f>Oportuno!U651</f>
        <v>0</v>
      </c>
      <c r="V651" s="117">
        <f>Oportuno!V651</f>
        <v>0</v>
      </c>
      <c r="W651" s="117">
        <f>Oportuno!W651</f>
        <v>0</v>
      </c>
      <c r="X651" s="71">
        <f>Oportuno!X651</f>
        <v>0</v>
      </c>
      <c r="Y651" s="71">
        <f>Oportuno!Y651</f>
        <v>0</v>
      </c>
      <c r="AA651" s="65"/>
    </row>
    <row r="652" spans="2:27 16101:16120" ht="13" customHeight="1">
      <c r="B652" s="119">
        <f>Oportuno!B652</f>
        <v>0</v>
      </c>
      <c r="C652" s="23">
        <f>Oportuno!C652</f>
        <v>2026092</v>
      </c>
      <c r="D652" s="23">
        <f>Oportuno!D652</f>
        <v>23</v>
      </c>
      <c r="E652" s="128">
        <f>Oportuno!E652</f>
        <v>0</v>
      </c>
      <c r="F652" s="126" t="e">
        <f>Oportuno!F652</f>
        <v>#N/A</v>
      </c>
      <c r="G652" s="36">
        <f>Oportuno!G652</f>
        <v>1</v>
      </c>
      <c r="H652" s="126" t="str">
        <f>Oportuno!H652</f>
        <v>Oficinas</v>
      </c>
      <c r="I652" s="130">
        <f>Oportuno!I652</f>
        <v>0</v>
      </c>
      <c r="J652" s="174">
        <f>Oportuno!J652</f>
        <v>0</v>
      </c>
      <c r="K652" s="174">
        <f>Oportuno!K652</f>
        <v>0</v>
      </c>
      <c r="L652" s="174">
        <f>Oportuno!L652</f>
        <v>0</v>
      </c>
      <c r="M652" s="174">
        <f>Oportuno!M652</f>
        <v>0</v>
      </c>
      <c r="N652" s="174">
        <f>Oportuno!N652</f>
        <v>0</v>
      </c>
      <c r="O652" s="174">
        <f>Oportuno!O652</f>
        <v>0</v>
      </c>
      <c r="P652" s="174">
        <f>Oportuno!P652</f>
        <v>0</v>
      </c>
      <c r="Q652" s="174">
        <f>Oportuno!Q652</f>
        <v>0</v>
      </c>
      <c r="R652" s="174">
        <f>Oportuno!R652</f>
        <v>0</v>
      </c>
      <c r="S652" s="215">
        <f>Oportuno!S652</f>
        <v>0</v>
      </c>
      <c r="T652" s="71">
        <f>Oportuno!T652</f>
        <v>0</v>
      </c>
      <c r="U652" s="71">
        <f>Oportuno!U652</f>
        <v>0</v>
      </c>
      <c r="V652" s="117">
        <f>Oportuno!V652</f>
        <v>0</v>
      </c>
      <c r="W652" s="117">
        <f>Oportuno!W652</f>
        <v>0</v>
      </c>
      <c r="X652" s="71">
        <f>Oportuno!X652</f>
        <v>0</v>
      </c>
      <c r="Y652" s="71">
        <f>Oportuno!Y652</f>
        <v>0</v>
      </c>
      <c r="AA652" s="65"/>
    </row>
    <row r="653" spans="2:27 16101:16120" ht="13" customHeight="1" thickBot="1">
      <c r="B653" s="119">
        <f>Oportuno!B653</f>
        <v>0</v>
      </c>
      <c r="C653" s="23">
        <f>Oportuno!C653</f>
        <v>2026092</v>
      </c>
      <c r="D653" s="23">
        <f>Oportuno!D653</f>
        <v>23</v>
      </c>
      <c r="E653" s="128">
        <f>Oportuno!E653</f>
        <v>0</v>
      </c>
      <c r="F653" s="126" t="e">
        <f>Oportuno!F653</f>
        <v>#N/A</v>
      </c>
      <c r="G653" s="36">
        <f>Oportuno!G653</f>
        <v>1</v>
      </c>
      <c r="H653" s="126" t="str">
        <f>Oportuno!H653</f>
        <v>Oficinas</v>
      </c>
      <c r="I653" s="130">
        <f>Oportuno!I653</f>
        <v>0</v>
      </c>
      <c r="J653" s="174">
        <f>Oportuno!J653</f>
        <v>0</v>
      </c>
      <c r="K653" s="174">
        <f>Oportuno!K653</f>
        <v>0</v>
      </c>
      <c r="L653" s="174">
        <f>Oportuno!L653</f>
        <v>0</v>
      </c>
      <c r="M653" s="174">
        <f>Oportuno!M653</f>
        <v>0</v>
      </c>
      <c r="N653" s="174">
        <f>Oportuno!N653</f>
        <v>0</v>
      </c>
      <c r="O653" s="174">
        <f>Oportuno!O653</f>
        <v>0</v>
      </c>
      <c r="P653" s="174">
        <f>Oportuno!P653</f>
        <v>0</v>
      </c>
      <c r="Q653" s="174">
        <f>Oportuno!Q653</f>
        <v>0</v>
      </c>
      <c r="R653" s="174">
        <f>Oportuno!R653</f>
        <v>0</v>
      </c>
      <c r="S653" s="215">
        <f>Oportuno!S653</f>
        <v>0</v>
      </c>
      <c r="T653" s="71">
        <f>Oportuno!T653</f>
        <v>0</v>
      </c>
      <c r="U653" s="71">
        <f>Oportuno!U653</f>
        <v>0</v>
      </c>
      <c r="V653" s="117">
        <f>Oportuno!V653</f>
        <v>0</v>
      </c>
      <c r="W653" s="117">
        <f>Oportuno!W653</f>
        <v>0</v>
      </c>
      <c r="X653" s="71">
        <f>Oportuno!X653</f>
        <v>0</v>
      </c>
      <c r="Y653" s="71">
        <f>Oportuno!Y653</f>
        <v>0</v>
      </c>
      <c r="AA653" s="65"/>
    </row>
    <row r="654" spans="2:27 16101:16120" ht="13" customHeight="1" thickBot="1">
      <c r="B654" s="1" t="s">
        <v>0</v>
      </c>
      <c r="C654" s="1" t="s">
        <v>0</v>
      </c>
      <c r="D654" s="20" t="s">
        <v>0</v>
      </c>
      <c r="E654" s="120" t="str">
        <f>Oportuno!E654</f>
        <v xml:space="preserve"> </v>
      </c>
      <c r="F654" s="121" t="str">
        <f>Oportuno!F654</f>
        <v>TOTAL RECAUDO</v>
      </c>
      <c r="G654" s="121" t="s">
        <v>0</v>
      </c>
      <c r="H654" s="121" t="s">
        <v>0</v>
      </c>
      <c r="I654" s="121" t="s">
        <v>0</v>
      </c>
      <c r="J654" s="122">
        <f>Oportuno!J654</f>
        <v>0</v>
      </c>
      <c r="K654" s="122">
        <f>Oportuno!K654</f>
        <v>0</v>
      </c>
      <c r="L654" s="122">
        <f>Oportuno!L654</f>
        <v>0</v>
      </c>
      <c r="M654" s="122">
        <f>Oportuno!M654</f>
        <v>0</v>
      </c>
      <c r="N654" s="122">
        <f>Oportuno!N654</f>
        <v>0</v>
      </c>
      <c r="O654" s="122">
        <f>Oportuno!O654</f>
        <v>0</v>
      </c>
      <c r="P654" s="122">
        <f>Oportuno!P654</f>
        <v>0</v>
      </c>
      <c r="Q654" s="122">
        <f>Oportuno!Q654</f>
        <v>0</v>
      </c>
      <c r="R654" s="122">
        <f>Oportuno!R654</f>
        <v>63</v>
      </c>
      <c r="S654" s="122">
        <f>Oportuno!S654</f>
        <v>3800640</v>
      </c>
      <c r="T654" s="122">
        <f>Oportuno!T654</f>
        <v>63</v>
      </c>
      <c r="U654" s="122">
        <f>Oportuno!U654</f>
        <v>3800640</v>
      </c>
      <c r="V654" s="123">
        <f>Oportuno!V654</f>
        <v>63</v>
      </c>
      <c r="W654" s="123">
        <f>Oportuno!W654</f>
        <v>3800640</v>
      </c>
      <c r="X654" s="122">
        <f>Oportuno!X654</f>
        <v>0</v>
      </c>
      <c r="Y654" s="123">
        <f>Oportuno!Y654</f>
        <v>0</v>
      </c>
      <c r="AA654" s="65"/>
    </row>
    <row r="655" spans="2:27 16101:16120" ht="13" thickBot="1">
      <c r="AA655" s="65"/>
    </row>
    <row r="656" spans="2:27 16101:16120" ht="41.25" customHeight="1" thickBot="1">
      <c r="B656" s="112" t="s">
        <v>4</v>
      </c>
      <c r="C656" s="34" t="s">
        <v>6</v>
      </c>
      <c r="D656" s="34" t="s">
        <v>7</v>
      </c>
      <c r="E656" s="34" t="s">
        <v>49</v>
      </c>
      <c r="F656" s="34" t="s">
        <v>50</v>
      </c>
      <c r="G656" s="34" t="s">
        <v>51</v>
      </c>
      <c r="H656" s="34" t="s">
        <v>52</v>
      </c>
      <c r="I656" s="34" t="s">
        <v>13</v>
      </c>
      <c r="J656" s="231" t="s">
        <v>8</v>
      </c>
      <c r="K656" s="231" t="s">
        <v>36</v>
      </c>
      <c r="L656" s="12" t="s">
        <v>9</v>
      </c>
      <c r="M656" s="12" t="s">
        <v>37</v>
      </c>
      <c r="N656" s="87" t="s">
        <v>10</v>
      </c>
      <c r="O656" s="88" t="s">
        <v>38</v>
      </c>
      <c r="P656" s="87" t="s">
        <v>11</v>
      </c>
      <c r="Q656" s="88" t="s">
        <v>39</v>
      </c>
      <c r="R656" s="232" t="s">
        <v>12</v>
      </c>
      <c r="S656" s="233" t="s">
        <v>40</v>
      </c>
      <c r="T656" s="64" t="s">
        <v>41</v>
      </c>
      <c r="U656" s="64" t="s">
        <v>42</v>
      </c>
      <c r="V656" s="35" t="s">
        <v>32</v>
      </c>
      <c r="W656" s="67" t="s">
        <v>35</v>
      </c>
      <c r="X656" s="12" t="s">
        <v>34</v>
      </c>
      <c r="Y656" s="68" t="s">
        <v>33</v>
      </c>
      <c r="AA656" s="66"/>
      <c r="WUG656" s="1"/>
      <c r="WUH656" s="1"/>
      <c r="WUY656"/>
      <c r="WUZ656"/>
    </row>
    <row r="657" spans="2:27" ht="13" customHeight="1">
      <c r="B657" s="119" t="str">
        <f>Oportuno!B657</f>
        <v>25/09/2026</v>
      </c>
      <c r="C657" s="24">
        <f>Oportuno!C657</f>
        <v>2026092</v>
      </c>
      <c r="D657" s="24">
        <f>Oportuno!D657</f>
        <v>24</v>
      </c>
      <c r="E657" s="127">
        <f>Oportuno!E657</f>
        <v>20</v>
      </c>
      <c r="F657" s="125" t="str">
        <f>Oportuno!F657</f>
        <v>Bancolombia ENERBIT</v>
      </c>
      <c r="G657" s="18">
        <f>Oportuno!G657</f>
        <v>1</v>
      </c>
      <c r="H657" s="125" t="str">
        <f>Oportuno!H657</f>
        <v>Oficinas</v>
      </c>
      <c r="I657" s="129">
        <f>Oportuno!I657</f>
        <v>0</v>
      </c>
      <c r="J657" s="213">
        <f>Oportuno!J657</f>
        <v>0</v>
      </c>
      <c r="K657" s="213">
        <f>Oportuno!K657</f>
        <v>0</v>
      </c>
      <c r="L657" s="213">
        <f>Oportuno!L657</f>
        <v>0</v>
      </c>
      <c r="M657" s="213">
        <f>Oportuno!M657</f>
        <v>0</v>
      </c>
      <c r="N657" s="213">
        <f>Oportuno!N657</f>
        <v>0</v>
      </c>
      <c r="O657" s="213">
        <f>Oportuno!O657</f>
        <v>0</v>
      </c>
      <c r="P657" s="213">
        <f>Oportuno!P657</f>
        <v>0</v>
      </c>
      <c r="Q657" s="213">
        <f>Oportuno!Q657</f>
        <v>0</v>
      </c>
      <c r="R657" s="213">
        <f>Oportuno!R657</f>
        <v>14</v>
      </c>
      <c r="S657" s="214">
        <f>Oportuno!S657</f>
        <v>627740</v>
      </c>
      <c r="T657" s="70">
        <f>Oportuno!T657</f>
        <v>14</v>
      </c>
      <c r="U657" s="70">
        <f>Oportuno!U657</f>
        <v>627740</v>
      </c>
      <c r="V657" s="116">
        <f>Oportuno!V657</f>
        <v>14</v>
      </c>
      <c r="W657" s="116">
        <f>Oportuno!W657</f>
        <v>627740</v>
      </c>
      <c r="X657" s="70">
        <f>Oportuno!X657</f>
        <v>0</v>
      </c>
      <c r="Y657" s="70">
        <f>Oportuno!Y657</f>
        <v>0</v>
      </c>
      <c r="AA657" s="65"/>
    </row>
    <row r="658" spans="2:27" ht="13" customHeight="1">
      <c r="B658" s="119">
        <f>Oportuno!B658</f>
        <v>0</v>
      </c>
      <c r="C658" s="23">
        <f>Oportuno!C658</f>
        <v>2026092</v>
      </c>
      <c r="D658" s="23">
        <f>Oportuno!D658</f>
        <v>24</v>
      </c>
      <c r="E658" s="128">
        <f>Oportuno!E658</f>
        <v>0</v>
      </c>
      <c r="F658" s="126" t="e">
        <f>Oportuno!F658</f>
        <v>#N/A</v>
      </c>
      <c r="G658" s="36">
        <f>Oportuno!G658</f>
        <v>1</v>
      </c>
      <c r="H658" s="126" t="str">
        <f>Oportuno!H658</f>
        <v>Oficinas</v>
      </c>
      <c r="I658" s="130">
        <f>Oportuno!I658</f>
        <v>0</v>
      </c>
      <c r="J658" s="174">
        <f>Oportuno!J658</f>
        <v>0</v>
      </c>
      <c r="K658" s="174">
        <f>Oportuno!K658</f>
        <v>0</v>
      </c>
      <c r="L658" s="174">
        <f>Oportuno!L658</f>
        <v>0</v>
      </c>
      <c r="M658" s="174">
        <f>Oportuno!M658</f>
        <v>0</v>
      </c>
      <c r="N658" s="174">
        <f>Oportuno!N658</f>
        <v>0</v>
      </c>
      <c r="O658" s="174">
        <f>Oportuno!O658</f>
        <v>0</v>
      </c>
      <c r="P658" s="174">
        <f>Oportuno!P658</f>
        <v>0</v>
      </c>
      <c r="Q658" s="174">
        <f>Oportuno!Q658</f>
        <v>0</v>
      </c>
      <c r="R658" s="174">
        <f>Oportuno!R658</f>
        <v>0</v>
      </c>
      <c r="S658" s="215">
        <f>Oportuno!S658</f>
        <v>0</v>
      </c>
      <c r="T658" s="71">
        <f>Oportuno!T658</f>
        <v>0</v>
      </c>
      <c r="U658" s="71">
        <f>Oportuno!U658</f>
        <v>0</v>
      </c>
      <c r="V658" s="117">
        <f>Oportuno!V658</f>
        <v>0</v>
      </c>
      <c r="W658" s="117">
        <f>Oportuno!W658</f>
        <v>0</v>
      </c>
      <c r="X658" s="71">
        <f>Oportuno!X658</f>
        <v>0</v>
      </c>
      <c r="Y658" s="71">
        <f>Oportuno!Y658</f>
        <v>0</v>
      </c>
      <c r="AA658" s="65"/>
    </row>
    <row r="659" spans="2:27" ht="13" customHeight="1">
      <c r="B659" s="119">
        <f>Oportuno!B659</f>
        <v>0</v>
      </c>
      <c r="C659" s="23">
        <f>Oportuno!C659</f>
        <v>2026092</v>
      </c>
      <c r="D659" s="23">
        <f>Oportuno!D659</f>
        <v>24</v>
      </c>
      <c r="E659" s="128">
        <f>Oportuno!E659</f>
        <v>0</v>
      </c>
      <c r="F659" s="126" t="e">
        <f>Oportuno!F659</f>
        <v>#N/A</v>
      </c>
      <c r="G659" s="36">
        <f>Oportuno!G659</f>
        <v>1</v>
      </c>
      <c r="H659" s="126" t="str">
        <f>Oportuno!H659</f>
        <v>Oficinas</v>
      </c>
      <c r="I659" s="130">
        <f>Oportuno!I659</f>
        <v>0</v>
      </c>
      <c r="J659" s="174">
        <f>Oportuno!J659</f>
        <v>0</v>
      </c>
      <c r="K659" s="174">
        <f>Oportuno!K659</f>
        <v>0</v>
      </c>
      <c r="L659" s="174">
        <f>Oportuno!L659</f>
        <v>0</v>
      </c>
      <c r="M659" s="174">
        <f>Oportuno!M659</f>
        <v>0</v>
      </c>
      <c r="N659" s="174">
        <f>Oportuno!N659</f>
        <v>0</v>
      </c>
      <c r="O659" s="174">
        <f>Oportuno!O659</f>
        <v>0</v>
      </c>
      <c r="P659" s="174">
        <f>Oportuno!P659</f>
        <v>0</v>
      </c>
      <c r="Q659" s="174">
        <f>Oportuno!Q659</f>
        <v>0</v>
      </c>
      <c r="R659" s="174">
        <f>Oportuno!R659</f>
        <v>0</v>
      </c>
      <c r="S659" s="215">
        <f>Oportuno!S659</f>
        <v>0</v>
      </c>
      <c r="T659" s="71">
        <f>Oportuno!T659</f>
        <v>0</v>
      </c>
      <c r="U659" s="71">
        <f>Oportuno!U659</f>
        <v>0</v>
      </c>
      <c r="V659" s="117">
        <f>Oportuno!V659</f>
        <v>0</v>
      </c>
      <c r="W659" s="117">
        <f>Oportuno!W659</f>
        <v>0</v>
      </c>
      <c r="X659" s="71">
        <f>Oportuno!X659</f>
        <v>0</v>
      </c>
      <c r="Y659" s="71">
        <f>Oportuno!Y659</f>
        <v>0</v>
      </c>
      <c r="AA659" s="65"/>
    </row>
    <row r="660" spans="2:27" ht="13" customHeight="1">
      <c r="B660" s="119">
        <f>Oportuno!B660</f>
        <v>0</v>
      </c>
      <c r="C660" s="23">
        <f>Oportuno!C660</f>
        <v>2026092</v>
      </c>
      <c r="D660" s="23">
        <f>Oportuno!D660</f>
        <v>24</v>
      </c>
      <c r="E660" s="128">
        <f>Oportuno!E660</f>
        <v>0</v>
      </c>
      <c r="F660" s="126" t="e">
        <f>Oportuno!F660</f>
        <v>#N/A</v>
      </c>
      <c r="G660" s="36">
        <f>Oportuno!G660</f>
        <v>1</v>
      </c>
      <c r="H660" s="126" t="str">
        <f>Oportuno!H660</f>
        <v>Oficinas</v>
      </c>
      <c r="I660" s="130">
        <f>Oportuno!I660</f>
        <v>0</v>
      </c>
      <c r="J660" s="174">
        <f>Oportuno!J660</f>
        <v>0</v>
      </c>
      <c r="K660" s="174">
        <f>Oportuno!K660</f>
        <v>0</v>
      </c>
      <c r="L660" s="174">
        <f>Oportuno!L660</f>
        <v>0</v>
      </c>
      <c r="M660" s="174">
        <f>Oportuno!M660</f>
        <v>0</v>
      </c>
      <c r="N660" s="174">
        <f>Oportuno!N660</f>
        <v>0</v>
      </c>
      <c r="O660" s="174">
        <f>Oportuno!O660</f>
        <v>0</v>
      </c>
      <c r="P660" s="174">
        <f>Oportuno!P660</f>
        <v>0</v>
      </c>
      <c r="Q660" s="174">
        <f>Oportuno!Q660</f>
        <v>0</v>
      </c>
      <c r="R660" s="174">
        <f>Oportuno!R660</f>
        <v>0</v>
      </c>
      <c r="S660" s="215">
        <f>Oportuno!S660</f>
        <v>0</v>
      </c>
      <c r="T660" s="71">
        <f>Oportuno!T660</f>
        <v>0</v>
      </c>
      <c r="U660" s="71">
        <f>Oportuno!U660</f>
        <v>0</v>
      </c>
      <c r="V660" s="117">
        <f>Oportuno!V660</f>
        <v>0</v>
      </c>
      <c r="W660" s="117">
        <f>Oportuno!W660</f>
        <v>0</v>
      </c>
      <c r="X660" s="71">
        <f>Oportuno!X660</f>
        <v>0</v>
      </c>
      <c r="Y660" s="71">
        <f>Oportuno!Y660</f>
        <v>0</v>
      </c>
      <c r="AA660" s="65"/>
    </row>
    <row r="661" spans="2:27" ht="13" customHeight="1">
      <c r="B661" s="119">
        <f>Oportuno!B661</f>
        <v>0</v>
      </c>
      <c r="C661" s="23">
        <f>Oportuno!C661</f>
        <v>2026092</v>
      </c>
      <c r="D661" s="23">
        <f>Oportuno!D661</f>
        <v>24</v>
      </c>
      <c r="E661" s="128">
        <f>Oportuno!E661</f>
        <v>0</v>
      </c>
      <c r="F661" s="126" t="e">
        <f>Oportuno!F661</f>
        <v>#N/A</v>
      </c>
      <c r="G661" s="36">
        <f>Oportuno!G661</f>
        <v>1</v>
      </c>
      <c r="H661" s="126" t="str">
        <f>Oportuno!H661</f>
        <v>Oficinas</v>
      </c>
      <c r="I661" s="130">
        <f>Oportuno!I661</f>
        <v>0</v>
      </c>
      <c r="J661" s="174">
        <f>Oportuno!J661</f>
        <v>0</v>
      </c>
      <c r="K661" s="174">
        <f>Oportuno!K661</f>
        <v>0</v>
      </c>
      <c r="L661" s="174">
        <f>Oportuno!L661</f>
        <v>0</v>
      </c>
      <c r="M661" s="174">
        <f>Oportuno!M661</f>
        <v>0</v>
      </c>
      <c r="N661" s="174">
        <f>Oportuno!N661</f>
        <v>0</v>
      </c>
      <c r="O661" s="174">
        <f>Oportuno!O661</f>
        <v>0</v>
      </c>
      <c r="P661" s="174">
        <f>Oportuno!P661</f>
        <v>0</v>
      </c>
      <c r="Q661" s="174">
        <f>Oportuno!Q661</f>
        <v>0</v>
      </c>
      <c r="R661" s="174">
        <f>Oportuno!R661</f>
        <v>0</v>
      </c>
      <c r="S661" s="215">
        <f>Oportuno!S661</f>
        <v>0</v>
      </c>
      <c r="T661" s="71">
        <f>Oportuno!T661</f>
        <v>0</v>
      </c>
      <c r="U661" s="71">
        <f>Oportuno!U661</f>
        <v>0</v>
      </c>
      <c r="V661" s="117">
        <f>Oportuno!V661</f>
        <v>0</v>
      </c>
      <c r="W661" s="117">
        <f>Oportuno!W661</f>
        <v>0</v>
      </c>
      <c r="X661" s="71">
        <f>Oportuno!X661</f>
        <v>0</v>
      </c>
      <c r="Y661" s="71">
        <f>Oportuno!Y661</f>
        <v>0</v>
      </c>
      <c r="AA661" s="65"/>
    </row>
    <row r="662" spans="2:27" ht="13" customHeight="1">
      <c r="B662" s="119">
        <f>Oportuno!B662</f>
        <v>0</v>
      </c>
      <c r="C662" s="23">
        <f>Oportuno!C662</f>
        <v>2026092</v>
      </c>
      <c r="D662" s="23">
        <f>Oportuno!D662</f>
        <v>24</v>
      </c>
      <c r="E662" s="128">
        <f>Oportuno!E662</f>
        <v>0</v>
      </c>
      <c r="F662" s="126" t="e">
        <f>Oportuno!F662</f>
        <v>#N/A</v>
      </c>
      <c r="G662" s="36">
        <f>Oportuno!G662</f>
        <v>1</v>
      </c>
      <c r="H662" s="126" t="str">
        <f>Oportuno!H662</f>
        <v>Oficinas</v>
      </c>
      <c r="I662" s="130">
        <f>Oportuno!I662</f>
        <v>0</v>
      </c>
      <c r="J662" s="174">
        <f>Oportuno!J662</f>
        <v>0</v>
      </c>
      <c r="K662" s="174">
        <f>Oportuno!K662</f>
        <v>0</v>
      </c>
      <c r="L662" s="174">
        <f>Oportuno!L662</f>
        <v>0</v>
      </c>
      <c r="M662" s="174">
        <f>Oportuno!M662</f>
        <v>0</v>
      </c>
      <c r="N662" s="174">
        <f>Oportuno!N662</f>
        <v>0</v>
      </c>
      <c r="O662" s="174">
        <f>Oportuno!O662</f>
        <v>0</v>
      </c>
      <c r="P662" s="174">
        <f>Oportuno!P662</f>
        <v>0</v>
      </c>
      <c r="Q662" s="174">
        <f>Oportuno!Q662</f>
        <v>0</v>
      </c>
      <c r="R662" s="174">
        <f>Oportuno!R662</f>
        <v>0</v>
      </c>
      <c r="S662" s="215">
        <f>Oportuno!S662</f>
        <v>0</v>
      </c>
      <c r="T662" s="71">
        <f>Oportuno!T662</f>
        <v>0</v>
      </c>
      <c r="U662" s="71">
        <f>Oportuno!U662</f>
        <v>0</v>
      </c>
      <c r="V662" s="117">
        <f>Oportuno!V662</f>
        <v>0</v>
      </c>
      <c r="W662" s="117">
        <f>Oportuno!W662</f>
        <v>0</v>
      </c>
      <c r="X662" s="71">
        <f>Oportuno!X662</f>
        <v>0</v>
      </c>
      <c r="Y662" s="71">
        <f>Oportuno!Y662</f>
        <v>0</v>
      </c>
      <c r="AA662" s="65"/>
    </row>
    <row r="663" spans="2:27" ht="13" customHeight="1">
      <c r="B663" s="119">
        <f>Oportuno!B663</f>
        <v>0</v>
      </c>
      <c r="C663" s="23">
        <f>Oportuno!C663</f>
        <v>2026092</v>
      </c>
      <c r="D663" s="23">
        <f>Oportuno!D663</f>
        <v>24</v>
      </c>
      <c r="E663" s="128">
        <f>Oportuno!E663</f>
        <v>0</v>
      </c>
      <c r="F663" s="126" t="e">
        <f>Oportuno!F663</f>
        <v>#N/A</v>
      </c>
      <c r="G663" s="36">
        <f>Oportuno!G663</f>
        <v>1</v>
      </c>
      <c r="H663" s="126" t="str">
        <f>Oportuno!H663</f>
        <v>Oficinas</v>
      </c>
      <c r="I663" s="130">
        <f>Oportuno!I663</f>
        <v>0</v>
      </c>
      <c r="J663" s="174">
        <f>Oportuno!J663</f>
        <v>0</v>
      </c>
      <c r="K663" s="174">
        <f>Oportuno!K663</f>
        <v>0</v>
      </c>
      <c r="L663" s="174">
        <f>Oportuno!L663</f>
        <v>0</v>
      </c>
      <c r="M663" s="174">
        <f>Oportuno!M663</f>
        <v>0</v>
      </c>
      <c r="N663" s="174">
        <f>Oportuno!N663</f>
        <v>0</v>
      </c>
      <c r="O663" s="174">
        <f>Oportuno!O663</f>
        <v>0</v>
      </c>
      <c r="P663" s="174">
        <f>Oportuno!P663</f>
        <v>0</v>
      </c>
      <c r="Q663" s="174">
        <f>Oportuno!Q663</f>
        <v>0</v>
      </c>
      <c r="R663" s="174">
        <f>Oportuno!R663</f>
        <v>0</v>
      </c>
      <c r="S663" s="215">
        <f>Oportuno!S663</f>
        <v>0</v>
      </c>
      <c r="T663" s="71">
        <f>Oportuno!T663</f>
        <v>0</v>
      </c>
      <c r="U663" s="71">
        <f>Oportuno!U663</f>
        <v>0</v>
      </c>
      <c r="V663" s="117">
        <f>Oportuno!V663</f>
        <v>0</v>
      </c>
      <c r="W663" s="117">
        <f>Oportuno!W663</f>
        <v>0</v>
      </c>
      <c r="X663" s="71">
        <f>Oportuno!X663</f>
        <v>0</v>
      </c>
      <c r="Y663" s="71">
        <f>Oportuno!Y663</f>
        <v>0</v>
      </c>
      <c r="AA663" s="65"/>
    </row>
    <row r="664" spans="2:27" ht="13" customHeight="1">
      <c r="B664" s="119">
        <f>Oportuno!B664</f>
        <v>0</v>
      </c>
      <c r="C664" s="23">
        <f>Oportuno!C664</f>
        <v>2026092</v>
      </c>
      <c r="D664" s="23">
        <f>Oportuno!D664</f>
        <v>24</v>
      </c>
      <c r="E664" s="128">
        <f>Oportuno!E664</f>
        <v>0</v>
      </c>
      <c r="F664" s="126" t="e">
        <f>Oportuno!F664</f>
        <v>#N/A</v>
      </c>
      <c r="G664" s="36">
        <f>Oportuno!G664</f>
        <v>1</v>
      </c>
      <c r="H664" s="126" t="str">
        <f>Oportuno!H664</f>
        <v>Oficinas</v>
      </c>
      <c r="I664" s="130">
        <f>Oportuno!I664</f>
        <v>0</v>
      </c>
      <c r="J664" s="174">
        <f>Oportuno!J664</f>
        <v>0</v>
      </c>
      <c r="K664" s="174">
        <f>Oportuno!K664</f>
        <v>0</v>
      </c>
      <c r="L664" s="174">
        <f>Oportuno!L664</f>
        <v>0</v>
      </c>
      <c r="M664" s="174">
        <f>Oportuno!M664</f>
        <v>0</v>
      </c>
      <c r="N664" s="174">
        <f>Oportuno!N664</f>
        <v>0</v>
      </c>
      <c r="O664" s="174">
        <f>Oportuno!O664</f>
        <v>0</v>
      </c>
      <c r="P664" s="174">
        <f>Oportuno!P664</f>
        <v>0</v>
      </c>
      <c r="Q664" s="174">
        <f>Oportuno!Q664</f>
        <v>0</v>
      </c>
      <c r="R664" s="174">
        <f>Oportuno!R664</f>
        <v>0</v>
      </c>
      <c r="S664" s="215">
        <f>Oportuno!S664</f>
        <v>0</v>
      </c>
      <c r="T664" s="71">
        <f>Oportuno!T664</f>
        <v>0</v>
      </c>
      <c r="U664" s="71">
        <f>Oportuno!U664</f>
        <v>0</v>
      </c>
      <c r="V664" s="117">
        <f>Oportuno!V664</f>
        <v>0</v>
      </c>
      <c r="W664" s="117">
        <f>Oportuno!W664</f>
        <v>0</v>
      </c>
      <c r="X664" s="71">
        <f>Oportuno!X664</f>
        <v>0</v>
      </c>
      <c r="Y664" s="71">
        <f>Oportuno!Y664</f>
        <v>0</v>
      </c>
      <c r="AA664" s="65"/>
    </row>
    <row r="665" spans="2:27" ht="13" customHeight="1">
      <c r="B665" s="119">
        <f>Oportuno!B665</f>
        <v>0</v>
      </c>
      <c r="C665" s="23">
        <f>Oportuno!C665</f>
        <v>2026092</v>
      </c>
      <c r="D665" s="23">
        <f>Oportuno!D665</f>
        <v>24</v>
      </c>
      <c r="E665" s="128">
        <f>Oportuno!E665</f>
        <v>0</v>
      </c>
      <c r="F665" s="126" t="e">
        <f>Oportuno!F665</f>
        <v>#N/A</v>
      </c>
      <c r="G665" s="36">
        <f>Oportuno!G665</f>
        <v>1</v>
      </c>
      <c r="H665" s="126" t="str">
        <f>Oportuno!H665</f>
        <v>Oficinas</v>
      </c>
      <c r="I665" s="130">
        <f>Oportuno!I665</f>
        <v>0</v>
      </c>
      <c r="J665" s="174">
        <f>Oportuno!J665</f>
        <v>0</v>
      </c>
      <c r="K665" s="174">
        <f>Oportuno!K665</f>
        <v>0</v>
      </c>
      <c r="L665" s="174">
        <f>Oportuno!L665</f>
        <v>0</v>
      </c>
      <c r="M665" s="174">
        <f>Oportuno!M665</f>
        <v>0</v>
      </c>
      <c r="N665" s="174">
        <f>Oportuno!N665</f>
        <v>0</v>
      </c>
      <c r="O665" s="174">
        <f>Oportuno!O665</f>
        <v>0</v>
      </c>
      <c r="P665" s="174">
        <f>Oportuno!P665</f>
        <v>0</v>
      </c>
      <c r="Q665" s="174">
        <f>Oportuno!Q665</f>
        <v>0</v>
      </c>
      <c r="R665" s="174">
        <f>Oportuno!R665</f>
        <v>0</v>
      </c>
      <c r="S665" s="215">
        <f>Oportuno!S665</f>
        <v>0</v>
      </c>
      <c r="T665" s="71">
        <f>Oportuno!T665</f>
        <v>0</v>
      </c>
      <c r="U665" s="71">
        <f>Oportuno!U665</f>
        <v>0</v>
      </c>
      <c r="V665" s="117">
        <f>Oportuno!V665</f>
        <v>0</v>
      </c>
      <c r="W665" s="117">
        <f>Oportuno!W665</f>
        <v>0</v>
      </c>
      <c r="X665" s="71">
        <f>Oportuno!X665</f>
        <v>0</v>
      </c>
      <c r="Y665" s="71">
        <f>Oportuno!Y665</f>
        <v>0</v>
      </c>
      <c r="AA665" s="65"/>
    </row>
    <row r="666" spans="2:27" ht="13" customHeight="1">
      <c r="B666" s="119">
        <f>Oportuno!B666</f>
        <v>0</v>
      </c>
      <c r="C666" s="23">
        <f>Oportuno!C666</f>
        <v>2026092</v>
      </c>
      <c r="D666" s="23">
        <f>Oportuno!D666</f>
        <v>24</v>
      </c>
      <c r="E666" s="128">
        <f>Oportuno!E666</f>
        <v>0</v>
      </c>
      <c r="F666" s="126" t="e">
        <f>Oportuno!F666</f>
        <v>#N/A</v>
      </c>
      <c r="G666" s="36">
        <f>Oportuno!G666</f>
        <v>1</v>
      </c>
      <c r="H666" s="126" t="str">
        <f>Oportuno!H666</f>
        <v>Oficinas</v>
      </c>
      <c r="I666" s="130">
        <f>Oportuno!I666</f>
        <v>0</v>
      </c>
      <c r="J666" s="174">
        <f>Oportuno!J666</f>
        <v>0</v>
      </c>
      <c r="K666" s="174">
        <f>Oportuno!K666</f>
        <v>0</v>
      </c>
      <c r="L666" s="174">
        <f>Oportuno!L666</f>
        <v>0</v>
      </c>
      <c r="M666" s="174">
        <f>Oportuno!M666</f>
        <v>0</v>
      </c>
      <c r="N666" s="174">
        <f>Oportuno!N666</f>
        <v>0</v>
      </c>
      <c r="O666" s="174">
        <f>Oportuno!O666</f>
        <v>0</v>
      </c>
      <c r="P666" s="174">
        <f>Oportuno!P666</f>
        <v>0</v>
      </c>
      <c r="Q666" s="174">
        <f>Oportuno!Q666</f>
        <v>0</v>
      </c>
      <c r="R666" s="174">
        <f>Oportuno!R666</f>
        <v>0</v>
      </c>
      <c r="S666" s="215">
        <f>Oportuno!S666</f>
        <v>0</v>
      </c>
      <c r="T666" s="71">
        <f>Oportuno!T666</f>
        <v>0</v>
      </c>
      <c r="U666" s="71">
        <f>Oportuno!U666</f>
        <v>0</v>
      </c>
      <c r="V666" s="117">
        <f>Oportuno!V666</f>
        <v>0</v>
      </c>
      <c r="W666" s="117">
        <f>Oportuno!W666</f>
        <v>0</v>
      </c>
      <c r="X666" s="71">
        <f>Oportuno!X666</f>
        <v>0</v>
      </c>
      <c r="Y666" s="71">
        <f>Oportuno!Y666</f>
        <v>0</v>
      </c>
      <c r="AA666" s="65"/>
    </row>
    <row r="667" spans="2:27" ht="13" customHeight="1">
      <c r="B667" s="119">
        <f>Oportuno!B667</f>
        <v>0</v>
      </c>
      <c r="C667" s="23">
        <f>Oportuno!C667</f>
        <v>2026092</v>
      </c>
      <c r="D667" s="23">
        <f>Oportuno!D667</f>
        <v>24</v>
      </c>
      <c r="E667" s="128">
        <f>Oportuno!E667</f>
        <v>0</v>
      </c>
      <c r="F667" s="126" t="e">
        <f>Oportuno!F667</f>
        <v>#N/A</v>
      </c>
      <c r="G667" s="36">
        <f>Oportuno!G667</f>
        <v>1</v>
      </c>
      <c r="H667" s="126" t="str">
        <f>Oportuno!H667</f>
        <v>Oficinas</v>
      </c>
      <c r="I667" s="130">
        <f>Oportuno!I667</f>
        <v>0</v>
      </c>
      <c r="J667" s="174">
        <f>Oportuno!J667</f>
        <v>0</v>
      </c>
      <c r="K667" s="174">
        <f>Oportuno!K667</f>
        <v>0</v>
      </c>
      <c r="L667" s="174">
        <f>Oportuno!L667</f>
        <v>0</v>
      </c>
      <c r="M667" s="174">
        <f>Oportuno!M667</f>
        <v>0</v>
      </c>
      <c r="N667" s="174">
        <f>Oportuno!N667</f>
        <v>0</v>
      </c>
      <c r="O667" s="174">
        <f>Oportuno!O667</f>
        <v>0</v>
      </c>
      <c r="P667" s="174">
        <f>Oportuno!P667</f>
        <v>0</v>
      </c>
      <c r="Q667" s="174">
        <f>Oportuno!Q667</f>
        <v>0</v>
      </c>
      <c r="R667" s="174">
        <f>Oportuno!R667</f>
        <v>0</v>
      </c>
      <c r="S667" s="215">
        <f>Oportuno!S667</f>
        <v>0</v>
      </c>
      <c r="T667" s="71">
        <f>Oportuno!T667</f>
        <v>0</v>
      </c>
      <c r="U667" s="71">
        <f>Oportuno!U667</f>
        <v>0</v>
      </c>
      <c r="V667" s="117">
        <f>Oportuno!V667</f>
        <v>0</v>
      </c>
      <c r="W667" s="117">
        <f>Oportuno!W667</f>
        <v>0</v>
      </c>
      <c r="X667" s="71">
        <f>Oportuno!X667</f>
        <v>0</v>
      </c>
      <c r="Y667" s="71">
        <f>Oportuno!Y667</f>
        <v>0</v>
      </c>
      <c r="AA667" s="65"/>
    </row>
    <row r="668" spans="2:27" ht="13" customHeight="1">
      <c r="B668" s="119">
        <f>Oportuno!B668</f>
        <v>0</v>
      </c>
      <c r="C668" s="23">
        <f>Oportuno!C668</f>
        <v>2026092</v>
      </c>
      <c r="D668" s="23">
        <f>Oportuno!D668</f>
        <v>24</v>
      </c>
      <c r="E668" s="128">
        <f>Oportuno!E668</f>
        <v>0</v>
      </c>
      <c r="F668" s="126" t="e">
        <f>Oportuno!F668</f>
        <v>#N/A</v>
      </c>
      <c r="G668" s="36">
        <f>Oportuno!G668</f>
        <v>1</v>
      </c>
      <c r="H668" s="126" t="str">
        <f>Oportuno!H668</f>
        <v>Oficinas</v>
      </c>
      <c r="I668" s="130">
        <f>Oportuno!I668</f>
        <v>0</v>
      </c>
      <c r="J668" s="174">
        <f>Oportuno!J668</f>
        <v>0</v>
      </c>
      <c r="K668" s="174">
        <f>Oportuno!K668</f>
        <v>0</v>
      </c>
      <c r="L668" s="174">
        <f>Oportuno!L668</f>
        <v>0</v>
      </c>
      <c r="M668" s="174">
        <f>Oportuno!M668</f>
        <v>0</v>
      </c>
      <c r="N668" s="174">
        <f>Oportuno!N668</f>
        <v>0</v>
      </c>
      <c r="O668" s="174">
        <f>Oportuno!O668</f>
        <v>0</v>
      </c>
      <c r="P668" s="174">
        <f>Oportuno!P668</f>
        <v>0</v>
      </c>
      <c r="Q668" s="174">
        <f>Oportuno!Q668</f>
        <v>0</v>
      </c>
      <c r="R668" s="174">
        <f>Oportuno!R668</f>
        <v>0</v>
      </c>
      <c r="S668" s="215">
        <f>Oportuno!S668</f>
        <v>0</v>
      </c>
      <c r="T668" s="71">
        <f>Oportuno!T668</f>
        <v>0</v>
      </c>
      <c r="U668" s="71">
        <f>Oportuno!U668</f>
        <v>0</v>
      </c>
      <c r="V668" s="117">
        <f>Oportuno!V668</f>
        <v>0</v>
      </c>
      <c r="W668" s="117">
        <f>Oportuno!W668</f>
        <v>0</v>
      </c>
      <c r="X668" s="71">
        <f>Oportuno!X668</f>
        <v>0</v>
      </c>
      <c r="Y668" s="71">
        <f>Oportuno!Y668</f>
        <v>0</v>
      </c>
      <c r="AA668" s="65"/>
    </row>
    <row r="669" spans="2:27" ht="13" customHeight="1">
      <c r="B669" s="119">
        <f>Oportuno!B669</f>
        <v>0</v>
      </c>
      <c r="C669" s="23">
        <f>Oportuno!C669</f>
        <v>2026092</v>
      </c>
      <c r="D669" s="23">
        <f>Oportuno!D669</f>
        <v>24</v>
      </c>
      <c r="E669" s="128">
        <f>Oportuno!E669</f>
        <v>0</v>
      </c>
      <c r="F669" s="126" t="e">
        <f>Oportuno!F669</f>
        <v>#N/A</v>
      </c>
      <c r="G669" s="36">
        <f>Oportuno!G669</f>
        <v>1</v>
      </c>
      <c r="H669" s="126" t="str">
        <f>Oportuno!H669</f>
        <v>Oficinas</v>
      </c>
      <c r="I669" s="130">
        <f>Oportuno!I669</f>
        <v>0</v>
      </c>
      <c r="J669" s="174">
        <f>Oportuno!J669</f>
        <v>0</v>
      </c>
      <c r="K669" s="174">
        <f>Oportuno!K669</f>
        <v>0</v>
      </c>
      <c r="L669" s="174">
        <f>Oportuno!L669</f>
        <v>0</v>
      </c>
      <c r="M669" s="174">
        <f>Oportuno!M669</f>
        <v>0</v>
      </c>
      <c r="N669" s="174">
        <f>Oportuno!N669</f>
        <v>0</v>
      </c>
      <c r="O669" s="174">
        <f>Oportuno!O669</f>
        <v>0</v>
      </c>
      <c r="P669" s="174">
        <f>Oportuno!P669</f>
        <v>0</v>
      </c>
      <c r="Q669" s="174">
        <f>Oportuno!Q669</f>
        <v>0</v>
      </c>
      <c r="R669" s="174">
        <f>Oportuno!R669</f>
        <v>0</v>
      </c>
      <c r="S669" s="215">
        <f>Oportuno!S669</f>
        <v>0</v>
      </c>
      <c r="T669" s="71">
        <f>Oportuno!T669</f>
        <v>0</v>
      </c>
      <c r="U669" s="71">
        <f>Oportuno!U669</f>
        <v>0</v>
      </c>
      <c r="V669" s="117">
        <f>Oportuno!V669</f>
        <v>0</v>
      </c>
      <c r="W669" s="117">
        <f>Oportuno!W669</f>
        <v>0</v>
      </c>
      <c r="X669" s="71">
        <f>Oportuno!X669</f>
        <v>0</v>
      </c>
      <c r="Y669" s="71">
        <f>Oportuno!Y669</f>
        <v>0</v>
      </c>
      <c r="AA669" s="65"/>
    </row>
    <row r="670" spans="2:27" ht="13" customHeight="1">
      <c r="B670" s="119">
        <f>Oportuno!B670</f>
        <v>0</v>
      </c>
      <c r="C670" s="23">
        <f>Oportuno!C670</f>
        <v>2026092</v>
      </c>
      <c r="D670" s="23">
        <f>Oportuno!D670</f>
        <v>24</v>
      </c>
      <c r="E670" s="128">
        <f>Oportuno!E670</f>
        <v>0</v>
      </c>
      <c r="F670" s="126" t="e">
        <f>Oportuno!F670</f>
        <v>#N/A</v>
      </c>
      <c r="G670" s="36">
        <f>Oportuno!G670</f>
        <v>1</v>
      </c>
      <c r="H670" s="126" t="str">
        <f>Oportuno!H670</f>
        <v>Oficinas</v>
      </c>
      <c r="I670" s="130">
        <f>Oportuno!I670</f>
        <v>0</v>
      </c>
      <c r="J670" s="174">
        <f>Oportuno!J670</f>
        <v>0</v>
      </c>
      <c r="K670" s="174">
        <f>Oportuno!K670</f>
        <v>0</v>
      </c>
      <c r="L670" s="174">
        <f>Oportuno!L670</f>
        <v>0</v>
      </c>
      <c r="M670" s="174">
        <f>Oportuno!M670</f>
        <v>0</v>
      </c>
      <c r="N670" s="174">
        <f>Oportuno!N670</f>
        <v>0</v>
      </c>
      <c r="O670" s="174">
        <f>Oportuno!O670</f>
        <v>0</v>
      </c>
      <c r="P670" s="174">
        <f>Oportuno!P670</f>
        <v>0</v>
      </c>
      <c r="Q670" s="174">
        <f>Oportuno!Q670</f>
        <v>0</v>
      </c>
      <c r="R670" s="174">
        <f>Oportuno!R670</f>
        <v>0</v>
      </c>
      <c r="S670" s="215">
        <f>Oportuno!S670</f>
        <v>0</v>
      </c>
      <c r="T670" s="71">
        <f>Oportuno!T670</f>
        <v>0</v>
      </c>
      <c r="U670" s="71">
        <f>Oportuno!U670</f>
        <v>0</v>
      </c>
      <c r="V670" s="117">
        <f>Oportuno!V670</f>
        <v>0</v>
      </c>
      <c r="W670" s="117">
        <f>Oportuno!W670</f>
        <v>0</v>
      </c>
      <c r="X670" s="71">
        <f>Oportuno!X670</f>
        <v>0</v>
      </c>
      <c r="Y670" s="71">
        <f>Oportuno!Y670</f>
        <v>0</v>
      </c>
      <c r="AA670" s="65"/>
    </row>
    <row r="671" spans="2:27" ht="13" customHeight="1">
      <c r="B671" s="119">
        <f>Oportuno!B671</f>
        <v>0</v>
      </c>
      <c r="C671" s="23">
        <f>Oportuno!C671</f>
        <v>2026092</v>
      </c>
      <c r="D671" s="23">
        <f>Oportuno!D671</f>
        <v>24</v>
      </c>
      <c r="E671" s="128">
        <f>Oportuno!E671</f>
        <v>0</v>
      </c>
      <c r="F671" s="126" t="e">
        <f>Oportuno!F671</f>
        <v>#N/A</v>
      </c>
      <c r="G671" s="36">
        <f>Oportuno!G671</f>
        <v>1</v>
      </c>
      <c r="H671" s="126" t="str">
        <f>Oportuno!H671</f>
        <v>Oficinas</v>
      </c>
      <c r="I671" s="130">
        <f>Oportuno!I671</f>
        <v>0</v>
      </c>
      <c r="J671" s="174">
        <f>Oportuno!J671</f>
        <v>0</v>
      </c>
      <c r="K671" s="174">
        <f>Oportuno!K671</f>
        <v>0</v>
      </c>
      <c r="L671" s="174">
        <f>Oportuno!L671</f>
        <v>0</v>
      </c>
      <c r="M671" s="174">
        <f>Oportuno!M671</f>
        <v>0</v>
      </c>
      <c r="N671" s="174">
        <f>Oportuno!N671</f>
        <v>0</v>
      </c>
      <c r="O671" s="174">
        <f>Oportuno!O671</f>
        <v>0</v>
      </c>
      <c r="P671" s="174">
        <f>Oportuno!P671</f>
        <v>0</v>
      </c>
      <c r="Q671" s="174">
        <f>Oportuno!Q671</f>
        <v>0</v>
      </c>
      <c r="R671" s="174">
        <f>Oportuno!R671</f>
        <v>0</v>
      </c>
      <c r="S671" s="215">
        <f>Oportuno!S671</f>
        <v>0</v>
      </c>
      <c r="T671" s="71">
        <f>Oportuno!T671</f>
        <v>0</v>
      </c>
      <c r="U671" s="71">
        <f>Oportuno!U671</f>
        <v>0</v>
      </c>
      <c r="V671" s="117">
        <f>Oportuno!V671</f>
        <v>0</v>
      </c>
      <c r="W671" s="117">
        <f>Oportuno!W671</f>
        <v>0</v>
      </c>
      <c r="X671" s="71">
        <f>Oportuno!X671</f>
        <v>0</v>
      </c>
      <c r="Y671" s="71">
        <f>Oportuno!Y671</f>
        <v>0</v>
      </c>
      <c r="AA671" s="65"/>
    </row>
    <row r="672" spans="2:27" ht="12" customHeight="1">
      <c r="B672" s="119">
        <f>Oportuno!B672</f>
        <v>0</v>
      </c>
      <c r="C672" s="23">
        <f>Oportuno!C672</f>
        <v>2026092</v>
      </c>
      <c r="D672" s="23">
        <f>Oportuno!D672</f>
        <v>24</v>
      </c>
      <c r="E672" s="128">
        <f>Oportuno!E672</f>
        <v>0</v>
      </c>
      <c r="F672" s="126" t="e">
        <f>Oportuno!F672</f>
        <v>#N/A</v>
      </c>
      <c r="G672" s="36">
        <f>Oportuno!G672</f>
        <v>1</v>
      </c>
      <c r="H672" s="126" t="str">
        <f>Oportuno!H672</f>
        <v>Oficinas</v>
      </c>
      <c r="I672" s="130">
        <f>Oportuno!I672</f>
        <v>0</v>
      </c>
      <c r="J672" s="174">
        <f>Oportuno!J672</f>
        <v>0</v>
      </c>
      <c r="K672" s="174">
        <f>Oportuno!K672</f>
        <v>0</v>
      </c>
      <c r="L672" s="174">
        <f>Oportuno!L672</f>
        <v>0</v>
      </c>
      <c r="M672" s="174">
        <f>Oportuno!M672</f>
        <v>0</v>
      </c>
      <c r="N672" s="174">
        <f>Oportuno!N672</f>
        <v>0</v>
      </c>
      <c r="O672" s="174">
        <f>Oportuno!O672</f>
        <v>0</v>
      </c>
      <c r="P672" s="174">
        <f>Oportuno!P672</f>
        <v>0</v>
      </c>
      <c r="Q672" s="174">
        <f>Oportuno!Q672</f>
        <v>0</v>
      </c>
      <c r="R672" s="174">
        <f>Oportuno!R672</f>
        <v>0</v>
      </c>
      <c r="S672" s="215">
        <f>Oportuno!S672</f>
        <v>0</v>
      </c>
      <c r="T672" s="71">
        <f>Oportuno!T672</f>
        <v>0</v>
      </c>
      <c r="U672" s="71">
        <f>Oportuno!U672</f>
        <v>0</v>
      </c>
      <c r="V672" s="117">
        <f>Oportuno!V672</f>
        <v>0</v>
      </c>
      <c r="W672" s="117">
        <f>Oportuno!W672</f>
        <v>0</v>
      </c>
      <c r="X672" s="71">
        <f>Oportuno!X672</f>
        <v>0</v>
      </c>
      <c r="Y672" s="71">
        <f>Oportuno!Y672</f>
        <v>0</v>
      </c>
      <c r="AA672" s="65"/>
    </row>
    <row r="673" spans="2:27 16101:16120" ht="13" customHeight="1">
      <c r="B673" s="119">
        <f>Oportuno!B673</f>
        <v>0</v>
      </c>
      <c r="C673" s="23">
        <f>Oportuno!C673</f>
        <v>2026092</v>
      </c>
      <c r="D673" s="23">
        <f>Oportuno!D673</f>
        <v>24</v>
      </c>
      <c r="E673" s="128">
        <f>Oportuno!E673</f>
        <v>0</v>
      </c>
      <c r="F673" s="126" t="e">
        <f>Oportuno!F673</f>
        <v>#N/A</v>
      </c>
      <c r="G673" s="36">
        <f>Oportuno!G673</f>
        <v>1</v>
      </c>
      <c r="H673" s="126" t="str">
        <f>Oportuno!H673</f>
        <v>Oficinas</v>
      </c>
      <c r="I673" s="130">
        <f>Oportuno!I673</f>
        <v>0</v>
      </c>
      <c r="J673" s="174">
        <f>Oportuno!J673</f>
        <v>0</v>
      </c>
      <c r="K673" s="174">
        <f>Oportuno!K673</f>
        <v>0</v>
      </c>
      <c r="L673" s="174">
        <f>Oportuno!L673</f>
        <v>0</v>
      </c>
      <c r="M673" s="174">
        <f>Oportuno!M673</f>
        <v>0</v>
      </c>
      <c r="N673" s="174">
        <f>Oportuno!N673</f>
        <v>0</v>
      </c>
      <c r="O673" s="174">
        <f>Oportuno!O673</f>
        <v>0</v>
      </c>
      <c r="P673" s="174">
        <f>Oportuno!P673</f>
        <v>0</v>
      </c>
      <c r="Q673" s="174">
        <f>Oportuno!Q673</f>
        <v>0</v>
      </c>
      <c r="R673" s="174">
        <f>Oportuno!R673</f>
        <v>0</v>
      </c>
      <c r="S673" s="215">
        <f>Oportuno!S673</f>
        <v>0</v>
      </c>
      <c r="T673" s="71">
        <f>Oportuno!T673</f>
        <v>0</v>
      </c>
      <c r="U673" s="71">
        <f>Oportuno!U673</f>
        <v>0</v>
      </c>
      <c r="V673" s="117">
        <f>Oportuno!V673</f>
        <v>0</v>
      </c>
      <c r="W673" s="117">
        <f>Oportuno!W673</f>
        <v>0</v>
      </c>
      <c r="X673" s="71">
        <f>Oportuno!X673</f>
        <v>0</v>
      </c>
      <c r="Y673" s="71">
        <f>Oportuno!Y673</f>
        <v>0</v>
      </c>
      <c r="AA673" s="65"/>
    </row>
    <row r="674" spans="2:27 16101:16120" ht="13" customHeight="1">
      <c r="B674" s="119">
        <f>Oportuno!B674</f>
        <v>0</v>
      </c>
      <c r="C674" s="23">
        <f>Oportuno!C674</f>
        <v>2026092</v>
      </c>
      <c r="D674" s="23">
        <f>Oportuno!D674</f>
        <v>24</v>
      </c>
      <c r="E674" s="128">
        <f>Oportuno!E674</f>
        <v>0</v>
      </c>
      <c r="F674" s="126" t="e">
        <f>Oportuno!F674</f>
        <v>#N/A</v>
      </c>
      <c r="G674" s="36">
        <f>Oportuno!G674</f>
        <v>1</v>
      </c>
      <c r="H674" s="126" t="str">
        <f>Oportuno!H674</f>
        <v>Oficinas</v>
      </c>
      <c r="I674" s="130">
        <f>Oportuno!I674</f>
        <v>0</v>
      </c>
      <c r="J674" s="174">
        <f>Oportuno!J674</f>
        <v>0</v>
      </c>
      <c r="K674" s="174">
        <f>Oportuno!K674</f>
        <v>0</v>
      </c>
      <c r="L674" s="174">
        <f>Oportuno!L674</f>
        <v>0</v>
      </c>
      <c r="M674" s="174">
        <f>Oportuno!M674</f>
        <v>0</v>
      </c>
      <c r="N674" s="174">
        <f>Oportuno!N674</f>
        <v>0</v>
      </c>
      <c r="O674" s="174">
        <f>Oportuno!O674</f>
        <v>0</v>
      </c>
      <c r="P674" s="174">
        <f>Oportuno!P674</f>
        <v>0</v>
      </c>
      <c r="Q674" s="174">
        <f>Oportuno!Q674</f>
        <v>0</v>
      </c>
      <c r="R674" s="174">
        <f>Oportuno!R674</f>
        <v>0</v>
      </c>
      <c r="S674" s="215">
        <f>Oportuno!S674</f>
        <v>0</v>
      </c>
      <c r="T674" s="71">
        <f>Oportuno!T674</f>
        <v>0</v>
      </c>
      <c r="U674" s="71">
        <f>Oportuno!U674</f>
        <v>0</v>
      </c>
      <c r="V674" s="117">
        <f>Oportuno!V674</f>
        <v>0</v>
      </c>
      <c r="W674" s="117">
        <f>Oportuno!W674</f>
        <v>0</v>
      </c>
      <c r="X674" s="71">
        <f>Oportuno!X674</f>
        <v>0</v>
      </c>
      <c r="Y674" s="71">
        <f>Oportuno!Y674</f>
        <v>0</v>
      </c>
      <c r="AA674" s="65"/>
    </row>
    <row r="675" spans="2:27 16101:16120" ht="13" customHeight="1">
      <c r="B675" s="119">
        <f>Oportuno!B675</f>
        <v>0</v>
      </c>
      <c r="C675" s="23">
        <f>Oportuno!C675</f>
        <v>2026092</v>
      </c>
      <c r="D675" s="23">
        <f>Oportuno!D675</f>
        <v>24</v>
      </c>
      <c r="E675" s="128">
        <f>Oportuno!E675</f>
        <v>0</v>
      </c>
      <c r="F675" s="126" t="e">
        <f>Oportuno!F675</f>
        <v>#N/A</v>
      </c>
      <c r="G675" s="36">
        <f>Oportuno!G675</f>
        <v>1</v>
      </c>
      <c r="H675" s="126" t="str">
        <f>Oportuno!H675</f>
        <v>Oficinas</v>
      </c>
      <c r="I675" s="130">
        <f>Oportuno!I675</f>
        <v>0</v>
      </c>
      <c r="J675" s="174">
        <f>Oportuno!J675</f>
        <v>0</v>
      </c>
      <c r="K675" s="174">
        <f>Oportuno!K675</f>
        <v>0</v>
      </c>
      <c r="L675" s="174">
        <f>Oportuno!L675</f>
        <v>0</v>
      </c>
      <c r="M675" s="174">
        <f>Oportuno!M675</f>
        <v>0</v>
      </c>
      <c r="N675" s="174">
        <f>Oportuno!N675</f>
        <v>0</v>
      </c>
      <c r="O675" s="174">
        <f>Oportuno!O675</f>
        <v>0</v>
      </c>
      <c r="P675" s="174">
        <f>Oportuno!P675</f>
        <v>0</v>
      </c>
      <c r="Q675" s="174">
        <f>Oportuno!Q675</f>
        <v>0</v>
      </c>
      <c r="R675" s="174">
        <f>Oportuno!R675</f>
        <v>0</v>
      </c>
      <c r="S675" s="215">
        <f>Oportuno!S675</f>
        <v>0</v>
      </c>
      <c r="T675" s="71">
        <f>Oportuno!T675</f>
        <v>0</v>
      </c>
      <c r="U675" s="71">
        <f>Oportuno!U675</f>
        <v>0</v>
      </c>
      <c r="V675" s="117">
        <f>Oportuno!V675</f>
        <v>0</v>
      </c>
      <c r="W675" s="117">
        <f>Oportuno!W675</f>
        <v>0</v>
      </c>
      <c r="X675" s="71">
        <f>Oportuno!X675</f>
        <v>0</v>
      </c>
      <c r="Y675" s="71">
        <f>Oportuno!Y675</f>
        <v>0</v>
      </c>
      <c r="AA675" s="65"/>
    </row>
    <row r="676" spans="2:27 16101:16120" ht="13" customHeight="1">
      <c r="B676" s="119">
        <f>Oportuno!B676</f>
        <v>0</v>
      </c>
      <c r="C676" s="23">
        <f>Oportuno!C676</f>
        <v>2026092</v>
      </c>
      <c r="D676" s="23">
        <f>Oportuno!D676</f>
        <v>24</v>
      </c>
      <c r="E676" s="128">
        <f>Oportuno!E676</f>
        <v>0</v>
      </c>
      <c r="F676" s="126" t="e">
        <f>Oportuno!F676</f>
        <v>#N/A</v>
      </c>
      <c r="G676" s="36">
        <f>Oportuno!G676</f>
        <v>1</v>
      </c>
      <c r="H676" s="126" t="str">
        <f>Oportuno!H676</f>
        <v>Oficinas</v>
      </c>
      <c r="I676" s="130">
        <f>Oportuno!I676</f>
        <v>0</v>
      </c>
      <c r="J676" s="174">
        <f>Oportuno!J676</f>
        <v>0</v>
      </c>
      <c r="K676" s="174">
        <f>Oportuno!K676</f>
        <v>0</v>
      </c>
      <c r="L676" s="174">
        <f>Oportuno!L676</f>
        <v>0</v>
      </c>
      <c r="M676" s="174">
        <f>Oportuno!M676</f>
        <v>0</v>
      </c>
      <c r="N676" s="174">
        <f>Oportuno!N676</f>
        <v>0</v>
      </c>
      <c r="O676" s="174">
        <f>Oportuno!O676</f>
        <v>0</v>
      </c>
      <c r="P676" s="174">
        <f>Oportuno!P676</f>
        <v>0</v>
      </c>
      <c r="Q676" s="174">
        <f>Oportuno!Q676</f>
        <v>0</v>
      </c>
      <c r="R676" s="174">
        <f>Oportuno!R676</f>
        <v>0</v>
      </c>
      <c r="S676" s="215">
        <f>Oportuno!S676</f>
        <v>0</v>
      </c>
      <c r="T676" s="71">
        <f>Oportuno!T676</f>
        <v>0</v>
      </c>
      <c r="U676" s="71">
        <f>Oportuno!U676</f>
        <v>0</v>
      </c>
      <c r="V676" s="117">
        <f>Oportuno!V676</f>
        <v>0</v>
      </c>
      <c r="W676" s="117">
        <f>Oportuno!W676</f>
        <v>0</v>
      </c>
      <c r="X676" s="71">
        <f>Oportuno!X676</f>
        <v>0</v>
      </c>
      <c r="Y676" s="71">
        <f>Oportuno!Y676</f>
        <v>0</v>
      </c>
      <c r="AA676" s="65"/>
    </row>
    <row r="677" spans="2:27 16101:16120" ht="13" customHeight="1">
      <c r="B677" s="119">
        <f>Oportuno!B677</f>
        <v>0</v>
      </c>
      <c r="C677" s="23">
        <f>Oportuno!C677</f>
        <v>2026092</v>
      </c>
      <c r="D677" s="23">
        <f>Oportuno!D677</f>
        <v>24</v>
      </c>
      <c r="E677" s="128">
        <f>Oportuno!E677</f>
        <v>0</v>
      </c>
      <c r="F677" s="126" t="e">
        <f>Oportuno!F677</f>
        <v>#N/A</v>
      </c>
      <c r="G677" s="36">
        <f>Oportuno!G677</f>
        <v>1</v>
      </c>
      <c r="H677" s="126" t="str">
        <f>Oportuno!H677</f>
        <v>Oficinas</v>
      </c>
      <c r="I677" s="130">
        <f>Oportuno!I677</f>
        <v>0</v>
      </c>
      <c r="J677" s="174">
        <f>Oportuno!J677</f>
        <v>0</v>
      </c>
      <c r="K677" s="174">
        <f>Oportuno!K677</f>
        <v>0</v>
      </c>
      <c r="L677" s="174">
        <f>Oportuno!L677</f>
        <v>0</v>
      </c>
      <c r="M677" s="174">
        <f>Oportuno!M677</f>
        <v>0</v>
      </c>
      <c r="N677" s="174">
        <f>Oportuno!N677</f>
        <v>0</v>
      </c>
      <c r="O677" s="174">
        <f>Oportuno!O677</f>
        <v>0</v>
      </c>
      <c r="P677" s="174">
        <f>Oportuno!P677</f>
        <v>0</v>
      </c>
      <c r="Q677" s="174">
        <f>Oportuno!Q677</f>
        <v>0</v>
      </c>
      <c r="R677" s="174">
        <f>Oportuno!R677</f>
        <v>0</v>
      </c>
      <c r="S677" s="215">
        <f>Oportuno!S677</f>
        <v>0</v>
      </c>
      <c r="T677" s="71">
        <f>Oportuno!T677</f>
        <v>0</v>
      </c>
      <c r="U677" s="71">
        <f>Oportuno!U677</f>
        <v>0</v>
      </c>
      <c r="V677" s="117">
        <f>Oportuno!V677</f>
        <v>0</v>
      </c>
      <c r="W677" s="117">
        <f>Oportuno!W677</f>
        <v>0</v>
      </c>
      <c r="X677" s="71">
        <f>Oportuno!X677</f>
        <v>0</v>
      </c>
      <c r="Y677" s="71">
        <f>Oportuno!Y677</f>
        <v>0</v>
      </c>
      <c r="AA677" s="65"/>
    </row>
    <row r="678" spans="2:27 16101:16120" ht="13" customHeight="1">
      <c r="B678" s="119">
        <f>Oportuno!B678</f>
        <v>0</v>
      </c>
      <c r="C678" s="23">
        <f>Oportuno!C678</f>
        <v>2026092</v>
      </c>
      <c r="D678" s="23">
        <f>Oportuno!D678</f>
        <v>24</v>
      </c>
      <c r="E678" s="128">
        <f>Oportuno!E678</f>
        <v>0</v>
      </c>
      <c r="F678" s="126" t="e">
        <f>Oportuno!F678</f>
        <v>#N/A</v>
      </c>
      <c r="G678" s="36">
        <f>Oportuno!G678</f>
        <v>1</v>
      </c>
      <c r="H678" s="126" t="str">
        <f>Oportuno!H678</f>
        <v>Oficinas</v>
      </c>
      <c r="I678" s="130">
        <f>Oportuno!I678</f>
        <v>0</v>
      </c>
      <c r="J678" s="174">
        <f>Oportuno!J678</f>
        <v>0</v>
      </c>
      <c r="K678" s="174">
        <f>Oportuno!K678</f>
        <v>0</v>
      </c>
      <c r="L678" s="174">
        <f>Oportuno!L678</f>
        <v>0</v>
      </c>
      <c r="M678" s="174">
        <f>Oportuno!M678</f>
        <v>0</v>
      </c>
      <c r="N678" s="174">
        <f>Oportuno!N678</f>
        <v>0</v>
      </c>
      <c r="O678" s="174">
        <f>Oportuno!O678</f>
        <v>0</v>
      </c>
      <c r="P678" s="174">
        <f>Oportuno!P678</f>
        <v>0</v>
      </c>
      <c r="Q678" s="174">
        <f>Oportuno!Q678</f>
        <v>0</v>
      </c>
      <c r="R678" s="174">
        <f>Oportuno!R678</f>
        <v>0</v>
      </c>
      <c r="S678" s="215">
        <f>Oportuno!S678</f>
        <v>0</v>
      </c>
      <c r="T678" s="71">
        <f>Oportuno!T678</f>
        <v>0</v>
      </c>
      <c r="U678" s="71">
        <f>Oportuno!U678</f>
        <v>0</v>
      </c>
      <c r="V678" s="117">
        <f>Oportuno!V678</f>
        <v>0</v>
      </c>
      <c r="W678" s="117">
        <f>Oportuno!W678</f>
        <v>0</v>
      </c>
      <c r="X678" s="71">
        <f>Oportuno!X678</f>
        <v>0</v>
      </c>
      <c r="Y678" s="71">
        <f>Oportuno!Y678</f>
        <v>0</v>
      </c>
      <c r="AA678" s="65"/>
    </row>
    <row r="679" spans="2:27 16101:16120" ht="13" customHeight="1">
      <c r="B679" s="119">
        <f>Oportuno!B679</f>
        <v>0</v>
      </c>
      <c r="C679" s="23">
        <f>Oportuno!C679</f>
        <v>2026092</v>
      </c>
      <c r="D679" s="23">
        <f>Oportuno!D679</f>
        <v>24</v>
      </c>
      <c r="E679" s="128">
        <f>Oportuno!E679</f>
        <v>0</v>
      </c>
      <c r="F679" s="126" t="e">
        <f>Oportuno!F679</f>
        <v>#N/A</v>
      </c>
      <c r="G679" s="36">
        <f>Oportuno!G679</f>
        <v>1</v>
      </c>
      <c r="H679" s="126" t="str">
        <f>Oportuno!H679</f>
        <v>Oficinas</v>
      </c>
      <c r="I679" s="130">
        <f>Oportuno!I679</f>
        <v>0</v>
      </c>
      <c r="J679" s="174">
        <f>Oportuno!J679</f>
        <v>0</v>
      </c>
      <c r="K679" s="174">
        <f>Oportuno!K679</f>
        <v>0</v>
      </c>
      <c r="L679" s="174">
        <f>Oportuno!L679</f>
        <v>0</v>
      </c>
      <c r="M679" s="174">
        <f>Oportuno!M679</f>
        <v>0</v>
      </c>
      <c r="N679" s="174">
        <f>Oportuno!N679</f>
        <v>0</v>
      </c>
      <c r="O679" s="174">
        <f>Oportuno!O679</f>
        <v>0</v>
      </c>
      <c r="P679" s="174">
        <f>Oportuno!P679</f>
        <v>0</v>
      </c>
      <c r="Q679" s="174">
        <f>Oportuno!Q679</f>
        <v>0</v>
      </c>
      <c r="R679" s="174">
        <f>Oportuno!R679</f>
        <v>0</v>
      </c>
      <c r="S679" s="215">
        <f>Oportuno!S679</f>
        <v>0</v>
      </c>
      <c r="T679" s="71">
        <f>Oportuno!T679</f>
        <v>0</v>
      </c>
      <c r="U679" s="71">
        <f>Oportuno!U679</f>
        <v>0</v>
      </c>
      <c r="V679" s="117">
        <f>Oportuno!V679</f>
        <v>0</v>
      </c>
      <c r="W679" s="117">
        <f>Oportuno!W679</f>
        <v>0</v>
      </c>
      <c r="X679" s="71">
        <f>Oportuno!X679</f>
        <v>0</v>
      </c>
      <c r="Y679" s="71">
        <f>Oportuno!Y679</f>
        <v>0</v>
      </c>
      <c r="AA679" s="65"/>
    </row>
    <row r="680" spans="2:27 16101:16120" ht="13" customHeight="1">
      <c r="B680" s="119">
        <f>Oportuno!B680</f>
        <v>0</v>
      </c>
      <c r="C680" s="23">
        <f>Oportuno!C680</f>
        <v>2026092</v>
      </c>
      <c r="D680" s="23">
        <f>Oportuno!D680</f>
        <v>24</v>
      </c>
      <c r="E680" s="128">
        <f>Oportuno!E680</f>
        <v>0</v>
      </c>
      <c r="F680" s="126" t="e">
        <f>Oportuno!F680</f>
        <v>#N/A</v>
      </c>
      <c r="G680" s="36">
        <f>Oportuno!G680</f>
        <v>1</v>
      </c>
      <c r="H680" s="126" t="str">
        <f>Oportuno!H680</f>
        <v>Oficinas</v>
      </c>
      <c r="I680" s="130">
        <f>Oportuno!I680</f>
        <v>0</v>
      </c>
      <c r="J680" s="174">
        <f>Oportuno!J680</f>
        <v>0</v>
      </c>
      <c r="K680" s="174">
        <f>Oportuno!K680</f>
        <v>0</v>
      </c>
      <c r="L680" s="174">
        <f>Oportuno!L680</f>
        <v>0</v>
      </c>
      <c r="M680" s="174">
        <f>Oportuno!M680</f>
        <v>0</v>
      </c>
      <c r="N680" s="174">
        <f>Oportuno!N680</f>
        <v>0</v>
      </c>
      <c r="O680" s="174">
        <f>Oportuno!O680</f>
        <v>0</v>
      </c>
      <c r="P680" s="174">
        <f>Oportuno!P680</f>
        <v>0</v>
      </c>
      <c r="Q680" s="174">
        <f>Oportuno!Q680</f>
        <v>0</v>
      </c>
      <c r="R680" s="174">
        <f>Oportuno!R680</f>
        <v>0</v>
      </c>
      <c r="S680" s="215">
        <f>Oportuno!S680</f>
        <v>0</v>
      </c>
      <c r="T680" s="71">
        <f>Oportuno!T680</f>
        <v>0</v>
      </c>
      <c r="U680" s="71">
        <f>Oportuno!U680</f>
        <v>0</v>
      </c>
      <c r="V680" s="117">
        <f>Oportuno!V680</f>
        <v>0</v>
      </c>
      <c r="W680" s="117">
        <f>Oportuno!W680</f>
        <v>0</v>
      </c>
      <c r="X680" s="71">
        <f>Oportuno!X680</f>
        <v>0</v>
      </c>
      <c r="Y680" s="71">
        <f>Oportuno!Y680</f>
        <v>0</v>
      </c>
      <c r="AA680" s="65"/>
    </row>
    <row r="681" spans="2:27 16101:16120" ht="13" customHeight="1" thickBot="1">
      <c r="B681" s="119">
        <f>Oportuno!B681</f>
        <v>0</v>
      </c>
      <c r="C681" s="23">
        <f>Oportuno!C681</f>
        <v>2026092</v>
      </c>
      <c r="D681" s="23">
        <f>Oportuno!D681</f>
        <v>24</v>
      </c>
      <c r="E681" s="128">
        <f>Oportuno!E681</f>
        <v>0</v>
      </c>
      <c r="F681" s="126" t="e">
        <f>Oportuno!F681</f>
        <v>#N/A</v>
      </c>
      <c r="G681" s="36">
        <f>Oportuno!G681</f>
        <v>1</v>
      </c>
      <c r="H681" s="126" t="str">
        <f>Oportuno!H681</f>
        <v>Oficinas</v>
      </c>
      <c r="I681" s="130">
        <f>Oportuno!I681</f>
        <v>0</v>
      </c>
      <c r="J681" s="174">
        <f>Oportuno!J681</f>
        <v>0</v>
      </c>
      <c r="K681" s="174">
        <f>Oportuno!K681</f>
        <v>0</v>
      </c>
      <c r="L681" s="174">
        <f>Oportuno!L681</f>
        <v>0</v>
      </c>
      <c r="M681" s="174">
        <f>Oportuno!M681</f>
        <v>0</v>
      </c>
      <c r="N681" s="174">
        <f>Oportuno!N681</f>
        <v>0</v>
      </c>
      <c r="O681" s="174">
        <f>Oportuno!O681</f>
        <v>0</v>
      </c>
      <c r="P681" s="174">
        <f>Oportuno!P681</f>
        <v>0</v>
      </c>
      <c r="Q681" s="174">
        <f>Oportuno!Q681</f>
        <v>0</v>
      </c>
      <c r="R681" s="174">
        <f>Oportuno!R681</f>
        <v>0</v>
      </c>
      <c r="S681" s="215">
        <f>Oportuno!S681</f>
        <v>0</v>
      </c>
      <c r="T681" s="71">
        <f>Oportuno!T681</f>
        <v>0</v>
      </c>
      <c r="U681" s="71">
        <f>Oportuno!U681</f>
        <v>0</v>
      </c>
      <c r="V681" s="117">
        <f>Oportuno!V681</f>
        <v>0</v>
      </c>
      <c r="W681" s="117">
        <f>Oportuno!W681</f>
        <v>0</v>
      </c>
      <c r="X681" s="71">
        <f>Oportuno!X681</f>
        <v>0</v>
      </c>
      <c r="Y681" s="71">
        <f>Oportuno!Y681</f>
        <v>0</v>
      </c>
      <c r="AA681" s="65"/>
    </row>
    <row r="682" spans="2:27 16101:16120" ht="13" customHeight="1" thickBot="1">
      <c r="B682" s="1" t="s">
        <v>0</v>
      </c>
      <c r="C682" s="1" t="s">
        <v>0</v>
      </c>
      <c r="D682" s="20" t="s">
        <v>0</v>
      </c>
      <c r="E682" s="120" t="str">
        <f>Oportuno!E682</f>
        <v xml:space="preserve"> </v>
      </c>
      <c r="F682" s="121" t="str">
        <f>Oportuno!F682</f>
        <v>TOTAL RECAUDO</v>
      </c>
      <c r="G682" s="121" t="s">
        <v>0</v>
      </c>
      <c r="H682" s="121" t="s">
        <v>0</v>
      </c>
      <c r="I682" s="121" t="s">
        <v>0</v>
      </c>
      <c r="J682" s="122">
        <f>Oportuno!J682</f>
        <v>0</v>
      </c>
      <c r="K682" s="122">
        <f>Oportuno!K682</f>
        <v>0</v>
      </c>
      <c r="L682" s="122">
        <f>Oportuno!L682</f>
        <v>0</v>
      </c>
      <c r="M682" s="122">
        <f>Oportuno!M682</f>
        <v>0</v>
      </c>
      <c r="N682" s="122">
        <f>Oportuno!N682</f>
        <v>0</v>
      </c>
      <c r="O682" s="122">
        <f>Oportuno!O682</f>
        <v>0</v>
      </c>
      <c r="P682" s="122">
        <f>Oportuno!P682</f>
        <v>0</v>
      </c>
      <c r="Q682" s="122">
        <f>Oportuno!Q682</f>
        <v>0</v>
      </c>
      <c r="R682" s="122">
        <f>Oportuno!R682</f>
        <v>14</v>
      </c>
      <c r="S682" s="122">
        <f>Oportuno!S682</f>
        <v>627740</v>
      </c>
      <c r="T682" s="122">
        <f>Oportuno!T682</f>
        <v>14</v>
      </c>
      <c r="U682" s="122">
        <f>Oportuno!U682</f>
        <v>627740</v>
      </c>
      <c r="V682" s="123">
        <f>Oportuno!V682</f>
        <v>14</v>
      </c>
      <c r="W682" s="123">
        <f>Oportuno!W682</f>
        <v>627740</v>
      </c>
      <c r="X682" s="122">
        <f>Oportuno!X682</f>
        <v>0</v>
      </c>
      <c r="Y682" s="123">
        <f>Oportuno!Y682</f>
        <v>0</v>
      </c>
      <c r="AA682" s="65"/>
    </row>
    <row r="683" spans="2:27 16101:16120" ht="13" thickBot="1">
      <c r="AA683" s="65"/>
    </row>
    <row r="684" spans="2:27 16101:16120" ht="41.25" customHeight="1" thickBot="1">
      <c r="B684" s="112" t="s">
        <v>4</v>
      </c>
      <c r="C684" s="34" t="s">
        <v>6</v>
      </c>
      <c r="D684" s="34" t="s">
        <v>7</v>
      </c>
      <c r="E684" s="34" t="s">
        <v>49</v>
      </c>
      <c r="F684" s="34" t="s">
        <v>50</v>
      </c>
      <c r="G684" s="34" t="s">
        <v>51</v>
      </c>
      <c r="H684" s="34" t="s">
        <v>52</v>
      </c>
      <c r="I684" s="34" t="s">
        <v>13</v>
      </c>
      <c r="J684" s="231" t="s">
        <v>8</v>
      </c>
      <c r="K684" s="231" t="s">
        <v>36</v>
      </c>
      <c r="L684" s="12" t="s">
        <v>9</v>
      </c>
      <c r="M684" s="12" t="s">
        <v>37</v>
      </c>
      <c r="N684" s="87" t="s">
        <v>10</v>
      </c>
      <c r="O684" s="88" t="s">
        <v>38</v>
      </c>
      <c r="P684" s="87" t="s">
        <v>11</v>
      </c>
      <c r="Q684" s="88" t="s">
        <v>39</v>
      </c>
      <c r="R684" s="232" t="s">
        <v>12</v>
      </c>
      <c r="S684" s="233" t="s">
        <v>40</v>
      </c>
      <c r="T684" s="64" t="s">
        <v>41</v>
      </c>
      <c r="U684" s="64" t="s">
        <v>42</v>
      </c>
      <c r="V684" s="35" t="s">
        <v>32</v>
      </c>
      <c r="W684" s="67" t="s">
        <v>35</v>
      </c>
      <c r="X684" s="12" t="s">
        <v>34</v>
      </c>
      <c r="Y684" s="68" t="s">
        <v>33</v>
      </c>
      <c r="AA684" s="66"/>
      <c r="WUG684" s="1"/>
      <c r="WUH684" s="1"/>
      <c r="WUY684"/>
      <c r="WUZ684"/>
    </row>
    <row r="685" spans="2:27 16101:16120" ht="13" customHeight="1">
      <c r="B685" s="119" t="str">
        <f>Oportuno!B685</f>
        <v>28/09/2026</v>
      </c>
      <c r="C685" s="24">
        <f>Oportuno!C685</f>
        <v>2026092</v>
      </c>
      <c r="D685" s="24">
        <f>Oportuno!D685</f>
        <v>25</v>
      </c>
      <c r="E685" s="127">
        <f>Oportuno!E685</f>
        <v>20</v>
      </c>
      <c r="F685" s="125" t="str">
        <f>Oportuno!F685</f>
        <v>Bancolombia ENERBIT</v>
      </c>
      <c r="G685" s="18">
        <f>Oportuno!G685</f>
        <v>1</v>
      </c>
      <c r="H685" s="125" t="str">
        <f>Oportuno!H685</f>
        <v>Oficinas</v>
      </c>
      <c r="I685" s="129">
        <f>Oportuno!I685</f>
        <v>0</v>
      </c>
      <c r="J685" s="213">
        <f>Oportuno!J685</f>
        <v>0</v>
      </c>
      <c r="K685" s="213">
        <f>Oportuno!K685</f>
        <v>0</v>
      </c>
      <c r="L685" s="213">
        <f>Oportuno!L685</f>
        <v>0</v>
      </c>
      <c r="M685" s="213">
        <f>Oportuno!M685</f>
        <v>0</v>
      </c>
      <c r="N685" s="213">
        <f>Oportuno!N685</f>
        <v>0</v>
      </c>
      <c r="O685" s="213">
        <f>Oportuno!O685</f>
        <v>0</v>
      </c>
      <c r="P685" s="213">
        <f>Oportuno!P685</f>
        <v>0</v>
      </c>
      <c r="Q685" s="213">
        <f>Oportuno!Q685</f>
        <v>0</v>
      </c>
      <c r="R685" s="213">
        <f>Oportuno!R685</f>
        <v>35</v>
      </c>
      <c r="S685" s="214">
        <f>Oportuno!S685</f>
        <v>5649784</v>
      </c>
      <c r="T685" s="70">
        <f>Oportuno!T685</f>
        <v>35</v>
      </c>
      <c r="U685" s="70">
        <f>Oportuno!U685</f>
        <v>5649784</v>
      </c>
      <c r="V685" s="116">
        <f>Oportuno!V685</f>
        <v>35</v>
      </c>
      <c r="W685" s="116">
        <f>Oportuno!W685</f>
        <v>5649784</v>
      </c>
      <c r="X685" s="70">
        <f>Oportuno!X685</f>
        <v>0</v>
      </c>
      <c r="Y685" s="70">
        <f>Oportuno!Y685</f>
        <v>0</v>
      </c>
      <c r="AA685" s="65"/>
    </row>
    <row r="686" spans="2:27 16101:16120" ht="13" customHeight="1">
      <c r="B686" s="119">
        <f>Oportuno!B686</f>
        <v>0</v>
      </c>
      <c r="C686" s="23">
        <f>Oportuno!C686</f>
        <v>2026092</v>
      </c>
      <c r="D686" s="23">
        <f>Oportuno!D686</f>
        <v>25</v>
      </c>
      <c r="E686" s="128">
        <f>Oportuno!E686</f>
        <v>0</v>
      </c>
      <c r="F686" s="126" t="e">
        <f>Oportuno!F686</f>
        <v>#N/A</v>
      </c>
      <c r="G686" s="36">
        <f>Oportuno!G686</f>
        <v>1</v>
      </c>
      <c r="H686" s="126" t="str">
        <f>Oportuno!H686</f>
        <v>Oficinas</v>
      </c>
      <c r="I686" s="130">
        <f>Oportuno!I686</f>
        <v>0</v>
      </c>
      <c r="J686" s="174">
        <f>Oportuno!J686</f>
        <v>0</v>
      </c>
      <c r="K686" s="174">
        <f>Oportuno!K686</f>
        <v>0</v>
      </c>
      <c r="L686" s="174">
        <f>Oportuno!L686</f>
        <v>0</v>
      </c>
      <c r="M686" s="174">
        <f>Oportuno!M686</f>
        <v>0</v>
      </c>
      <c r="N686" s="174">
        <f>Oportuno!N686</f>
        <v>0</v>
      </c>
      <c r="O686" s="174">
        <f>Oportuno!O686</f>
        <v>0</v>
      </c>
      <c r="P686" s="174">
        <f>Oportuno!P686</f>
        <v>0</v>
      </c>
      <c r="Q686" s="174">
        <f>Oportuno!Q686</f>
        <v>0</v>
      </c>
      <c r="R686" s="174">
        <f>Oportuno!R686</f>
        <v>0</v>
      </c>
      <c r="S686" s="215">
        <f>Oportuno!S686</f>
        <v>0</v>
      </c>
      <c r="T686" s="71">
        <f>Oportuno!T686</f>
        <v>0</v>
      </c>
      <c r="U686" s="71">
        <f>Oportuno!U686</f>
        <v>0</v>
      </c>
      <c r="V686" s="117">
        <f>Oportuno!V686</f>
        <v>0</v>
      </c>
      <c r="W686" s="117">
        <f>Oportuno!W686</f>
        <v>0</v>
      </c>
      <c r="X686" s="71">
        <f>Oportuno!X686</f>
        <v>0</v>
      </c>
      <c r="Y686" s="71">
        <f>Oportuno!Y686</f>
        <v>0</v>
      </c>
      <c r="AA686" s="65"/>
    </row>
    <row r="687" spans="2:27 16101:16120" ht="13" customHeight="1">
      <c r="B687" s="119">
        <f>Oportuno!B687</f>
        <v>0</v>
      </c>
      <c r="C687" s="23">
        <f>Oportuno!C687</f>
        <v>2026092</v>
      </c>
      <c r="D687" s="23">
        <f>Oportuno!D687</f>
        <v>25</v>
      </c>
      <c r="E687" s="128">
        <f>Oportuno!E687</f>
        <v>0</v>
      </c>
      <c r="F687" s="126" t="e">
        <f>Oportuno!F687</f>
        <v>#N/A</v>
      </c>
      <c r="G687" s="36">
        <f>Oportuno!G687</f>
        <v>1</v>
      </c>
      <c r="H687" s="126" t="str">
        <f>Oportuno!H687</f>
        <v>Oficinas</v>
      </c>
      <c r="I687" s="130">
        <f>Oportuno!I687</f>
        <v>0</v>
      </c>
      <c r="J687" s="174">
        <f>Oportuno!J687</f>
        <v>0</v>
      </c>
      <c r="K687" s="174">
        <f>Oportuno!K687</f>
        <v>0</v>
      </c>
      <c r="L687" s="174">
        <f>Oportuno!L687</f>
        <v>0</v>
      </c>
      <c r="M687" s="174">
        <f>Oportuno!M687</f>
        <v>0</v>
      </c>
      <c r="N687" s="174">
        <f>Oportuno!N687</f>
        <v>0</v>
      </c>
      <c r="O687" s="174">
        <f>Oportuno!O687</f>
        <v>0</v>
      </c>
      <c r="P687" s="174">
        <f>Oportuno!P687</f>
        <v>0</v>
      </c>
      <c r="Q687" s="174">
        <f>Oportuno!Q687</f>
        <v>0</v>
      </c>
      <c r="R687" s="174">
        <f>Oportuno!R687</f>
        <v>0</v>
      </c>
      <c r="S687" s="215">
        <f>Oportuno!S687</f>
        <v>0</v>
      </c>
      <c r="T687" s="71">
        <f>Oportuno!T687</f>
        <v>0</v>
      </c>
      <c r="U687" s="71">
        <f>Oportuno!U687</f>
        <v>0</v>
      </c>
      <c r="V687" s="117">
        <f>Oportuno!V687</f>
        <v>0</v>
      </c>
      <c r="W687" s="117">
        <f>Oportuno!W687</f>
        <v>0</v>
      </c>
      <c r="X687" s="71">
        <f>Oportuno!X687</f>
        <v>0</v>
      </c>
      <c r="Y687" s="71">
        <f>Oportuno!Y687</f>
        <v>0</v>
      </c>
      <c r="AA687" s="65"/>
    </row>
    <row r="688" spans="2:27 16101:16120" ht="13" customHeight="1">
      <c r="B688" s="119">
        <f>Oportuno!B688</f>
        <v>0</v>
      </c>
      <c r="C688" s="23">
        <f>Oportuno!C688</f>
        <v>2026092</v>
      </c>
      <c r="D688" s="23">
        <f>Oportuno!D688</f>
        <v>25</v>
      </c>
      <c r="E688" s="128">
        <f>Oportuno!E688</f>
        <v>0</v>
      </c>
      <c r="F688" s="126" t="e">
        <f>Oportuno!F688</f>
        <v>#N/A</v>
      </c>
      <c r="G688" s="36">
        <f>Oportuno!G688</f>
        <v>1</v>
      </c>
      <c r="H688" s="126" t="str">
        <f>Oportuno!H688</f>
        <v>Oficinas</v>
      </c>
      <c r="I688" s="130">
        <f>Oportuno!I688</f>
        <v>0</v>
      </c>
      <c r="J688" s="174">
        <f>Oportuno!J688</f>
        <v>0</v>
      </c>
      <c r="K688" s="174">
        <f>Oportuno!K688</f>
        <v>0</v>
      </c>
      <c r="L688" s="174">
        <f>Oportuno!L688</f>
        <v>0</v>
      </c>
      <c r="M688" s="174">
        <f>Oportuno!M688</f>
        <v>0</v>
      </c>
      <c r="N688" s="174">
        <f>Oportuno!N688</f>
        <v>0</v>
      </c>
      <c r="O688" s="174">
        <f>Oportuno!O688</f>
        <v>0</v>
      </c>
      <c r="P688" s="174">
        <f>Oportuno!P688</f>
        <v>0</v>
      </c>
      <c r="Q688" s="174">
        <f>Oportuno!Q688</f>
        <v>0</v>
      </c>
      <c r="R688" s="174">
        <f>Oportuno!R688</f>
        <v>0</v>
      </c>
      <c r="S688" s="215">
        <f>Oportuno!S688</f>
        <v>0</v>
      </c>
      <c r="T688" s="71">
        <f>Oportuno!T688</f>
        <v>0</v>
      </c>
      <c r="U688" s="71">
        <f>Oportuno!U688</f>
        <v>0</v>
      </c>
      <c r="V688" s="117">
        <f>Oportuno!V688</f>
        <v>0</v>
      </c>
      <c r="W688" s="117">
        <f>Oportuno!W688</f>
        <v>0</v>
      </c>
      <c r="X688" s="71">
        <f>Oportuno!X688</f>
        <v>0</v>
      </c>
      <c r="Y688" s="71">
        <f>Oportuno!Y688</f>
        <v>0</v>
      </c>
      <c r="AA688" s="65"/>
    </row>
    <row r="689" spans="2:27" ht="13" customHeight="1">
      <c r="B689" s="119">
        <f>Oportuno!B689</f>
        <v>0</v>
      </c>
      <c r="C689" s="23">
        <f>Oportuno!C689</f>
        <v>2026092</v>
      </c>
      <c r="D689" s="23">
        <f>Oportuno!D689</f>
        <v>25</v>
      </c>
      <c r="E689" s="128">
        <f>Oportuno!E689</f>
        <v>0</v>
      </c>
      <c r="F689" s="126" t="e">
        <f>Oportuno!F689</f>
        <v>#N/A</v>
      </c>
      <c r="G689" s="36">
        <f>Oportuno!G689</f>
        <v>1</v>
      </c>
      <c r="H689" s="126" t="str">
        <f>Oportuno!H689</f>
        <v>Oficinas</v>
      </c>
      <c r="I689" s="130">
        <f>Oportuno!I689</f>
        <v>0</v>
      </c>
      <c r="J689" s="174">
        <f>Oportuno!J689</f>
        <v>0</v>
      </c>
      <c r="K689" s="174">
        <f>Oportuno!K689</f>
        <v>0</v>
      </c>
      <c r="L689" s="174">
        <f>Oportuno!L689</f>
        <v>0</v>
      </c>
      <c r="M689" s="174">
        <f>Oportuno!M689</f>
        <v>0</v>
      </c>
      <c r="N689" s="174">
        <f>Oportuno!N689</f>
        <v>0</v>
      </c>
      <c r="O689" s="174">
        <f>Oportuno!O689</f>
        <v>0</v>
      </c>
      <c r="P689" s="174">
        <f>Oportuno!P689</f>
        <v>0</v>
      </c>
      <c r="Q689" s="174">
        <f>Oportuno!Q689</f>
        <v>0</v>
      </c>
      <c r="R689" s="174">
        <f>Oportuno!R689</f>
        <v>0</v>
      </c>
      <c r="S689" s="215">
        <f>Oportuno!S689</f>
        <v>0</v>
      </c>
      <c r="T689" s="71">
        <f>Oportuno!T689</f>
        <v>0</v>
      </c>
      <c r="U689" s="71">
        <f>Oportuno!U689</f>
        <v>0</v>
      </c>
      <c r="V689" s="117">
        <f>Oportuno!V689</f>
        <v>0</v>
      </c>
      <c r="W689" s="117">
        <f>Oportuno!W689</f>
        <v>0</v>
      </c>
      <c r="X689" s="71">
        <f>Oportuno!X689</f>
        <v>0</v>
      </c>
      <c r="Y689" s="71">
        <f>Oportuno!Y689</f>
        <v>0</v>
      </c>
      <c r="AA689" s="65"/>
    </row>
    <row r="690" spans="2:27" ht="13" customHeight="1">
      <c r="B690" s="119">
        <f>Oportuno!B690</f>
        <v>0</v>
      </c>
      <c r="C690" s="23">
        <f>Oportuno!C690</f>
        <v>2026092</v>
      </c>
      <c r="D690" s="23">
        <f>Oportuno!D690</f>
        <v>25</v>
      </c>
      <c r="E690" s="128">
        <f>Oportuno!E690</f>
        <v>0</v>
      </c>
      <c r="F690" s="126" t="e">
        <f>Oportuno!F690</f>
        <v>#N/A</v>
      </c>
      <c r="G690" s="36">
        <f>Oportuno!G690</f>
        <v>1</v>
      </c>
      <c r="H690" s="126" t="str">
        <f>Oportuno!H690</f>
        <v>Oficinas</v>
      </c>
      <c r="I690" s="130">
        <f>Oportuno!I690</f>
        <v>0</v>
      </c>
      <c r="J690" s="174">
        <f>Oportuno!J690</f>
        <v>0</v>
      </c>
      <c r="K690" s="174">
        <f>Oportuno!K690</f>
        <v>0</v>
      </c>
      <c r="L690" s="174">
        <f>Oportuno!L690</f>
        <v>0</v>
      </c>
      <c r="M690" s="174">
        <f>Oportuno!M690</f>
        <v>0</v>
      </c>
      <c r="N690" s="174">
        <f>Oportuno!N690</f>
        <v>0</v>
      </c>
      <c r="O690" s="174">
        <f>Oportuno!O690</f>
        <v>0</v>
      </c>
      <c r="P690" s="174">
        <f>Oportuno!P690</f>
        <v>0</v>
      </c>
      <c r="Q690" s="174">
        <f>Oportuno!Q690</f>
        <v>0</v>
      </c>
      <c r="R690" s="174">
        <f>Oportuno!R690</f>
        <v>0</v>
      </c>
      <c r="S690" s="215">
        <f>Oportuno!S690</f>
        <v>0</v>
      </c>
      <c r="T690" s="71">
        <f>Oportuno!T690</f>
        <v>0</v>
      </c>
      <c r="U690" s="71">
        <f>Oportuno!U690</f>
        <v>0</v>
      </c>
      <c r="V690" s="117">
        <f>Oportuno!V690</f>
        <v>0</v>
      </c>
      <c r="W690" s="117">
        <f>Oportuno!W690</f>
        <v>0</v>
      </c>
      <c r="X690" s="71">
        <f>Oportuno!X690</f>
        <v>0</v>
      </c>
      <c r="Y690" s="71">
        <f>Oportuno!Y690</f>
        <v>0</v>
      </c>
      <c r="AA690" s="65"/>
    </row>
    <row r="691" spans="2:27" ht="13" customHeight="1">
      <c r="B691" s="119">
        <f>Oportuno!B691</f>
        <v>0</v>
      </c>
      <c r="C691" s="23">
        <f>Oportuno!C691</f>
        <v>2026092</v>
      </c>
      <c r="D691" s="23">
        <f>Oportuno!D691</f>
        <v>25</v>
      </c>
      <c r="E691" s="128">
        <f>Oportuno!E691</f>
        <v>0</v>
      </c>
      <c r="F691" s="126" t="e">
        <f>Oportuno!F691</f>
        <v>#N/A</v>
      </c>
      <c r="G691" s="36">
        <f>Oportuno!G691</f>
        <v>1</v>
      </c>
      <c r="H691" s="126" t="str">
        <f>Oportuno!H691</f>
        <v>Oficinas</v>
      </c>
      <c r="I691" s="130">
        <f>Oportuno!I691</f>
        <v>0</v>
      </c>
      <c r="J691" s="174">
        <f>Oportuno!J691</f>
        <v>0</v>
      </c>
      <c r="K691" s="174">
        <f>Oportuno!K691</f>
        <v>0</v>
      </c>
      <c r="L691" s="174">
        <f>Oportuno!L691</f>
        <v>0</v>
      </c>
      <c r="M691" s="174">
        <f>Oportuno!M691</f>
        <v>0</v>
      </c>
      <c r="N691" s="174">
        <f>Oportuno!N691</f>
        <v>0</v>
      </c>
      <c r="O691" s="174">
        <f>Oportuno!O691</f>
        <v>0</v>
      </c>
      <c r="P691" s="174">
        <f>Oportuno!P691</f>
        <v>0</v>
      </c>
      <c r="Q691" s="174">
        <f>Oportuno!Q691</f>
        <v>0</v>
      </c>
      <c r="R691" s="174">
        <f>Oportuno!R691</f>
        <v>0</v>
      </c>
      <c r="S691" s="215">
        <f>Oportuno!S691</f>
        <v>0</v>
      </c>
      <c r="T691" s="71">
        <f>Oportuno!T691</f>
        <v>0</v>
      </c>
      <c r="U691" s="71">
        <f>Oportuno!U691</f>
        <v>0</v>
      </c>
      <c r="V691" s="117">
        <f>Oportuno!V691</f>
        <v>0</v>
      </c>
      <c r="W691" s="117">
        <f>Oportuno!W691</f>
        <v>0</v>
      </c>
      <c r="X691" s="71">
        <f>Oportuno!X691</f>
        <v>0</v>
      </c>
      <c r="Y691" s="71">
        <f>Oportuno!Y691</f>
        <v>0</v>
      </c>
      <c r="AA691" s="65"/>
    </row>
    <row r="692" spans="2:27" ht="13" customHeight="1">
      <c r="B692" s="119">
        <f>Oportuno!B692</f>
        <v>0</v>
      </c>
      <c r="C692" s="23">
        <f>Oportuno!C692</f>
        <v>2026092</v>
      </c>
      <c r="D692" s="23">
        <f>Oportuno!D692</f>
        <v>25</v>
      </c>
      <c r="E692" s="128">
        <f>Oportuno!E692</f>
        <v>0</v>
      </c>
      <c r="F692" s="126" t="e">
        <f>Oportuno!F692</f>
        <v>#N/A</v>
      </c>
      <c r="G692" s="36">
        <f>Oportuno!G692</f>
        <v>1</v>
      </c>
      <c r="H692" s="126" t="str">
        <f>Oportuno!H692</f>
        <v>Oficinas</v>
      </c>
      <c r="I692" s="130">
        <f>Oportuno!I692</f>
        <v>0</v>
      </c>
      <c r="J692" s="174">
        <f>Oportuno!J692</f>
        <v>0</v>
      </c>
      <c r="K692" s="174">
        <f>Oportuno!K692</f>
        <v>0</v>
      </c>
      <c r="L692" s="174">
        <f>Oportuno!L692</f>
        <v>0</v>
      </c>
      <c r="M692" s="174">
        <f>Oportuno!M692</f>
        <v>0</v>
      </c>
      <c r="N692" s="174">
        <f>Oportuno!N692</f>
        <v>0</v>
      </c>
      <c r="O692" s="174">
        <f>Oportuno!O692</f>
        <v>0</v>
      </c>
      <c r="P692" s="174">
        <f>Oportuno!P692</f>
        <v>0</v>
      </c>
      <c r="Q692" s="174">
        <f>Oportuno!Q692</f>
        <v>0</v>
      </c>
      <c r="R692" s="174">
        <f>Oportuno!R692</f>
        <v>0</v>
      </c>
      <c r="S692" s="215">
        <f>Oportuno!S692</f>
        <v>0</v>
      </c>
      <c r="T692" s="71">
        <f>Oportuno!T692</f>
        <v>0</v>
      </c>
      <c r="U692" s="71">
        <f>Oportuno!U692</f>
        <v>0</v>
      </c>
      <c r="V692" s="117">
        <f>Oportuno!V692</f>
        <v>0</v>
      </c>
      <c r="W692" s="117">
        <f>Oportuno!W692</f>
        <v>0</v>
      </c>
      <c r="X692" s="71">
        <f>Oportuno!X692</f>
        <v>0</v>
      </c>
      <c r="Y692" s="71">
        <f>Oportuno!Y692</f>
        <v>0</v>
      </c>
      <c r="AA692" s="65"/>
    </row>
    <row r="693" spans="2:27" ht="13" customHeight="1">
      <c r="B693" s="119">
        <f>Oportuno!B693</f>
        <v>0</v>
      </c>
      <c r="C693" s="23">
        <f>Oportuno!C693</f>
        <v>2026092</v>
      </c>
      <c r="D693" s="23">
        <f>Oportuno!D693</f>
        <v>25</v>
      </c>
      <c r="E693" s="128">
        <f>Oportuno!E693</f>
        <v>0</v>
      </c>
      <c r="F693" s="126" t="e">
        <f>Oportuno!F693</f>
        <v>#N/A</v>
      </c>
      <c r="G693" s="36">
        <f>Oportuno!G693</f>
        <v>1</v>
      </c>
      <c r="H693" s="126" t="str">
        <f>Oportuno!H693</f>
        <v>Oficinas</v>
      </c>
      <c r="I693" s="130">
        <f>Oportuno!I693</f>
        <v>0</v>
      </c>
      <c r="J693" s="174">
        <f>Oportuno!J693</f>
        <v>0</v>
      </c>
      <c r="K693" s="174">
        <f>Oportuno!K693</f>
        <v>0</v>
      </c>
      <c r="L693" s="174">
        <f>Oportuno!L693</f>
        <v>0</v>
      </c>
      <c r="M693" s="174">
        <f>Oportuno!M693</f>
        <v>0</v>
      </c>
      <c r="N693" s="174">
        <f>Oportuno!N693</f>
        <v>0</v>
      </c>
      <c r="O693" s="174">
        <f>Oportuno!O693</f>
        <v>0</v>
      </c>
      <c r="P693" s="174">
        <f>Oportuno!P693</f>
        <v>0</v>
      </c>
      <c r="Q693" s="174">
        <f>Oportuno!Q693</f>
        <v>0</v>
      </c>
      <c r="R693" s="174">
        <f>Oportuno!R693</f>
        <v>0</v>
      </c>
      <c r="S693" s="215">
        <f>Oportuno!S693</f>
        <v>0</v>
      </c>
      <c r="T693" s="71">
        <f>Oportuno!T693</f>
        <v>0</v>
      </c>
      <c r="U693" s="71">
        <f>Oportuno!U693</f>
        <v>0</v>
      </c>
      <c r="V693" s="117">
        <f>Oportuno!V693</f>
        <v>0</v>
      </c>
      <c r="W693" s="117">
        <f>Oportuno!W693</f>
        <v>0</v>
      </c>
      <c r="X693" s="71">
        <f>Oportuno!X693</f>
        <v>0</v>
      </c>
      <c r="Y693" s="71">
        <f>Oportuno!Y693</f>
        <v>0</v>
      </c>
      <c r="AA693" s="65"/>
    </row>
    <row r="694" spans="2:27" ht="13" customHeight="1">
      <c r="B694" s="119">
        <f>Oportuno!B694</f>
        <v>0</v>
      </c>
      <c r="C694" s="23">
        <f>Oportuno!C694</f>
        <v>2026092</v>
      </c>
      <c r="D694" s="23">
        <f>Oportuno!D694</f>
        <v>25</v>
      </c>
      <c r="E694" s="128">
        <f>Oportuno!E694</f>
        <v>0</v>
      </c>
      <c r="F694" s="126" t="e">
        <f>Oportuno!F694</f>
        <v>#N/A</v>
      </c>
      <c r="G694" s="36">
        <f>Oportuno!G694</f>
        <v>1</v>
      </c>
      <c r="H694" s="126" t="str">
        <f>Oportuno!H694</f>
        <v>Oficinas</v>
      </c>
      <c r="I694" s="130">
        <f>Oportuno!I694</f>
        <v>0</v>
      </c>
      <c r="J694" s="174">
        <f>Oportuno!J694</f>
        <v>0</v>
      </c>
      <c r="K694" s="174">
        <f>Oportuno!K694</f>
        <v>0</v>
      </c>
      <c r="L694" s="174">
        <f>Oportuno!L694</f>
        <v>0</v>
      </c>
      <c r="M694" s="174">
        <f>Oportuno!M694</f>
        <v>0</v>
      </c>
      <c r="N694" s="174">
        <f>Oportuno!N694</f>
        <v>0</v>
      </c>
      <c r="O694" s="174">
        <f>Oportuno!O694</f>
        <v>0</v>
      </c>
      <c r="P694" s="174">
        <f>Oportuno!P694</f>
        <v>0</v>
      </c>
      <c r="Q694" s="174">
        <f>Oportuno!Q694</f>
        <v>0</v>
      </c>
      <c r="R694" s="174">
        <f>Oportuno!R694</f>
        <v>0</v>
      </c>
      <c r="S694" s="215">
        <f>Oportuno!S694</f>
        <v>0</v>
      </c>
      <c r="T694" s="71">
        <f>Oportuno!T694</f>
        <v>0</v>
      </c>
      <c r="U694" s="71">
        <f>Oportuno!U694</f>
        <v>0</v>
      </c>
      <c r="V694" s="117">
        <f>Oportuno!V694</f>
        <v>0</v>
      </c>
      <c r="W694" s="117">
        <f>Oportuno!W694</f>
        <v>0</v>
      </c>
      <c r="X694" s="71">
        <f>Oportuno!X694</f>
        <v>0</v>
      </c>
      <c r="Y694" s="71">
        <f>Oportuno!Y694</f>
        <v>0</v>
      </c>
      <c r="AA694" s="65"/>
    </row>
    <row r="695" spans="2:27" ht="13" customHeight="1">
      <c r="B695" s="119">
        <f>Oportuno!B695</f>
        <v>0</v>
      </c>
      <c r="C695" s="23">
        <f>Oportuno!C695</f>
        <v>2026092</v>
      </c>
      <c r="D695" s="23">
        <f>Oportuno!D695</f>
        <v>25</v>
      </c>
      <c r="E695" s="128">
        <f>Oportuno!E695</f>
        <v>0</v>
      </c>
      <c r="F695" s="126" t="e">
        <f>Oportuno!F695</f>
        <v>#N/A</v>
      </c>
      <c r="G695" s="36">
        <f>Oportuno!G695</f>
        <v>1</v>
      </c>
      <c r="H695" s="126" t="str">
        <f>Oportuno!H695</f>
        <v>Oficinas</v>
      </c>
      <c r="I695" s="130">
        <f>Oportuno!I695</f>
        <v>0</v>
      </c>
      <c r="J695" s="174">
        <f>Oportuno!J695</f>
        <v>0</v>
      </c>
      <c r="K695" s="174">
        <f>Oportuno!K695</f>
        <v>0</v>
      </c>
      <c r="L695" s="174">
        <f>Oportuno!L695</f>
        <v>0</v>
      </c>
      <c r="M695" s="174">
        <f>Oportuno!M695</f>
        <v>0</v>
      </c>
      <c r="N695" s="174">
        <f>Oportuno!N695</f>
        <v>0</v>
      </c>
      <c r="O695" s="174">
        <f>Oportuno!O695</f>
        <v>0</v>
      </c>
      <c r="P695" s="174">
        <f>Oportuno!P695</f>
        <v>0</v>
      </c>
      <c r="Q695" s="174">
        <f>Oportuno!Q695</f>
        <v>0</v>
      </c>
      <c r="R695" s="174">
        <f>Oportuno!R695</f>
        <v>0</v>
      </c>
      <c r="S695" s="215">
        <f>Oportuno!S695</f>
        <v>0</v>
      </c>
      <c r="T695" s="71">
        <f>Oportuno!T695</f>
        <v>0</v>
      </c>
      <c r="U695" s="71">
        <f>Oportuno!U695</f>
        <v>0</v>
      </c>
      <c r="V695" s="117">
        <f>Oportuno!V695</f>
        <v>0</v>
      </c>
      <c r="W695" s="117">
        <f>Oportuno!W695</f>
        <v>0</v>
      </c>
      <c r="X695" s="71">
        <f>Oportuno!X695</f>
        <v>0</v>
      </c>
      <c r="Y695" s="71">
        <f>Oportuno!Y695</f>
        <v>0</v>
      </c>
      <c r="AA695" s="65"/>
    </row>
    <row r="696" spans="2:27" ht="13" customHeight="1">
      <c r="B696" s="119">
        <f>Oportuno!B696</f>
        <v>0</v>
      </c>
      <c r="C696" s="23">
        <f>Oportuno!C696</f>
        <v>2026092</v>
      </c>
      <c r="D696" s="23">
        <f>Oportuno!D696</f>
        <v>25</v>
      </c>
      <c r="E696" s="128">
        <f>Oportuno!E696</f>
        <v>0</v>
      </c>
      <c r="F696" s="126" t="e">
        <f>Oportuno!F696</f>
        <v>#N/A</v>
      </c>
      <c r="G696" s="36">
        <f>Oportuno!G696</f>
        <v>1</v>
      </c>
      <c r="H696" s="126" t="str">
        <f>Oportuno!H696</f>
        <v>Oficinas</v>
      </c>
      <c r="I696" s="130">
        <f>Oportuno!I696</f>
        <v>0</v>
      </c>
      <c r="J696" s="174">
        <f>Oportuno!J696</f>
        <v>0</v>
      </c>
      <c r="K696" s="174">
        <f>Oportuno!K696</f>
        <v>0</v>
      </c>
      <c r="L696" s="174">
        <f>Oportuno!L696</f>
        <v>0</v>
      </c>
      <c r="M696" s="174">
        <f>Oportuno!M696</f>
        <v>0</v>
      </c>
      <c r="N696" s="174">
        <f>Oportuno!N696</f>
        <v>0</v>
      </c>
      <c r="O696" s="174">
        <f>Oportuno!O696</f>
        <v>0</v>
      </c>
      <c r="P696" s="174">
        <f>Oportuno!P696</f>
        <v>0</v>
      </c>
      <c r="Q696" s="174">
        <f>Oportuno!Q696</f>
        <v>0</v>
      </c>
      <c r="R696" s="174">
        <f>Oportuno!R696</f>
        <v>0</v>
      </c>
      <c r="S696" s="215">
        <f>Oportuno!S696</f>
        <v>0</v>
      </c>
      <c r="T696" s="71">
        <f>Oportuno!T696</f>
        <v>0</v>
      </c>
      <c r="U696" s="71">
        <f>Oportuno!U696</f>
        <v>0</v>
      </c>
      <c r="V696" s="117">
        <f>Oportuno!V696</f>
        <v>0</v>
      </c>
      <c r="W696" s="117">
        <f>Oportuno!W696</f>
        <v>0</v>
      </c>
      <c r="X696" s="71">
        <f>Oportuno!X696</f>
        <v>0</v>
      </c>
      <c r="Y696" s="71">
        <f>Oportuno!Y696</f>
        <v>0</v>
      </c>
      <c r="AA696" s="65"/>
    </row>
    <row r="697" spans="2:27" ht="13" customHeight="1">
      <c r="B697" s="119">
        <f>Oportuno!B697</f>
        <v>0</v>
      </c>
      <c r="C697" s="23">
        <f>Oportuno!C697</f>
        <v>2026092</v>
      </c>
      <c r="D697" s="23">
        <f>Oportuno!D697</f>
        <v>25</v>
      </c>
      <c r="E697" s="128">
        <f>Oportuno!E697</f>
        <v>0</v>
      </c>
      <c r="F697" s="126" t="e">
        <f>Oportuno!F697</f>
        <v>#N/A</v>
      </c>
      <c r="G697" s="36">
        <f>Oportuno!G697</f>
        <v>1</v>
      </c>
      <c r="H697" s="126" t="str">
        <f>Oportuno!H697</f>
        <v>Oficinas</v>
      </c>
      <c r="I697" s="130">
        <f>Oportuno!I697</f>
        <v>0</v>
      </c>
      <c r="J697" s="174">
        <f>Oportuno!J697</f>
        <v>0</v>
      </c>
      <c r="K697" s="174">
        <f>Oportuno!K697</f>
        <v>0</v>
      </c>
      <c r="L697" s="174">
        <f>Oportuno!L697</f>
        <v>0</v>
      </c>
      <c r="M697" s="174">
        <f>Oportuno!M697</f>
        <v>0</v>
      </c>
      <c r="N697" s="174">
        <f>Oportuno!N697</f>
        <v>0</v>
      </c>
      <c r="O697" s="174">
        <f>Oportuno!O697</f>
        <v>0</v>
      </c>
      <c r="P697" s="174">
        <f>Oportuno!P697</f>
        <v>0</v>
      </c>
      <c r="Q697" s="174">
        <f>Oportuno!Q697</f>
        <v>0</v>
      </c>
      <c r="R697" s="174">
        <f>Oportuno!R697</f>
        <v>0</v>
      </c>
      <c r="S697" s="215">
        <f>Oportuno!S697</f>
        <v>0</v>
      </c>
      <c r="T697" s="71">
        <f>Oportuno!T697</f>
        <v>0</v>
      </c>
      <c r="U697" s="71">
        <f>Oportuno!U697</f>
        <v>0</v>
      </c>
      <c r="V697" s="117">
        <f>Oportuno!V697</f>
        <v>0</v>
      </c>
      <c r="W697" s="117">
        <f>Oportuno!W697</f>
        <v>0</v>
      </c>
      <c r="X697" s="71">
        <f>Oportuno!X697</f>
        <v>0</v>
      </c>
      <c r="Y697" s="71">
        <f>Oportuno!Y697</f>
        <v>0</v>
      </c>
      <c r="AA697" s="65"/>
    </row>
    <row r="698" spans="2:27" ht="13" customHeight="1">
      <c r="B698" s="119">
        <f>Oportuno!B698</f>
        <v>0</v>
      </c>
      <c r="C698" s="23">
        <f>Oportuno!C698</f>
        <v>2026092</v>
      </c>
      <c r="D698" s="23">
        <f>Oportuno!D698</f>
        <v>25</v>
      </c>
      <c r="E698" s="128">
        <f>Oportuno!E698</f>
        <v>0</v>
      </c>
      <c r="F698" s="126" t="e">
        <f>Oportuno!F698</f>
        <v>#N/A</v>
      </c>
      <c r="G698" s="36">
        <f>Oportuno!G698</f>
        <v>1</v>
      </c>
      <c r="H698" s="126" t="str">
        <f>Oportuno!H698</f>
        <v>Oficinas</v>
      </c>
      <c r="I698" s="130">
        <f>Oportuno!I698</f>
        <v>0</v>
      </c>
      <c r="J698" s="174">
        <f>Oportuno!J698</f>
        <v>0</v>
      </c>
      <c r="K698" s="174">
        <f>Oportuno!K698</f>
        <v>0</v>
      </c>
      <c r="L698" s="174">
        <f>Oportuno!L698</f>
        <v>0</v>
      </c>
      <c r="M698" s="174">
        <f>Oportuno!M698</f>
        <v>0</v>
      </c>
      <c r="N698" s="174">
        <f>Oportuno!N698</f>
        <v>0</v>
      </c>
      <c r="O698" s="174">
        <f>Oportuno!O698</f>
        <v>0</v>
      </c>
      <c r="P698" s="174">
        <f>Oportuno!P698</f>
        <v>0</v>
      </c>
      <c r="Q698" s="174">
        <f>Oportuno!Q698</f>
        <v>0</v>
      </c>
      <c r="R698" s="174">
        <f>Oportuno!R698</f>
        <v>0</v>
      </c>
      <c r="S698" s="215">
        <f>Oportuno!S698</f>
        <v>0</v>
      </c>
      <c r="T698" s="71">
        <f>Oportuno!T698</f>
        <v>0</v>
      </c>
      <c r="U698" s="71">
        <f>Oportuno!U698</f>
        <v>0</v>
      </c>
      <c r="V698" s="117">
        <f>Oportuno!V698</f>
        <v>0</v>
      </c>
      <c r="W698" s="117">
        <f>Oportuno!W698</f>
        <v>0</v>
      </c>
      <c r="X698" s="71">
        <f>Oportuno!X698</f>
        <v>0</v>
      </c>
      <c r="Y698" s="71">
        <f>Oportuno!Y698</f>
        <v>0</v>
      </c>
      <c r="AA698" s="65"/>
    </row>
    <row r="699" spans="2:27" ht="13" customHeight="1">
      <c r="B699" s="119">
        <f>Oportuno!B699</f>
        <v>0</v>
      </c>
      <c r="C699" s="23">
        <f>Oportuno!C699</f>
        <v>2026092</v>
      </c>
      <c r="D699" s="23">
        <f>Oportuno!D699</f>
        <v>25</v>
      </c>
      <c r="E699" s="128">
        <f>Oportuno!E699</f>
        <v>0</v>
      </c>
      <c r="F699" s="126" t="e">
        <f>Oportuno!F699</f>
        <v>#N/A</v>
      </c>
      <c r="G699" s="36">
        <f>Oportuno!G699</f>
        <v>1</v>
      </c>
      <c r="H699" s="126" t="str">
        <f>Oportuno!H699</f>
        <v>Oficinas</v>
      </c>
      <c r="I699" s="130">
        <f>Oportuno!I699</f>
        <v>0</v>
      </c>
      <c r="J699" s="174">
        <f>Oportuno!J699</f>
        <v>0</v>
      </c>
      <c r="K699" s="174">
        <f>Oportuno!K699</f>
        <v>0</v>
      </c>
      <c r="L699" s="174">
        <f>Oportuno!L699</f>
        <v>0</v>
      </c>
      <c r="M699" s="174">
        <f>Oportuno!M699</f>
        <v>0</v>
      </c>
      <c r="N699" s="174">
        <f>Oportuno!N699</f>
        <v>0</v>
      </c>
      <c r="O699" s="174">
        <f>Oportuno!O699</f>
        <v>0</v>
      </c>
      <c r="P699" s="174">
        <f>Oportuno!P699</f>
        <v>0</v>
      </c>
      <c r="Q699" s="174">
        <f>Oportuno!Q699</f>
        <v>0</v>
      </c>
      <c r="R699" s="174">
        <f>Oportuno!R699</f>
        <v>0</v>
      </c>
      <c r="S699" s="215">
        <f>Oportuno!S699</f>
        <v>0</v>
      </c>
      <c r="T699" s="71">
        <f>Oportuno!T699</f>
        <v>0</v>
      </c>
      <c r="U699" s="71">
        <f>Oportuno!U699</f>
        <v>0</v>
      </c>
      <c r="V699" s="117">
        <f>Oportuno!V699</f>
        <v>0</v>
      </c>
      <c r="W699" s="117">
        <f>Oportuno!W699</f>
        <v>0</v>
      </c>
      <c r="X699" s="71">
        <f>Oportuno!X699</f>
        <v>0</v>
      </c>
      <c r="Y699" s="71">
        <f>Oportuno!Y699</f>
        <v>0</v>
      </c>
      <c r="AA699" s="65"/>
    </row>
    <row r="700" spans="2:27" ht="12" customHeight="1">
      <c r="B700" s="119">
        <f>Oportuno!B700</f>
        <v>0</v>
      </c>
      <c r="C700" s="23">
        <f>Oportuno!C700</f>
        <v>2026092</v>
      </c>
      <c r="D700" s="23">
        <f>Oportuno!D700</f>
        <v>25</v>
      </c>
      <c r="E700" s="128">
        <f>Oportuno!E700</f>
        <v>0</v>
      </c>
      <c r="F700" s="126" t="e">
        <f>Oportuno!F700</f>
        <v>#N/A</v>
      </c>
      <c r="G700" s="36">
        <f>Oportuno!G700</f>
        <v>1</v>
      </c>
      <c r="H700" s="126" t="str">
        <f>Oportuno!H700</f>
        <v>Oficinas</v>
      </c>
      <c r="I700" s="130">
        <f>Oportuno!I700</f>
        <v>0</v>
      </c>
      <c r="J700" s="174">
        <f>Oportuno!J700</f>
        <v>0</v>
      </c>
      <c r="K700" s="174">
        <f>Oportuno!K700</f>
        <v>0</v>
      </c>
      <c r="L700" s="174">
        <f>Oportuno!L700</f>
        <v>0</v>
      </c>
      <c r="M700" s="174">
        <f>Oportuno!M700</f>
        <v>0</v>
      </c>
      <c r="N700" s="174">
        <f>Oportuno!N700</f>
        <v>0</v>
      </c>
      <c r="O700" s="174">
        <f>Oportuno!O700</f>
        <v>0</v>
      </c>
      <c r="P700" s="174">
        <f>Oportuno!P700</f>
        <v>0</v>
      </c>
      <c r="Q700" s="174">
        <f>Oportuno!Q700</f>
        <v>0</v>
      </c>
      <c r="R700" s="174">
        <f>Oportuno!R700</f>
        <v>0</v>
      </c>
      <c r="S700" s="215">
        <f>Oportuno!S700</f>
        <v>0</v>
      </c>
      <c r="T700" s="71">
        <f>Oportuno!T700</f>
        <v>0</v>
      </c>
      <c r="U700" s="71">
        <f>Oportuno!U700</f>
        <v>0</v>
      </c>
      <c r="V700" s="117">
        <f>Oportuno!V700</f>
        <v>0</v>
      </c>
      <c r="W700" s="117">
        <f>Oportuno!W700</f>
        <v>0</v>
      </c>
      <c r="X700" s="71">
        <f>Oportuno!X700</f>
        <v>0</v>
      </c>
      <c r="Y700" s="71">
        <f>Oportuno!Y700</f>
        <v>0</v>
      </c>
      <c r="AA700" s="65"/>
    </row>
    <row r="701" spans="2:27" ht="13" customHeight="1">
      <c r="B701" s="119">
        <f>Oportuno!B701</f>
        <v>0</v>
      </c>
      <c r="C701" s="23">
        <f>Oportuno!C701</f>
        <v>2026092</v>
      </c>
      <c r="D701" s="23">
        <f>Oportuno!D701</f>
        <v>25</v>
      </c>
      <c r="E701" s="128">
        <f>Oportuno!E701</f>
        <v>0</v>
      </c>
      <c r="F701" s="126" t="e">
        <f>Oportuno!F701</f>
        <v>#N/A</v>
      </c>
      <c r="G701" s="36">
        <f>Oportuno!G701</f>
        <v>1</v>
      </c>
      <c r="H701" s="126" t="str">
        <f>Oportuno!H701</f>
        <v>Oficinas</v>
      </c>
      <c r="I701" s="130">
        <f>Oportuno!I701</f>
        <v>0</v>
      </c>
      <c r="J701" s="174">
        <f>Oportuno!J701</f>
        <v>0</v>
      </c>
      <c r="K701" s="174">
        <f>Oportuno!K701</f>
        <v>0</v>
      </c>
      <c r="L701" s="174">
        <f>Oportuno!L701</f>
        <v>0</v>
      </c>
      <c r="M701" s="174">
        <f>Oportuno!M701</f>
        <v>0</v>
      </c>
      <c r="N701" s="174">
        <f>Oportuno!N701</f>
        <v>0</v>
      </c>
      <c r="O701" s="174">
        <f>Oportuno!O701</f>
        <v>0</v>
      </c>
      <c r="P701" s="174">
        <f>Oportuno!P701</f>
        <v>0</v>
      </c>
      <c r="Q701" s="174">
        <f>Oportuno!Q701</f>
        <v>0</v>
      </c>
      <c r="R701" s="174">
        <f>Oportuno!R701</f>
        <v>0</v>
      </c>
      <c r="S701" s="215">
        <f>Oportuno!S701</f>
        <v>0</v>
      </c>
      <c r="T701" s="71">
        <f>Oportuno!T701</f>
        <v>0</v>
      </c>
      <c r="U701" s="71">
        <f>Oportuno!U701</f>
        <v>0</v>
      </c>
      <c r="V701" s="117">
        <f>Oportuno!V701</f>
        <v>0</v>
      </c>
      <c r="W701" s="117">
        <f>Oportuno!W701</f>
        <v>0</v>
      </c>
      <c r="X701" s="71">
        <f>Oportuno!X701</f>
        <v>0</v>
      </c>
      <c r="Y701" s="71">
        <f>Oportuno!Y701</f>
        <v>0</v>
      </c>
      <c r="AA701" s="65"/>
    </row>
    <row r="702" spans="2:27" ht="13" customHeight="1">
      <c r="B702" s="119">
        <f>Oportuno!B702</f>
        <v>0</v>
      </c>
      <c r="C702" s="23">
        <f>Oportuno!C702</f>
        <v>2026092</v>
      </c>
      <c r="D702" s="23">
        <f>Oportuno!D702</f>
        <v>25</v>
      </c>
      <c r="E702" s="128">
        <f>Oportuno!E702</f>
        <v>0</v>
      </c>
      <c r="F702" s="126" t="e">
        <f>Oportuno!F702</f>
        <v>#N/A</v>
      </c>
      <c r="G702" s="36">
        <f>Oportuno!G702</f>
        <v>1</v>
      </c>
      <c r="H702" s="126" t="str">
        <f>Oportuno!H702</f>
        <v>Oficinas</v>
      </c>
      <c r="I702" s="130">
        <f>Oportuno!I702</f>
        <v>0</v>
      </c>
      <c r="J702" s="174">
        <f>Oportuno!J702</f>
        <v>0</v>
      </c>
      <c r="K702" s="174">
        <f>Oportuno!K702</f>
        <v>0</v>
      </c>
      <c r="L702" s="174">
        <f>Oportuno!L702</f>
        <v>0</v>
      </c>
      <c r="M702" s="174">
        <f>Oportuno!M702</f>
        <v>0</v>
      </c>
      <c r="N702" s="174">
        <f>Oportuno!N702</f>
        <v>0</v>
      </c>
      <c r="O702" s="174">
        <f>Oportuno!O702</f>
        <v>0</v>
      </c>
      <c r="P702" s="174">
        <f>Oportuno!P702</f>
        <v>0</v>
      </c>
      <c r="Q702" s="174">
        <f>Oportuno!Q702</f>
        <v>0</v>
      </c>
      <c r="R702" s="174">
        <f>Oportuno!R702</f>
        <v>0</v>
      </c>
      <c r="S702" s="215">
        <f>Oportuno!S702</f>
        <v>0</v>
      </c>
      <c r="T702" s="71">
        <f>Oportuno!T702</f>
        <v>0</v>
      </c>
      <c r="U702" s="71">
        <f>Oportuno!U702</f>
        <v>0</v>
      </c>
      <c r="V702" s="117">
        <f>Oportuno!V702</f>
        <v>0</v>
      </c>
      <c r="W702" s="117">
        <f>Oportuno!W702</f>
        <v>0</v>
      </c>
      <c r="X702" s="71">
        <f>Oportuno!X702</f>
        <v>0</v>
      </c>
      <c r="Y702" s="71">
        <f>Oportuno!Y702</f>
        <v>0</v>
      </c>
      <c r="AA702" s="65"/>
    </row>
    <row r="703" spans="2:27" ht="13" customHeight="1">
      <c r="B703" s="119">
        <f>Oportuno!B703</f>
        <v>0</v>
      </c>
      <c r="C703" s="23">
        <f>Oportuno!C703</f>
        <v>2026092</v>
      </c>
      <c r="D703" s="23">
        <f>Oportuno!D703</f>
        <v>25</v>
      </c>
      <c r="E703" s="128">
        <f>Oportuno!E703</f>
        <v>0</v>
      </c>
      <c r="F703" s="126" t="e">
        <f>Oportuno!F703</f>
        <v>#N/A</v>
      </c>
      <c r="G703" s="36">
        <f>Oportuno!G703</f>
        <v>1</v>
      </c>
      <c r="H703" s="126" t="str">
        <f>Oportuno!H703</f>
        <v>Oficinas</v>
      </c>
      <c r="I703" s="130">
        <f>Oportuno!I703</f>
        <v>0</v>
      </c>
      <c r="J703" s="174">
        <f>Oportuno!J703</f>
        <v>0</v>
      </c>
      <c r="K703" s="174">
        <f>Oportuno!K703</f>
        <v>0</v>
      </c>
      <c r="L703" s="174">
        <f>Oportuno!L703</f>
        <v>0</v>
      </c>
      <c r="M703" s="174">
        <f>Oportuno!M703</f>
        <v>0</v>
      </c>
      <c r="N703" s="174">
        <f>Oportuno!N703</f>
        <v>0</v>
      </c>
      <c r="O703" s="174">
        <f>Oportuno!O703</f>
        <v>0</v>
      </c>
      <c r="P703" s="174">
        <f>Oportuno!P703</f>
        <v>0</v>
      </c>
      <c r="Q703" s="174">
        <f>Oportuno!Q703</f>
        <v>0</v>
      </c>
      <c r="R703" s="174">
        <f>Oportuno!R703</f>
        <v>0</v>
      </c>
      <c r="S703" s="215">
        <f>Oportuno!S703</f>
        <v>0</v>
      </c>
      <c r="T703" s="71">
        <f>Oportuno!T703</f>
        <v>0</v>
      </c>
      <c r="U703" s="71">
        <f>Oportuno!U703</f>
        <v>0</v>
      </c>
      <c r="V703" s="117">
        <f>Oportuno!V703</f>
        <v>0</v>
      </c>
      <c r="W703" s="117">
        <f>Oportuno!W703</f>
        <v>0</v>
      </c>
      <c r="X703" s="71">
        <f>Oportuno!X703</f>
        <v>0</v>
      </c>
      <c r="Y703" s="71">
        <f>Oportuno!Y703</f>
        <v>0</v>
      </c>
      <c r="AA703" s="65"/>
    </row>
    <row r="704" spans="2:27" ht="13" customHeight="1">
      <c r="B704" s="119">
        <f>Oportuno!B704</f>
        <v>0</v>
      </c>
      <c r="C704" s="23">
        <f>Oportuno!C704</f>
        <v>2026092</v>
      </c>
      <c r="D704" s="23">
        <f>Oportuno!D704</f>
        <v>25</v>
      </c>
      <c r="E704" s="128">
        <f>Oportuno!E704</f>
        <v>0</v>
      </c>
      <c r="F704" s="126" t="e">
        <f>Oportuno!F704</f>
        <v>#N/A</v>
      </c>
      <c r="G704" s="36">
        <f>Oportuno!G704</f>
        <v>1</v>
      </c>
      <c r="H704" s="126" t="str">
        <f>Oportuno!H704</f>
        <v>Oficinas</v>
      </c>
      <c r="I704" s="130">
        <f>Oportuno!I704</f>
        <v>0</v>
      </c>
      <c r="J704" s="174">
        <f>Oportuno!J704</f>
        <v>0</v>
      </c>
      <c r="K704" s="174">
        <f>Oportuno!K704</f>
        <v>0</v>
      </c>
      <c r="L704" s="174">
        <f>Oportuno!L704</f>
        <v>0</v>
      </c>
      <c r="M704" s="174">
        <f>Oportuno!M704</f>
        <v>0</v>
      </c>
      <c r="N704" s="174">
        <f>Oportuno!N704</f>
        <v>0</v>
      </c>
      <c r="O704" s="174">
        <f>Oportuno!O704</f>
        <v>0</v>
      </c>
      <c r="P704" s="174">
        <f>Oportuno!P704</f>
        <v>0</v>
      </c>
      <c r="Q704" s="174">
        <f>Oportuno!Q704</f>
        <v>0</v>
      </c>
      <c r="R704" s="174">
        <f>Oportuno!R704</f>
        <v>0</v>
      </c>
      <c r="S704" s="215">
        <f>Oportuno!S704</f>
        <v>0</v>
      </c>
      <c r="T704" s="71">
        <f>Oportuno!T704</f>
        <v>0</v>
      </c>
      <c r="U704" s="71">
        <f>Oportuno!U704</f>
        <v>0</v>
      </c>
      <c r="V704" s="117">
        <f>Oportuno!V704</f>
        <v>0</v>
      </c>
      <c r="W704" s="117">
        <f>Oportuno!W704</f>
        <v>0</v>
      </c>
      <c r="X704" s="71">
        <f>Oportuno!X704</f>
        <v>0</v>
      </c>
      <c r="Y704" s="71">
        <f>Oportuno!Y704</f>
        <v>0</v>
      </c>
      <c r="AA704" s="65"/>
    </row>
    <row r="705" spans="2:27 16101:16120" ht="13" customHeight="1">
      <c r="B705" s="119">
        <f>Oportuno!B705</f>
        <v>0</v>
      </c>
      <c r="C705" s="23">
        <f>Oportuno!C705</f>
        <v>2026092</v>
      </c>
      <c r="D705" s="23">
        <f>Oportuno!D705</f>
        <v>25</v>
      </c>
      <c r="E705" s="128">
        <f>Oportuno!E705</f>
        <v>0</v>
      </c>
      <c r="F705" s="126" t="e">
        <f>Oportuno!F705</f>
        <v>#N/A</v>
      </c>
      <c r="G705" s="36">
        <f>Oportuno!G705</f>
        <v>1</v>
      </c>
      <c r="H705" s="126" t="str">
        <f>Oportuno!H705</f>
        <v>Oficinas</v>
      </c>
      <c r="I705" s="130">
        <f>Oportuno!I705</f>
        <v>0</v>
      </c>
      <c r="J705" s="174">
        <f>Oportuno!J705</f>
        <v>0</v>
      </c>
      <c r="K705" s="174">
        <f>Oportuno!K705</f>
        <v>0</v>
      </c>
      <c r="L705" s="174">
        <f>Oportuno!L705</f>
        <v>0</v>
      </c>
      <c r="M705" s="174">
        <f>Oportuno!M705</f>
        <v>0</v>
      </c>
      <c r="N705" s="174">
        <f>Oportuno!N705</f>
        <v>0</v>
      </c>
      <c r="O705" s="174">
        <f>Oportuno!O705</f>
        <v>0</v>
      </c>
      <c r="P705" s="174">
        <f>Oportuno!P705</f>
        <v>0</v>
      </c>
      <c r="Q705" s="174">
        <f>Oportuno!Q705</f>
        <v>0</v>
      </c>
      <c r="R705" s="174">
        <f>Oportuno!R705</f>
        <v>0</v>
      </c>
      <c r="S705" s="215">
        <f>Oportuno!S705</f>
        <v>0</v>
      </c>
      <c r="T705" s="71">
        <f>Oportuno!T705</f>
        <v>0</v>
      </c>
      <c r="U705" s="71">
        <f>Oportuno!U705</f>
        <v>0</v>
      </c>
      <c r="V705" s="117">
        <f>Oportuno!V705</f>
        <v>0</v>
      </c>
      <c r="W705" s="117">
        <f>Oportuno!W705</f>
        <v>0</v>
      </c>
      <c r="X705" s="71">
        <f>Oportuno!X705</f>
        <v>0</v>
      </c>
      <c r="Y705" s="71">
        <f>Oportuno!Y705</f>
        <v>0</v>
      </c>
      <c r="AA705" s="65"/>
    </row>
    <row r="706" spans="2:27 16101:16120" ht="13" customHeight="1">
      <c r="B706" s="119">
        <f>Oportuno!B706</f>
        <v>0</v>
      </c>
      <c r="C706" s="23">
        <f>Oportuno!C706</f>
        <v>2026092</v>
      </c>
      <c r="D706" s="23">
        <f>Oportuno!D706</f>
        <v>25</v>
      </c>
      <c r="E706" s="128">
        <f>Oportuno!E706</f>
        <v>0</v>
      </c>
      <c r="F706" s="126" t="e">
        <f>Oportuno!F706</f>
        <v>#N/A</v>
      </c>
      <c r="G706" s="36">
        <f>Oportuno!G706</f>
        <v>1</v>
      </c>
      <c r="H706" s="126" t="str">
        <f>Oportuno!H706</f>
        <v>Oficinas</v>
      </c>
      <c r="I706" s="130">
        <f>Oportuno!I706</f>
        <v>0</v>
      </c>
      <c r="J706" s="174">
        <f>Oportuno!J706</f>
        <v>0</v>
      </c>
      <c r="K706" s="174">
        <f>Oportuno!K706</f>
        <v>0</v>
      </c>
      <c r="L706" s="174">
        <f>Oportuno!L706</f>
        <v>0</v>
      </c>
      <c r="M706" s="174">
        <f>Oportuno!M706</f>
        <v>0</v>
      </c>
      <c r="N706" s="174">
        <f>Oportuno!N706</f>
        <v>0</v>
      </c>
      <c r="O706" s="174">
        <f>Oportuno!O706</f>
        <v>0</v>
      </c>
      <c r="P706" s="174">
        <f>Oportuno!P706</f>
        <v>0</v>
      </c>
      <c r="Q706" s="174">
        <f>Oportuno!Q706</f>
        <v>0</v>
      </c>
      <c r="R706" s="174">
        <f>Oportuno!R706</f>
        <v>0</v>
      </c>
      <c r="S706" s="215">
        <f>Oportuno!S706</f>
        <v>0</v>
      </c>
      <c r="T706" s="71">
        <f>Oportuno!T706</f>
        <v>0</v>
      </c>
      <c r="U706" s="71">
        <f>Oportuno!U706</f>
        <v>0</v>
      </c>
      <c r="V706" s="117">
        <f>Oportuno!V706</f>
        <v>0</v>
      </c>
      <c r="W706" s="117">
        <f>Oportuno!W706</f>
        <v>0</v>
      </c>
      <c r="X706" s="71">
        <f>Oportuno!X706</f>
        <v>0</v>
      </c>
      <c r="Y706" s="71">
        <f>Oportuno!Y706</f>
        <v>0</v>
      </c>
      <c r="AA706" s="65"/>
    </row>
    <row r="707" spans="2:27 16101:16120" ht="13" customHeight="1">
      <c r="B707" s="119">
        <f>Oportuno!B707</f>
        <v>0</v>
      </c>
      <c r="C707" s="23">
        <f>Oportuno!C707</f>
        <v>2026092</v>
      </c>
      <c r="D707" s="23">
        <f>Oportuno!D707</f>
        <v>25</v>
      </c>
      <c r="E707" s="128">
        <f>Oportuno!E707</f>
        <v>0</v>
      </c>
      <c r="F707" s="126" t="e">
        <f>Oportuno!F707</f>
        <v>#N/A</v>
      </c>
      <c r="G707" s="36">
        <f>Oportuno!G707</f>
        <v>1</v>
      </c>
      <c r="H707" s="126" t="str">
        <f>Oportuno!H707</f>
        <v>Oficinas</v>
      </c>
      <c r="I707" s="130">
        <f>Oportuno!I707</f>
        <v>0</v>
      </c>
      <c r="J707" s="174">
        <f>Oportuno!J707</f>
        <v>0</v>
      </c>
      <c r="K707" s="174">
        <f>Oportuno!K707</f>
        <v>0</v>
      </c>
      <c r="L707" s="174">
        <f>Oportuno!L707</f>
        <v>0</v>
      </c>
      <c r="M707" s="174">
        <f>Oportuno!M707</f>
        <v>0</v>
      </c>
      <c r="N707" s="174">
        <f>Oportuno!N707</f>
        <v>0</v>
      </c>
      <c r="O707" s="174">
        <f>Oportuno!O707</f>
        <v>0</v>
      </c>
      <c r="P707" s="174">
        <f>Oportuno!P707</f>
        <v>0</v>
      </c>
      <c r="Q707" s="174">
        <f>Oportuno!Q707</f>
        <v>0</v>
      </c>
      <c r="R707" s="174">
        <f>Oportuno!R707</f>
        <v>0</v>
      </c>
      <c r="S707" s="215">
        <f>Oportuno!S707</f>
        <v>0</v>
      </c>
      <c r="T707" s="71">
        <f>Oportuno!T707</f>
        <v>0</v>
      </c>
      <c r="U707" s="71">
        <f>Oportuno!U707</f>
        <v>0</v>
      </c>
      <c r="V707" s="117">
        <f>Oportuno!V707</f>
        <v>0</v>
      </c>
      <c r="W707" s="117">
        <f>Oportuno!W707</f>
        <v>0</v>
      </c>
      <c r="X707" s="71">
        <f>Oportuno!X707</f>
        <v>0</v>
      </c>
      <c r="Y707" s="71">
        <f>Oportuno!Y707</f>
        <v>0</v>
      </c>
      <c r="AA707" s="65"/>
    </row>
    <row r="708" spans="2:27 16101:16120" ht="13" customHeight="1">
      <c r="B708" s="119">
        <f>Oportuno!B708</f>
        <v>0</v>
      </c>
      <c r="C708" s="23">
        <f>Oportuno!C708</f>
        <v>2026092</v>
      </c>
      <c r="D708" s="23">
        <f>Oportuno!D708</f>
        <v>25</v>
      </c>
      <c r="E708" s="128">
        <f>Oportuno!E708</f>
        <v>0</v>
      </c>
      <c r="F708" s="126" t="e">
        <f>Oportuno!F708</f>
        <v>#N/A</v>
      </c>
      <c r="G708" s="36">
        <f>Oportuno!G708</f>
        <v>1</v>
      </c>
      <c r="H708" s="126" t="str">
        <f>Oportuno!H708</f>
        <v>Oficinas</v>
      </c>
      <c r="I708" s="130">
        <f>Oportuno!I708</f>
        <v>0</v>
      </c>
      <c r="J708" s="174">
        <f>Oportuno!J708</f>
        <v>0</v>
      </c>
      <c r="K708" s="174">
        <f>Oportuno!K708</f>
        <v>0</v>
      </c>
      <c r="L708" s="174">
        <f>Oportuno!L708</f>
        <v>0</v>
      </c>
      <c r="M708" s="174">
        <f>Oportuno!M708</f>
        <v>0</v>
      </c>
      <c r="N708" s="174">
        <f>Oportuno!N708</f>
        <v>0</v>
      </c>
      <c r="O708" s="174">
        <f>Oportuno!O708</f>
        <v>0</v>
      </c>
      <c r="P708" s="174">
        <f>Oportuno!P708</f>
        <v>0</v>
      </c>
      <c r="Q708" s="174">
        <f>Oportuno!Q708</f>
        <v>0</v>
      </c>
      <c r="R708" s="174">
        <f>Oportuno!R708</f>
        <v>0</v>
      </c>
      <c r="S708" s="215">
        <f>Oportuno!S708</f>
        <v>0</v>
      </c>
      <c r="T708" s="71">
        <f>Oportuno!T708</f>
        <v>0</v>
      </c>
      <c r="U708" s="71">
        <f>Oportuno!U708</f>
        <v>0</v>
      </c>
      <c r="V708" s="117">
        <f>Oportuno!V708</f>
        <v>0</v>
      </c>
      <c r="W708" s="117">
        <f>Oportuno!W708</f>
        <v>0</v>
      </c>
      <c r="X708" s="71">
        <f>Oportuno!X708</f>
        <v>0</v>
      </c>
      <c r="Y708" s="71">
        <f>Oportuno!Y708</f>
        <v>0</v>
      </c>
      <c r="AA708" s="65"/>
    </row>
    <row r="709" spans="2:27 16101:16120" ht="13" customHeight="1" thickBot="1">
      <c r="B709" s="119">
        <f>Oportuno!B709</f>
        <v>0</v>
      </c>
      <c r="C709" s="23">
        <f>Oportuno!C709</f>
        <v>2026092</v>
      </c>
      <c r="D709" s="23">
        <f>Oportuno!D709</f>
        <v>25</v>
      </c>
      <c r="E709" s="128">
        <f>Oportuno!E709</f>
        <v>0</v>
      </c>
      <c r="F709" s="126" t="e">
        <f>Oportuno!F709</f>
        <v>#N/A</v>
      </c>
      <c r="G709" s="36">
        <f>Oportuno!G709</f>
        <v>1</v>
      </c>
      <c r="H709" s="126" t="str">
        <f>Oportuno!H709</f>
        <v>Oficinas</v>
      </c>
      <c r="I709" s="130">
        <f>Oportuno!I709</f>
        <v>0</v>
      </c>
      <c r="J709" s="174">
        <f>Oportuno!J709</f>
        <v>0</v>
      </c>
      <c r="K709" s="174">
        <f>Oportuno!K709</f>
        <v>0</v>
      </c>
      <c r="L709" s="174">
        <f>Oportuno!L709</f>
        <v>0</v>
      </c>
      <c r="M709" s="174">
        <f>Oportuno!M709</f>
        <v>0</v>
      </c>
      <c r="N709" s="174">
        <f>Oportuno!N709</f>
        <v>0</v>
      </c>
      <c r="O709" s="174">
        <f>Oportuno!O709</f>
        <v>0</v>
      </c>
      <c r="P709" s="174">
        <f>Oportuno!P709</f>
        <v>0</v>
      </c>
      <c r="Q709" s="174">
        <f>Oportuno!Q709</f>
        <v>0</v>
      </c>
      <c r="R709" s="174">
        <f>Oportuno!R709</f>
        <v>0</v>
      </c>
      <c r="S709" s="215">
        <f>Oportuno!S709</f>
        <v>0</v>
      </c>
      <c r="T709" s="71">
        <f>Oportuno!T709</f>
        <v>0</v>
      </c>
      <c r="U709" s="71">
        <f>Oportuno!U709</f>
        <v>0</v>
      </c>
      <c r="V709" s="117">
        <f>Oportuno!V709</f>
        <v>0</v>
      </c>
      <c r="W709" s="117">
        <f>Oportuno!W709</f>
        <v>0</v>
      </c>
      <c r="X709" s="71">
        <f>Oportuno!X709</f>
        <v>0</v>
      </c>
      <c r="Y709" s="71">
        <f>Oportuno!Y709</f>
        <v>0</v>
      </c>
      <c r="AA709" s="65"/>
    </row>
    <row r="710" spans="2:27 16101:16120" ht="13" customHeight="1" thickBot="1">
      <c r="B710" s="1" t="s">
        <v>0</v>
      </c>
      <c r="C710" s="1" t="s">
        <v>0</v>
      </c>
      <c r="D710" s="20" t="s">
        <v>0</v>
      </c>
      <c r="E710" s="120" t="str">
        <f>Oportuno!E710</f>
        <v xml:space="preserve"> </v>
      </c>
      <c r="F710" s="121" t="str">
        <f>Oportuno!F710</f>
        <v>TOTAL RECAUDO</v>
      </c>
      <c r="G710" s="121" t="s">
        <v>0</v>
      </c>
      <c r="H710" s="121" t="s">
        <v>0</v>
      </c>
      <c r="I710" s="121" t="s">
        <v>0</v>
      </c>
      <c r="J710" s="122">
        <f>Oportuno!J710</f>
        <v>0</v>
      </c>
      <c r="K710" s="122">
        <f>Oportuno!K710</f>
        <v>0</v>
      </c>
      <c r="L710" s="122">
        <f>Oportuno!L710</f>
        <v>0</v>
      </c>
      <c r="M710" s="122">
        <f>Oportuno!M710</f>
        <v>0</v>
      </c>
      <c r="N710" s="122">
        <f>Oportuno!N710</f>
        <v>0</v>
      </c>
      <c r="O710" s="122">
        <f>Oportuno!O710</f>
        <v>0</v>
      </c>
      <c r="P710" s="122">
        <f>Oportuno!P710</f>
        <v>0</v>
      </c>
      <c r="Q710" s="122">
        <f>Oportuno!Q710</f>
        <v>0</v>
      </c>
      <c r="R710" s="122">
        <f>Oportuno!R710</f>
        <v>35</v>
      </c>
      <c r="S710" s="122">
        <f>Oportuno!S710</f>
        <v>5649784</v>
      </c>
      <c r="T710" s="122">
        <f>Oportuno!T710</f>
        <v>35</v>
      </c>
      <c r="U710" s="122">
        <f>Oportuno!U710</f>
        <v>5649784</v>
      </c>
      <c r="V710" s="123">
        <f>Oportuno!V710</f>
        <v>35</v>
      </c>
      <c r="W710" s="123">
        <f>Oportuno!W710</f>
        <v>5649784</v>
      </c>
      <c r="X710" s="122">
        <f>Oportuno!X710</f>
        <v>0</v>
      </c>
      <c r="Y710" s="123">
        <f>Oportuno!Y710</f>
        <v>0</v>
      </c>
      <c r="AA710" s="65"/>
    </row>
    <row r="711" spans="2:27 16101:16120" ht="13" thickBot="1">
      <c r="AA711" s="65"/>
    </row>
    <row r="712" spans="2:27 16101:16120" ht="41.25" customHeight="1" thickBot="1">
      <c r="B712" s="112" t="s">
        <v>4</v>
      </c>
      <c r="C712" s="34" t="s">
        <v>6</v>
      </c>
      <c r="D712" s="34" t="s">
        <v>7</v>
      </c>
      <c r="E712" s="34" t="s">
        <v>49</v>
      </c>
      <c r="F712" s="34" t="e">
        <f>VLOOKUP(E712,'Códigos bancos'!$B$4:$C$29,2,0)</f>
        <v>#N/A</v>
      </c>
      <c r="G712" s="34" t="s">
        <v>51</v>
      </c>
      <c r="H712" s="34" t="s">
        <v>52</v>
      </c>
      <c r="I712" s="34" t="s">
        <v>13</v>
      </c>
      <c r="J712" s="231" t="s">
        <v>8</v>
      </c>
      <c r="K712" s="231" t="s">
        <v>36</v>
      </c>
      <c r="L712" s="12" t="s">
        <v>9</v>
      </c>
      <c r="M712" s="12" t="s">
        <v>37</v>
      </c>
      <c r="N712" s="87" t="s">
        <v>10</v>
      </c>
      <c r="O712" s="88" t="s">
        <v>38</v>
      </c>
      <c r="P712" s="87" t="s">
        <v>11</v>
      </c>
      <c r="Q712" s="88" t="s">
        <v>39</v>
      </c>
      <c r="R712" s="232" t="s">
        <v>12</v>
      </c>
      <c r="S712" s="233" t="s">
        <v>40</v>
      </c>
      <c r="T712" s="64" t="s">
        <v>41</v>
      </c>
      <c r="U712" s="64" t="s">
        <v>42</v>
      </c>
      <c r="V712" s="35" t="s">
        <v>32</v>
      </c>
      <c r="W712" s="67" t="s">
        <v>35</v>
      </c>
      <c r="X712" s="12" t="s">
        <v>34</v>
      </c>
      <c r="Y712" s="68" t="s">
        <v>33</v>
      </c>
      <c r="AA712" s="66"/>
      <c r="WUG712" s="1"/>
      <c r="WUH712" s="1"/>
      <c r="WUY712"/>
      <c r="WUZ712"/>
    </row>
    <row r="713" spans="2:27 16101:16120" ht="13" customHeight="1">
      <c r="B713" s="119" t="str">
        <f>Oportuno!B713</f>
        <v>28/09/2026</v>
      </c>
      <c r="C713" s="24">
        <f>Oportuno!C713</f>
        <v>2026092</v>
      </c>
      <c r="D713" s="24">
        <f>Oportuno!D713</f>
        <v>26</v>
      </c>
      <c r="E713" s="127">
        <f>Oportuno!E713</f>
        <v>20</v>
      </c>
      <c r="F713" s="125" t="str">
        <f>Oportuno!F713</f>
        <v>Bancolombia ENERBIT</v>
      </c>
      <c r="G713" s="18">
        <f>Oportuno!G713</f>
        <v>1</v>
      </c>
      <c r="H713" s="125" t="str">
        <f>Oportuno!H713</f>
        <v>Oficinas</v>
      </c>
      <c r="I713" s="129">
        <f>Oportuno!I713</f>
        <v>0</v>
      </c>
      <c r="J713" s="213">
        <f>Oportuno!J713</f>
        <v>0</v>
      </c>
      <c r="K713" s="213">
        <f>Oportuno!K713</f>
        <v>0</v>
      </c>
      <c r="L713" s="213">
        <f>Oportuno!L713</f>
        <v>0</v>
      </c>
      <c r="M713" s="213">
        <f>Oportuno!M713</f>
        <v>0</v>
      </c>
      <c r="N713" s="213">
        <f>Oportuno!N713</f>
        <v>0</v>
      </c>
      <c r="O713" s="213">
        <f>Oportuno!O713</f>
        <v>0</v>
      </c>
      <c r="P713" s="213">
        <f>Oportuno!P713</f>
        <v>0</v>
      </c>
      <c r="Q713" s="213">
        <f>Oportuno!Q713</f>
        <v>0</v>
      </c>
      <c r="R713" s="213">
        <f>Oportuno!R713</f>
        <v>8</v>
      </c>
      <c r="S713" s="214">
        <f>Oportuno!S713</f>
        <v>529520</v>
      </c>
      <c r="T713" s="70">
        <f>Oportuno!T713</f>
        <v>8</v>
      </c>
      <c r="U713" s="70">
        <f>Oportuno!U713</f>
        <v>529520</v>
      </c>
      <c r="V713" s="116">
        <f>Oportuno!V713</f>
        <v>8</v>
      </c>
      <c r="W713" s="116">
        <f>Oportuno!W713</f>
        <v>529520</v>
      </c>
      <c r="X713" s="70">
        <f>Oportuno!X713</f>
        <v>0</v>
      </c>
      <c r="Y713" s="70">
        <f>Oportuno!Y713</f>
        <v>0</v>
      </c>
      <c r="AA713" s="65"/>
    </row>
    <row r="714" spans="2:27 16101:16120" ht="13" customHeight="1">
      <c r="B714" s="119">
        <f>Oportuno!B714</f>
        <v>0</v>
      </c>
      <c r="C714" s="23">
        <f>Oportuno!C714</f>
        <v>2026092</v>
      </c>
      <c r="D714" s="23">
        <f>Oportuno!D714</f>
        <v>26</v>
      </c>
      <c r="E714" s="128">
        <f>Oportuno!E714</f>
        <v>0</v>
      </c>
      <c r="F714" s="126" t="e">
        <f>Oportuno!F714</f>
        <v>#N/A</v>
      </c>
      <c r="G714" s="36">
        <f>Oportuno!G714</f>
        <v>1</v>
      </c>
      <c r="H714" s="126" t="str">
        <f>Oportuno!H714</f>
        <v>Oficinas</v>
      </c>
      <c r="I714" s="130">
        <f>Oportuno!I714</f>
        <v>0</v>
      </c>
      <c r="J714" s="174">
        <f>Oportuno!J714</f>
        <v>0</v>
      </c>
      <c r="K714" s="174">
        <f>Oportuno!K714</f>
        <v>0</v>
      </c>
      <c r="L714" s="174">
        <f>Oportuno!L714</f>
        <v>0</v>
      </c>
      <c r="M714" s="174">
        <f>Oportuno!M714</f>
        <v>0</v>
      </c>
      <c r="N714" s="174">
        <f>Oportuno!N714</f>
        <v>0</v>
      </c>
      <c r="O714" s="174">
        <f>Oportuno!O714</f>
        <v>0</v>
      </c>
      <c r="P714" s="174">
        <f>Oportuno!P714</f>
        <v>0</v>
      </c>
      <c r="Q714" s="174">
        <f>Oportuno!Q714</f>
        <v>0</v>
      </c>
      <c r="R714" s="174">
        <f>Oportuno!R714</f>
        <v>0</v>
      </c>
      <c r="S714" s="215">
        <f>Oportuno!S714</f>
        <v>0</v>
      </c>
      <c r="T714" s="71">
        <f>Oportuno!T714</f>
        <v>0</v>
      </c>
      <c r="U714" s="71">
        <f>Oportuno!U714</f>
        <v>0</v>
      </c>
      <c r="V714" s="117">
        <f>Oportuno!V714</f>
        <v>0</v>
      </c>
      <c r="W714" s="117">
        <f>Oportuno!W714</f>
        <v>0</v>
      </c>
      <c r="X714" s="71">
        <f>Oportuno!X714</f>
        <v>0</v>
      </c>
      <c r="Y714" s="71">
        <f>Oportuno!Y714</f>
        <v>0</v>
      </c>
      <c r="AA714" s="65"/>
    </row>
    <row r="715" spans="2:27 16101:16120" ht="13" customHeight="1">
      <c r="B715" s="119">
        <f>Oportuno!B715</f>
        <v>0</v>
      </c>
      <c r="C715" s="23">
        <f>Oportuno!C715</f>
        <v>2026092</v>
      </c>
      <c r="D715" s="23">
        <f>Oportuno!D715</f>
        <v>26</v>
      </c>
      <c r="E715" s="128">
        <f>Oportuno!E715</f>
        <v>0</v>
      </c>
      <c r="F715" s="126" t="e">
        <f>Oportuno!F715</f>
        <v>#N/A</v>
      </c>
      <c r="G715" s="36">
        <f>Oportuno!G715</f>
        <v>1</v>
      </c>
      <c r="H715" s="126" t="str">
        <f>Oportuno!H715</f>
        <v>Oficinas</v>
      </c>
      <c r="I715" s="130">
        <f>Oportuno!I715</f>
        <v>0</v>
      </c>
      <c r="J715" s="174">
        <f>Oportuno!J715</f>
        <v>0</v>
      </c>
      <c r="K715" s="174">
        <f>Oportuno!K715</f>
        <v>0</v>
      </c>
      <c r="L715" s="174">
        <f>Oportuno!L715</f>
        <v>0</v>
      </c>
      <c r="M715" s="174">
        <f>Oportuno!M715</f>
        <v>0</v>
      </c>
      <c r="N715" s="174">
        <f>Oportuno!N715</f>
        <v>0</v>
      </c>
      <c r="O715" s="174">
        <f>Oportuno!O715</f>
        <v>0</v>
      </c>
      <c r="P715" s="174">
        <f>Oportuno!P715</f>
        <v>0</v>
      </c>
      <c r="Q715" s="174">
        <f>Oportuno!Q715</f>
        <v>0</v>
      </c>
      <c r="R715" s="174">
        <f>Oportuno!R715</f>
        <v>0</v>
      </c>
      <c r="S715" s="215">
        <f>Oportuno!S715</f>
        <v>0</v>
      </c>
      <c r="T715" s="71">
        <f>Oportuno!T715</f>
        <v>0</v>
      </c>
      <c r="U715" s="71">
        <f>Oportuno!U715</f>
        <v>0</v>
      </c>
      <c r="V715" s="117">
        <f>Oportuno!V715</f>
        <v>0</v>
      </c>
      <c r="W715" s="117">
        <f>Oportuno!W715</f>
        <v>0</v>
      </c>
      <c r="X715" s="71">
        <f>Oportuno!X715</f>
        <v>0</v>
      </c>
      <c r="Y715" s="71">
        <f>Oportuno!Y715</f>
        <v>0</v>
      </c>
      <c r="AA715" s="65"/>
    </row>
    <row r="716" spans="2:27 16101:16120" ht="13" customHeight="1">
      <c r="B716" s="119">
        <f>Oportuno!B716</f>
        <v>0</v>
      </c>
      <c r="C716" s="23">
        <f>Oportuno!C716</f>
        <v>2026092</v>
      </c>
      <c r="D716" s="23">
        <f>Oportuno!D716</f>
        <v>26</v>
      </c>
      <c r="E716" s="128">
        <f>Oportuno!E716</f>
        <v>0</v>
      </c>
      <c r="F716" s="126" t="e">
        <f>Oportuno!F716</f>
        <v>#N/A</v>
      </c>
      <c r="G716" s="36">
        <f>Oportuno!G716</f>
        <v>1</v>
      </c>
      <c r="H716" s="126" t="str">
        <f>Oportuno!H716</f>
        <v>Oficinas</v>
      </c>
      <c r="I716" s="130">
        <f>Oportuno!I716</f>
        <v>0</v>
      </c>
      <c r="J716" s="174">
        <f>Oportuno!J716</f>
        <v>0</v>
      </c>
      <c r="K716" s="174">
        <f>Oportuno!K716</f>
        <v>0</v>
      </c>
      <c r="L716" s="174">
        <f>Oportuno!L716</f>
        <v>0</v>
      </c>
      <c r="M716" s="174">
        <f>Oportuno!M716</f>
        <v>0</v>
      </c>
      <c r="N716" s="174">
        <f>Oportuno!N716</f>
        <v>0</v>
      </c>
      <c r="O716" s="174">
        <f>Oportuno!O716</f>
        <v>0</v>
      </c>
      <c r="P716" s="174">
        <f>Oportuno!P716</f>
        <v>0</v>
      </c>
      <c r="Q716" s="174">
        <f>Oportuno!Q716</f>
        <v>0</v>
      </c>
      <c r="R716" s="174">
        <f>Oportuno!R716</f>
        <v>0</v>
      </c>
      <c r="S716" s="215">
        <f>Oportuno!S716</f>
        <v>0</v>
      </c>
      <c r="T716" s="71">
        <f>Oportuno!T716</f>
        <v>0</v>
      </c>
      <c r="U716" s="71">
        <f>Oportuno!U716</f>
        <v>0</v>
      </c>
      <c r="V716" s="117">
        <f>Oportuno!V716</f>
        <v>0</v>
      </c>
      <c r="W716" s="117">
        <f>Oportuno!W716</f>
        <v>0</v>
      </c>
      <c r="X716" s="71">
        <f>Oportuno!X716</f>
        <v>0</v>
      </c>
      <c r="Y716" s="71">
        <f>Oportuno!Y716</f>
        <v>0</v>
      </c>
      <c r="AA716" s="65"/>
    </row>
    <row r="717" spans="2:27 16101:16120" ht="13" customHeight="1">
      <c r="B717" s="119">
        <f>Oportuno!B717</f>
        <v>0</v>
      </c>
      <c r="C717" s="23">
        <f>Oportuno!C717</f>
        <v>2026092</v>
      </c>
      <c r="D717" s="23">
        <f>Oportuno!D717</f>
        <v>26</v>
      </c>
      <c r="E717" s="128">
        <f>Oportuno!E717</f>
        <v>0</v>
      </c>
      <c r="F717" s="126" t="e">
        <f>Oportuno!F717</f>
        <v>#N/A</v>
      </c>
      <c r="G717" s="36">
        <f>Oportuno!G717</f>
        <v>1</v>
      </c>
      <c r="H717" s="126" t="str">
        <f>Oportuno!H717</f>
        <v>Oficinas</v>
      </c>
      <c r="I717" s="130">
        <f>Oportuno!I717</f>
        <v>0</v>
      </c>
      <c r="J717" s="174">
        <f>Oportuno!J717</f>
        <v>0</v>
      </c>
      <c r="K717" s="174">
        <f>Oportuno!K717</f>
        <v>0</v>
      </c>
      <c r="L717" s="174">
        <f>Oportuno!L717</f>
        <v>0</v>
      </c>
      <c r="M717" s="174">
        <f>Oportuno!M717</f>
        <v>0</v>
      </c>
      <c r="N717" s="174">
        <f>Oportuno!N717</f>
        <v>0</v>
      </c>
      <c r="O717" s="174">
        <f>Oportuno!O717</f>
        <v>0</v>
      </c>
      <c r="P717" s="174">
        <f>Oportuno!P717</f>
        <v>0</v>
      </c>
      <c r="Q717" s="174">
        <f>Oportuno!Q717</f>
        <v>0</v>
      </c>
      <c r="R717" s="174">
        <f>Oportuno!R717</f>
        <v>0</v>
      </c>
      <c r="S717" s="215">
        <f>Oportuno!S717</f>
        <v>0</v>
      </c>
      <c r="T717" s="71">
        <f>Oportuno!T717</f>
        <v>0</v>
      </c>
      <c r="U717" s="71">
        <f>Oportuno!U717</f>
        <v>0</v>
      </c>
      <c r="V717" s="117">
        <f>Oportuno!V717</f>
        <v>0</v>
      </c>
      <c r="W717" s="117">
        <f>Oportuno!W717</f>
        <v>0</v>
      </c>
      <c r="X717" s="71">
        <f>Oportuno!X717</f>
        <v>0</v>
      </c>
      <c r="Y717" s="71">
        <f>Oportuno!Y717</f>
        <v>0</v>
      </c>
      <c r="AA717" s="65"/>
    </row>
    <row r="718" spans="2:27 16101:16120" ht="13" customHeight="1">
      <c r="B718" s="119">
        <f>Oportuno!B718</f>
        <v>0</v>
      </c>
      <c r="C718" s="23">
        <f>Oportuno!C718</f>
        <v>2026092</v>
      </c>
      <c r="D718" s="23">
        <f>Oportuno!D718</f>
        <v>26</v>
      </c>
      <c r="E718" s="128">
        <f>Oportuno!E718</f>
        <v>0</v>
      </c>
      <c r="F718" s="126" t="e">
        <f>Oportuno!F718</f>
        <v>#N/A</v>
      </c>
      <c r="G718" s="36">
        <f>Oportuno!G718</f>
        <v>1</v>
      </c>
      <c r="H718" s="126" t="str">
        <f>Oportuno!H718</f>
        <v>Oficinas</v>
      </c>
      <c r="I718" s="130">
        <f>Oportuno!I718</f>
        <v>0</v>
      </c>
      <c r="J718" s="174">
        <f>Oportuno!J718</f>
        <v>0</v>
      </c>
      <c r="K718" s="174">
        <f>Oportuno!K718</f>
        <v>0</v>
      </c>
      <c r="L718" s="174">
        <f>Oportuno!L718</f>
        <v>0</v>
      </c>
      <c r="M718" s="174">
        <f>Oportuno!M718</f>
        <v>0</v>
      </c>
      <c r="N718" s="174">
        <f>Oportuno!N718</f>
        <v>0</v>
      </c>
      <c r="O718" s="174">
        <f>Oportuno!O718</f>
        <v>0</v>
      </c>
      <c r="P718" s="174">
        <f>Oportuno!P718</f>
        <v>0</v>
      </c>
      <c r="Q718" s="174">
        <f>Oportuno!Q718</f>
        <v>0</v>
      </c>
      <c r="R718" s="174">
        <f>Oportuno!R718</f>
        <v>0</v>
      </c>
      <c r="S718" s="215">
        <f>Oportuno!S718</f>
        <v>0</v>
      </c>
      <c r="T718" s="71">
        <f>Oportuno!T718</f>
        <v>0</v>
      </c>
      <c r="U718" s="71">
        <f>Oportuno!U718</f>
        <v>0</v>
      </c>
      <c r="V718" s="117">
        <f>Oportuno!V718</f>
        <v>0</v>
      </c>
      <c r="W718" s="117">
        <f>Oportuno!W718</f>
        <v>0</v>
      </c>
      <c r="X718" s="71">
        <f>Oportuno!X718</f>
        <v>0</v>
      </c>
      <c r="Y718" s="71">
        <f>Oportuno!Y718</f>
        <v>0</v>
      </c>
      <c r="AA718" s="65"/>
    </row>
    <row r="719" spans="2:27 16101:16120" ht="13" customHeight="1">
      <c r="B719" s="119">
        <f>Oportuno!B719</f>
        <v>0</v>
      </c>
      <c r="C719" s="23">
        <f>Oportuno!C719</f>
        <v>2026092</v>
      </c>
      <c r="D719" s="23">
        <f>Oportuno!D719</f>
        <v>26</v>
      </c>
      <c r="E719" s="128">
        <f>Oportuno!E719</f>
        <v>0</v>
      </c>
      <c r="F719" s="126" t="e">
        <f>Oportuno!F719</f>
        <v>#N/A</v>
      </c>
      <c r="G719" s="36">
        <f>Oportuno!G719</f>
        <v>1</v>
      </c>
      <c r="H719" s="126" t="str">
        <f>Oportuno!H719</f>
        <v>Oficinas</v>
      </c>
      <c r="I719" s="130">
        <f>Oportuno!I719</f>
        <v>0</v>
      </c>
      <c r="J719" s="174">
        <f>Oportuno!J719</f>
        <v>0</v>
      </c>
      <c r="K719" s="174">
        <f>Oportuno!K719</f>
        <v>0</v>
      </c>
      <c r="L719" s="174">
        <f>Oportuno!L719</f>
        <v>0</v>
      </c>
      <c r="M719" s="174">
        <f>Oportuno!M719</f>
        <v>0</v>
      </c>
      <c r="N719" s="174">
        <f>Oportuno!N719</f>
        <v>0</v>
      </c>
      <c r="O719" s="174">
        <f>Oportuno!O719</f>
        <v>0</v>
      </c>
      <c r="P719" s="174">
        <f>Oportuno!P719</f>
        <v>0</v>
      </c>
      <c r="Q719" s="174">
        <f>Oportuno!Q719</f>
        <v>0</v>
      </c>
      <c r="R719" s="174">
        <f>Oportuno!R719</f>
        <v>0</v>
      </c>
      <c r="S719" s="215">
        <f>Oportuno!S719</f>
        <v>0</v>
      </c>
      <c r="T719" s="71">
        <f>Oportuno!T719</f>
        <v>0</v>
      </c>
      <c r="U719" s="71">
        <f>Oportuno!U719</f>
        <v>0</v>
      </c>
      <c r="V719" s="117">
        <f>Oportuno!V719</f>
        <v>0</v>
      </c>
      <c r="W719" s="117">
        <f>Oportuno!W719</f>
        <v>0</v>
      </c>
      <c r="X719" s="71">
        <f>Oportuno!X719</f>
        <v>0</v>
      </c>
      <c r="Y719" s="71">
        <f>Oportuno!Y719</f>
        <v>0</v>
      </c>
      <c r="AA719" s="65"/>
    </row>
    <row r="720" spans="2:27 16101:16120" ht="13" customHeight="1">
      <c r="B720" s="119">
        <f>Oportuno!B720</f>
        <v>0</v>
      </c>
      <c r="C720" s="23">
        <f>Oportuno!C720</f>
        <v>2026092</v>
      </c>
      <c r="D720" s="23">
        <f>Oportuno!D720</f>
        <v>26</v>
      </c>
      <c r="E720" s="128">
        <f>Oportuno!E720</f>
        <v>0</v>
      </c>
      <c r="F720" s="126" t="e">
        <f>Oportuno!F720</f>
        <v>#N/A</v>
      </c>
      <c r="G720" s="36">
        <f>Oportuno!G720</f>
        <v>1</v>
      </c>
      <c r="H720" s="126" t="str">
        <f>Oportuno!H720</f>
        <v>Oficinas</v>
      </c>
      <c r="I720" s="130">
        <f>Oportuno!I720</f>
        <v>0</v>
      </c>
      <c r="J720" s="174">
        <f>Oportuno!J720</f>
        <v>0</v>
      </c>
      <c r="K720" s="174">
        <f>Oportuno!K720</f>
        <v>0</v>
      </c>
      <c r="L720" s="174">
        <f>Oportuno!L720</f>
        <v>0</v>
      </c>
      <c r="M720" s="174">
        <f>Oportuno!M720</f>
        <v>0</v>
      </c>
      <c r="N720" s="174">
        <f>Oportuno!N720</f>
        <v>0</v>
      </c>
      <c r="O720" s="174">
        <f>Oportuno!O720</f>
        <v>0</v>
      </c>
      <c r="P720" s="174">
        <f>Oportuno!P720</f>
        <v>0</v>
      </c>
      <c r="Q720" s="174">
        <f>Oportuno!Q720</f>
        <v>0</v>
      </c>
      <c r="R720" s="174">
        <f>Oportuno!R720</f>
        <v>0</v>
      </c>
      <c r="S720" s="215">
        <f>Oportuno!S720</f>
        <v>0</v>
      </c>
      <c r="T720" s="71">
        <f>Oportuno!T720</f>
        <v>0</v>
      </c>
      <c r="U720" s="71">
        <f>Oportuno!U720</f>
        <v>0</v>
      </c>
      <c r="V720" s="117">
        <f>Oportuno!V720</f>
        <v>0</v>
      </c>
      <c r="W720" s="117">
        <f>Oportuno!W720</f>
        <v>0</v>
      </c>
      <c r="X720" s="71">
        <f>Oportuno!X720</f>
        <v>0</v>
      </c>
      <c r="Y720" s="71">
        <f>Oportuno!Y720</f>
        <v>0</v>
      </c>
      <c r="AA720" s="65"/>
    </row>
    <row r="721" spans="2:27" ht="13" customHeight="1">
      <c r="B721" s="119">
        <f>Oportuno!B721</f>
        <v>0</v>
      </c>
      <c r="C721" s="23">
        <f>Oportuno!C721</f>
        <v>2026092</v>
      </c>
      <c r="D721" s="23">
        <f>Oportuno!D721</f>
        <v>26</v>
      </c>
      <c r="E721" s="128">
        <f>Oportuno!E721</f>
        <v>0</v>
      </c>
      <c r="F721" s="126" t="e">
        <f>Oportuno!F721</f>
        <v>#N/A</v>
      </c>
      <c r="G721" s="36">
        <f>Oportuno!G721</f>
        <v>1</v>
      </c>
      <c r="H721" s="126" t="str">
        <f>Oportuno!H721</f>
        <v>Oficinas</v>
      </c>
      <c r="I721" s="130">
        <f>Oportuno!I721</f>
        <v>0</v>
      </c>
      <c r="J721" s="174">
        <f>Oportuno!J721</f>
        <v>0</v>
      </c>
      <c r="K721" s="174">
        <f>Oportuno!K721</f>
        <v>0</v>
      </c>
      <c r="L721" s="174">
        <f>Oportuno!L721</f>
        <v>0</v>
      </c>
      <c r="M721" s="174">
        <f>Oportuno!M721</f>
        <v>0</v>
      </c>
      <c r="N721" s="174">
        <f>Oportuno!N721</f>
        <v>0</v>
      </c>
      <c r="O721" s="174">
        <f>Oportuno!O721</f>
        <v>0</v>
      </c>
      <c r="P721" s="174">
        <f>Oportuno!P721</f>
        <v>0</v>
      </c>
      <c r="Q721" s="174">
        <f>Oportuno!Q721</f>
        <v>0</v>
      </c>
      <c r="R721" s="174">
        <f>Oportuno!R721</f>
        <v>0</v>
      </c>
      <c r="S721" s="215">
        <f>Oportuno!S721</f>
        <v>0</v>
      </c>
      <c r="T721" s="71">
        <f>Oportuno!T721</f>
        <v>0</v>
      </c>
      <c r="U721" s="71">
        <f>Oportuno!U721</f>
        <v>0</v>
      </c>
      <c r="V721" s="117">
        <f>Oportuno!V721</f>
        <v>0</v>
      </c>
      <c r="W721" s="117">
        <f>Oportuno!W721</f>
        <v>0</v>
      </c>
      <c r="X721" s="71">
        <f>Oportuno!X721</f>
        <v>0</v>
      </c>
      <c r="Y721" s="71">
        <f>Oportuno!Y721</f>
        <v>0</v>
      </c>
      <c r="AA721" s="65"/>
    </row>
    <row r="722" spans="2:27" ht="13" customHeight="1">
      <c r="B722" s="119">
        <f>Oportuno!B722</f>
        <v>0</v>
      </c>
      <c r="C722" s="23">
        <f>Oportuno!C722</f>
        <v>2026092</v>
      </c>
      <c r="D722" s="23">
        <f>Oportuno!D722</f>
        <v>26</v>
      </c>
      <c r="E722" s="128">
        <f>Oportuno!E722</f>
        <v>0</v>
      </c>
      <c r="F722" s="126" t="e">
        <f>Oportuno!F722</f>
        <v>#N/A</v>
      </c>
      <c r="G722" s="36">
        <f>Oportuno!G722</f>
        <v>1</v>
      </c>
      <c r="H722" s="126" t="str">
        <f>Oportuno!H722</f>
        <v>Oficinas</v>
      </c>
      <c r="I722" s="130">
        <f>Oportuno!I722</f>
        <v>0</v>
      </c>
      <c r="J722" s="174">
        <f>Oportuno!J722</f>
        <v>0</v>
      </c>
      <c r="K722" s="174">
        <f>Oportuno!K722</f>
        <v>0</v>
      </c>
      <c r="L722" s="174">
        <f>Oportuno!L722</f>
        <v>0</v>
      </c>
      <c r="M722" s="174">
        <f>Oportuno!M722</f>
        <v>0</v>
      </c>
      <c r="N722" s="174">
        <f>Oportuno!N722</f>
        <v>0</v>
      </c>
      <c r="O722" s="174">
        <f>Oportuno!O722</f>
        <v>0</v>
      </c>
      <c r="P722" s="174">
        <f>Oportuno!P722</f>
        <v>0</v>
      </c>
      <c r="Q722" s="174">
        <f>Oportuno!Q722</f>
        <v>0</v>
      </c>
      <c r="R722" s="174">
        <f>Oportuno!R722</f>
        <v>0</v>
      </c>
      <c r="S722" s="215">
        <f>Oportuno!S722</f>
        <v>0</v>
      </c>
      <c r="T722" s="71">
        <f>Oportuno!T722</f>
        <v>0</v>
      </c>
      <c r="U722" s="71">
        <f>Oportuno!U722</f>
        <v>0</v>
      </c>
      <c r="V722" s="117">
        <f>Oportuno!V722</f>
        <v>0</v>
      </c>
      <c r="W722" s="117">
        <f>Oportuno!W722</f>
        <v>0</v>
      </c>
      <c r="X722" s="71">
        <f>Oportuno!X722</f>
        <v>0</v>
      </c>
      <c r="Y722" s="71">
        <f>Oportuno!Y722</f>
        <v>0</v>
      </c>
      <c r="AA722" s="65"/>
    </row>
    <row r="723" spans="2:27" ht="13" customHeight="1">
      <c r="B723" s="119">
        <f>Oportuno!B723</f>
        <v>0</v>
      </c>
      <c r="C723" s="23">
        <f>Oportuno!C723</f>
        <v>2026092</v>
      </c>
      <c r="D723" s="23">
        <f>Oportuno!D723</f>
        <v>26</v>
      </c>
      <c r="E723" s="128">
        <f>Oportuno!E723</f>
        <v>0</v>
      </c>
      <c r="F723" s="126" t="e">
        <f>Oportuno!F723</f>
        <v>#N/A</v>
      </c>
      <c r="G723" s="36">
        <f>Oportuno!G723</f>
        <v>1</v>
      </c>
      <c r="H723" s="126" t="str">
        <f>Oportuno!H723</f>
        <v>Oficinas</v>
      </c>
      <c r="I723" s="130">
        <f>Oportuno!I723</f>
        <v>0</v>
      </c>
      <c r="J723" s="174">
        <f>Oportuno!J723</f>
        <v>0</v>
      </c>
      <c r="K723" s="174">
        <f>Oportuno!K723</f>
        <v>0</v>
      </c>
      <c r="L723" s="174">
        <f>Oportuno!L723</f>
        <v>0</v>
      </c>
      <c r="M723" s="174">
        <f>Oportuno!M723</f>
        <v>0</v>
      </c>
      <c r="N723" s="174">
        <f>Oportuno!N723</f>
        <v>0</v>
      </c>
      <c r="O723" s="174">
        <f>Oportuno!O723</f>
        <v>0</v>
      </c>
      <c r="P723" s="174">
        <f>Oportuno!P723</f>
        <v>0</v>
      </c>
      <c r="Q723" s="174">
        <f>Oportuno!Q723</f>
        <v>0</v>
      </c>
      <c r="R723" s="174">
        <f>Oportuno!R723</f>
        <v>0</v>
      </c>
      <c r="S723" s="215">
        <f>Oportuno!S723</f>
        <v>0</v>
      </c>
      <c r="T723" s="71">
        <f>Oportuno!T723</f>
        <v>0</v>
      </c>
      <c r="U723" s="71">
        <f>Oportuno!U723</f>
        <v>0</v>
      </c>
      <c r="V723" s="117">
        <f>Oportuno!V723</f>
        <v>0</v>
      </c>
      <c r="W723" s="117">
        <f>Oportuno!W723</f>
        <v>0</v>
      </c>
      <c r="X723" s="71">
        <f>Oportuno!X723</f>
        <v>0</v>
      </c>
      <c r="Y723" s="71">
        <f>Oportuno!Y723</f>
        <v>0</v>
      </c>
      <c r="AA723" s="65"/>
    </row>
    <row r="724" spans="2:27" ht="13" customHeight="1">
      <c r="B724" s="119">
        <f>Oportuno!B724</f>
        <v>0</v>
      </c>
      <c r="C724" s="23">
        <f>Oportuno!C724</f>
        <v>2026092</v>
      </c>
      <c r="D724" s="23">
        <f>Oportuno!D724</f>
        <v>26</v>
      </c>
      <c r="E724" s="128">
        <f>Oportuno!E724</f>
        <v>0</v>
      </c>
      <c r="F724" s="126" t="e">
        <f>Oportuno!F724</f>
        <v>#N/A</v>
      </c>
      <c r="G724" s="36">
        <f>Oportuno!G724</f>
        <v>1</v>
      </c>
      <c r="H724" s="126" t="str">
        <f>Oportuno!H724</f>
        <v>Oficinas</v>
      </c>
      <c r="I724" s="130">
        <f>Oportuno!I724</f>
        <v>0</v>
      </c>
      <c r="J724" s="174">
        <f>Oportuno!J724</f>
        <v>0</v>
      </c>
      <c r="K724" s="174">
        <f>Oportuno!K724</f>
        <v>0</v>
      </c>
      <c r="L724" s="174">
        <f>Oportuno!L724</f>
        <v>0</v>
      </c>
      <c r="M724" s="174">
        <f>Oportuno!M724</f>
        <v>0</v>
      </c>
      <c r="N724" s="174">
        <f>Oportuno!N724</f>
        <v>0</v>
      </c>
      <c r="O724" s="174">
        <f>Oportuno!O724</f>
        <v>0</v>
      </c>
      <c r="P724" s="174">
        <f>Oportuno!P724</f>
        <v>0</v>
      </c>
      <c r="Q724" s="174">
        <f>Oportuno!Q724</f>
        <v>0</v>
      </c>
      <c r="R724" s="174">
        <f>Oportuno!R724</f>
        <v>0</v>
      </c>
      <c r="S724" s="215">
        <f>Oportuno!S724</f>
        <v>0</v>
      </c>
      <c r="T724" s="71">
        <f>Oportuno!T724</f>
        <v>0</v>
      </c>
      <c r="U724" s="71">
        <f>Oportuno!U724</f>
        <v>0</v>
      </c>
      <c r="V724" s="117">
        <f>Oportuno!V724</f>
        <v>0</v>
      </c>
      <c r="W724" s="117">
        <f>Oportuno!W724</f>
        <v>0</v>
      </c>
      <c r="X724" s="71">
        <f>Oportuno!X724</f>
        <v>0</v>
      </c>
      <c r="Y724" s="71">
        <f>Oportuno!Y724</f>
        <v>0</v>
      </c>
      <c r="AA724" s="65"/>
    </row>
    <row r="725" spans="2:27" ht="13" customHeight="1">
      <c r="B725" s="119">
        <f>Oportuno!B725</f>
        <v>0</v>
      </c>
      <c r="C725" s="23">
        <f>Oportuno!C725</f>
        <v>2026092</v>
      </c>
      <c r="D725" s="23">
        <f>Oportuno!D725</f>
        <v>26</v>
      </c>
      <c r="E725" s="128">
        <f>Oportuno!E725</f>
        <v>0</v>
      </c>
      <c r="F725" s="126" t="e">
        <f>Oportuno!F725</f>
        <v>#N/A</v>
      </c>
      <c r="G725" s="36">
        <f>Oportuno!G725</f>
        <v>1</v>
      </c>
      <c r="H725" s="126" t="str">
        <f>Oportuno!H725</f>
        <v>Oficinas</v>
      </c>
      <c r="I725" s="130">
        <f>Oportuno!I725</f>
        <v>0</v>
      </c>
      <c r="J725" s="174">
        <f>Oportuno!J725</f>
        <v>0</v>
      </c>
      <c r="K725" s="174">
        <f>Oportuno!K725</f>
        <v>0</v>
      </c>
      <c r="L725" s="174">
        <f>Oportuno!L725</f>
        <v>0</v>
      </c>
      <c r="M725" s="174">
        <f>Oportuno!M725</f>
        <v>0</v>
      </c>
      <c r="N725" s="174">
        <f>Oportuno!N725</f>
        <v>0</v>
      </c>
      <c r="O725" s="174">
        <f>Oportuno!O725</f>
        <v>0</v>
      </c>
      <c r="P725" s="174">
        <f>Oportuno!P725</f>
        <v>0</v>
      </c>
      <c r="Q725" s="174">
        <f>Oportuno!Q725</f>
        <v>0</v>
      </c>
      <c r="R725" s="174">
        <f>Oportuno!R725</f>
        <v>0</v>
      </c>
      <c r="S725" s="215">
        <f>Oportuno!S725</f>
        <v>0</v>
      </c>
      <c r="T725" s="71">
        <f>Oportuno!T725</f>
        <v>0</v>
      </c>
      <c r="U725" s="71">
        <f>Oportuno!U725</f>
        <v>0</v>
      </c>
      <c r="V725" s="117">
        <f>Oportuno!V725</f>
        <v>0</v>
      </c>
      <c r="W725" s="117">
        <f>Oportuno!W725</f>
        <v>0</v>
      </c>
      <c r="X725" s="71">
        <f>Oportuno!X725</f>
        <v>0</v>
      </c>
      <c r="Y725" s="71">
        <f>Oportuno!Y725</f>
        <v>0</v>
      </c>
      <c r="AA725" s="65"/>
    </row>
    <row r="726" spans="2:27" ht="13" customHeight="1">
      <c r="B726" s="119">
        <f>Oportuno!B726</f>
        <v>0</v>
      </c>
      <c r="C726" s="23">
        <f>Oportuno!C726</f>
        <v>2026092</v>
      </c>
      <c r="D726" s="23">
        <f>Oportuno!D726</f>
        <v>26</v>
      </c>
      <c r="E726" s="128">
        <f>Oportuno!E726</f>
        <v>0</v>
      </c>
      <c r="F726" s="126" t="e">
        <f>Oportuno!F726</f>
        <v>#N/A</v>
      </c>
      <c r="G726" s="36">
        <f>Oportuno!G726</f>
        <v>1</v>
      </c>
      <c r="H726" s="126" t="str">
        <f>Oportuno!H726</f>
        <v>Oficinas</v>
      </c>
      <c r="I726" s="130">
        <f>Oportuno!I726</f>
        <v>0</v>
      </c>
      <c r="J726" s="174">
        <f>Oportuno!J726</f>
        <v>0</v>
      </c>
      <c r="K726" s="174">
        <f>Oportuno!K726</f>
        <v>0</v>
      </c>
      <c r="L726" s="174">
        <f>Oportuno!L726</f>
        <v>0</v>
      </c>
      <c r="M726" s="174">
        <f>Oportuno!M726</f>
        <v>0</v>
      </c>
      <c r="N726" s="174">
        <f>Oportuno!N726</f>
        <v>0</v>
      </c>
      <c r="O726" s="174">
        <f>Oportuno!O726</f>
        <v>0</v>
      </c>
      <c r="P726" s="174">
        <f>Oportuno!P726</f>
        <v>0</v>
      </c>
      <c r="Q726" s="174">
        <f>Oportuno!Q726</f>
        <v>0</v>
      </c>
      <c r="R726" s="174">
        <f>Oportuno!R726</f>
        <v>0</v>
      </c>
      <c r="S726" s="215">
        <f>Oportuno!S726</f>
        <v>0</v>
      </c>
      <c r="T726" s="71">
        <f>Oportuno!T726</f>
        <v>0</v>
      </c>
      <c r="U726" s="71">
        <f>Oportuno!U726</f>
        <v>0</v>
      </c>
      <c r="V726" s="117">
        <f>Oportuno!V726</f>
        <v>0</v>
      </c>
      <c r="W726" s="117">
        <f>Oportuno!W726</f>
        <v>0</v>
      </c>
      <c r="X726" s="71">
        <f>Oportuno!X726</f>
        <v>0</v>
      </c>
      <c r="Y726" s="71">
        <f>Oportuno!Y726</f>
        <v>0</v>
      </c>
      <c r="AA726" s="65"/>
    </row>
    <row r="727" spans="2:27" ht="13" customHeight="1">
      <c r="B727" s="119">
        <f>Oportuno!B727</f>
        <v>0</v>
      </c>
      <c r="C727" s="23">
        <f>Oportuno!C727</f>
        <v>2026092</v>
      </c>
      <c r="D727" s="23">
        <f>Oportuno!D727</f>
        <v>26</v>
      </c>
      <c r="E727" s="128">
        <f>Oportuno!E727</f>
        <v>0</v>
      </c>
      <c r="F727" s="126" t="e">
        <f>Oportuno!F727</f>
        <v>#N/A</v>
      </c>
      <c r="G727" s="36">
        <f>Oportuno!G727</f>
        <v>1</v>
      </c>
      <c r="H727" s="126" t="str">
        <f>Oportuno!H727</f>
        <v>Oficinas</v>
      </c>
      <c r="I727" s="130">
        <f>Oportuno!I727</f>
        <v>0</v>
      </c>
      <c r="J727" s="174">
        <f>Oportuno!J727</f>
        <v>0</v>
      </c>
      <c r="K727" s="174">
        <f>Oportuno!K727</f>
        <v>0</v>
      </c>
      <c r="L727" s="174">
        <f>Oportuno!L727</f>
        <v>0</v>
      </c>
      <c r="M727" s="174">
        <f>Oportuno!M727</f>
        <v>0</v>
      </c>
      <c r="N727" s="174">
        <f>Oportuno!N727</f>
        <v>0</v>
      </c>
      <c r="O727" s="174">
        <f>Oportuno!O727</f>
        <v>0</v>
      </c>
      <c r="P727" s="174">
        <f>Oportuno!P727</f>
        <v>0</v>
      </c>
      <c r="Q727" s="174">
        <f>Oportuno!Q727</f>
        <v>0</v>
      </c>
      <c r="R727" s="174">
        <f>Oportuno!R727</f>
        <v>0</v>
      </c>
      <c r="S727" s="215">
        <f>Oportuno!S727</f>
        <v>0</v>
      </c>
      <c r="T727" s="71">
        <f>Oportuno!T727</f>
        <v>0</v>
      </c>
      <c r="U727" s="71">
        <f>Oportuno!U727</f>
        <v>0</v>
      </c>
      <c r="V727" s="117">
        <f>Oportuno!V727</f>
        <v>0</v>
      </c>
      <c r="W727" s="117">
        <f>Oportuno!W727</f>
        <v>0</v>
      </c>
      <c r="X727" s="71">
        <f>Oportuno!X727</f>
        <v>0</v>
      </c>
      <c r="Y727" s="71">
        <f>Oportuno!Y727</f>
        <v>0</v>
      </c>
      <c r="AA727" s="65"/>
    </row>
    <row r="728" spans="2:27" ht="12" customHeight="1">
      <c r="B728" s="119">
        <f>Oportuno!B728</f>
        <v>0</v>
      </c>
      <c r="C728" s="23">
        <f>Oportuno!C728</f>
        <v>2026092</v>
      </c>
      <c r="D728" s="23">
        <f>Oportuno!D728</f>
        <v>26</v>
      </c>
      <c r="E728" s="128">
        <f>Oportuno!E728</f>
        <v>0</v>
      </c>
      <c r="F728" s="126" t="e">
        <f>Oportuno!F728</f>
        <v>#N/A</v>
      </c>
      <c r="G728" s="36">
        <f>Oportuno!G728</f>
        <v>1</v>
      </c>
      <c r="H728" s="126" t="str">
        <f>Oportuno!H728</f>
        <v>Oficinas</v>
      </c>
      <c r="I728" s="130">
        <f>Oportuno!I728</f>
        <v>0</v>
      </c>
      <c r="J728" s="174">
        <f>Oportuno!J728</f>
        <v>0</v>
      </c>
      <c r="K728" s="174">
        <f>Oportuno!K728</f>
        <v>0</v>
      </c>
      <c r="L728" s="174">
        <f>Oportuno!L728</f>
        <v>0</v>
      </c>
      <c r="M728" s="174">
        <f>Oportuno!M728</f>
        <v>0</v>
      </c>
      <c r="N728" s="174">
        <f>Oportuno!N728</f>
        <v>0</v>
      </c>
      <c r="O728" s="174">
        <f>Oportuno!O728</f>
        <v>0</v>
      </c>
      <c r="P728" s="174">
        <f>Oportuno!P728</f>
        <v>0</v>
      </c>
      <c r="Q728" s="174">
        <f>Oportuno!Q728</f>
        <v>0</v>
      </c>
      <c r="R728" s="174">
        <f>Oportuno!R728</f>
        <v>0</v>
      </c>
      <c r="S728" s="215">
        <f>Oportuno!S728</f>
        <v>0</v>
      </c>
      <c r="T728" s="71">
        <f>Oportuno!T728</f>
        <v>0</v>
      </c>
      <c r="U728" s="71">
        <f>Oportuno!U728</f>
        <v>0</v>
      </c>
      <c r="V728" s="117">
        <f>Oportuno!V728</f>
        <v>0</v>
      </c>
      <c r="W728" s="117">
        <f>Oportuno!W728</f>
        <v>0</v>
      </c>
      <c r="X728" s="71">
        <f>Oportuno!X728</f>
        <v>0</v>
      </c>
      <c r="Y728" s="71">
        <f>Oportuno!Y728</f>
        <v>0</v>
      </c>
      <c r="AA728" s="65"/>
    </row>
    <row r="729" spans="2:27" ht="13" customHeight="1">
      <c r="B729" s="119">
        <f>Oportuno!B729</f>
        <v>0</v>
      </c>
      <c r="C729" s="23">
        <f>Oportuno!C729</f>
        <v>2026092</v>
      </c>
      <c r="D729" s="23">
        <f>Oportuno!D729</f>
        <v>26</v>
      </c>
      <c r="E729" s="128">
        <f>Oportuno!E729</f>
        <v>0</v>
      </c>
      <c r="F729" s="126" t="e">
        <f>Oportuno!F729</f>
        <v>#N/A</v>
      </c>
      <c r="G729" s="36">
        <f>Oportuno!G729</f>
        <v>1</v>
      </c>
      <c r="H729" s="126" t="str">
        <f>Oportuno!H729</f>
        <v>Oficinas</v>
      </c>
      <c r="I729" s="130">
        <f>Oportuno!I729</f>
        <v>0</v>
      </c>
      <c r="J729" s="174">
        <f>Oportuno!J729</f>
        <v>0</v>
      </c>
      <c r="K729" s="174">
        <f>Oportuno!K729</f>
        <v>0</v>
      </c>
      <c r="L729" s="174">
        <f>Oportuno!L729</f>
        <v>0</v>
      </c>
      <c r="M729" s="174">
        <f>Oportuno!M729</f>
        <v>0</v>
      </c>
      <c r="N729" s="174">
        <f>Oportuno!N729</f>
        <v>0</v>
      </c>
      <c r="O729" s="174">
        <f>Oportuno!O729</f>
        <v>0</v>
      </c>
      <c r="P729" s="174">
        <f>Oportuno!P729</f>
        <v>0</v>
      </c>
      <c r="Q729" s="174">
        <f>Oportuno!Q729</f>
        <v>0</v>
      </c>
      <c r="R729" s="174">
        <f>Oportuno!R729</f>
        <v>0</v>
      </c>
      <c r="S729" s="215">
        <f>Oportuno!S729</f>
        <v>0</v>
      </c>
      <c r="T729" s="71">
        <f>Oportuno!T729</f>
        <v>0</v>
      </c>
      <c r="U729" s="71">
        <f>Oportuno!U729</f>
        <v>0</v>
      </c>
      <c r="V729" s="117">
        <f>Oportuno!V729</f>
        <v>0</v>
      </c>
      <c r="W729" s="117">
        <f>Oportuno!W729</f>
        <v>0</v>
      </c>
      <c r="X729" s="71">
        <f>Oportuno!X729</f>
        <v>0</v>
      </c>
      <c r="Y729" s="71">
        <f>Oportuno!Y729</f>
        <v>0</v>
      </c>
      <c r="AA729" s="65"/>
    </row>
    <row r="730" spans="2:27" ht="13" customHeight="1">
      <c r="B730" s="119">
        <f>Oportuno!B730</f>
        <v>0</v>
      </c>
      <c r="C730" s="23">
        <f>Oportuno!C730</f>
        <v>2026092</v>
      </c>
      <c r="D730" s="23">
        <f>Oportuno!D730</f>
        <v>26</v>
      </c>
      <c r="E730" s="128">
        <f>Oportuno!E730</f>
        <v>0</v>
      </c>
      <c r="F730" s="126" t="e">
        <f>Oportuno!F730</f>
        <v>#N/A</v>
      </c>
      <c r="G730" s="36">
        <f>Oportuno!G730</f>
        <v>1</v>
      </c>
      <c r="H730" s="126" t="str">
        <f>Oportuno!H730</f>
        <v>Oficinas</v>
      </c>
      <c r="I730" s="130">
        <f>Oportuno!I730</f>
        <v>0</v>
      </c>
      <c r="J730" s="174">
        <f>Oportuno!J730</f>
        <v>0</v>
      </c>
      <c r="K730" s="174">
        <f>Oportuno!K730</f>
        <v>0</v>
      </c>
      <c r="L730" s="174">
        <f>Oportuno!L730</f>
        <v>0</v>
      </c>
      <c r="M730" s="174">
        <f>Oportuno!M730</f>
        <v>0</v>
      </c>
      <c r="N730" s="174">
        <f>Oportuno!N730</f>
        <v>0</v>
      </c>
      <c r="O730" s="174">
        <f>Oportuno!O730</f>
        <v>0</v>
      </c>
      <c r="P730" s="174">
        <f>Oportuno!P730</f>
        <v>0</v>
      </c>
      <c r="Q730" s="174">
        <f>Oportuno!Q730</f>
        <v>0</v>
      </c>
      <c r="R730" s="174">
        <f>Oportuno!R730</f>
        <v>0</v>
      </c>
      <c r="S730" s="215">
        <f>Oportuno!S730</f>
        <v>0</v>
      </c>
      <c r="T730" s="71">
        <f>Oportuno!T730</f>
        <v>0</v>
      </c>
      <c r="U730" s="71">
        <f>Oportuno!U730</f>
        <v>0</v>
      </c>
      <c r="V730" s="117">
        <f>Oportuno!V730</f>
        <v>0</v>
      </c>
      <c r="W730" s="117">
        <f>Oportuno!W730</f>
        <v>0</v>
      </c>
      <c r="X730" s="71">
        <f>Oportuno!X730</f>
        <v>0</v>
      </c>
      <c r="Y730" s="71">
        <f>Oportuno!Y730</f>
        <v>0</v>
      </c>
      <c r="AA730" s="65"/>
    </row>
    <row r="731" spans="2:27" ht="13" customHeight="1">
      <c r="B731" s="119">
        <f>Oportuno!B731</f>
        <v>0</v>
      </c>
      <c r="C731" s="23">
        <f>Oportuno!C731</f>
        <v>2026092</v>
      </c>
      <c r="D731" s="23">
        <f>Oportuno!D731</f>
        <v>26</v>
      </c>
      <c r="E731" s="128">
        <f>Oportuno!E731</f>
        <v>0</v>
      </c>
      <c r="F731" s="126" t="e">
        <f>Oportuno!F731</f>
        <v>#N/A</v>
      </c>
      <c r="G731" s="36">
        <f>Oportuno!G731</f>
        <v>1</v>
      </c>
      <c r="H731" s="126" t="str">
        <f>Oportuno!H731</f>
        <v>Oficinas</v>
      </c>
      <c r="I731" s="130">
        <f>Oportuno!I731</f>
        <v>0</v>
      </c>
      <c r="J731" s="174">
        <f>Oportuno!J731</f>
        <v>0</v>
      </c>
      <c r="K731" s="174">
        <f>Oportuno!K731</f>
        <v>0</v>
      </c>
      <c r="L731" s="174">
        <f>Oportuno!L731</f>
        <v>0</v>
      </c>
      <c r="M731" s="174">
        <f>Oportuno!M731</f>
        <v>0</v>
      </c>
      <c r="N731" s="174">
        <f>Oportuno!N731</f>
        <v>0</v>
      </c>
      <c r="O731" s="174">
        <f>Oportuno!O731</f>
        <v>0</v>
      </c>
      <c r="P731" s="174">
        <f>Oportuno!P731</f>
        <v>0</v>
      </c>
      <c r="Q731" s="174">
        <f>Oportuno!Q731</f>
        <v>0</v>
      </c>
      <c r="R731" s="174">
        <f>Oportuno!R731</f>
        <v>0</v>
      </c>
      <c r="S731" s="215">
        <f>Oportuno!S731</f>
        <v>0</v>
      </c>
      <c r="T731" s="71">
        <f>Oportuno!T731</f>
        <v>0</v>
      </c>
      <c r="U731" s="71">
        <f>Oportuno!U731</f>
        <v>0</v>
      </c>
      <c r="V731" s="117">
        <f>Oportuno!V731</f>
        <v>0</v>
      </c>
      <c r="W731" s="117">
        <f>Oportuno!W731</f>
        <v>0</v>
      </c>
      <c r="X731" s="71">
        <f>Oportuno!X731</f>
        <v>0</v>
      </c>
      <c r="Y731" s="71">
        <f>Oportuno!Y731</f>
        <v>0</v>
      </c>
      <c r="AA731" s="65"/>
    </row>
    <row r="732" spans="2:27" ht="13" customHeight="1">
      <c r="B732" s="119">
        <f>Oportuno!B732</f>
        <v>0</v>
      </c>
      <c r="C732" s="23">
        <f>Oportuno!C732</f>
        <v>2026092</v>
      </c>
      <c r="D732" s="23">
        <f>Oportuno!D732</f>
        <v>26</v>
      </c>
      <c r="E732" s="128">
        <f>Oportuno!E732</f>
        <v>0</v>
      </c>
      <c r="F732" s="126" t="e">
        <f>Oportuno!F732</f>
        <v>#N/A</v>
      </c>
      <c r="G732" s="36">
        <f>Oportuno!G732</f>
        <v>1</v>
      </c>
      <c r="H732" s="126" t="str">
        <f>Oportuno!H732</f>
        <v>Oficinas</v>
      </c>
      <c r="I732" s="130">
        <f>Oportuno!I732</f>
        <v>0</v>
      </c>
      <c r="J732" s="174">
        <f>Oportuno!J732</f>
        <v>0</v>
      </c>
      <c r="K732" s="174">
        <f>Oportuno!K732</f>
        <v>0</v>
      </c>
      <c r="L732" s="174">
        <f>Oportuno!L732</f>
        <v>0</v>
      </c>
      <c r="M732" s="174">
        <f>Oportuno!M732</f>
        <v>0</v>
      </c>
      <c r="N732" s="174">
        <f>Oportuno!N732</f>
        <v>0</v>
      </c>
      <c r="O732" s="174">
        <f>Oportuno!O732</f>
        <v>0</v>
      </c>
      <c r="P732" s="174">
        <f>Oportuno!P732</f>
        <v>0</v>
      </c>
      <c r="Q732" s="174">
        <f>Oportuno!Q732</f>
        <v>0</v>
      </c>
      <c r="R732" s="174">
        <f>Oportuno!R732</f>
        <v>0</v>
      </c>
      <c r="S732" s="215">
        <f>Oportuno!S732</f>
        <v>0</v>
      </c>
      <c r="T732" s="71">
        <f>Oportuno!T732</f>
        <v>0</v>
      </c>
      <c r="U732" s="71">
        <f>Oportuno!U732</f>
        <v>0</v>
      </c>
      <c r="V732" s="117">
        <f>Oportuno!V732</f>
        <v>0</v>
      </c>
      <c r="W732" s="117">
        <f>Oportuno!W732</f>
        <v>0</v>
      </c>
      <c r="X732" s="71">
        <f>Oportuno!X732</f>
        <v>0</v>
      </c>
      <c r="Y732" s="71">
        <f>Oportuno!Y732</f>
        <v>0</v>
      </c>
      <c r="AA732" s="65"/>
    </row>
    <row r="733" spans="2:27" ht="13" customHeight="1">
      <c r="B733" s="119">
        <f>Oportuno!B733</f>
        <v>0</v>
      </c>
      <c r="C733" s="23">
        <f>Oportuno!C733</f>
        <v>2026092</v>
      </c>
      <c r="D733" s="23">
        <f>Oportuno!D733</f>
        <v>26</v>
      </c>
      <c r="E733" s="128">
        <f>Oportuno!E733</f>
        <v>0</v>
      </c>
      <c r="F733" s="126" t="e">
        <f>Oportuno!F733</f>
        <v>#N/A</v>
      </c>
      <c r="G733" s="36">
        <f>Oportuno!G733</f>
        <v>1</v>
      </c>
      <c r="H733" s="126" t="str">
        <f>Oportuno!H733</f>
        <v>Oficinas</v>
      </c>
      <c r="I733" s="130">
        <f>Oportuno!I733</f>
        <v>0</v>
      </c>
      <c r="J733" s="174">
        <f>Oportuno!J733</f>
        <v>0</v>
      </c>
      <c r="K733" s="174">
        <f>Oportuno!K733</f>
        <v>0</v>
      </c>
      <c r="L733" s="174">
        <f>Oportuno!L733</f>
        <v>0</v>
      </c>
      <c r="M733" s="174">
        <f>Oportuno!M733</f>
        <v>0</v>
      </c>
      <c r="N733" s="174">
        <f>Oportuno!N733</f>
        <v>0</v>
      </c>
      <c r="O733" s="174">
        <f>Oportuno!O733</f>
        <v>0</v>
      </c>
      <c r="P733" s="174">
        <f>Oportuno!P733</f>
        <v>0</v>
      </c>
      <c r="Q733" s="174">
        <f>Oportuno!Q733</f>
        <v>0</v>
      </c>
      <c r="R733" s="174">
        <f>Oportuno!R733</f>
        <v>0</v>
      </c>
      <c r="S733" s="215">
        <f>Oportuno!S733</f>
        <v>0</v>
      </c>
      <c r="T733" s="71">
        <f>Oportuno!T733</f>
        <v>0</v>
      </c>
      <c r="U733" s="71">
        <f>Oportuno!U733</f>
        <v>0</v>
      </c>
      <c r="V733" s="117">
        <f>Oportuno!V733</f>
        <v>0</v>
      </c>
      <c r="W733" s="117">
        <f>Oportuno!W733</f>
        <v>0</v>
      </c>
      <c r="X733" s="71">
        <f>Oportuno!X733</f>
        <v>0</v>
      </c>
      <c r="Y733" s="71">
        <f>Oportuno!Y733</f>
        <v>0</v>
      </c>
      <c r="AA733" s="65"/>
    </row>
    <row r="734" spans="2:27" ht="13" customHeight="1">
      <c r="B734" s="119">
        <f>Oportuno!B734</f>
        <v>0</v>
      </c>
      <c r="C734" s="23">
        <f>Oportuno!C734</f>
        <v>2026092</v>
      </c>
      <c r="D734" s="23">
        <f>Oportuno!D734</f>
        <v>26</v>
      </c>
      <c r="E734" s="128">
        <f>Oportuno!E734</f>
        <v>0</v>
      </c>
      <c r="F734" s="126" t="e">
        <f>Oportuno!F734</f>
        <v>#N/A</v>
      </c>
      <c r="G734" s="36">
        <f>Oportuno!G734</f>
        <v>1</v>
      </c>
      <c r="H734" s="126" t="str">
        <f>Oportuno!H734</f>
        <v>Oficinas</v>
      </c>
      <c r="I734" s="130">
        <f>Oportuno!I734</f>
        <v>0</v>
      </c>
      <c r="J734" s="174">
        <f>Oportuno!J734</f>
        <v>0</v>
      </c>
      <c r="K734" s="174">
        <f>Oportuno!K734</f>
        <v>0</v>
      </c>
      <c r="L734" s="174">
        <f>Oportuno!L734</f>
        <v>0</v>
      </c>
      <c r="M734" s="174">
        <f>Oportuno!M734</f>
        <v>0</v>
      </c>
      <c r="N734" s="174">
        <f>Oportuno!N734</f>
        <v>0</v>
      </c>
      <c r="O734" s="174">
        <f>Oportuno!O734</f>
        <v>0</v>
      </c>
      <c r="P734" s="174">
        <f>Oportuno!P734</f>
        <v>0</v>
      </c>
      <c r="Q734" s="174">
        <f>Oportuno!Q734</f>
        <v>0</v>
      </c>
      <c r="R734" s="174">
        <f>Oportuno!R734</f>
        <v>0</v>
      </c>
      <c r="S734" s="215">
        <f>Oportuno!S734</f>
        <v>0</v>
      </c>
      <c r="T734" s="71">
        <f>Oportuno!T734</f>
        <v>0</v>
      </c>
      <c r="U734" s="71">
        <f>Oportuno!U734</f>
        <v>0</v>
      </c>
      <c r="V734" s="117">
        <f>Oportuno!V734</f>
        <v>0</v>
      </c>
      <c r="W734" s="117">
        <f>Oportuno!W734</f>
        <v>0</v>
      </c>
      <c r="X734" s="71">
        <f>Oportuno!X734</f>
        <v>0</v>
      </c>
      <c r="Y734" s="71">
        <f>Oportuno!Y734</f>
        <v>0</v>
      </c>
      <c r="AA734" s="65"/>
    </row>
    <row r="735" spans="2:27" ht="13" customHeight="1">
      <c r="B735" s="119">
        <f>Oportuno!B735</f>
        <v>0</v>
      </c>
      <c r="C735" s="23">
        <f>Oportuno!C735</f>
        <v>2026092</v>
      </c>
      <c r="D735" s="23">
        <f>Oportuno!D735</f>
        <v>26</v>
      </c>
      <c r="E735" s="128">
        <f>Oportuno!E735</f>
        <v>0</v>
      </c>
      <c r="F735" s="126" t="e">
        <f>Oportuno!F735</f>
        <v>#N/A</v>
      </c>
      <c r="G735" s="36">
        <f>Oportuno!G735</f>
        <v>1</v>
      </c>
      <c r="H735" s="126" t="str">
        <f>Oportuno!H735</f>
        <v>Oficinas</v>
      </c>
      <c r="I735" s="130">
        <f>Oportuno!I735</f>
        <v>0</v>
      </c>
      <c r="J735" s="174">
        <f>Oportuno!J735</f>
        <v>0</v>
      </c>
      <c r="K735" s="174">
        <f>Oportuno!K735</f>
        <v>0</v>
      </c>
      <c r="L735" s="174">
        <f>Oportuno!L735</f>
        <v>0</v>
      </c>
      <c r="M735" s="174">
        <f>Oportuno!M735</f>
        <v>0</v>
      </c>
      <c r="N735" s="174">
        <f>Oportuno!N735</f>
        <v>0</v>
      </c>
      <c r="O735" s="174">
        <f>Oportuno!O735</f>
        <v>0</v>
      </c>
      <c r="P735" s="174">
        <f>Oportuno!P735</f>
        <v>0</v>
      </c>
      <c r="Q735" s="174">
        <f>Oportuno!Q735</f>
        <v>0</v>
      </c>
      <c r="R735" s="174">
        <f>Oportuno!R735</f>
        <v>0</v>
      </c>
      <c r="S735" s="215">
        <f>Oportuno!S735</f>
        <v>0</v>
      </c>
      <c r="T735" s="71">
        <f>Oportuno!T735</f>
        <v>0</v>
      </c>
      <c r="U735" s="71">
        <f>Oportuno!U735</f>
        <v>0</v>
      </c>
      <c r="V735" s="117">
        <f>Oportuno!V735</f>
        <v>0</v>
      </c>
      <c r="W735" s="117">
        <f>Oportuno!W735</f>
        <v>0</v>
      </c>
      <c r="X735" s="71">
        <f>Oportuno!X735</f>
        <v>0</v>
      </c>
      <c r="Y735" s="71">
        <f>Oportuno!Y735</f>
        <v>0</v>
      </c>
      <c r="AA735" s="65"/>
    </row>
    <row r="736" spans="2:27" ht="13" customHeight="1">
      <c r="B736" s="119">
        <f>Oportuno!B736</f>
        <v>0</v>
      </c>
      <c r="C736" s="23">
        <f>Oportuno!C736</f>
        <v>2026092</v>
      </c>
      <c r="D736" s="23">
        <f>Oportuno!D736</f>
        <v>26</v>
      </c>
      <c r="E736" s="128">
        <f>Oportuno!E736</f>
        <v>0</v>
      </c>
      <c r="F736" s="126" t="e">
        <f>Oportuno!F736</f>
        <v>#N/A</v>
      </c>
      <c r="G736" s="36">
        <f>Oportuno!G736</f>
        <v>1</v>
      </c>
      <c r="H736" s="126" t="str">
        <f>Oportuno!H736</f>
        <v>Oficinas</v>
      </c>
      <c r="I736" s="130">
        <f>Oportuno!I736</f>
        <v>0</v>
      </c>
      <c r="J736" s="174">
        <f>Oportuno!J736</f>
        <v>0</v>
      </c>
      <c r="K736" s="174">
        <f>Oportuno!K736</f>
        <v>0</v>
      </c>
      <c r="L736" s="174">
        <f>Oportuno!L736</f>
        <v>0</v>
      </c>
      <c r="M736" s="174">
        <f>Oportuno!M736</f>
        <v>0</v>
      </c>
      <c r="N736" s="174">
        <f>Oportuno!N736</f>
        <v>0</v>
      </c>
      <c r="O736" s="174">
        <f>Oportuno!O736</f>
        <v>0</v>
      </c>
      <c r="P736" s="174">
        <f>Oportuno!P736</f>
        <v>0</v>
      </c>
      <c r="Q736" s="174">
        <f>Oportuno!Q736</f>
        <v>0</v>
      </c>
      <c r="R736" s="174">
        <f>Oportuno!R736</f>
        <v>0</v>
      </c>
      <c r="S736" s="215">
        <f>Oportuno!S736</f>
        <v>0</v>
      </c>
      <c r="T736" s="71">
        <f>Oportuno!T736</f>
        <v>0</v>
      </c>
      <c r="U736" s="71">
        <f>Oportuno!U736</f>
        <v>0</v>
      </c>
      <c r="V736" s="117">
        <f>Oportuno!V736</f>
        <v>0</v>
      </c>
      <c r="W736" s="117">
        <f>Oportuno!W736</f>
        <v>0</v>
      </c>
      <c r="X736" s="71">
        <f>Oportuno!X736</f>
        <v>0</v>
      </c>
      <c r="Y736" s="71">
        <f>Oportuno!Y736</f>
        <v>0</v>
      </c>
      <c r="AA736" s="65"/>
    </row>
    <row r="737" spans="2:27 16101:16120" ht="13" customHeight="1" thickBot="1">
      <c r="B737" s="119">
        <f>Oportuno!B737</f>
        <v>0</v>
      </c>
      <c r="C737" s="23">
        <f>Oportuno!C737</f>
        <v>2026092</v>
      </c>
      <c r="D737" s="23">
        <f>Oportuno!D737</f>
        <v>26</v>
      </c>
      <c r="E737" s="128">
        <f>Oportuno!E737</f>
        <v>0</v>
      </c>
      <c r="F737" s="126" t="e">
        <f>Oportuno!F737</f>
        <v>#N/A</v>
      </c>
      <c r="G737" s="36">
        <f>Oportuno!G737</f>
        <v>1</v>
      </c>
      <c r="H737" s="126" t="str">
        <f>Oportuno!H737</f>
        <v>Oficinas</v>
      </c>
      <c r="I737" s="130">
        <f>Oportuno!I737</f>
        <v>0</v>
      </c>
      <c r="J737" s="174">
        <f>Oportuno!J737</f>
        <v>0</v>
      </c>
      <c r="K737" s="174">
        <f>Oportuno!K737</f>
        <v>0</v>
      </c>
      <c r="L737" s="174">
        <f>Oportuno!L737</f>
        <v>0</v>
      </c>
      <c r="M737" s="174">
        <f>Oportuno!M737</f>
        <v>0</v>
      </c>
      <c r="N737" s="174">
        <f>Oportuno!N737</f>
        <v>0</v>
      </c>
      <c r="O737" s="174">
        <f>Oportuno!O737</f>
        <v>0</v>
      </c>
      <c r="P737" s="174">
        <f>Oportuno!P737</f>
        <v>0</v>
      </c>
      <c r="Q737" s="174">
        <f>Oportuno!Q737</f>
        <v>0</v>
      </c>
      <c r="R737" s="174">
        <f>Oportuno!R737</f>
        <v>0</v>
      </c>
      <c r="S737" s="215">
        <f>Oportuno!S737</f>
        <v>0</v>
      </c>
      <c r="T737" s="71">
        <f>Oportuno!T737</f>
        <v>0</v>
      </c>
      <c r="U737" s="71">
        <f>Oportuno!U737</f>
        <v>0</v>
      </c>
      <c r="V737" s="117">
        <f>Oportuno!V737</f>
        <v>0</v>
      </c>
      <c r="W737" s="117">
        <f>Oportuno!W737</f>
        <v>0</v>
      </c>
      <c r="X737" s="71">
        <f>Oportuno!X737</f>
        <v>0</v>
      </c>
      <c r="Y737" s="71">
        <f>Oportuno!Y737</f>
        <v>0</v>
      </c>
      <c r="AA737" s="65"/>
    </row>
    <row r="738" spans="2:27 16101:16120" ht="13" customHeight="1" thickBot="1">
      <c r="B738" s="1" t="s">
        <v>0</v>
      </c>
      <c r="C738" s="1" t="s">
        <v>0</v>
      </c>
      <c r="D738" s="20" t="s">
        <v>0</v>
      </c>
      <c r="E738" s="120" t="str">
        <f>Oportuno!E738</f>
        <v xml:space="preserve"> </v>
      </c>
      <c r="F738" s="121" t="str">
        <f>Oportuno!F738</f>
        <v>TOTAL RECAUDO</v>
      </c>
      <c r="G738" s="121" t="s">
        <v>0</v>
      </c>
      <c r="H738" s="121" t="s">
        <v>0</v>
      </c>
      <c r="I738" s="121" t="s">
        <v>0</v>
      </c>
      <c r="J738" s="122">
        <f>Oportuno!J738</f>
        <v>0</v>
      </c>
      <c r="K738" s="122">
        <f>Oportuno!K738</f>
        <v>0</v>
      </c>
      <c r="L738" s="122">
        <f>Oportuno!L738</f>
        <v>0</v>
      </c>
      <c r="M738" s="122">
        <f>Oportuno!M738</f>
        <v>0</v>
      </c>
      <c r="N738" s="122">
        <f>Oportuno!N738</f>
        <v>0</v>
      </c>
      <c r="O738" s="122">
        <f>Oportuno!O738</f>
        <v>0</v>
      </c>
      <c r="P738" s="122">
        <f>Oportuno!P738</f>
        <v>0</v>
      </c>
      <c r="Q738" s="122">
        <f>Oportuno!Q738</f>
        <v>0</v>
      </c>
      <c r="R738" s="122">
        <f>Oportuno!R738</f>
        <v>8</v>
      </c>
      <c r="S738" s="122">
        <f>Oportuno!S738</f>
        <v>529520</v>
      </c>
      <c r="T738" s="122">
        <f>Oportuno!T738</f>
        <v>8</v>
      </c>
      <c r="U738" s="122">
        <f>Oportuno!U738</f>
        <v>529520</v>
      </c>
      <c r="V738" s="123">
        <f>Oportuno!V738</f>
        <v>8</v>
      </c>
      <c r="W738" s="123">
        <f>Oportuno!W738</f>
        <v>529520</v>
      </c>
      <c r="X738" s="122">
        <f>Oportuno!X738</f>
        <v>0</v>
      </c>
      <c r="Y738" s="123">
        <f>Oportuno!Y738</f>
        <v>0</v>
      </c>
      <c r="AA738" s="65"/>
    </row>
    <row r="739" spans="2:27 16101:16120" ht="13" thickBot="1">
      <c r="AA739" s="65"/>
    </row>
    <row r="740" spans="2:27 16101:16120" ht="41.25" customHeight="1" thickBot="1">
      <c r="B740" s="112" t="s">
        <v>4</v>
      </c>
      <c r="C740" s="34" t="s">
        <v>6</v>
      </c>
      <c r="D740" s="34" t="s">
        <v>7</v>
      </c>
      <c r="E740" s="34" t="s">
        <v>49</v>
      </c>
      <c r="F740" s="34" t="s">
        <v>50</v>
      </c>
      <c r="G740" s="34" t="s">
        <v>51</v>
      </c>
      <c r="H740" s="34" t="s">
        <v>52</v>
      </c>
      <c r="I740" s="34" t="s">
        <v>13</v>
      </c>
      <c r="J740" s="231" t="s">
        <v>8</v>
      </c>
      <c r="K740" s="231" t="s">
        <v>36</v>
      </c>
      <c r="L740" s="12" t="s">
        <v>9</v>
      </c>
      <c r="M740" s="12" t="s">
        <v>37</v>
      </c>
      <c r="N740" s="87" t="s">
        <v>10</v>
      </c>
      <c r="O740" s="88" t="s">
        <v>38</v>
      </c>
      <c r="P740" s="87" t="s">
        <v>11</v>
      </c>
      <c r="Q740" s="88" t="s">
        <v>39</v>
      </c>
      <c r="R740" s="232" t="s">
        <v>12</v>
      </c>
      <c r="S740" s="233" t="s">
        <v>40</v>
      </c>
      <c r="T740" s="64" t="s">
        <v>41</v>
      </c>
      <c r="U740" s="64" t="s">
        <v>42</v>
      </c>
      <c r="V740" s="35" t="s">
        <v>32</v>
      </c>
      <c r="W740" s="67" t="s">
        <v>35</v>
      </c>
      <c r="X740" s="12" t="s">
        <v>34</v>
      </c>
      <c r="Y740" s="68" t="s">
        <v>33</v>
      </c>
      <c r="AA740" s="66"/>
      <c r="WUG740" s="1"/>
      <c r="WUH740" s="1"/>
      <c r="WUY740"/>
      <c r="WUZ740"/>
    </row>
    <row r="741" spans="2:27 16101:16120" ht="13" customHeight="1">
      <c r="B741" s="119" t="str">
        <f>Oportuno!B741</f>
        <v>28/09/2026</v>
      </c>
      <c r="C741" s="24">
        <f>Oportuno!C741</f>
        <v>2026092</v>
      </c>
      <c r="D741" s="24">
        <f>Oportuno!D741</f>
        <v>27</v>
      </c>
      <c r="E741" s="127">
        <f>Oportuno!E741</f>
        <v>20</v>
      </c>
      <c r="F741" s="125" t="str">
        <f>Oportuno!F741</f>
        <v>Bancolombia ENERBIT</v>
      </c>
      <c r="G741" s="18">
        <f>Oportuno!G741</f>
        <v>1</v>
      </c>
      <c r="H741" s="125" t="str">
        <f>Oportuno!H741</f>
        <v>Oficinas</v>
      </c>
      <c r="I741" s="129">
        <f>Oportuno!I741</f>
        <v>0</v>
      </c>
      <c r="J741" s="213">
        <f>Oportuno!J741</f>
        <v>0</v>
      </c>
      <c r="K741" s="213">
        <f>Oportuno!K741</f>
        <v>0</v>
      </c>
      <c r="L741" s="213">
        <f>Oportuno!L741</f>
        <v>0</v>
      </c>
      <c r="M741" s="213">
        <f>Oportuno!M741</f>
        <v>0</v>
      </c>
      <c r="N741" s="213">
        <f>Oportuno!N741</f>
        <v>0</v>
      </c>
      <c r="O741" s="213">
        <f>Oportuno!O741</f>
        <v>0</v>
      </c>
      <c r="P741" s="213">
        <f>Oportuno!P741</f>
        <v>0</v>
      </c>
      <c r="Q741" s="213">
        <f>Oportuno!Q741</f>
        <v>0</v>
      </c>
      <c r="R741" s="213">
        <f>Oportuno!R741</f>
        <v>6</v>
      </c>
      <c r="S741" s="214">
        <f>Oportuno!S741</f>
        <v>294490</v>
      </c>
      <c r="T741" s="70">
        <f>Oportuno!T741</f>
        <v>6</v>
      </c>
      <c r="U741" s="70">
        <f>Oportuno!U741</f>
        <v>294490</v>
      </c>
      <c r="V741" s="116">
        <f>Oportuno!V741</f>
        <v>6</v>
      </c>
      <c r="W741" s="116">
        <f>Oportuno!W741</f>
        <v>294490</v>
      </c>
      <c r="X741" s="70">
        <f>Oportuno!X741</f>
        <v>0</v>
      </c>
      <c r="Y741" s="70">
        <f>Oportuno!Y741</f>
        <v>0</v>
      </c>
      <c r="AA741" s="65"/>
    </row>
    <row r="742" spans="2:27 16101:16120" ht="13" customHeight="1">
      <c r="B742" s="119">
        <f>Oportuno!B742</f>
        <v>0</v>
      </c>
      <c r="C742" s="23">
        <f>Oportuno!C742</f>
        <v>2026092</v>
      </c>
      <c r="D742" s="23">
        <f>Oportuno!D742</f>
        <v>27</v>
      </c>
      <c r="E742" s="128">
        <f>Oportuno!E742</f>
        <v>0</v>
      </c>
      <c r="F742" s="126" t="e">
        <f>Oportuno!F742</f>
        <v>#N/A</v>
      </c>
      <c r="G742" s="36">
        <f>Oportuno!G742</f>
        <v>1</v>
      </c>
      <c r="H742" s="126" t="str">
        <f>Oportuno!H742</f>
        <v>Oficinas</v>
      </c>
      <c r="I742" s="130">
        <f>Oportuno!I742</f>
        <v>0</v>
      </c>
      <c r="J742" s="174">
        <f>Oportuno!J742</f>
        <v>0</v>
      </c>
      <c r="K742" s="174">
        <f>Oportuno!K742</f>
        <v>0</v>
      </c>
      <c r="L742" s="174">
        <f>Oportuno!L742</f>
        <v>0</v>
      </c>
      <c r="M742" s="174">
        <f>Oportuno!M742</f>
        <v>0</v>
      </c>
      <c r="N742" s="174">
        <f>Oportuno!N742</f>
        <v>0</v>
      </c>
      <c r="O742" s="174">
        <f>Oportuno!O742</f>
        <v>0</v>
      </c>
      <c r="P742" s="174">
        <f>Oportuno!P742</f>
        <v>0</v>
      </c>
      <c r="Q742" s="174">
        <f>Oportuno!Q742</f>
        <v>0</v>
      </c>
      <c r="R742" s="174">
        <f>Oportuno!R742</f>
        <v>0</v>
      </c>
      <c r="S742" s="215">
        <f>Oportuno!S742</f>
        <v>0</v>
      </c>
      <c r="T742" s="71">
        <f>Oportuno!T742</f>
        <v>0</v>
      </c>
      <c r="U742" s="71">
        <f>Oportuno!U742</f>
        <v>0</v>
      </c>
      <c r="V742" s="117">
        <f>Oportuno!V742</f>
        <v>0</v>
      </c>
      <c r="W742" s="117">
        <f>Oportuno!W742</f>
        <v>0</v>
      </c>
      <c r="X742" s="71">
        <f>Oportuno!X742</f>
        <v>0</v>
      </c>
      <c r="Y742" s="71">
        <f>Oportuno!Y742</f>
        <v>0</v>
      </c>
      <c r="AA742" s="65"/>
    </row>
    <row r="743" spans="2:27 16101:16120" ht="13" customHeight="1">
      <c r="B743" s="119">
        <f>Oportuno!B743</f>
        <v>0</v>
      </c>
      <c r="C743" s="23">
        <f>Oportuno!C743</f>
        <v>2026092</v>
      </c>
      <c r="D743" s="23">
        <f>Oportuno!D743</f>
        <v>27</v>
      </c>
      <c r="E743" s="128">
        <f>Oportuno!E743</f>
        <v>0</v>
      </c>
      <c r="F743" s="126" t="e">
        <f>Oportuno!F743</f>
        <v>#N/A</v>
      </c>
      <c r="G743" s="36">
        <f>Oportuno!G743</f>
        <v>1</v>
      </c>
      <c r="H743" s="126" t="str">
        <f>Oportuno!H743</f>
        <v>Oficinas</v>
      </c>
      <c r="I743" s="130">
        <f>Oportuno!I743</f>
        <v>0</v>
      </c>
      <c r="J743" s="174">
        <f>Oportuno!J743</f>
        <v>0</v>
      </c>
      <c r="K743" s="174">
        <f>Oportuno!K743</f>
        <v>0</v>
      </c>
      <c r="L743" s="174">
        <f>Oportuno!L743</f>
        <v>0</v>
      </c>
      <c r="M743" s="174">
        <f>Oportuno!M743</f>
        <v>0</v>
      </c>
      <c r="N743" s="174">
        <f>Oportuno!N743</f>
        <v>0</v>
      </c>
      <c r="O743" s="174">
        <f>Oportuno!O743</f>
        <v>0</v>
      </c>
      <c r="P743" s="174">
        <f>Oportuno!P743</f>
        <v>0</v>
      </c>
      <c r="Q743" s="174">
        <f>Oportuno!Q743</f>
        <v>0</v>
      </c>
      <c r="R743" s="174">
        <f>Oportuno!R743</f>
        <v>0</v>
      </c>
      <c r="S743" s="215">
        <f>Oportuno!S743</f>
        <v>0</v>
      </c>
      <c r="T743" s="71">
        <f>Oportuno!T743</f>
        <v>0</v>
      </c>
      <c r="U743" s="71">
        <f>Oportuno!U743</f>
        <v>0</v>
      </c>
      <c r="V743" s="117">
        <f>Oportuno!V743</f>
        <v>0</v>
      </c>
      <c r="W743" s="117">
        <f>Oportuno!W743</f>
        <v>0</v>
      </c>
      <c r="X743" s="71">
        <f>Oportuno!X743</f>
        <v>0</v>
      </c>
      <c r="Y743" s="71">
        <f>Oportuno!Y743</f>
        <v>0</v>
      </c>
      <c r="AA743" s="65"/>
    </row>
    <row r="744" spans="2:27 16101:16120" ht="13" customHeight="1">
      <c r="B744" s="119">
        <f>Oportuno!B744</f>
        <v>0</v>
      </c>
      <c r="C744" s="23">
        <f>Oportuno!C744</f>
        <v>2026092</v>
      </c>
      <c r="D744" s="23">
        <f>Oportuno!D744</f>
        <v>27</v>
      </c>
      <c r="E744" s="128">
        <f>Oportuno!E744</f>
        <v>0</v>
      </c>
      <c r="F744" s="126" t="e">
        <f>Oportuno!F744</f>
        <v>#N/A</v>
      </c>
      <c r="G744" s="36">
        <f>Oportuno!G744</f>
        <v>1</v>
      </c>
      <c r="H744" s="126" t="str">
        <f>Oportuno!H744</f>
        <v>Oficinas</v>
      </c>
      <c r="I744" s="130">
        <f>Oportuno!I744</f>
        <v>0</v>
      </c>
      <c r="J744" s="174">
        <f>Oportuno!J744</f>
        <v>0</v>
      </c>
      <c r="K744" s="174">
        <f>Oportuno!K744</f>
        <v>0</v>
      </c>
      <c r="L744" s="174">
        <f>Oportuno!L744</f>
        <v>0</v>
      </c>
      <c r="M744" s="174">
        <f>Oportuno!M744</f>
        <v>0</v>
      </c>
      <c r="N744" s="174">
        <f>Oportuno!N744</f>
        <v>0</v>
      </c>
      <c r="O744" s="174">
        <f>Oportuno!O744</f>
        <v>0</v>
      </c>
      <c r="P744" s="174">
        <f>Oportuno!P744</f>
        <v>0</v>
      </c>
      <c r="Q744" s="174">
        <f>Oportuno!Q744</f>
        <v>0</v>
      </c>
      <c r="R744" s="174">
        <f>Oportuno!R744</f>
        <v>0</v>
      </c>
      <c r="S744" s="215">
        <f>Oportuno!S744</f>
        <v>0</v>
      </c>
      <c r="T744" s="71">
        <f>Oportuno!T744</f>
        <v>0</v>
      </c>
      <c r="U744" s="71">
        <f>Oportuno!U744</f>
        <v>0</v>
      </c>
      <c r="V744" s="117">
        <f>Oportuno!V744</f>
        <v>0</v>
      </c>
      <c r="W744" s="117">
        <f>Oportuno!W744</f>
        <v>0</v>
      </c>
      <c r="X744" s="71">
        <f>Oportuno!X744</f>
        <v>0</v>
      </c>
      <c r="Y744" s="71">
        <f>Oportuno!Y744</f>
        <v>0</v>
      </c>
      <c r="AA744" s="65"/>
    </row>
    <row r="745" spans="2:27 16101:16120" ht="13" customHeight="1">
      <c r="B745" s="119">
        <f>Oportuno!B745</f>
        <v>0</v>
      </c>
      <c r="C745" s="23">
        <f>Oportuno!C745</f>
        <v>2026092</v>
      </c>
      <c r="D745" s="23">
        <f>Oportuno!D745</f>
        <v>27</v>
      </c>
      <c r="E745" s="128">
        <f>Oportuno!E745</f>
        <v>0</v>
      </c>
      <c r="F745" s="126" t="e">
        <f>Oportuno!F745</f>
        <v>#N/A</v>
      </c>
      <c r="G745" s="36">
        <f>Oportuno!G745</f>
        <v>1</v>
      </c>
      <c r="H745" s="126" t="str">
        <f>Oportuno!H745</f>
        <v>Oficinas</v>
      </c>
      <c r="I745" s="130">
        <f>Oportuno!I745</f>
        <v>0</v>
      </c>
      <c r="J745" s="174">
        <f>Oportuno!J745</f>
        <v>0</v>
      </c>
      <c r="K745" s="174">
        <f>Oportuno!K745</f>
        <v>0</v>
      </c>
      <c r="L745" s="174">
        <f>Oportuno!L745</f>
        <v>0</v>
      </c>
      <c r="M745" s="174">
        <f>Oportuno!M745</f>
        <v>0</v>
      </c>
      <c r="N745" s="174">
        <f>Oportuno!N745</f>
        <v>0</v>
      </c>
      <c r="O745" s="174">
        <f>Oportuno!O745</f>
        <v>0</v>
      </c>
      <c r="P745" s="174">
        <f>Oportuno!P745</f>
        <v>0</v>
      </c>
      <c r="Q745" s="174">
        <f>Oportuno!Q745</f>
        <v>0</v>
      </c>
      <c r="R745" s="174">
        <f>Oportuno!R745</f>
        <v>0</v>
      </c>
      <c r="S745" s="215">
        <f>Oportuno!S745</f>
        <v>0</v>
      </c>
      <c r="T745" s="71">
        <f>Oportuno!T745</f>
        <v>0</v>
      </c>
      <c r="U745" s="71">
        <f>Oportuno!U745</f>
        <v>0</v>
      </c>
      <c r="V745" s="117">
        <f>Oportuno!V745</f>
        <v>0</v>
      </c>
      <c r="W745" s="117">
        <f>Oportuno!W745</f>
        <v>0</v>
      </c>
      <c r="X745" s="71">
        <f>Oportuno!X745</f>
        <v>0</v>
      </c>
      <c r="Y745" s="71">
        <f>Oportuno!Y745</f>
        <v>0</v>
      </c>
      <c r="AA745" s="65"/>
    </row>
    <row r="746" spans="2:27 16101:16120" ht="13" customHeight="1">
      <c r="B746" s="119">
        <f>Oportuno!B746</f>
        <v>0</v>
      </c>
      <c r="C746" s="23">
        <f>Oportuno!C746</f>
        <v>2026092</v>
      </c>
      <c r="D746" s="23">
        <f>Oportuno!D746</f>
        <v>27</v>
      </c>
      <c r="E746" s="128">
        <f>Oportuno!E746</f>
        <v>0</v>
      </c>
      <c r="F746" s="126" t="e">
        <f>Oportuno!F746</f>
        <v>#N/A</v>
      </c>
      <c r="G746" s="36">
        <f>Oportuno!G746</f>
        <v>1</v>
      </c>
      <c r="H746" s="126" t="str">
        <f>Oportuno!H746</f>
        <v>Oficinas</v>
      </c>
      <c r="I746" s="130">
        <f>Oportuno!I746</f>
        <v>0</v>
      </c>
      <c r="J746" s="174">
        <f>Oportuno!J746</f>
        <v>0</v>
      </c>
      <c r="K746" s="174">
        <f>Oportuno!K746</f>
        <v>0</v>
      </c>
      <c r="L746" s="174">
        <f>Oportuno!L746</f>
        <v>0</v>
      </c>
      <c r="M746" s="174">
        <f>Oportuno!M746</f>
        <v>0</v>
      </c>
      <c r="N746" s="174">
        <f>Oportuno!N746</f>
        <v>0</v>
      </c>
      <c r="O746" s="174">
        <f>Oportuno!O746</f>
        <v>0</v>
      </c>
      <c r="P746" s="174">
        <f>Oportuno!P746</f>
        <v>0</v>
      </c>
      <c r="Q746" s="174">
        <f>Oportuno!Q746</f>
        <v>0</v>
      </c>
      <c r="R746" s="174">
        <f>Oportuno!R746</f>
        <v>0</v>
      </c>
      <c r="S746" s="215">
        <f>Oportuno!S746</f>
        <v>0</v>
      </c>
      <c r="T746" s="71">
        <f>Oportuno!T746</f>
        <v>0</v>
      </c>
      <c r="U746" s="71">
        <f>Oportuno!U746</f>
        <v>0</v>
      </c>
      <c r="V746" s="117">
        <f>Oportuno!V746</f>
        <v>0</v>
      </c>
      <c r="W746" s="117">
        <f>Oportuno!W746</f>
        <v>0</v>
      </c>
      <c r="X746" s="71">
        <f>Oportuno!X746</f>
        <v>0</v>
      </c>
      <c r="Y746" s="71">
        <f>Oportuno!Y746</f>
        <v>0</v>
      </c>
      <c r="AA746" s="65"/>
    </row>
    <row r="747" spans="2:27 16101:16120" ht="13" customHeight="1">
      <c r="B747" s="119">
        <f>Oportuno!B747</f>
        <v>0</v>
      </c>
      <c r="C747" s="23">
        <f>Oportuno!C747</f>
        <v>2026092</v>
      </c>
      <c r="D747" s="23">
        <f>Oportuno!D747</f>
        <v>27</v>
      </c>
      <c r="E747" s="128">
        <f>Oportuno!E747</f>
        <v>0</v>
      </c>
      <c r="F747" s="126" t="e">
        <f>Oportuno!F747</f>
        <v>#N/A</v>
      </c>
      <c r="G747" s="36">
        <f>Oportuno!G747</f>
        <v>1</v>
      </c>
      <c r="H747" s="126" t="str">
        <f>Oportuno!H747</f>
        <v>Oficinas</v>
      </c>
      <c r="I747" s="130">
        <f>Oportuno!I747</f>
        <v>0</v>
      </c>
      <c r="J747" s="174">
        <f>Oportuno!J747</f>
        <v>0</v>
      </c>
      <c r="K747" s="174">
        <f>Oportuno!K747</f>
        <v>0</v>
      </c>
      <c r="L747" s="174">
        <f>Oportuno!L747</f>
        <v>0</v>
      </c>
      <c r="M747" s="174">
        <f>Oportuno!M747</f>
        <v>0</v>
      </c>
      <c r="N747" s="174">
        <f>Oportuno!N747</f>
        <v>0</v>
      </c>
      <c r="O747" s="174">
        <f>Oportuno!O747</f>
        <v>0</v>
      </c>
      <c r="P747" s="174">
        <f>Oportuno!P747</f>
        <v>0</v>
      </c>
      <c r="Q747" s="174">
        <f>Oportuno!Q747</f>
        <v>0</v>
      </c>
      <c r="R747" s="174">
        <f>Oportuno!R747</f>
        <v>0</v>
      </c>
      <c r="S747" s="215">
        <f>Oportuno!S747</f>
        <v>0</v>
      </c>
      <c r="T747" s="71">
        <f>Oportuno!T747</f>
        <v>0</v>
      </c>
      <c r="U747" s="71">
        <f>Oportuno!U747</f>
        <v>0</v>
      </c>
      <c r="V747" s="117">
        <f>Oportuno!V747</f>
        <v>0</v>
      </c>
      <c r="W747" s="117">
        <f>Oportuno!W747</f>
        <v>0</v>
      </c>
      <c r="X747" s="71">
        <f>Oportuno!X747</f>
        <v>0</v>
      </c>
      <c r="Y747" s="71">
        <f>Oportuno!Y747</f>
        <v>0</v>
      </c>
      <c r="AA747" s="65"/>
    </row>
    <row r="748" spans="2:27 16101:16120" ht="13" customHeight="1">
      <c r="B748" s="119">
        <f>Oportuno!B748</f>
        <v>0</v>
      </c>
      <c r="C748" s="23">
        <f>Oportuno!C748</f>
        <v>2026092</v>
      </c>
      <c r="D748" s="23">
        <f>Oportuno!D748</f>
        <v>27</v>
      </c>
      <c r="E748" s="128">
        <f>Oportuno!E748</f>
        <v>0</v>
      </c>
      <c r="F748" s="126" t="e">
        <f>Oportuno!F748</f>
        <v>#N/A</v>
      </c>
      <c r="G748" s="36">
        <f>Oportuno!G748</f>
        <v>1</v>
      </c>
      <c r="H748" s="126" t="str">
        <f>Oportuno!H748</f>
        <v>Oficinas</v>
      </c>
      <c r="I748" s="130">
        <f>Oportuno!I748</f>
        <v>0</v>
      </c>
      <c r="J748" s="174">
        <f>Oportuno!J748</f>
        <v>0</v>
      </c>
      <c r="K748" s="174">
        <f>Oportuno!K748</f>
        <v>0</v>
      </c>
      <c r="L748" s="174">
        <f>Oportuno!L748</f>
        <v>0</v>
      </c>
      <c r="M748" s="174">
        <f>Oportuno!M748</f>
        <v>0</v>
      </c>
      <c r="N748" s="174">
        <f>Oportuno!N748</f>
        <v>0</v>
      </c>
      <c r="O748" s="174">
        <f>Oportuno!O748</f>
        <v>0</v>
      </c>
      <c r="P748" s="174">
        <f>Oportuno!P748</f>
        <v>0</v>
      </c>
      <c r="Q748" s="174">
        <f>Oportuno!Q748</f>
        <v>0</v>
      </c>
      <c r="R748" s="174">
        <f>Oportuno!R748</f>
        <v>0</v>
      </c>
      <c r="S748" s="215">
        <f>Oportuno!S748</f>
        <v>0</v>
      </c>
      <c r="T748" s="71">
        <f>Oportuno!T748</f>
        <v>0</v>
      </c>
      <c r="U748" s="71">
        <f>Oportuno!U748</f>
        <v>0</v>
      </c>
      <c r="V748" s="117">
        <f>Oportuno!V748</f>
        <v>0</v>
      </c>
      <c r="W748" s="117">
        <f>Oportuno!W748</f>
        <v>0</v>
      </c>
      <c r="X748" s="71">
        <f>Oportuno!X748</f>
        <v>0</v>
      </c>
      <c r="Y748" s="71">
        <f>Oportuno!Y748</f>
        <v>0</v>
      </c>
      <c r="AA748" s="65"/>
    </row>
    <row r="749" spans="2:27 16101:16120" ht="13" customHeight="1">
      <c r="B749" s="119">
        <f>Oportuno!B749</f>
        <v>0</v>
      </c>
      <c r="C749" s="23">
        <f>Oportuno!C749</f>
        <v>2026092</v>
      </c>
      <c r="D749" s="23">
        <f>Oportuno!D749</f>
        <v>27</v>
      </c>
      <c r="E749" s="128">
        <f>Oportuno!E749</f>
        <v>0</v>
      </c>
      <c r="F749" s="126" t="e">
        <f>Oportuno!F749</f>
        <v>#N/A</v>
      </c>
      <c r="G749" s="36">
        <f>Oportuno!G749</f>
        <v>1</v>
      </c>
      <c r="H749" s="126" t="str">
        <f>Oportuno!H749</f>
        <v>Oficinas</v>
      </c>
      <c r="I749" s="130">
        <f>Oportuno!I749</f>
        <v>0</v>
      </c>
      <c r="J749" s="174">
        <f>Oportuno!J749</f>
        <v>0</v>
      </c>
      <c r="K749" s="174">
        <f>Oportuno!K749</f>
        <v>0</v>
      </c>
      <c r="L749" s="174">
        <f>Oportuno!L749</f>
        <v>0</v>
      </c>
      <c r="M749" s="174">
        <f>Oportuno!M749</f>
        <v>0</v>
      </c>
      <c r="N749" s="174">
        <f>Oportuno!N749</f>
        <v>0</v>
      </c>
      <c r="O749" s="174">
        <f>Oportuno!O749</f>
        <v>0</v>
      </c>
      <c r="P749" s="174">
        <f>Oportuno!P749</f>
        <v>0</v>
      </c>
      <c r="Q749" s="174">
        <f>Oportuno!Q749</f>
        <v>0</v>
      </c>
      <c r="R749" s="174">
        <f>Oportuno!R749</f>
        <v>0</v>
      </c>
      <c r="S749" s="215">
        <f>Oportuno!S749</f>
        <v>0</v>
      </c>
      <c r="T749" s="71">
        <f>Oportuno!T749</f>
        <v>0</v>
      </c>
      <c r="U749" s="71">
        <f>Oportuno!U749</f>
        <v>0</v>
      </c>
      <c r="V749" s="117">
        <f>Oportuno!V749</f>
        <v>0</v>
      </c>
      <c r="W749" s="117">
        <f>Oportuno!W749</f>
        <v>0</v>
      </c>
      <c r="X749" s="71">
        <f>Oportuno!X749</f>
        <v>0</v>
      </c>
      <c r="Y749" s="71">
        <f>Oportuno!Y749</f>
        <v>0</v>
      </c>
      <c r="AA749" s="65"/>
    </row>
    <row r="750" spans="2:27 16101:16120" ht="13" customHeight="1">
      <c r="B750" s="119">
        <f>Oportuno!B750</f>
        <v>0</v>
      </c>
      <c r="C750" s="23">
        <f>Oportuno!C750</f>
        <v>2026092</v>
      </c>
      <c r="D750" s="23">
        <f>Oportuno!D750</f>
        <v>27</v>
      </c>
      <c r="E750" s="128">
        <f>Oportuno!E750</f>
        <v>0</v>
      </c>
      <c r="F750" s="126" t="e">
        <f>Oportuno!F750</f>
        <v>#N/A</v>
      </c>
      <c r="G750" s="36">
        <f>Oportuno!G750</f>
        <v>1</v>
      </c>
      <c r="H750" s="126" t="str">
        <f>Oportuno!H750</f>
        <v>Oficinas</v>
      </c>
      <c r="I750" s="130">
        <f>Oportuno!I750</f>
        <v>0</v>
      </c>
      <c r="J750" s="174">
        <f>Oportuno!J750</f>
        <v>0</v>
      </c>
      <c r="K750" s="174">
        <f>Oportuno!K750</f>
        <v>0</v>
      </c>
      <c r="L750" s="174">
        <f>Oportuno!L750</f>
        <v>0</v>
      </c>
      <c r="M750" s="174">
        <f>Oportuno!M750</f>
        <v>0</v>
      </c>
      <c r="N750" s="174">
        <f>Oportuno!N750</f>
        <v>0</v>
      </c>
      <c r="O750" s="174">
        <f>Oportuno!O750</f>
        <v>0</v>
      </c>
      <c r="P750" s="174">
        <f>Oportuno!P750</f>
        <v>0</v>
      </c>
      <c r="Q750" s="174">
        <f>Oportuno!Q750</f>
        <v>0</v>
      </c>
      <c r="R750" s="174">
        <f>Oportuno!R750</f>
        <v>0</v>
      </c>
      <c r="S750" s="215">
        <f>Oportuno!S750</f>
        <v>0</v>
      </c>
      <c r="T750" s="71">
        <f>Oportuno!T750</f>
        <v>0</v>
      </c>
      <c r="U750" s="71">
        <f>Oportuno!U750</f>
        <v>0</v>
      </c>
      <c r="V750" s="117">
        <f>Oportuno!V750</f>
        <v>0</v>
      </c>
      <c r="W750" s="117">
        <f>Oportuno!W750</f>
        <v>0</v>
      </c>
      <c r="X750" s="71">
        <f>Oportuno!X750</f>
        <v>0</v>
      </c>
      <c r="Y750" s="71">
        <f>Oportuno!Y750</f>
        <v>0</v>
      </c>
      <c r="AA750" s="65"/>
    </row>
    <row r="751" spans="2:27 16101:16120" ht="13" customHeight="1">
      <c r="B751" s="119">
        <f>Oportuno!B751</f>
        <v>0</v>
      </c>
      <c r="C751" s="23">
        <f>Oportuno!C751</f>
        <v>2026092</v>
      </c>
      <c r="D751" s="23">
        <f>Oportuno!D751</f>
        <v>27</v>
      </c>
      <c r="E751" s="128">
        <f>Oportuno!E751</f>
        <v>0</v>
      </c>
      <c r="F751" s="126" t="e">
        <f>Oportuno!F751</f>
        <v>#N/A</v>
      </c>
      <c r="G751" s="36">
        <f>Oportuno!G751</f>
        <v>1</v>
      </c>
      <c r="H751" s="126" t="str">
        <f>Oportuno!H751</f>
        <v>Oficinas</v>
      </c>
      <c r="I751" s="130">
        <f>Oportuno!I751</f>
        <v>0</v>
      </c>
      <c r="J751" s="174">
        <f>Oportuno!J751</f>
        <v>0</v>
      </c>
      <c r="K751" s="174">
        <f>Oportuno!K751</f>
        <v>0</v>
      </c>
      <c r="L751" s="174">
        <f>Oportuno!L751</f>
        <v>0</v>
      </c>
      <c r="M751" s="174">
        <f>Oportuno!M751</f>
        <v>0</v>
      </c>
      <c r="N751" s="174">
        <f>Oportuno!N751</f>
        <v>0</v>
      </c>
      <c r="O751" s="174">
        <f>Oportuno!O751</f>
        <v>0</v>
      </c>
      <c r="P751" s="174">
        <f>Oportuno!P751</f>
        <v>0</v>
      </c>
      <c r="Q751" s="174">
        <f>Oportuno!Q751</f>
        <v>0</v>
      </c>
      <c r="R751" s="174">
        <f>Oportuno!R751</f>
        <v>0</v>
      </c>
      <c r="S751" s="215">
        <f>Oportuno!S751</f>
        <v>0</v>
      </c>
      <c r="T751" s="71">
        <f>Oportuno!T751</f>
        <v>0</v>
      </c>
      <c r="U751" s="71">
        <f>Oportuno!U751</f>
        <v>0</v>
      </c>
      <c r="V751" s="117">
        <f>Oportuno!V751</f>
        <v>0</v>
      </c>
      <c r="W751" s="117">
        <f>Oportuno!W751</f>
        <v>0</v>
      </c>
      <c r="X751" s="71">
        <f>Oportuno!X751</f>
        <v>0</v>
      </c>
      <c r="Y751" s="71">
        <f>Oportuno!Y751</f>
        <v>0</v>
      </c>
      <c r="AA751" s="65"/>
    </row>
    <row r="752" spans="2:27 16101:16120" ht="13" customHeight="1">
      <c r="B752" s="119">
        <f>Oportuno!B752</f>
        <v>0</v>
      </c>
      <c r="C752" s="23">
        <f>Oportuno!C752</f>
        <v>2026092</v>
      </c>
      <c r="D752" s="23">
        <f>Oportuno!D752</f>
        <v>27</v>
      </c>
      <c r="E752" s="128">
        <f>Oportuno!E752</f>
        <v>0</v>
      </c>
      <c r="F752" s="126" t="e">
        <f>Oportuno!F752</f>
        <v>#N/A</v>
      </c>
      <c r="G752" s="36">
        <f>Oportuno!G752</f>
        <v>1</v>
      </c>
      <c r="H752" s="126" t="str">
        <f>Oportuno!H752</f>
        <v>Oficinas</v>
      </c>
      <c r="I752" s="130">
        <f>Oportuno!I752</f>
        <v>0</v>
      </c>
      <c r="J752" s="174">
        <f>Oportuno!J752</f>
        <v>0</v>
      </c>
      <c r="K752" s="174">
        <f>Oportuno!K752</f>
        <v>0</v>
      </c>
      <c r="L752" s="174">
        <f>Oportuno!L752</f>
        <v>0</v>
      </c>
      <c r="M752" s="174">
        <f>Oportuno!M752</f>
        <v>0</v>
      </c>
      <c r="N752" s="174">
        <f>Oportuno!N752</f>
        <v>0</v>
      </c>
      <c r="O752" s="174">
        <f>Oportuno!O752</f>
        <v>0</v>
      </c>
      <c r="P752" s="174">
        <f>Oportuno!P752</f>
        <v>0</v>
      </c>
      <c r="Q752" s="174">
        <f>Oportuno!Q752</f>
        <v>0</v>
      </c>
      <c r="R752" s="174">
        <f>Oportuno!R752</f>
        <v>0</v>
      </c>
      <c r="S752" s="215">
        <f>Oportuno!S752</f>
        <v>0</v>
      </c>
      <c r="T752" s="71">
        <f>Oportuno!T752</f>
        <v>0</v>
      </c>
      <c r="U752" s="71">
        <f>Oportuno!U752</f>
        <v>0</v>
      </c>
      <c r="V752" s="117">
        <f>Oportuno!V752</f>
        <v>0</v>
      </c>
      <c r="W752" s="117">
        <f>Oportuno!W752</f>
        <v>0</v>
      </c>
      <c r="X752" s="71">
        <f>Oportuno!X752</f>
        <v>0</v>
      </c>
      <c r="Y752" s="71">
        <f>Oportuno!Y752</f>
        <v>0</v>
      </c>
      <c r="AA752" s="65"/>
    </row>
    <row r="753" spans="2:27 16101:16120" ht="13" customHeight="1">
      <c r="B753" s="119">
        <f>Oportuno!B753</f>
        <v>0</v>
      </c>
      <c r="C753" s="23">
        <f>Oportuno!C753</f>
        <v>2026092</v>
      </c>
      <c r="D753" s="23">
        <f>Oportuno!D753</f>
        <v>27</v>
      </c>
      <c r="E753" s="128">
        <f>Oportuno!E753</f>
        <v>0</v>
      </c>
      <c r="F753" s="126" t="e">
        <f>Oportuno!F753</f>
        <v>#N/A</v>
      </c>
      <c r="G753" s="36">
        <f>Oportuno!G753</f>
        <v>1</v>
      </c>
      <c r="H753" s="126" t="str">
        <f>Oportuno!H753</f>
        <v>Oficinas</v>
      </c>
      <c r="I753" s="130">
        <f>Oportuno!I753</f>
        <v>0</v>
      </c>
      <c r="J753" s="174">
        <f>Oportuno!J753</f>
        <v>0</v>
      </c>
      <c r="K753" s="174">
        <f>Oportuno!K753</f>
        <v>0</v>
      </c>
      <c r="L753" s="174">
        <f>Oportuno!L753</f>
        <v>0</v>
      </c>
      <c r="M753" s="174">
        <f>Oportuno!M753</f>
        <v>0</v>
      </c>
      <c r="N753" s="174">
        <f>Oportuno!N753</f>
        <v>0</v>
      </c>
      <c r="O753" s="174">
        <f>Oportuno!O753</f>
        <v>0</v>
      </c>
      <c r="P753" s="174">
        <f>Oportuno!P753</f>
        <v>0</v>
      </c>
      <c r="Q753" s="174">
        <f>Oportuno!Q753</f>
        <v>0</v>
      </c>
      <c r="R753" s="174">
        <f>Oportuno!R753</f>
        <v>0</v>
      </c>
      <c r="S753" s="215">
        <f>Oportuno!S753</f>
        <v>0</v>
      </c>
      <c r="T753" s="71">
        <f>Oportuno!T753</f>
        <v>0</v>
      </c>
      <c r="U753" s="71">
        <f>Oportuno!U753</f>
        <v>0</v>
      </c>
      <c r="V753" s="117">
        <f>Oportuno!V753</f>
        <v>0</v>
      </c>
      <c r="W753" s="117">
        <f>Oportuno!W753</f>
        <v>0</v>
      </c>
      <c r="X753" s="71">
        <f>Oportuno!X753</f>
        <v>0</v>
      </c>
      <c r="Y753" s="71">
        <f>Oportuno!Y753</f>
        <v>0</v>
      </c>
      <c r="AA753" s="65"/>
    </row>
    <row r="754" spans="2:27 16101:16120" ht="13" customHeight="1">
      <c r="B754" s="119">
        <f>Oportuno!B754</f>
        <v>0</v>
      </c>
      <c r="C754" s="23">
        <f>Oportuno!C754</f>
        <v>2026092</v>
      </c>
      <c r="D754" s="23">
        <f>Oportuno!D754</f>
        <v>27</v>
      </c>
      <c r="E754" s="128">
        <f>Oportuno!E754</f>
        <v>0</v>
      </c>
      <c r="F754" s="126" t="e">
        <f>Oportuno!F754</f>
        <v>#N/A</v>
      </c>
      <c r="G754" s="36">
        <f>Oportuno!G754</f>
        <v>1</v>
      </c>
      <c r="H754" s="126" t="str">
        <f>Oportuno!H754</f>
        <v>Oficinas</v>
      </c>
      <c r="I754" s="130">
        <f>Oportuno!I754</f>
        <v>0</v>
      </c>
      <c r="J754" s="174">
        <f>Oportuno!J754</f>
        <v>0</v>
      </c>
      <c r="K754" s="174">
        <f>Oportuno!K754</f>
        <v>0</v>
      </c>
      <c r="L754" s="174">
        <f>Oportuno!L754</f>
        <v>0</v>
      </c>
      <c r="M754" s="174">
        <f>Oportuno!M754</f>
        <v>0</v>
      </c>
      <c r="N754" s="174">
        <f>Oportuno!N754</f>
        <v>0</v>
      </c>
      <c r="O754" s="174">
        <f>Oportuno!O754</f>
        <v>0</v>
      </c>
      <c r="P754" s="174">
        <f>Oportuno!P754</f>
        <v>0</v>
      </c>
      <c r="Q754" s="174">
        <f>Oportuno!Q754</f>
        <v>0</v>
      </c>
      <c r="R754" s="174">
        <f>Oportuno!R754</f>
        <v>0</v>
      </c>
      <c r="S754" s="215">
        <f>Oportuno!S754</f>
        <v>0</v>
      </c>
      <c r="T754" s="71">
        <f>Oportuno!T754</f>
        <v>0</v>
      </c>
      <c r="U754" s="71">
        <f>Oportuno!U754</f>
        <v>0</v>
      </c>
      <c r="V754" s="117">
        <f>Oportuno!V754</f>
        <v>0</v>
      </c>
      <c r="W754" s="117">
        <f>Oportuno!W754</f>
        <v>0</v>
      </c>
      <c r="X754" s="71">
        <f>Oportuno!X754</f>
        <v>0</v>
      </c>
      <c r="Y754" s="71">
        <f>Oportuno!Y754</f>
        <v>0</v>
      </c>
      <c r="AA754" s="65"/>
    </row>
    <row r="755" spans="2:27 16101:16120" ht="13" customHeight="1">
      <c r="B755" s="119">
        <f>Oportuno!B755</f>
        <v>0</v>
      </c>
      <c r="C755" s="23">
        <f>Oportuno!C755</f>
        <v>2026092</v>
      </c>
      <c r="D755" s="23">
        <f>Oportuno!D755</f>
        <v>27</v>
      </c>
      <c r="E755" s="128">
        <f>Oportuno!E755</f>
        <v>0</v>
      </c>
      <c r="F755" s="126" t="e">
        <f>Oportuno!F755</f>
        <v>#N/A</v>
      </c>
      <c r="G755" s="36">
        <f>Oportuno!G755</f>
        <v>1</v>
      </c>
      <c r="H755" s="126" t="str">
        <f>Oportuno!H755</f>
        <v>Oficinas</v>
      </c>
      <c r="I755" s="130">
        <f>Oportuno!I755</f>
        <v>0</v>
      </c>
      <c r="J755" s="174">
        <f>Oportuno!J755</f>
        <v>0</v>
      </c>
      <c r="K755" s="174">
        <f>Oportuno!K755</f>
        <v>0</v>
      </c>
      <c r="L755" s="174">
        <f>Oportuno!L755</f>
        <v>0</v>
      </c>
      <c r="M755" s="174">
        <f>Oportuno!M755</f>
        <v>0</v>
      </c>
      <c r="N755" s="174">
        <f>Oportuno!N755</f>
        <v>0</v>
      </c>
      <c r="O755" s="174">
        <f>Oportuno!O755</f>
        <v>0</v>
      </c>
      <c r="P755" s="174">
        <f>Oportuno!P755</f>
        <v>0</v>
      </c>
      <c r="Q755" s="174">
        <f>Oportuno!Q755</f>
        <v>0</v>
      </c>
      <c r="R755" s="174">
        <f>Oportuno!R755</f>
        <v>0</v>
      </c>
      <c r="S755" s="215">
        <f>Oportuno!S755</f>
        <v>0</v>
      </c>
      <c r="T755" s="71">
        <f>Oportuno!T755</f>
        <v>0</v>
      </c>
      <c r="U755" s="71">
        <f>Oportuno!U755</f>
        <v>0</v>
      </c>
      <c r="V755" s="117">
        <f>Oportuno!V755</f>
        <v>0</v>
      </c>
      <c r="W755" s="117">
        <f>Oportuno!W755</f>
        <v>0</v>
      </c>
      <c r="X755" s="71">
        <f>Oportuno!X755</f>
        <v>0</v>
      </c>
      <c r="Y755" s="71">
        <f>Oportuno!Y755</f>
        <v>0</v>
      </c>
      <c r="AA755" s="65"/>
    </row>
    <row r="756" spans="2:27 16101:16120" ht="12" customHeight="1">
      <c r="B756" s="119">
        <f>Oportuno!B756</f>
        <v>0</v>
      </c>
      <c r="C756" s="23">
        <f>Oportuno!C756</f>
        <v>2026092</v>
      </c>
      <c r="D756" s="23">
        <f>Oportuno!D756</f>
        <v>27</v>
      </c>
      <c r="E756" s="128">
        <f>Oportuno!E756</f>
        <v>0</v>
      </c>
      <c r="F756" s="126" t="e">
        <f>Oportuno!F756</f>
        <v>#N/A</v>
      </c>
      <c r="G756" s="36">
        <f>Oportuno!G756</f>
        <v>1</v>
      </c>
      <c r="H756" s="126" t="str">
        <f>Oportuno!H756</f>
        <v>Oficinas</v>
      </c>
      <c r="I756" s="130">
        <f>Oportuno!I756</f>
        <v>0</v>
      </c>
      <c r="J756" s="174">
        <f>Oportuno!J756</f>
        <v>0</v>
      </c>
      <c r="K756" s="174">
        <f>Oportuno!K756</f>
        <v>0</v>
      </c>
      <c r="L756" s="174">
        <f>Oportuno!L756</f>
        <v>0</v>
      </c>
      <c r="M756" s="174">
        <f>Oportuno!M756</f>
        <v>0</v>
      </c>
      <c r="N756" s="174">
        <f>Oportuno!N756</f>
        <v>0</v>
      </c>
      <c r="O756" s="174">
        <f>Oportuno!O756</f>
        <v>0</v>
      </c>
      <c r="P756" s="174">
        <f>Oportuno!P756</f>
        <v>0</v>
      </c>
      <c r="Q756" s="174">
        <f>Oportuno!Q756</f>
        <v>0</v>
      </c>
      <c r="R756" s="174">
        <f>Oportuno!R756</f>
        <v>0</v>
      </c>
      <c r="S756" s="215">
        <f>Oportuno!S756</f>
        <v>0</v>
      </c>
      <c r="T756" s="71">
        <f>Oportuno!T756</f>
        <v>0</v>
      </c>
      <c r="U756" s="71">
        <f>Oportuno!U756</f>
        <v>0</v>
      </c>
      <c r="V756" s="117">
        <f>Oportuno!V756</f>
        <v>0</v>
      </c>
      <c r="W756" s="117">
        <f>Oportuno!W756</f>
        <v>0</v>
      </c>
      <c r="X756" s="71">
        <f>Oportuno!X756</f>
        <v>0</v>
      </c>
      <c r="Y756" s="71">
        <f>Oportuno!Y756</f>
        <v>0</v>
      </c>
      <c r="AA756" s="65"/>
    </row>
    <row r="757" spans="2:27 16101:16120" ht="13" customHeight="1">
      <c r="B757" s="119">
        <f>Oportuno!B757</f>
        <v>0</v>
      </c>
      <c r="C757" s="23">
        <f>Oportuno!C757</f>
        <v>2026092</v>
      </c>
      <c r="D757" s="23">
        <f>Oportuno!D757</f>
        <v>27</v>
      </c>
      <c r="E757" s="128">
        <f>Oportuno!E757</f>
        <v>0</v>
      </c>
      <c r="F757" s="126" t="e">
        <f>Oportuno!F757</f>
        <v>#N/A</v>
      </c>
      <c r="G757" s="36">
        <f>Oportuno!G757</f>
        <v>1</v>
      </c>
      <c r="H757" s="126" t="str">
        <f>Oportuno!H757</f>
        <v>Oficinas</v>
      </c>
      <c r="I757" s="130">
        <f>Oportuno!I757</f>
        <v>0</v>
      </c>
      <c r="J757" s="174">
        <f>Oportuno!J757</f>
        <v>0</v>
      </c>
      <c r="K757" s="174">
        <f>Oportuno!K757</f>
        <v>0</v>
      </c>
      <c r="L757" s="174">
        <f>Oportuno!L757</f>
        <v>0</v>
      </c>
      <c r="M757" s="174">
        <f>Oportuno!M757</f>
        <v>0</v>
      </c>
      <c r="N757" s="174">
        <f>Oportuno!N757</f>
        <v>0</v>
      </c>
      <c r="O757" s="174">
        <f>Oportuno!O757</f>
        <v>0</v>
      </c>
      <c r="P757" s="174">
        <f>Oportuno!P757</f>
        <v>0</v>
      </c>
      <c r="Q757" s="174">
        <f>Oportuno!Q757</f>
        <v>0</v>
      </c>
      <c r="R757" s="174">
        <f>Oportuno!R757</f>
        <v>0</v>
      </c>
      <c r="S757" s="215">
        <f>Oportuno!S757</f>
        <v>0</v>
      </c>
      <c r="T757" s="71">
        <f>Oportuno!T757</f>
        <v>0</v>
      </c>
      <c r="U757" s="71">
        <f>Oportuno!U757</f>
        <v>0</v>
      </c>
      <c r="V757" s="117">
        <f>Oportuno!V757</f>
        <v>0</v>
      </c>
      <c r="W757" s="117">
        <f>Oportuno!W757</f>
        <v>0</v>
      </c>
      <c r="X757" s="71">
        <f>Oportuno!X757</f>
        <v>0</v>
      </c>
      <c r="Y757" s="71">
        <f>Oportuno!Y757</f>
        <v>0</v>
      </c>
      <c r="AA757" s="65"/>
    </row>
    <row r="758" spans="2:27 16101:16120" ht="13" customHeight="1">
      <c r="B758" s="119">
        <f>Oportuno!B758</f>
        <v>0</v>
      </c>
      <c r="C758" s="23">
        <f>Oportuno!C758</f>
        <v>2026092</v>
      </c>
      <c r="D758" s="23">
        <f>Oportuno!D758</f>
        <v>27</v>
      </c>
      <c r="E758" s="128">
        <f>Oportuno!E758</f>
        <v>0</v>
      </c>
      <c r="F758" s="126" t="e">
        <f>Oportuno!F758</f>
        <v>#N/A</v>
      </c>
      <c r="G758" s="36">
        <f>Oportuno!G758</f>
        <v>1</v>
      </c>
      <c r="H758" s="126" t="str">
        <f>Oportuno!H758</f>
        <v>Oficinas</v>
      </c>
      <c r="I758" s="130">
        <f>Oportuno!I758</f>
        <v>0</v>
      </c>
      <c r="J758" s="174">
        <f>Oportuno!J758</f>
        <v>0</v>
      </c>
      <c r="K758" s="174">
        <f>Oportuno!K758</f>
        <v>0</v>
      </c>
      <c r="L758" s="174">
        <f>Oportuno!L758</f>
        <v>0</v>
      </c>
      <c r="M758" s="174">
        <f>Oportuno!M758</f>
        <v>0</v>
      </c>
      <c r="N758" s="174">
        <f>Oportuno!N758</f>
        <v>0</v>
      </c>
      <c r="O758" s="174">
        <f>Oportuno!O758</f>
        <v>0</v>
      </c>
      <c r="P758" s="174">
        <f>Oportuno!P758</f>
        <v>0</v>
      </c>
      <c r="Q758" s="174">
        <f>Oportuno!Q758</f>
        <v>0</v>
      </c>
      <c r="R758" s="174">
        <f>Oportuno!R758</f>
        <v>0</v>
      </c>
      <c r="S758" s="215">
        <f>Oportuno!S758</f>
        <v>0</v>
      </c>
      <c r="T758" s="71">
        <f>Oportuno!T758</f>
        <v>0</v>
      </c>
      <c r="U758" s="71">
        <f>Oportuno!U758</f>
        <v>0</v>
      </c>
      <c r="V758" s="117">
        <f>Oportuno!V758</f>
        <v>0</v>
      </c>
      <c r="W758" s="117">
        <f>Oportuno!W758</f>
        <v>0</v>
      </c>
      <c r="X758" s="71">
        <f>Oportuno!X758</f>
        <v>0</v>
      </c>
      <c r="Y758" s="71">
        <f>Oportuno!Y758</f>
        <v>0</v>
      </c>
      <c r="AA758" s="65"/>
    </row>
    <row r="759" spans="2:27 16101:16120" ht="13" customHeight="1">
      <c r="B759" s="119">
        <f>Oportuno!B759</f>
        <v>0</v>
      </c>
      <c r="C759" s="23">
        <f>Oportuno!C759</f>
        <v>2026092</v>
      </c>
      <c r="D759" s="23">
        <f>Oportuno!D759</f>
        <v>27</v>
      </c>
      <c r="E759" s="128">
        <f>Oportuno!E759</f>
        <v>0</v>
      </c>
      <c r="F759" s="126" t="e">
        <f>Oportuno!F759</f>
        <v>#N/A</v>
      </c>
      <c r="G759" s="36">
        <f>Oportuno!G759</f>
        <v>1</v>
      </c>
      <c r="H759" s="126" t="str">
        <f>Oportuno!H759</f>
        <v>Oficinas</v>
      </c>
      <c r="I759" s="130">
        <f>Oportuno!I759</f>
        <v>0</v>
      </c>
      <c r="J759" s="174">
        <f>Oportuno!J759</f>
        <v>0</v>
      </c>
      <c r="K759" s="174">
        <f>Oportuno!K759</f>
        <v>0</v>
      </c>
      <c r="L759" s="174">
        <f>Oportuno!L759</f>
        <v>0</v>
      </c>
      <c r="M759" s="174">
        <f>Oportuno!M759</f>
        <v>0</v>
      </c>
      <c r="N759" s="174">
        <f>Oportuno!N759</f>
        <v>0</v>
      </c>
      <c r="O759" s="174">
        <f>Oportuno!O759</f>
        <v>0</v>
      </c>
      <c r="P759" s="174">
        <f>Oportuno!P759</f>
        <v>0</v>
      </c>
      <c r="Q759" s="174">
        <f>Oportuno!Q759</f>
        <v>0</v>
      </c>
      <c r="R759" s="174">
        <f>Oportuno!R759</f>
        <v>0</v>
      </c>
      <c r="S759" s="215">
        <f>Oportuno!S759</f>
        <v>0</v>
      </c>
      <c r="T759" s="71">
        <f>Oportuno!T759</f>
        <v>0</v>
      </c>
      <c r="U759" s="71">
        <f>Oportuno!U759</f>
        <v>0</v>
      </c>
      <c r="V759" s="117">
        <f>Oportuno!V759</f>
        <v>0</v>
      </c>
      <c r="W759" s="117">
        <f>Oportuno!W759</f>
        <v>0</v>
      </c>
      <c r="X759" s="71">
        <f>Oportuno!X759</f>
        <v>0</v>
      </c>
      <c r="Y759" s="71">
        <f>Oportuno!Y759</f>
        <v>0</v>
      </c>
      <c r="AA759" s="65"/>
    </row>
    <row r="760" spans="2:27 16101:16120" ht="13" customHeight="1">
      <c r="B760" s="119">
        <f>Oportuno!B760</f>
        <v>0</v>
      </c>
      <c r="C760" s="23">
        <f>Oportuno!C760</f>
        <v>2026092</v>
      </c>
      <c r="D760" s="23">
        <f>Oportuno!D760</f>
        <v>27</v>
      </c>
      <c r="E760" s="128">
        <f>Oportuno!E760</f>
        <v>0</v>
      </c>
      <c r="F760" s="126" t="e">
        <f>Oportuno!F760</f>
        <v>#N/A</v>
      </c>
      <c r="G760" s="36">
        <f>Oportuno!G760</f>
        <v>1</v>
      </c>
      <c r="H760" s="126" t="str">
        <f>Oportuno!H760</f>
        <v>Oficinas</v>
      </c>
      <c r="I760" s="130">
        <f>Oportuno!I760</f>
        <v>0</v>
      </c>
      <c r="J760" s="174">
        <f>Oportuno!J760</f>
        <v>0</v>
      </c>
      <c r="K760" s="174">
        <f>Oportuno!K760</f>
        <v>0</v>
      </c>
      <c r="L760" s="174">
        <f>Oportuno!L760</f>
        <v>0</v>
      </c>
      <c r="M760" s="174">
        <f>Oportuno!M760</f>
        <v>0</v>
      </c>
      <c r="N760" s="174">
        <f>Oportuno!N760</f>
        <v>0</v>
      </c>
      <c r="O760" s="174">
        <f>Oportuno!O760</f>
        <v>0</v>
      </c>
      <c r="P760" s="174">
        <f>Oportuno!P760</f>
        <v>0</v>
      </c>
      <c r="Q760" s="174">
        <f>Oportuno!Q760</f>
        <v>0</v>
      </c>
      <c r="R760" s="174">
        <f>Oportuno!R760</f>
        <v>0</v>
      </c>
      <c r="S760" s="215">
        <f>Oportuno!S760</f>
        <v>0</v>
      </c>
      <c r="T760" s="71">
        <f>Oportuno!T760</f>
        <v>0</v>
      </c>
      <c r="U760" s="71">
        <f>Oportuno!U760</f>
        <v>0</v>
      </c>
      <c r="V760" s="117">
        <f>Oportuno!V760</f>
        <v>0</v>
      </c>
      <c r="W760" s="117">
        <f>Oportuno!W760</f>
        <v>0</v>
      </c>
      <c r="X760" s="71">
        <f>Oportuno!X760</f>
        <v>0</v>
      </c>
      <c r="Y760" s="71">
        <f>Oportuno!Y760</f>
        <v>0</v>
      </c>
      <c r="AA760" s="65"/>
    </row>
    <row r="761" spans="2:27 16101:16120" ht="13" customHeight="1">
      <c r="B761" s="119">
        <f>Oportuno!B761</f>
        <v>0</v>
      </c>
      <c r="C761" s="23">
        <f>Oportuno!C761</f>
        <v>2026092</v>
      </c>
      <c r="D761" s="23">
        <f>Oportuno!D761</f>
        <v>27</v>
      </c>
      <c r="E761" s="128">
        <f>Oportuno!E761</f>
        <v>0</v>
      </c>
      <c r="F761" s="126" t="e">
        <f>Oportuno!F761</f>
        <v>#N/A</v>
      </c>
      <c r="G761" s="36">
        <f>Oportuno!G761</f>
        <v>1</v>
      </c>
      <c r="H761" s="126" t="str">
        <f>Oportuno!H761</f>
        <v>Oficinas</v>
      </c>
      <c r="I761" s="130">
        <f>Oportuno!I761</f>
        <v>0</v>
      </c>
      <c r="J761" s="174">
        <f>Oportuno!J761</f>
        <v>0</v>
      </c>
      <c r="K761" s="174">
        <f>Oportuno!K761</f>
        <v>0</v>
      </c>
      <c r="L761" s="174">
        <f>Oportuno!L761</f>
        <v>0</v>
      </c>
      <c r="M761" s="174">
        <f>Oportuno!M761</f>
        <v>0</v>
      </c>
      <c r="N761" s="174">
        <f>Oportuno!N761</f>
        <v>0</v>
      </c>
      <c r="O761" s="174">
        <f>Oportuno!O761</f>
        <v>0</v>
      </c>
      <c r="P761" s="174">
        <f>Oportuno!P761</f>
        <v>0</v>
      </c>
      <c r="Q761" s="174">
        <f>Oportuno!Q761</f>
        <v>0</v>
      </c>
      <c r="R761" s="174">
        <f>Oportuno!R761</f>
        <v>0</v>
      </c>
      <c r="S761" s="215">
        <f>Oportuno!S761</f>
        <v>0</v>
      </c>
      <c r="T761" s="71">
        <f>Oportuno!T761</f>
        <v>0</v>
      </c>
      <c r="U761" s="71">
        <f>Oportuno!U761</f>
        <v>0</v>
      </c>
      <c r="V761" s="117">
        <f>Oportuno!V761</f>
        <v>0</v>
      </c>
      <c r="W761" s="117">
        <f>Oportuno!W761</f>
        <v>0</v>
      </c>
      <c r="X761" s="71">
        <f>Oportuno!X761</f>
        <v>0</v>
      </c>
      <c r="Y761" s="71">
        <f>Oportuno!Y761</f>
        <v>0</v>
      </c>
      <c r="AA761" s="65"/>
    </row>
    <row r="762" spans="2:27 16101:16120" ht="13" customHeight="1">
      <c r="B762" s="119">
        <f>Oportuno!B762</f>
        <v>0</v>
      </c>
      <c r="C762" s="23">
        <f>Oportuno!C762</f>
        <v>2026092</v>
      </c>
      <c r="D762" s="23">
        <f>Oportuno!D762</f>
        <v>27</v>
      </c>
      <c r="E762" s="128">
        <f>Oportuno!E762</f>
        <v>0</v>
      </c>
      <c r="F762" s="126" t="e">
        <f>Oportuno!F762</f>
        <v>#N/A</v>
      </c>
      <c r="G762" s="36">
        <f>Oportuno!G762</f>
        <v>1</v>
      </c>
      <c r="H762" s="126" t="str">
        <f>Oportuno!H762</f>
        <v>Oficinas</v>
      </c>
      <c r="I762" s="130">
        <f>Oportuno!I762</f>
        <v>0</v>
      </c>
      <c r="J762" s="174">
        <f>Oportuno!J762</f>
        <v>0</v>
      </c>
      <c r="K762" s="174">
        <f>Oportuno!K762</f>
        <v>0</v>
      </c>
      <c r="L762" s="174">
        <f>Oportuno!L762</f>
        <v>0</v>
      </c>
      <c r="M762" s="174">
        <f>Oportuno!M762</f>
        <v>0</v>
      </c>
      <c r="N762" s="174">
        <f>Oportuno!N762</f>
        <v>0</v>
      </c>
      <c r="O762" s="174">
        <f>Oportuno!O762</f>
        <v>0</v>
      </c>
      <c r="P762" s="174">
        <f>Oportuno!P762</f>
        <v>0</v>
      </c>
      <c r="Q762" s="174">
        <f>Oportuno!Q762</f>
        <v>0</v>
      </c>
      <c r="R762" s="174">
        <f>Oportuno!R762</f>
        <v>0</v>
      </c>
      <c r="S762" s="215">
        <f>Oportuno!S762</f>
        <v>0</v>
      </c>
      <c r="T762" s="71">
        <f>Oportuno!T762</f>
        <v>0</v>
      </c>
      <c r="U762" s="71">
        <f>Oportuno!U762</f>
        <v>0</v>
      </c>
      <c r="V762" s="117">
        <f>Oportuno!V762</f>
        <v>0</v>
      </c>
      <c r="W762" s="117">
        <f>Oportuno!W762</f>
        <v>0</v>
      </c>
      <c r="X762" s="71">
        <f>Oportuno!X762</f>
        <v>0</v>
      </c>
      <c r="Y762" s="71">
        <f>Oportuno!Y762</f>
        <v>0</v>
      </c>
      <c r="AA762" s="65"/>
    </row>
    <row r="763" spans="2:27 16101:16120" ht="13" customHeight="1">
      <c r="B763" s="119">
        <f>Oportuno!B763</f>
        <v>0</v>
      </c>
      <c r="C763" s="23">
        <f>Oportuno!C763</f>
        <v>2026092</v>
      </c>
      <c r="D763" s="23">
        <f>Oportuno!D763</f>
        <v>27</v>
      </c>
      <c r="E763" s="128">
        <f>Oportuno!E763</f>
        <v>0</v>
      </c>
      <c r="F763" s="126" t="e">
        <f>Oportuno!F763</f>
        <v>#N/A</v>
      </c>
      <c r="G763" s="36">
        <f>Oportuno!G763</f>
        <v>1</v>
      </c>
      <c r="H763" s="126" t="str">
        <f>Oportuno!H763</f>
        <v>Oficinas</v>
      </c>
      <c r="I763" s="130">
        <f>Oportuno!I763</f>
        <v>0</v>
      </c>
      <c r="J763" s="174">
        <f>Oportuno!J763</f>
        <v>0</v>
      </c>
      <c r="K763" s="174">
        <f>Oportuno!K763</f>
        <v>0</v>
      </c>
      <c r="L763" s="174">
        <f>Oportuno!L763</f>
        <v>0</v>
      </c>
      <c r="M763" s="174">
        <f>Oportuno!M763</f>
        <v>0</v>
      </c>
      <c r="N763" s="174">
        <f>Oportuno!N763</f>
        <v>0</v>
      </c>
      <c r="O763" s="174">
        <f>Oportuno!O763</f>
        <v>0</v>
      </c>
      <c r="P763" s="174">
        <f>Oportuno!P763</f>
        <v>0</v>
      </c>
      <c r="Q763" s="174">
        <f>Oportuno!Q763</f>
        <v>0</v>
      </c>
      <c r="R763" s="174">
        <f>Oportuno!R763</f>
        <v>0</v>
      </c>
      <c r="S763" s="215">
        <f>Oportuno!S763</f>
        <v>0</v>
      </c>
      <c r="T763" s="71">
        <f>Oportuno!T763</f>
        <v>0</v>
      </c>
      <c r="U763" s="71">
        <f>Oportuno!U763</f>
        <v>0</v>
      </c>
      <c r="V763" s="117">
        <f>Oportuno!V763</f>
        <v>0</v>
      </c>
      <c r="W763" s="117">
        <f>Oportuno!W763</f>
        <v>0</v>
      </c>
      <c r="X763" s="71">
        <f>Oportuno!X763</f>
        <v>0</v>
      </c>
      <c r="Y763" s="71">
        <f>Oportuno!Y763</f>
        <v>0</v>
      </c>
      <c r="AA763" s="65"/>
    </row>
    <row r="764" spans="2:27 16101:16120" ht="13" customHeight="1">
      <c r="B764" s="119">
        <f>Oportuno!B764</f>
        <v>0</v>
      </c>
      <c r="C764" s="23">
        <f>Oportuno!C764</f>
        <v>2026092</v>
      </c>
      <c r="D764" s="23">
        <f>Oportuno!D764</f>
        <v>27</v>
      </c>
      <c r="E764" s="128">
        <f>Oportuno!E764</f>
        <v>0</v>
      </c>
      <c r="F764" s="126" t="e">
        <f>Oportuno!F764</f>
        <v>#N/A</v>
      </c>
      <c r="G764" s="36">
        <f>Oportuno!G764</f>
        <v>1</v>
      </c>
      <c r="H764" s="126" t="str">
        <f>Oportuno!H764</f>
        <v>Oficinas</v>
      </c>
      <c r="I764" s="130">
        <f>Oportuno!I764</f>
        <v>0</v>
      </c>
      <c r="J764" s="174">
        <f>Oportuno!J764</f>
        <v>0</v>
      </c>
      <c r="K764" s="174">
        <f>Oportuno!K764</f>
        <v>0</v>
      </c>
      <c r="L764" s="174">
        <f>Oportuno!L764</f>
        <v>0</v>
      </c>
      <c r="M764" s="174">
        <f>Oportuno!M764</f>
        <v>0</v>
      </c>
      <c r="N764" s="174">
        <f>Oportuno!N764</f>
        <v>0</v>
      </c>
      <c r="O764" s="174">
        <f>Oportuno!O764</f>
        <v>0</v>
      </c>
      <c r="P764" s="174">
        <f>Oportuno!P764</f>
        <v>0</v>
      </c>
      <c r="Q764" s="174">
        <f>Oportuno!Q764</f>
        <v>0</v>
      </c>
      <c r="R764" s="174">
        <f>Oportuno!R764</f>
        <v>0</v>
      </c>
      <c r="S764" s="215">
        <f>Oportuno!S764</f>
        <v>0</v>
      </c>
      <c r="T764" s="71">
        <f>Oportuno!T764</f>
        <v>0</v>
      </c>
      <c r="U764" s="71">
        <f>Oportuno!U764</f>
        <v>0</v>
      </c>
      <c r="V764" s="117">
        <f>Oportuno!V764</f>
        <v>0</v>
      </c>
      <c r="W764" s="117">
        <f>Oportuno!W764</f>
        <v>0</v>
      </c>
      <c r="X764" s="71">
        <f>Oportuno!X764</f>
        <v>0</v>
      </c>
      <c r="Y764" s="71">
        <f>Oportuno!Y764</f>
        <v>0</v>
      </c>
      <c r="AA764" s="65"/>
    </row>
    <row r="765" spans="2:27 16101:16120" ht="13" customHeight="1" thickBot="1">
      <c r="B765" s="119">
        <f>Oportuno!B765</f>
        <v>0</v>
      </c>
      <c r="C765" s="23">
        <f>Oportuno!C765</f>
        <v>2026092</v>
      </c>
      <c r="D765" s="23">
        <f>Oportuno!D765</f>
        <v>27</v>
      </c>
      <c r="E765" s="128">
        <f>Oportuno!E765</f>
        <v>0</v>
      </c>
      <c r="F765" s="126" t="e">
        <f>Oportuno!F765</f>
        <v>#N/A</v>
      </c>
      <c r="G765" s="36">
        <f>Oportuno!G765</f>
        <v>1</v>
      </c>
      <c r="H765" s="126" t="str">
        <f>Oportuno!H765</f>
        <v>Oficinas</v>
      </c>
      <c r="I765" s="130">
        <f>Oportuno!I765</f>
        <v>0</v>
      </c>
      <c r="J765" s="174">
        <f>Oportuno!J765</f>
        <v>0</v>
      </c>
      <c r="K765" s="174">
        <f>Oportuno!K765</f>
        <v>0</v>
      </c>
      <c r="L765" s="174">
        <f>Oportuno!L765</f>
        <v>0</v>
      </c>
      <c r="M765" s="174">
        <f>Oportuno!M765</f>
        <v>0</v>
      </c>
      <c r="N765" s="174">
        <f>Oportuno!N765</f>
        <v>0</v>
      </c>
      <c r="O765" s="174">
        <f>Oportuno!O765</f>
        <v>0</v>
      </c>
      <c r="P765" s="174">
        <f>Oportuno!P765</f>
        <v>0</v>
      </c>
      <c r="Q765" s="174">
        <f>Oportuno!Q765</f>
        <v>0</v>
      </c>
      <c r="R765" s="174">
        <f>Oportuno!R765</f>
        <v>0</v>
      </c>
      <c r="S765" s="215">
        <f>Oportuno!S765</f>
        <v>0</v>
      </c>
      <c r="T765" s="71">
        <f>Oportuno!T765</f>
        <v>0</v>
      </c>
      <c r="U765" s="71">
        <f>Oportuno!U765</f>
        <v>0</v>
      </c>
      <c r="V765" s="117">
        <f>Oportuno!V765</f>
        <v>0</v>
      </c>
      <c r="W765" s="117">
        <f>Oportuno!W765</f>
        <v>0</v>
      </c>
      <c r="X765" s="71">
        <f>Oportuno!X765</f>
        <v>0</v>
      </c>
      <c r="Y765" s="71">
        <f>Oportuno!Y765</f>
        <v>0</v>
      </c>
      <c r="AA765" s="65"/>
    </row>
    <row r="766" spans="2:27 16101:16120" ht="13" customHeight="1" thickBot="1">
      <c r="B766" s="1" t="s">
        <v>0</v>
      </c>
      <c r="C766" s="1" t="s">
        <v>0</v>
      </c>
      <c r="D766" s="20" t="s">
        <v>0</v>
      </c>
      <c r="E766" s="120" t="str">
        <f>Oportuno!E766</f>
        <v xml:space="preserve"> </v>
      </c>
      <c r="F766" s="121" t="str">
        <f>Oportuno!F766</f>
        <v>TOTAL RECAUDO</v>
      </c>
      <c r="G766" s="121" t="s">
        <v>0</v>
      </c>
      <c r="H766" s="121" t="s">
        <v>0</v>
      </c>
      <c r="I766" s="121" t="s">
        <v>0</v>
      </c>
      <c r="J766" s="122">
        <f>Oportuno!J766</f>
        <v>0</v>
      </c>
      <c r="K766" s="122">
        <f>Oportuno!K766</f>
        <v>0</v>
      </c>
      <c r="L766" s="122">
        <f>Oportuno!L766</f>
        <v>0</v>
      </c>
      <c r="M766" s="122">
        <f>Oportuno!M766</f>
        <v>0</v>
      </c>
      <c r="N766" s="122">
        <f>Oportuno!N766</f>
        <v>0</v>
      </c>
      <c r="O766" s="122">
        <f>Oportuno!O766</f>
        <v>0</v>
      </c>
      <c r="P766" s="122">
        <f>Oportuno!P766</f>
        <v>0</v>
      </c>
      <c r="Q766" s="122">
        <f>Oportuno!Q766</f>
        <v>0</v>
      </c>
      <c r="R766" s="122">
        <f>Oportuno!R766</f>
        <v>6</v>
      </c>
      <c r="S766" s="122">
        <f>Oportuno!S766</f>
        <v>294490</v>
      </c>
      <c r="T766" s="122">
        <f>Oportuno!T766</f>
        <v>6</v>
      </c>
      <c r="U766" s="122">
        <f>Oportuno!U766</f>
        <v>294490</v>
      </c>
      <c r="V766" s="123">
        <f>Oportuno!V766</f>
        <v>6</v>
      </c>
      <c r="W766" s="123">
        <f>Oportuno!W766</f>
        <v>294490</v>
      </c>
      <c r="X766" s="122">
        <f>Oportuno!X766</f>
        <v>0</v>
      </c>
      <c r="Y766" s="123">
        <f>Oportuno!Y766</f>
        <v>0</v>
      </c>
      <c r="AA766" s="65"/>
    </row>
    <row r="767" spans="2:27 16101:16120" ht="13" thickBot="1">
      <c r="AA767" s="65"/>
    </row>
    <row r="768" spans="2:27 16101:16120" ht="41.25" customHeight="1" thickBot="1">
      <c r="B768" s="112" t="s">
        <v>4</v>
      </c>
      <c r="C768" s="34" t="s">
        <v>6</v>
      </c>
      <c r="D768" s="34" t="s">
        <v>7</v>
      </c>
      <c r="E768" s="34" t="s">
        <v>49</v>
      </c>
      <c r="F768" s="34" t="s">
        <v>50</v>
      </c>
      <c r="G768" s="34" t="s">
        <v>51</v>
      </c>
      <c r="H768" s="34" t="s">
        <v>52</v>
      </c>
      <c r="I768" s="34" t="s">
        <v>13</v>
      </c>
      <c r="J768" s="231" t="s">
        <v>8</v>
      </c>
      <c r="K768" s="231" t="s">
        <v>36</v>
      </c>
      <c r="L768" s="12" t="s">
        <v>9</v>
      </c>
      <c r="M768" s="12" t="s">
        <v>37</v>
      </c>
      <c r="N768" s="87" t="s">
        <v>10</v>
      </c>
      <c r="O768" s="88" t="s">
        <v>38</v>
      </c>
      <c r="P768" s="87" t="s">
        <v>11</v>
      </c>
      <c r="Q768" s="88" t="s">
        <v>39</v>
      </c>
      <c r="R768" s="232" t="s">
        <v>12</v>
      </c>
      <c r="S768" s="233" t="s">
        <v>40</v>
      </c>
      <c r="T768" s="64" t="s">
        <v>41</v>
      </c>
      <c r="U768" s="64" t="s">
        <v>42</v>
      </c>
      <c r="V768" s="35" t="s">
        <v>32</v>
      </c>
      <c r="W768" s="67" t="s">
        <v>35</v>
      </c>
      <c r="X768" s="12" t="s">
        <v>34</v>
      </c>
      <c r="Y768" s="68" t="s">
        <v>33</v>
      </c>
      <c r="AA768" s="66"/>
      <c r="WUG768" s="1"/>
      <c r="WUH768" s="1"/>
      <c r="WUY768"/>
      <c r="WUZ768"/>
    </row>
    <row r="769" spans="2:27" ht="13" customHeight="1">
      <c r="B769" s="119" t="str">
        <f>Oportuno!B769</f>
        <v>29/09/2026</v>
      </c>
      <c r="C769" s="24">
        <f>Oportuno!C769</f>
        <v>2026092</v>
      </c>
      <c r="D769" s="24">
        <f>Oportuno!D769</f>
        <v>28</v>
      </c>
      <c r="E769" s="127">
        <f>Oportuno!E769</f>
        <v>20</v>
      </c>
      <c r="F769" s="125" t="str">
        <f>Oportuno!F769</f>
        <v>Bancolombia ENERBIT</v>
      </c>
      <c r="G769" s="18">
        <f>Oportuno!G769</f>
        <v>1</v>
      </c>
      <c r="H769" s="125" t="str">
        <f>Oportuno!H769</f>
        <v>Oficinas</v>
      </c>
      <c r="I769" s="129">
        <f>Oportuno!I769</f>
        <v>0</v>
      </c>
      <c r="J769" s="213">
        <f>Oportuno!J769</f>
        <v>0</v>
      </c>
      <c r="K769" s="213">
        <f>Oportuno!K769</f>
        <v>0</v>
      </c>
      <c r="L769" s="213">
        <f>Oportuno!L769</f>
        <v>0</v>
      </c>
      <c r="M769" s="213">
        <f>Oportuno!M769</f>
        <v>0</v>
      </c>
      <c r="N769" s="213">
        <f>Oportuno!N769</f>
        <v>0</v>
      </c>
      <c r="O769" s="213">
        <f>Oportuno!O769</f>
        <v>0</v>
      </c>
      <c r="P769" s="213">
        <f>Oportuno!P769</f>
        <v>0</v>
      </c>
      <c r="Q769" s="213">
        <f>Oportuno!Q769</f>
        <v>0</v>
      </c>
      <c r="R769" s="213">
        <f>Oportuno!R769</f>
        <v>11</v>
      </c>
      <c r="S769" s="214">
        <f>Oportuno!S769</f>
        <v>595260</v>
      </c>
      <c r="T769" s="70">
        <f>Oportuno!T769</f>
        <v>11</v>
      </c>
      <c r="U769" s="70">
        <f>Oportuno!U769</f>
        <v>595260</v>
      </c>
      <c r="V769" s="116">
        <f>Oportuno!V769</f>
        <v>11</v>
      </c>
      <c r="W769" s="116">
        <f>Oportuno!W769</f>
        <v>595260</v>
      </c>
      <c r="X769" s="70">
        <f>Oportuno!X769</f>
        <v>0</v>
      </c>
      <c r="Y769" s="70">
        <f>Oportuno!Y769</f>
        <v>0</v>
      </c>
      <c r="AA769" s="65"/>
    </row>
    <row r="770" spans="2:27" ht="13" customHeight="1">
      <c r="B770" s="119">
        <f>Oportuno!B770</f>
        <v>0</v>
      </c>
      <c r="C770" s="23">
        <f>Oportuno!C770</f>
        <v>2026092</v>
      </c>
      <c r="D770" s="23">
        <f>Oportuno!D770</f>
        <v>28</v>
      </c>
      <c r="E770" s="128">
        <f>Oportuno!E770</f>
        <v>0</v>
      </c>
      <c r="F770" s="126" t="e">
        <f>Oportuno!F770</f>
        <v>#N/A</v>
      </c>
      <c r="G770" s="36">
        <f>Oportuno!G770</f>
        <v>1</v>
      </c>
      <c r="H770" s="126" t="str">
        <f>Oportuno!H770</f>
        <v>Oficinas</v>
      </c>
      <c r="I770" s="130">
        <f>Oportuno!I770</f>
        <v>0</v>
      </c>
      <c r="J770" s="174">
        <f>Oportuno!J770</f>
        <v>0</v>
      </c>
      <c r="K770" s="174">
        <f>Oportuno!K770</f>
        <v>0</v>
      </c>
      <c r="L770" s="174">
        <f>Oportuno!L770</f>
        <v>0</v>
      </c>
      <c r="M770" s="174">
        <f>Oportuno!M770</f>
        <v>0</v>
      </c>
      <c r="N770" s="174">
        <f>Oportuno!N770</f>
        <v>0</v>
      </c>
      <c r="O770" s="174">
        <f>Oportuno!O770</f>
        <v>0</v>
      </c>
      <c r="P770" s="174">
        <f>Oportuno!P770</f>
        <v>0</v>
      </c>
      <c r="Q770" s="174">
        <f>Oportuno!Q770</f>
        <v>0</v>
      </c>
      <c r="R770" s="174">
        <f>Oportuno!R770</f>
        <v>0</v>
      </c>
      <c r="S770" s="215">
        <f>Oportuno!S770</f>
        <v>0</v>
      </c>
      <c r="T770" s="71">
        <f>Oportuno!T770</f>
        <v>0</v>
      </c>
      <c r="U770" s="71">
        <f>Oportuno!U770</f>
        <v>0</v>
      </c>
      <c r="V770" s="117">
        <f>Oportuno!V770</f>
        <v>0</v>
      </c>
      <c r="W770" s="117">
        <f>Oportuno!W770</f>
        <v>0</v>
      </c>
      <c r="X770" s="71">
        <f>Oportuno!X770</f>
        <v>0</v>
      </c>
      <c r="Y770" s="71">
        <f>Oportuno!Y770</f>
        <v>0</v>
      </c>
      <c r="AA770" s="65"/>
    </row>
    <row r="771" spans="2:27" ht="13" customHeight="1">
      <c r="B771" s="119">
        <f>Oportuno!B771</f>
        <v>0</v>
      </c>
      <c r="C771" s="23">
        <f>Oportuno!C771</f>
        <v>2026092</v>
      </c>
      <c r="D771" s="23">
        <f>Oportuno!D771</f>
        <v>28</v>
      </c>
      <c r="E771" s="128">
        <f>Oportuno!E771</f>
        <v>0</v>
      </c>
      <c r="F771" s="126" t="e">
        <f>Oportuno!F771</f>
        <v>#N/A</v>
      </c>
      <c r="G771" s="36">
        <f>Oportuno!G771</f>
        <v>1</v>
      </c>
      <c r="H771" s="126" t="str">
        <f>Oportuno!H771</f>
        <v>Oficinas</v>
      </c>
      <c r="I771" s="130">
        <f>Oportuno!I771</f>
        <v>0</v>
      </c>
      <c r="J771" s="174">
        <f>Oportuno!J771</f>
        <v>0</v>
      </c>
      <c r="K771" s="174">
        <f>Oportuno!K771</f>
        <v>0</v>
      </c>
      <c r="L771" s="174">
        <f>Oportuno!L771</f>
        <v>0</v>
      </c>
      <c r="M771" s="174">
        <f>Oportuno!M771</f>
        <v>0</v>
      </c>
      <c r="N771" s="174">
        <f>Oportuno!N771</f>
        <v>0</v>
      </c>
      <c r="O771" s="174">
        <f>Oportuno!O771</f>
        <v>0</v>
      </c>
      <c r="P771" s="174">
        <f>Oportuno!P771</f>
        <v>0</v>
      </c>
      <c r="Q771" s="174">
        <f>Oportuno!Q771</f>
        <v>0</v>
      </c>
      <c r="R771" s="174">
        <f>Oportuno!R771</f>
        <v>0</v>
      </c>
      <c r="S771" s="215">
        <f>Oportuno!S771</f>
        <v>0</v>
      </c>
      <c r="T771" s="71">
        <f>Oportuno!T771</f>
        <v>0</v>
      </c>
      <c r="U771" s="71">
        <f>Oportuno!U771</f>
        <v>0</v>
      </c>
      <c r="V771" s="117">
        <f>Oportuno!V771</f>
        <v>0</v>
      </c>
      <c r="W771" s="117">
        <f>Oportuno!W771</f>
        <v>0</v>
      </c>
      <c r="X771" s="71">
        <f>Oportuno!X771</f>
        <v>0</v>
      </c>
      <c r="Y771" s="71">
        <f>Oportuno!Y771</f>
        <v>0</v>
      </c>
      <c r="AA771" s="65"/>
    </row>
    <row r="772" spans="2:27" ht="13" customHeight="1">
      <c r="B772" s="119">
        <f>Oportuno!B772</f>
        <v>0</v>
      </c>
      <c r="C772" s="23">
        <f>Oportuno!C772</f>
        <v>2026092</v>
      </c>
      <c r="D772" s="23">
        <f>Oportuno!D772</f>
        <v>28</v>
      </c>
      <c r="E772" s="128">
        <f>Oportuno!E772</f>
        <v>0</v>
      </c>
      <c r="F772" s="126" t="e">
        <f>Oportuno!F772</f>
        <v>#N/A</v>
      </c>
      <c r="G772" s="36">
        <f>Oportuno!G772</f>
        <v>1</v>
      </c>
      <c r="H772" s="126" t="str">
        <f>Oportuno!H772</f>
        <v>Oficinas</v>
      </c>
      <c r="I772" s="130">
        <f>Oportuno!I772</f>
        <v>0</v>
      </c>
      <c r="J772" s="174">
        <f>Oportuno!J772</f>
        <v>0</v>
      </c>
      <c r="K772" s="174">
        <f>Oportuno!K772</f>
        <v>0</v>
      </c>
      <c r="L772" s="174">
        <f>Oportuno!L772</f>
        <v>0</v>
      </c>
      <c r="M772" s="174">
        <f>Oportuno!M772</f>
        <v>0</v>
      </c>
      <c r="N772" s="174">
        <f>Oportuno!N772</f>
        <v>0</v>
      </c>
      <c r="O772" s="174">
        <f>Oportuno!O772</f>
        <v>0</v>
      </c>
      <c r="P772" s="174">
        <f>Oportuno!P772</f>
        <v>0</v>
      </c>
      <c r="Q772" s="174">
        <f>Oportuno!Q772</f>
        <v>0</v>
      </c>
      <c r="R772" s="174">
        <f>Oportuno!R772</f>
        <v>0</v>
      </c>
      <c r="S772" s="215">
        <f>Oportuno!S772</f>
        <v>0</v>
      </c>
      <c r="T772" s="71">
        <f>Oportuno!T772</f>
        <v>0</v>
      </c>
      <c r="U772" s="71">
        <f>Oportuno!U772</f>
        <v>0</v>
      </c>
      <c r="V772" s="117">
        <f>Oportuno!V772</f>
        <v>0</v>
      </c>
      <c r="W772" s="117">
        <f>Oportuno!W772</f>
        <v>0</v>
      </c>
      <c r="X772" s="71">
        <f>Oportuno!X772</f>
        <v>0</v>
      </c>
      <c r="Y772" s="71">
        <f>Oportuno!Y772</f>
        <v>0</v>
      </c>
      <c r="AA772" s="65"/>
    </row>
    <row r="773" spans="2:27" ht="13" customHeight="1">
      <c r="B773" s="119">
        <f>Oportuno!B773</f>
        <v>0</v>
      </c>
      <c r="C773" s="23">
        <f>Oportuno!C773</f>
        <v>2026092</v>
      </c>
      <c r="D773" s="23">
        <f>Oportuno!D773</f>
        <v>28</v>
      </c>
      <c r="E773" s="128">
        <f>Oportuno!E773</f>
        <v>0</v>
      </c>
      <c r="F773" s="126" t="e">
        <f>Oportuno!F773</f>
        <v>#N/A</v>
      </c>
      <c r="G773" s="36">
        <f>Oportuno!G773</f>
        <v>1</v>
      </c>
      <c r="H773" s="126" t="str">
        <f>Oportuno!H773</f>
        <v>Oficinas</v>
      </c>
      <c r="I773" s="130">
        <f>Oportuno!I773</f>
        <v>0</v>
      </c>
      <c r="J773" s="174">
        <f>Oportuno!J773</f>
        <v>0</v>
      </c>
      <c r="K773" s="174">
        <f>Oportuno!K773</f>
        <v>0</v>
      </c>
      <c r="L773" s="174">
        <f>Oportuno!L773</f>
        <v>0</v>
      </c>
      <c r="M773" s="174">
        <f>Oportuno!M773</f>
        <v>0</v>
      </c>
      <c r="N773" s="174">
        <f>Oportuno!N773</f>
        <v>0</v>
      </c>
      <c r="O773" s="174">
        <f>Oportuno!O773</f>
        <v>0</v>
      </c>
      <c r="P773" s="174">
        <f>Oportuno!P773</f>
        <v>0</v>
      </c>
      <c r="Q773" s="174">
        <f>Oportuno!Q773</f>
        <v>0</v>
      </c>
      <c r="R773" s="174">
        <f>Oportuno!R773</f>
        <v>0</v>
      </c>
      <c r="S773" s="215">
        <f>Oportuno!S773</f>
        <v>0</v>
      </c>
      <c r="T773" s="71">
        <f>Oportuno!T773</f>
        <v>0</v>
      </c>
      <c r="U773" s="71">
        <f>Oportuno!U773</f>
        <v>0</v>
      </c>
      <c r="V773" s="117">
        <f>Oportuno!V773</f>
        <v>0</v>
      </c>
      <c r="W773" s="117">
        <f>Oportuno!W773</f>
        <v>0</v>
      </c>
      <c r="X773" s="71">
        <f>Oportuno!X773</f>
        <v>0</v>
      </c>
      <c r="Y773" s="71">
        <f>Oportuno!Y773</f>
        <v>0</v>
      </c>
      <c r="AA773" s="65"/>
    </row>
    <row r="774" spans="2:27" ht="13" customHeight="1">
      <c r="B774" s="119">
        <f>Oportuno!B774</f>
        <v>0</v>
      </c>
      <c r="C774" s="23">
        <f>Oportuno!C774</f>
        <v>2026092</v>
      </c>
      <c r="D774" s="23">
        <f>Oportuno!D774</f>
        <v>28</v>
      </c>
      <c r="E774" s="128">
        <f>Oportuno!E774</f>
        <v>0</v>
      </c>
      <c r="F774" s="126" t="e">
        <f>Oportuno!F774</f>
        <v>#N/A</v>
      </c>
      <c r="G774" s="36">
        <f>Oportuno!G774</f>
        <v>1</v>
      </c>
      <c r="H774" s="126" t="str">
        <f>Oportuno!H774</f>
        <v>Oficinas</v>
      </c>
      <c r="I774" s="130">
        <f>Oportuno!I774</f>
        <v>0</v>
      </c>
      <c r="J774" s="174">
        <f>Oportuno!J774</f>
        <v>0</v>
      </c>
      <c r="K774" s="174">
        <f>Oportuno!K774</f>
        <v>0</v>
      </c>
      <c r="L774" s="174">
        <f>Oportuno!L774</f>
        <v>0</v>
      </c>
      <c r="M774" s="174">
        <f>Oportuno!M774</f>
        <v>0</v>
      </c>
      <c r="N774" s="174">
        <f>Oportuno!N774</f>
        <v>0</v>
      </c>
      <c r="O774" s="174">
        <f>Oportuno!O774</f>
        <v>0</v>
      </c>
      <c r="P774" s="174">
        <f>Oportuno!P774</f>
        <v>0</v>
      </c>
      <c r="Q774" s="174">
        <f>Oportuno!Q774</f>
        <v>0</v>
      </c>
      <c r="R774" s="174">
        <f>Oportuno!R774</f>
        <v>0</v>
      </c>
      <c r="S774" s="215">
        <f>Oportuno!S774</f>
        <v>0</v>
      </c>
      <c r="T774" s="71">
        <f>Oportuno!T774</f>
        <v>0</v>
      </c>
      <c r="U774" s="71">
        <f>Oportuno!U774</f>
        <v>0</v>
      </c>
      <c r="V774" s="117">
        <f>Oportuno!V774</f>
        <v>0</v>
      </c>
      <c r="W774" s="117">
        <f>Oportuno!W774</f>
        <v>0</v>
      </c>
      <c r="X774" s="71">
        <f>Oportuno!X774</f>
        <v>0</v>
      </c>
      <c r="Y774" s="71">
        <f>Oportuno!Y774</f>
        <v>0</v>
      </c>
      <c r="AA774" s="65"/>
    </row>
    <row r="775" spans="2:27" ht="13" customHeight="1">
      <c r="B775" s="119">
        <f>Oportuno!B775</f>
        <v>0</v>
      </c>
      <c r="C775" s="23">
        <f>Oportuno!C775</f>
        <v>2026092</v>
      </c>
      <c r="D775" s="23">
        <f>Oportuno!D775</f>
        <v>28</v>
      </c>
      <c r="E775" s="128">
        <f>Oportuno!E775</f>
        <v>0</v>
      </c>
      <c r="F775" s="126" t="e">
        <f>Oportuno!F775</f>
        <v>#N/A</v>
      </c>
      <c r="G775" s="36">
        <f>Oportuno!G775</f>
        <v>1</v>
      </c>
      <c r="H775" s="126" t="str">
        <f>Oportuno!H775</f>
        <v>Oficinas</v>
      </c>
      <c r="I775" s="130">
        <f>Oportuno!I775</f>
        <v>0</v>
      </c>
      <c r="J775" s="174">
        <f>Oportuno!J775</f>
        <v>0</v>
      </c>
      <c r="K775" s="174">
        <f>Oportuno!K775</f>
        <v>0</v>
      </c>
      <c r="L775" s="174">
        <f>Oportuno!L775</f>
        <v>0</v>
      </c>
      <c r="M775" s="174">
        <f>Oportuno!M775</f>
        <v>0</v>
      </c>
      <c r="N775" s="174">
        <f>Oportuno!N775</f>
        <v>0</v>
      </c>
      <c r="O775" s="174">
        <f>Oportuno!O775</f>
        <v>0</v>
      </c>
      <c r="P775" s="174">
        <f>Oportuno!P775</f>
        <v>0</v>
      </c>
      <c r="Q775" s="174">
        <f>Oportuno!Q775</f>
        <v>0</v>
      </c>
      <c r="R775" s="174">
        <f>Oportuno!R775</f>
        <v>0</v>
      </c>
      <c r="S775" s="215">
        <f>Oportuno!S775</f>
        <v>0</v>
      </c>
      <c r="T775" s="71">
        <f>Oportuno!T775</f>
        <v>0</v>
      </c>
      <c r="U775" s="71">
        <f>Oportuno!U775</f>
        <v>0</v>
      </c>
      <c r="V775" s="117">
        <f>Oportuno!V775</f>
        <v>0</v>
      </c>
      <c r="W775" s="117">
        <f>Oportuno!W775</f>
        <v>0</v>
      </c>
      <c r="X775" s="71">
        <f>Oportuno!X775</f>
        <v>0</v>
      </c>
      <c r="Y775" s="71">
        <f>Oportuno!Y775</f>
        <v>0</v>
      </c>
      <c r="AA775" s="65"/>
    </row>
    <row r="776" spans="2:27" ht="13" customHeight="1">
      <c r="B776" s="119">
        <f>Oportuno!B776</f>
        <v>0</v>
      </c>
      <c r="C776" s="23">
        <f>Oportuno!C776</f>
        <v>2026092</v>
      </c>
      <c r="D776" s="23">
        <f>Oportuno!D776</f>
        <v>28</v>
      </c>
      <c r="E776" s="128">
        <f>Oportuno!E776</f>
        <v>0</v>
      </c>
      <c r="F776" s="126" t="e">
        <f>Oportuno!F776</f>
        <v>#N/A</v>
      </c>
      <c r="G776" s="36">
        <f>Oportuno!G776</f>
        <v>1</v>
      </c>
      <c r="H776" s="126" t="str">
        <f>Oportuno!H776</f>
        <v>Oficinas</v>
      </c>
      <c r="I776" s="130">
        <f>Oportuno!I776</f>
        <v>0</v>
      </c>
      <c r="J776" s="174">
        <f>Oportuno!J776</f>
        <v>0</v>
      </c>
      <c r="K776" s="174">
        <f>Oportuno!K776</f>
        <v>0</v>
      </c>
      <c r="L776" s="174">
        <f>Oportuno!L776</f>
        <v>0</v>
      </c>
      <c r="M776" s="174">
        <f>Oportuno!M776</f>
        <v>0</v>
      </c>
      <c r="N776" s="174">
        <f>Oportuno!N776</f>
        <v>0</v>
      </c>
      <c r="O776" s="174">
        <f>Oportuno!O776</f>
        <v>0</v>
      </c>
      <c r="P776" s="174">
        <f>Oportuno!P776</f>
        <v>0</v>
      </c>
      <c r="Q776" s="174">
        <f>Oportuno!Q776</f>
        <v>0</v>
      </c>
      <c r="R776" s="174">
        <f>Oportuno!R776</f>
        <v>0</v>
      </c>
      <c r="S776" s="215">
        <f>Oportuno!S776</f>
        <v>0</v>
      </c>
      <c r="T776" s="71">
        <f>Oportuno!T776</f>
        <v>0</v>
      </c>
      <c r="U776" s="71">
        <f>Oportuno!U776</f>
        <v>0</v>
      </c>
      <c r="V776" s="117">
        <f>Oportuno!V776</f>
        <v>0</v>
      </c>
      <c r="W776" s="117">
        <f>Oportuno!W776</f>
        <v>0</v>
      </c>
      <c r="X776" s="71">
        <f>Oportuno!X776</f>
        <v>0</v>
      </c>
      <c r="Y776" s="71">
        <f>Oportuno!Y776</f>
        <v>0</v>
      </c>
      <c r="AA776" s="65"/>
    </row>
    <row r="777" spans="2:27" ht="13" customHeight="1">
      <c r="B777" s="119">
        <f>Oportuno!B777</f>
        <v>0</v>
      </c>
      <c r="C777" s="23">
        <f>Oportuno!C777</f>
        <v>2026092</v>
      </c>
      <c r="D777" s="23">
        <f>Oportuno!D777</f>
        <v>28</v>
      </c>
      <c r="E777" s="128">
        <f>Oportuno!E777</f>
        <v>0</v>
      </c>
      <c r="F777" s="126" t="e">
        <f>Oportuno!F777</f>
        <v>#N/A</v>
      </c>
      <c r="G777" s="36">
        <f>Oportuno!G777</f>
        <v>1</v>
      </c>
      <c r="H777" s="126" t="str">
        <f>Oportuno!H777</f>
        <v>Oficinas</v>
      </c>
      <c r="I777" s="130">
        <f>Oportuno!I777</f>
        <v>0</v>
      </c>
      <c r="J777" s="174">
        <f>Oportuno!J777</f>
        <v>0</v>
      </c>
      <c r="K777" s="174">
        <f>Oportuno!K777</f>
        <v>0</v>
      </c>
      <c r="L777" s="174">
        <f>Oportuno!L777</f>
        <v>0</v>
      </c>
      <c r="M777" s="174">
        <f>Oportuno!M777</f>
        <v>0</v>
      </c>
      <c r="N777" s="174">
        <f>Oportuno!N777</f>
        <v>0</v>
      </c>
      <c r="O777" s="174">
        <f>Oportuno!O777</f>
        <v>0</v>
      </c>
      <c r="P777" s="174">
        <f>Oportuno!P777</f>
        <v>0</v>
      </c>
      <c r="Q777" s="174">
        <f>Oportuno!Q777</f>
        <v>0</v>
      </c>
      <c r="R777" s="174">
        <f>Oportuno!R777</f>
        <v>0</v>
      </c>
      <c r="S777" s="215">
        <f>Oportuno!S777</f>
        <v>0</v>
      </c>
      <c r="T777" s="71">
        <f>Oportuno!T777</f>
        <v>0</v>
      </c>
      <c r="U777" s="71">
        <f>Oportuno!U777</f>
        <v>0</v>
      </c>
      <c r="V777" s="117">
        <f>Oportuno!V777</f>
        <v>0</v>
      </c>
      <c r="W777" s="117">
        <f>Oportuno!W777</f>
        <v>0</v>
      </c>
      <c r="X777" s="71">
        <f>Oportuno!X777</f>
        <v>0</v>
      </c>
      <c r="Y777" s="71">
        <f>Oportuno!Y777</f>
        <v>0</v>
      </c>
      <c r="AA777" s="65"/>
    </row>
    <row r="778" spans="2:27" ht="13" customHeight="1">
      <c r="B778" s="119">
        <f>Oportuno!B778</f>
        <v>0</v>
      </c>
      <c r="C778" s="23">
        <f>Oportuno!C778</f>
        <v>2026092</v>
      </c>
      <c r="D778" s="23">
        <f>Oportuno!D778</f>
        <v>28</v>
      </c>
      <c r="E778" s="128">
        <f>Oportuno!E778</f>
        <v>0</v>
      </c>
      <c r="F778" s="126" t="e">
        <f>Oportuno!F778</f>
        <v>#N/A</v>
      </c>
      <c r="G778" s="36">
        <f>Oportuno!G778</f>
        <v>1</v>
      </c>
      <c r="H778" s="126" t="str">
        <f>Oportuno!H778</f>
        <v>Oficinas</v>
      </c>
      <c r="I778" s="130">
        <f>Oportuno!I778</f>
        <v>0</v>
      </c>
      <c r="J778" s="174">
        <f>Oportuno!J778</f>
        <v>0</v>
      </c>
      <c r="K778" s="174">
        <f>Oportuno!K778</f>
        <v>0</v>
      </c>
      <c r="L778" s="174">
        <f>Oportuno!L778</f>
        <v>0</v>
      </c>
      <c r="M778" s="174">
        <f>Oportuno!M778</f>
        <v>0</v>
      </c>
      <c r="N778" s="174">
        <f>Oportuno!N778</f>
        <v>0</v>
      </c>
      <c r="O778" s="174">
        <f>Oportuno!O778</f>
        <v>0</v>
      </c>
      <c r="P778" s="174">
        <f>Oportuno!P778</f>
        <v>0</v>
      </c>
      <c r="Q778" s="174">
        <f>Oportuno!Q778</f>
        <v>0</v>
      </c>
      <c r="R778" s="174">
        <f>Oportuno!R778</f>
        <v>0</v>
      </c>
      <c r="S778" s="215">
        <f>Oportuno!S778</f>
        <v>0</v>
      </c>
      <c r="T778" s="71">
        <f>Oportuno!T778</f>
        <v>0</v>
      </c>
      <c r="U778" s="71">
        <f>Oportuno!U778</f>
        <v>0</v>
      </c>
      <c r="V778" s="117">
        <f>Oportuno!V778</f>
        <v>0</v>
      </c>
      <c r="W778" s="117">
        <f>Oportuno!W778</f>
        <v>0</v>
      </c>
      <c r="X778" s="71">
        <f>Oportuno!X778</f>
        <v>0</v>
      </c>
      <c r="Y778" s="71">
        <f>Oportuno!Y778</f>
        <v>0</v>
      </c>
      <c r="AA778" s="65"/>
    </row>
    <row r="779" spans="2:27" ht="13" customHeight="1">
      <c r="B779" s="119">
        <f>Oportuno!B779</f>
        <v>0</v>
      </c>
      <c r="C779" s="23">
        <f>Oportuno!C779</f>
        <v>2026092</v>
      </c>
      <c r="D779" s="23">
        <f>Oportuno!D779</f>
        <v>28</v>
      </c>
      <c r="E779" s="128">
        <f>Oportuno!E779</f>
        <v>0</v>
      </c>
      <c r="F779" s="126" t="e">
        <f>Oportuno!F779</f>
        <v>#N/A</v>
      </c>
      <c r="G779" s="36">
        <f>Oportuno!G779</f>
        <v>1</v>
      </c>
      <c r="H779" s="126" t="str">
        <f>Oportuno!H779</f>
        <v>Oficinas</v>
      </c>
      <c r="I779" s="130">
        <f>Oportuno!I779</f>
        <v>0</v>
      </c>
      <c r="J779" s="174">
        <f>Oportuno!J779</f>
        <v>0</v>
      </c>
      <c r="K779" s="174">
        <f>Oportuno!K779</f>
        <v>0</v>
      </c>
      <c r="L779" s="174">
        <f>Oportuno!L779</f>
        <v>0</v>
      </c>
      <c r="M779" s="174">
        <f>Oportuno!M779</f>
        <v>0</v>
      </c>
      <c r="N779" s="174">
        <f>Oportuno!N779</f>
        <v>0</v>
      </c>
      <c r="O779" s="174">
        <f>Oportuno!O779</f>
        <v>0</v>
      </c>
      <c r="P779" s="174">
        <f>Oportuno!P779</f>
        <v>0</v>
      </c>
      <c r="Q779" s="174">
        <f>Oportuno!Q779</f>
        <v>0</v>
      </c>
      <c r="R779" s="174">
        <f>Oportuno!R779</f>
        <v>0</v>
      </c>
      <c r="S779" s="215">
        <f>Oportuno!S779</f>
        <v>0</v>
      </c>
      <c r="T779" s="71">
        <f>Oportuno!T779</f>
        <v>0</v>
      </c>
      <c r="U779" s="71">
        <f>Oportuno!U779</f>
        <v>0</v>
      </c>
      <c r="V779" s="117">
        <f>Oportuno!V779</f>
        <v>0</v>
      </c>
      <c r="W779" s="117">
        <f>Oportuno!W779</f>
        <v>0</v>
      </c>
      <c r="X779" s="71">
        <f>Oportuno!X779</f>
        <v>0</v>
      </c>
      <c r="Y779" s="71">
        <f>Oportuno!Y779</f>
        <v>0</v>
      </c>
      <c r="AA779" s="65"/>
    </row>
    <row r="780" spans="2:27" ht="13" customHeight="1">
      <c r="B780" s="119">
        <f>Oportuno!B780</f>
        <v>0</v>
      </c>
      <c r="C780" s="23">
        <f>Oportuno!C780</f>
        <v>2026092</v>
      </c>
      <c r="D780" s="23">
        <f>Oportuno!D780</f>
        <v>28</v>
      </c>
      <c r="E780" s="128">
        <f>Oportuno!E780</f>
        <v>0</v>
      </c>
      <c r="F780" s="126" t="e">
        <f>Oportuno!F780</f>
        <v>#N/A</v>
      </c>
      <c r="G780" s="36">
        <f>Oportuno!G780</f>
        <v>1</v>
      </c>
      <c r="H780" s="126" t="str">
        <f>Oportuno!H780</f>
        <v>Oficinas</v>
      </c>
      <c r="I780" s="130">
        <f>Oportuno!I780</f>
        <v>0</v>
      </c>
      <c r="J780" s="174">
        <f>Oportuno!J780</f>
        <v>0</v>
      </c>
      <c r="K780" s="174">
        <f>Oportuno!K780</f>
        <v>0</v>
      </c>
      <c r="L780" s="174">
        <f>Oportuno!L780</f>
        <v>0</v>
      </c>
      <c r="M780" s="174">
        <f>Oportuno!M780</f>
        <v>0</v>
      </c>
      <c r="N780" s="174">
        <f>Oportuno!N780</f>
        <v>0</v>
      </c>
      <c r="O780" s="174">
        <f>Oportuno!O780</f>
        <v>0</v>
      </c>
      <c r="P780" s="174">
        <f>Oportuno!P780</f>
        <v>0</v>
      </c>
      <c r="Q780" s="174">
        <f>Oportuno!Q780</f>
        <v>0</v>
      </c>
      <c r="R780" s="174">
        <f>Oportuno!R780</f>
        <v>0</v>
      </c>
      <c r="S780" s="215">
        <f>Oportuno!S780</f>
        <v>0</v>
      </c>
      <c r="T780" s="71">
        <f>Oportuno!T780</f>
        <v>0</v>
      </c>
      <c r="U780" s="71">
        <f>Oportuno!U780</f>
        <v>0</v>
      </c>
      <c r="V780" s="117">
        <f>Oportuno!V780</f>
        <v>0</v>
      </c>
      <c r="W780" s="117">
        <f>Oportuno!W780</f>
        <v>0</v>
      </c>
      <c r="X780" s="71">
        <f>Oportuno!X780</f>
        <v>0</v>
      </c>
      <c r="Y780" s="71">
        <f>Oportuno!Y780</f>
        <v>0</v>
      </c>
      <c r="AA780" s="65"/>
    </row>
    <row r="781" spans="2:27" ht="13" customHeight="1">
      <c r="B781" s="119">
        <f>Oportuno!B781</f>
        <v>0</v>
      </c>
      <c r="C781" s="23">
        <f>Oportuno!C781</f>
        <v>2026092</v>
      </c>
      <c r="D781" s="23">
        <f>Oportuno!D781</f>
        <v>28</v>
      </c>
      <c r="E781" s="128">
        <f>Oportuno!E781</f>
        <v>0</v>
      </c>
      <c r="F781" s="126" t="e">
        <f>Oportuno!F781</f>
        <v>#N/A</v>
      </c>
      <c r="G781" s="36">
        <f>Oportuno!G781</f>
        <v>1</v>
      </c>
      <c r="H781" s="126" t="str">
        <f>Oportuno!H781</f>
        <v>Oficinas</v>
      </c>
      <c r="I781" s="130">
        <f>Oportuno!I781</f>
        <v>0</v>
      </c>
      <c r="J781" s="174">
        <f>Oportuno!J781</f>
        <v>0</v>
      </c>
      <c r="K781" s="174">
        <f>Oportuno!K781</f>
        <v>0</v>
      </c>
      <c r="L781" s="174">
        <f>Oportuno!L781</f>
        <v>0</v>
      </c>
      <c r="M781" s="174">
        <f>Oportuno!M781</f>
        <v>0</v>
      </c>
      <c r="N781" s="174">
        <f>Oportuno!N781</f>
        <v>0</v>
      </c>
      <c r="O781" s="174">
        <f>Oportuno!O781</f>
        <v>0</v>
      </c>
      <c r="P781" s="174">
        <f>Oportuno!P781</f>
        <v>0</v>
      </c>
      <c r="Q781" s="174">
        <f>Oportuno!Q781</f>
        <v>0</v>
      </c>
      <c r="R781" s="174">
        <f>Oportuno!R781</f>
        <v>0</v>
      </c>
      <c r="S781" s="215">
        <f>Oportuno!S781</f>
        <v>0</v>
      </c>
      <c r="T781" s="71">
        <f>Oportuno!T781</f>
        <v>0</v>
      </c>
      <c r="U781" s="71">
        <f>Oportuno!U781</f>
        <v>0</v>
      </c>
      <c r="V781" s="117">
        <f>Oportuno!V781</f>
        <v>0</v>
      </c>
      <c r="W781" s="117">
        <f>Oportuno!W781</f>
        <v>0</v>
      </c>
      <c r="X781" s="71">
        <f>Oportuno!X781</f>
        <v>0</v>
      </c>
      <c r="Y781" s="71">
        <f>Oportuno!Y781</f>
        <v>0</v>
      </c>
      <c r="AA781" s="65"/>
    </row>
    <row r="782" spans="2:27" ht="13" customHeight="1">
      <c r="B782" s="119">
        <f>Oportuno!B782</f>
        <v>0</v>
      </c>
      <c r="C782" s="23">
        <f>Oportuno!C782</f>
        <v>2026092</v>
      </c>
      <c r="D782" s="23">
        <f>Oportuno!D782</f>
        <v>28</v>
      </c>
      <c r="E782" s="128">
        <f>Oportuno!E782</f>
        <v>0</v>
      </c>
      <c r="F782" s="126" t="e">
        <f>Oportuno!F782</f>
        <v>#N/A</v>
      </c>
      <c r="G782" s="36">
        <f>Oportuno!G782</f>
        <v>1</v>
      </c>
      <c r="H782" s="126" t="str">
        <f>Oportuno!H782</f>
        <v>Oficinas</v>
      </c>
      <c r="I782" s="130">
        <f>Oportuno!I782</f>
        <v>0</v>
      </c>
      <c r="J782" s="174">
        <f>Oportuno!J782</f>
        <v>0</v>
      </c>
      <c r="K782" s="174">
        <f>Oportuno!K782</f>
        <v>0</v>
      </c>
      <c r="L782" s="174">
        <f>Oportuno!L782</f>
        <v>0</v>
      </c>
      <c r="M782" s="174">
        <f>Oportuno!M782</f>
        <v>0</v>
      </c>
      <c r="N782" s="174">
        <f>Oportuno!N782</f>
        <v>0</v>
      </c>
      <c r="O782" s="174">
        <f>Oportuno!O782</f>
        <v>0</v>
      </c>
      <c r="P782" s="174">
        <f>Oportuno!P782</f>
        <v>0</v>
      </c>
      <c r="Q782" s="174">
        <f>Oportuno!Q782</f>
        <v>0</v>
      </c>
      <c r="R782" s="174">
        <f>Oportuno!R782</f>
        <v>0</v>
      </c>
      <c r="S782" s="215">
        <f>Oportuno!S782</f>
        <v>0</v>
      </c>
      <c r="T782" s="71">
        <f>Oportuno!T782</f>
        <v>0</v>
      </c>
      <c r="U782" s="71">
        <f>Oportuno!U782</f>
        <v>0</v>
      </c>
      <c r="V782" s="117">
        <f>Oportuno!V782</f>
        <v>0</v>
      </c>
      <c r="W782" s="117">
        <f>Oportuno!W782</f>
        <v>0</v>
      </c>
      <c r="X782" s="71">
        <f>Oportuno!X782</f>
        <v>0</v>
      </c>
      <c r="Y782" s="71">
        <f>Oportuno!Y782</f>
        <v>0</v>
      </c>
      <c r="AA782" s="65"/>
    </row>
    <row r="783" spans="2:27" ht="13" customHeight="1">
      <c r="B783" s="119">
        <f>Oportuno!B783</f>
        <v>0</v>
      </c>
      <c r="C783" s="23">
        <f>Oportuno!C783</f>
        <v>2026092</v>
      </c>
      <c r="D783" s="23">
        <f>Oportuno!D783</f>
        <v>28</v>
      </c>
      <c r="E783" s="128">
        <f>Oportuno!E783</f>
        <v>0</v>
      </c>
      <c r="F783" s="126" t="e">
        <f>Oportuno!F783</f>
        <v>#N/A</v>
      </c>
      <c r="G783" s="36">
        <f>Oportuno!G783</f>
        <v>1</v>
      </c>
      <c r="H783" s="126" t="str">
        <f>Oportuno!H783</f>
        <v>Oficinas</v>
      </c>
      <c r="I783" s="130">
        <f>Oportuno!I783</f>
        <v>0</v>
      </c>
      <c r="J783" s="174">
        <f>Oportuno!J783</f>
        <v>0</v>
      </c>
      <c r="K783" s="174">
        <f>Oportuno!K783</f>
        <v>0</v>
      </c>
      <c r="L783" s="174">
        <f>Oportuno!L783</f>
        <v>0</v>
      </c>
      <c r="M783" s="174">
        <f>Oportuno!M783</f>
        <v>0</v>
      </c>
      <c r="N783" s="174">
        <f>Oportuno!N783</f>
        <v>0</v>
      </c>
      <c r="O783" s="174">
        <f>Oportuno!O783</f>
        <v>0</v>
      </c>
      <c r="P783" s="174">
        <f>Oportuno!P783</f>
        <v>0</v>
      </c>
      <c r="Q783" s="174">
        <f>Oportuno!Q783</f>
        <v>0</v>
      </c>
      <c r="R783" s="174">
        <f>Oportuno!R783</f>
        <v>0</v>
      </c>
      <c r="S783" s="215">
        <f>Oportuno!S783</f>
        <v>0</v>
      </c>
      <c r="T783" s="71">
        <f>Oportuno!T783</f>
        <v>0</v>
      </c>
      <c r="U783" s="71">
        <f>Oportuno!U783</f>
        <v>0</v>
      </c>
      <c r="V783" s="117">
        <f>Oportuno!V783</f>
        <v>0</v>
      </c>
      <c r="W783" s="117">
        <f>Oportuno!W783</f>
        <v>0</v>
      </c>
      <c r="X783" s="71">
        <f>Oportuno!X783</f>
        <v>0</v>
      </c>
      <c r="Y783" s="71">
        <f>Oportuno!Y783</f>
        <v>0</v>
      </c>
      <c r="AA783" s="65"/>
    </row>
    <row r="784" spans="2:27" ht="12" customHeight="1">
      <c r="B784" s="119">
        <f>Oportuno!B784</f>
        <v>0</v>
      </c>
      <c r="C784" s="23">
        <f>Oportuno!C784</f>
        <v>2026092</v>
      </c>
      <c r="D784" s="23">
        <f>Oportuno!D784</f>
        <v>28</v>
      </c>
      <c r="E784" s="128">
        <f>Oportuno!E784</f>
        <v>0</v>
      </c>
      <c r="F784" s="126" t="e">
        <f>Oportuno!F784</f>
        <v>#N/A</v>
      </c>
      <c r="G784" s="36">
        <f>Oportuno!G784</f>
        <v>1</v>
      </c>
      <c r="H784" s="126" t="str">
        <f>Oportuno!H784</f>
        <v>Oficinas</v>
      </c>
      <c r="I784" s="130">
        <f>Oportuno!I784</f>
        <v>0</v>
      </c>
      <c r="J784" s="174">
        <f>Oportuno!J784</f>
        <v>0</v>
      </c>
      <c r="K784" s="174">
        <f>Oportuno!K784</f>
        <v>0</v>
      </c>
      <c r="L784" s="174">
        <f>Oportuno!L784</f>
        <v>0</v>
      </c>
      <c r="M784" s="174">
        <f>Oportuno!M784</f>
        <v>0</v>
      </c>
      <c r="N784" s="174">
        <f>Oportuno!N784</f>
        <v>0</v>
      </c>
      <c r="O784" s="174">
        <f>Oportuno!O784</f>
        <v>0</v>
      </c>
      <c r="P784" s="174">
        <f>Oportuno!P784</f>
        <v>0</v>
      </c>
      <c r="Q784" s="174">
        <f>Oportuno!Q784</f>
        <v>0</v>
      </c>
      <c r="R784" s="174">
        <f>Oportuno!R784</f>
        <v>0</v>
      </c>
      <c r="S784" s="215">
        <f>Oportuno!S784</f>
        <v>0</v>
      </c>
      <c r="T784" s="71">
        <f>Oportuno!T784</f>
        <v>0</v>
      </c>
      <c r="U784" s="71">
        <f>Oportuno!U784</f>
        <v>0</v>
      </c>
      <c r="V784" s="117">
        <f>Oportuno!V784</f>
        <v>0</v>
      </c>
      <c r="W784" s="117">
        <f>Oportuno!W784</f>
        <v>0</v>
      </c>
      <c r="X784" s="71">
        <f>Oportuno!X784</f>
        <v>0</v>
      </c>
      <c r="Y784" s="71">
        <f>Oportuno!Y784</f>
        <v>0</v>
      </c>
      <c r="AA784" s="65"/>
    </row>
    <row r="785" spans="2:27 16101:16120" ht="13" customHeight="1">
      <c r="B785" s="119">
        <f>Oportuno!B785</f>
        <v>0</v>
      </c>
      <c r="C785" s="23">
        <f>Oportuno!C785</f>
        <v>2026092</v>
      </c>
      <c r="D785" s="23">
        <f>Oportuno!D785</f>
        <v>28</v>
      </c>
      <c r="E785" s="128">
        <f>Oportuno!E785</f>
        <v>0</v>
      </c>
      <c r="F785" s="126" t="e">
        <f>Oportuno!F785</f>
        <v>#N/A</v>
      </c>
      <c r="G785" s="36">
        <f>Oportuno!G785</f>
        <v>1</v>
      </c>
      <c r="H785" s="126" t="str">
        <f>Oportuno!H785</f>
        <v>Oficinas</v>
      </c>
      <c r="I785" s="130">
        <f>Oportuno!I785</f>
        <v>0</v>
      </c>
      <c r="J785" s="174">
        <f>Oportuno!J785</f>
        <v>0</v>
      </c>
      <c r="K785" s="174">
        <f>Oportuno!K785</f>
        <v>0</v>
      </c>
      <c r="L785" s="174">
        <f>Oportuno!L785</f>
        <v>0</v>
      </c>
      <c r="M785" s="174">
        <f>Oportuno!M785</f>
        <v>0</v>
      </c>
      <c r="N785" s="174">
        <f>Oportuno!N785</f>
        <v>0</v>
      </c>
      <c r="O785" s="174">
        <f>Oportuno!O785</f>
        <v>0</v>
      </c>
      <c r="P785" s="174">
        <f>Oportuno!P785</f>
        <v>0</v>
      </c>
      <c r="Q785" s="174">
        <f>Oportuno!Q785</f>
        <v>0</v>
      </c>
      <c r="R785" s="174">
        <f>Oportuno!R785</f>
        <v>0</v>
      </c>
      <c r="S785" s="215">
        <f>Oportuno!S785</f>
        <v>0</v>
      </c>
      <c r="T785" s="71">
        <f>Oportuno!T785</f>
        <v>0</v>
      </c>
      <c r="U785" s="71">
        <f>Oportuno!U785</f>
        <v>0</v>
      </c>
      <c r="V785" s="117">
        <f>Oportuno!V785</f>
        <v>0</v>
      </c>
      <c r="W785" s="117">
        <f>Oportuno!W785</f>
        <v>0</v>
      </c>
      <c r="X785" s="71">
        <f>Oportuno!X785</f>
        <v>0</v>
      </c>
      <c r="Y785" s="71">
        <f>Oportuno!Y785</f>
        <v>0</v>
      </c>
      <c r="AA785" s="65"/>
    </row>
    <row r="786" spans="2:27 16101:16120" ht="13" customHeight="1">
      <c r="B786" s="119">
        <f>Oportuno!B786</f>
        <v>0</v>
      </c>
      <c r="C786" s="23">
        <f>Oportuno!C786</f>
        <v>2026092</v>
      </c>
      <c r="D786" s="23">
        <f>Oportuno!D786</f>
        <v>28</v>
      </c>
      <c r="E786" s="128">
        <f>Oportuno!E786</f>
        <v>0</v>
      </c>
      <c r="F786" s="126" t="e">
        <f>Oportuno!F786</f>
        <v>#N/A</v>
      </c>
      <c r="G786" s="36">
        <f>Oportuno!G786</f>
        <v>1</v>
      </c>
      <c r="H786" s="126" t="str">
        <f>Oportuno!H786</f>
        <v>Oficinas</v>
      </c>
      <c r="I786" s="130">
        <f>Oportuno!I786</f>
        <v>0</v>
      </c>
      <c r="J786" s="174">
        <f>Oportuno!J786</f>
        <v>0</v>
      </c>
      <c r="K786" s="174">
        <f>Oportuno!K786</f>
        <v>0</v>
      </c>
      <c r="L786" s="174">
        <f>Oportuno!L786</f>
        <v>0</v>
      </c>
      <c r="M786" s="174">
        <f>Oportuno!M786</f>
        <v>0</v>
      </c>
      <c r="N786" s="174">
        <f>Oportuno!N786</f>
        <v>0</v>
      </c>
      <c r="O786" s="174">
        <f>Oportuno!O786</f>
        <v>0</v>
      </c>
      <c r="P786" s="174">
        <f>Oportuno!P786</f>
        <v>0</v>
      </c>
      <c r="Q786" s="174">
        <f>Oportuno!Q786</f>
        <v>0</v>
      </c>
      <c r="R786" s="174">
        <f>Oportuno!R786</f>
        <v>0</v>
      </c>
      <c r="S786" s="215">
        <f>Oportuno!S786</f>
        <v>0</v>
      </c>
      <c r="T786" s="71">
        <f>Oportuno!T786</f>
        <v>0</v>
      </c>
      <c r="U786" s="71">
        <f>Oportuno!U786</f>
        <v>0</v>
      </c>
      <c r="V786" s="117">
        <f>Oportuno!V786</f>
        <v>0</v>
      </c>
      <c r="W786" s="117">
        <f>Oportuno!W786</f>
        <v>0</v>
      </c>
      <c r="X786" s="71">
        <f>Oportuno!X786</f>
        <v>0</v>
      </c>
      <c r="Y786" s="71">
        <f>Oportuno!Y786</f>
        <v>0</v>
      </c>
      <c r="AA786" s="65"/>
    </row>
    <row r="787" spans="2:27 16101:16120" ht="13" customHeight="1">
      <c r="B787" s="119">
        <f>Oportuno!B787</f>
        <v>0</v>
      </c>
      <c r="C787" s="23">
        <f>Oportuno!C787</f>
        <v>2026092</v>
      </c>
      <c r="D787" s="23">
        <f>Oportuno!D787</f>
        <v>28</v>
      </c>
      <c r="E787" s="128">
        <f>Oportuno!E787</f>
        <v>0</v>
      </c>
      <c r="F787" s="126" t="e">
        <f>Oportuno!F787</f>
        <v>#N/A</v>
      </c>
      <c r="G787" s="36">
        <f>Oportuno!G787</f>
        <v>1</v>
      </c>
      <c r="H787" s="126" t="str">
        <f>Oportuno!H787</f>
        <v>Oficinas</v>
      </c>
      <c r="I787" s="130">
        <f>Oportuno!I787</f>
        <v>0</v>
      </c>
      <c r="J787" s="174">
        <f>Oportuno!J787</f>
        <v>0</v>
      </c>
      <c r="K787" s="174">
        <f>Oportuno!K787</f>
        <v>0</v>
      </c>
      <c r="L787" s="174">
        <f>Oportuno!L787</f>
        <v>0</v>
      </c>
      <c r="M787" s="174">
        <f>Oportuno!M787</f>
        <v>0</v>
      </c>
      <c r="N787" s="174">
        <f>Oportuno!N787</f>
        <v>0</v>
      </c>
      <c r="O787" s="174">
        <f>Oportuno!O787</f>
        <v>0</v>
      </c>
      <c r="P787" s="174">
        <f>Oportuno!P787</f>
        <v>0</v>
      </c>
      <c r="Q787" s="174">
        <f>Oportuno!Q787</f>
        <v>0</v>
      </c>
      <c r="R787" s="174">
        <f>Oportuno!R787</f>
        <v>0</v>
      </c>
      <c r="S787" s="215">
        <f>Oportuno!S787</f>
        <v>0</v>
      </c>
      <c r="T787" s="71">
        <f>Oportuno!T787</f>
        <v>0</v>
      </c>
      <c r="U787" s="71">
        <f>Oportuno!U787</f>
        <v>0</v>
      </c>
      <c r="V787" s="117">
        <f>Oportuno!V787</f>
        <v>0</v>
      </c>
      <c r="W787" s="117">
        <f>Oportuno!W787</f>
        <v>0</v>
      </c>
      <c r="X787" s="71">
        <f>Oportuno!X787</f>
        <v>0</v>
      </c>
      <c r="Y787" s="71">
        <f>Oportuno!Y787</f>
        <v>0</v>
      </c>
      <c r="AA787" s="65"/>
    </row>
    <row r="788" spans="2:27 16101:16120" ht="13" customHeight="1">
      <c r="B788" s="119">
        <f>Oportuno!B788</f>
        <v>0</v>
      </c>
      <c r="C788" s="23">
        <f>Oportuno!C788</f>
        <v>2026092</v>
      </c>
      <c r="D788" s="23">
        <f>Oportuno!D788</f>
        <v>28</v>
      </c>
      <c r="E788" s="128">
        <f>Oportuno!E788</f>
        <v>0</v>
      </c>
      <c r="F788" s="126" t="e">
        <f>Oportuno!F788</f>
        <v>#N/A</v>
      </c>
      <c r="G788" s="36">
        <f>Oportuno!G788</f>
        <v>1</v>
      </c>
      <c r="H788" s="126" t="str">
        <f>Oportuno!H788</f>
        <v>Oficinas</v>
      </c>
      <c r="I788" s="130">
        <f>Oportuno!I788</f>
        <v>0</v>
      </c>
      <c r="J788" s="174">
        <f>Oportuno!J788</f>
        <v>0</v>
      </c>
      <c r="K788" s="174">
        <f>Oportuno!K788</f>
        <v>0</v>
      </c>
      <c r="L788" s="174">
        <f>Oportuno!L788</f>
        <v>0</v>
      </c>
      <c r="M788" s="174">
        <f>Oportuno!M788</f>
        <v>0</v>
      </c>
      <c r="N788" s="174">
        <f>Oportuno!N788</f>
        <v>0</v>
      </c>
      <c r="O788" s="174">
        <f>Oportuno!O788</f>
        <v>0</v>
      </c>
      <c r="P788" s="174">
        <f>Oportuno!P788</f>
        <v>0</v>
      </c>
      <c r="Q788" s="174">
        <f>Oportuno!Q788</f>
        <v>0</v>
      </c>
      <c r="R788" s="174">
        <f>Oportuno!R788</f>
        <v>0</v>
      </c>
      <c r="S788" s="215">
        <f>Oportuno!S788</f>
        <v>0</v>
      </c>
      <c r="T788" s="71">
        <f>Oportuno!T788</f>
        <v>0</v>
      </c>
      <c r="U788" s="71">
        <f>Oportuno!U788</f>
        <v>0</v>
      </c>
      <c r="V788" s="117">
        <f>Oportuno!V788</f>
        <v>0</v>
      </c>
      <c r="W788" s="117">
        <f>Oportuno!W788</f>
        <v>0</v>
      </c>
      <c r="X788" s="71">
        <f>Oportuno!X788</f>
        <v>0</v>
      </c>
      <c r="Y788" s="71">
        <f>Oportuno!Y788</f>
        <v>0</v>
      </c>
      <c r="AA788" s="65"/>
    </row>
    <row r="789" spans="2:27 16101:16120" ht="13" customHeight="1">
      <c r="B789" s="119">
        <f>Oportuno!B789</f>
        <v>0</v>
      </c>
      <c r="C789" s="23">
        <f>Oportuno!C789</f>
        <v>2026092</v>
      </c>
      <c r="D789" s="23">
        <f>Oportuno!D789</f>
        <v>28</v>
      </c>
      <c r="E789" s="128">
        <f>Oportuno!E789</f>
        <v>0</v>
      </c>
      <c r="F789" s="126" t="e">
        <f>Oportuno!F789</f>
        <v>#N/A</v>
      </c>
      <c r="G789" s="36">
        <f>Oportuno!G789</f>
        <v>1</v>
      </c>
      <c r="H789" s="126" t="str">
        <f>Oportuno!H789</f>
        <v>Oficinas</v>
      </c>
      <c r="I789" s="130">
        <f>Oportuno!I789</f>
        <v>0</v>
      </c>
      <c r="J789" s="174">
        <f>Oportuno!J789</f>
        <v>0</v>
      </c>
      <c r="K789" s="174">
        <f>Oportuno!K789</f>
        <v>0</v>
      </c>
      <c r="L789" s="174">
        <f>Oportuno!L789</f>
        <v>0</v>
      </c>
      <c r="M789" s="174">
        <f>Oportuno!M789</f>
        <v>0</v>
      </c>
      <c r="N789" s="174">
        <f>Oportuno!N789</f>
        <v>0</v>
      </c>
      <c r="O789" s="174">
        <f>Oportuno!O789</f>
        <v>0</v>
      </c>
      <c r="P789" s="174">
        <f>Oportuno!P789</f>
        <v>0</v>
      </c>
      <c r="Q789" s="174">
        <f>Oportuno!Q789</f>
        <v>0</v>
      </c>
      <c r="R789" s="174">
        <f>Oportuno!R789</f>
        <v>0</v>
      </c>
      <c r="S789" s="215">
        <f>Oportuno!S789</f>
        <v>0</v>
      </c>
      <c r="T789" s="71">
        <f>Oportuno!T789</f>
        <v>0</v>
      </c>
      <c r="U789" s="71">
        <f>Oportuno!U789</f>
        <v>0</v>
      </c>
      <c r="V789" s="117">
        <f>Oportuno!V789</f>
        <v>0</v>
      </c>
      <c r="W789" s="117">
        <f>Oportuno!W789</f>
        <v>0</v>
      </c>
      <c r="X789" s="71">
        <f>Oportuno!X789</f>
        <v>0</v>
      </c>
      <c r="Y789" s="71">
        <f>Oportuno!Y789</f>
        <v>0</v>
      </c>
      <c r="AA789" s="65"/>
    </row>
    <row r="790" spans="2:27 16101:16120" ht="13" customHeight="1">
      <c r="B790" s="119">
        <f>Oportuno!B790</f>
        <v>0</v>
      </c>
      <c r="C790" s="23">
        <f>Oportuno!C790</f>
        <v>2026092</v>
      </c>
      <c r="D790" s="23">
        <f>Oportuno!D790</f>
        <v>28</v>
      </c>
      <c r="E790" s="128">
        <f>Oportuno!E790</f>
        <v>0</v>
      </c>
      <c r="F790" s="126" t="e">
        <f>Oportuno!F790</f>
        <v>#N/A</v>
      </c>
      <c r="G790" s="36">
        <f>Oportuno!G790</f>
        <v>1</v>
      </c>
      <c r="H790" s="126" t="str">
        <f>Oportuno!H790</f>
        <v>Oficinas</v>
      </c>
      <c r="I790" s="130">
        <f>Oportuno!I790</f>
        <v>0</v>
      </c>
      <c r="J790" s="174">
        <f>Oportuno!J790</f>
        <v>0</v>
      </c>
      <c r="K790" s="174">
        <f>Oportuno!K790</f>
        <v>0</v>
      </c>
      <c r="L790" s="174">
        <f>Oportuno!L790</f>
        <v>0</v>
      </c>
      <c r="M790" s="174">
        <f>Oportuno!M790</f>
        <v>0</v>
      </c>
      <c r="N790" s="174">
        <f>Oportuno!N790</f>
        <v>0</v>
      </c>
      <c r="O790" s="174">
        <f>Oportuno!O790</f>
        <v>0</v>
      </c>
      <c r="P790" s="174">
        <f>Oportuno!P790</f>
        <v>0</v>
      </c>
      <c r="Q790" s="174">
        <f>Oportuno!Q790</f>
        <v>0</v>
      </c>
      <c r="R790" s="174">
        <f>Oportuno!R790</f>
        <v>0</v>
      </c>
      <c r="S790" s="215">
        <f>Oportuno!S790</f>
        <v>0</v>
      </c>
      <c r="T790" s="71">
        <f>Oportuno!T790</f>
        <v>0</v>
      </c>
      <c r="U790" s="71">
        <f>Oportuno!U790</f>
        <v>0</v>
      </c>
      <c r="V790" s="117">
        <f>Oportuno!V790</f>
        <v>0</v>
      </c>
      <c r="W790" s="117">
        <f>Oportuno!W790</f>
        <v>0</v>
      </c>
      <c r="X790" s="71">
        <f>Oportuno!X790</f>
        <v>0</v>
      </c>
      <c r="Y790" s="71">
        <f>Oportuno!Y790</f>
        <v>0</v>
      </c>
      <c r="AA790" s="65"/>
    </row>
    <row r="791" spans="2:27 16101:16120" ht="13" customHeight="1">
      <c r="B791" s="119">
        <f>Oportuno!B791</f>
        <v>0</v>
      </c>
      <c r="C791" s="23">
        <f>Oportuno!C791</f>
        <v>2026092</v>
      </c>
      <c r="D791" s="23">
        <f>Oportuno!D791</f>
        <v>28</v>
      </c>
      <c r="E791" s="128">
        <f>Oportuno!E791</f>
        <v>0</v>
      </c>
      <c r="F791" s="126" t="e">
        <f>Oportuno!F791</f>
        <v>#N/A</v>
      </c>
      <c r="G791" s="36">
        <f>Oportuno!G791</f>
        <v>1</v>
      </c>
      <c r="H791" s="126" t="str">
        <f>Oportuno!H791</f>
        <v>Oficinas</v>
      </c>
      <c r="I791" s="130">
        <f>Oportuno!I791</f>
        <v>0</v>
      </c>
      <c r="J791" s="174">
        <f>Oportuno!J791</f>
        <v>0</v>
      </c>
      <c r="K791" s="174">
        <f>Oportuno!K791</f>
        <v>0</v>
      </c>
      <c r="L791" s="174">
        <f>Oportuno!L791</f>
        <v>0</v>
      </c>
      <c r="M791" s="174">
        <f>Oportuno!M791</f>
        <v>0</v>
      </c>
      <c r="N791" s="174">
        <f>Oportuno!N791</f>
        <v>0</v>
      </c>
      <c r="O791" s="174">
        <f>Oportuno!O791</f>
        <v>0</v>
      </c>
      <c r="P791" s="174">
        <f>Oportuno!P791</f>
        <v>0</v>
      </c>
      <c r="Q791" s="174">
        <f>Oportuno!Q791</f>
        <v>0</v>
      </c>
      <c r="R791" s="174">
        <f>Oportuno!R791</f>
        <v>0</v>
      </c>
      <c r="S791" s="215">
        <f>Oportuno!S791</f>
        <v>0</v>
      </c>
      <c r="T791" s="71">
        <f>Oportuno!T791</f>
        <v>0</v>
      </c>
      <c r="U791" s="71">
        <f>Oportuno!U791</f>
        <v>0</v>
      </c>
      <c r="V791" s="117">
        <f>Oportuno!V791</f>
        <v>0</v>
      </c>
      <c r="W791" s="117">
        <f>Oportuno!W791</f>
        <v>0</v>
      </c>
      <c r="X791" s="71">
        <f>Oportuno!X791</f>
        <v>0</v>
      </c>
      <c r="Y791" s="71">
        <f>Oportuno!Y791</f>
        <v>0</v>
      </c>
      <c r="AA791" s="65"/>
    </row>
    <row r="792" spans="2:27 16101:16120" ht="13" customHeight="1">
      <c r="B792" s="119">
        <f>Oportuno!B792</f>
        <v>0</v>
      </c>
      <c r="C792" s="23">
        <f>Oportuno!C792</f>
        <v>2026092</v>
      </c>
      <c r="D792" s="23">
        <f>Oportuno!D792</f>
        <v>28</v>
      </c>
      <c r="E792" s="128">
        <f>Oportuno!E792</f>
        <v>0</v>
      </c>
      <c r="F792" s="126" t="e">
        <f>Oportuno!F792</f>
        <v>#N/A</v>
      </c>
      <c r="G792" s="36">
        <f>Oportuno!G792</f>
        <v>1</v>
      </c>
      <c r="H792" s="126" t="str">
        <f>Oportuno!H792</f>
        <v>Oficinas</v>
      </c>
      <c r="I792" s="130">
        <f>Oportuno!I792</f>
        <v>0</v>
      </c>
      <c r="J792" s="174">
        <f>Oportuno!J792</f>
        <v>0</v>
      </c>
      <c r="K792" s="174">
        <f>Oportuno!K792</f>
        <v>0</v>
      </c>
      <c r="L792" s="174">
        <f>Oportuno!L792</f>
        <v>0</v>
      </c>
      <c r="M792" s="174">
        <f>Oportuno!M792</f>
        <v>0</v>
      </c>
      <c r="N792" s="174">
        <f>Oportuno!N792</f>
        <v>0</v>
      </c>
      <c r="O792" s="174">
        <f>Oportuno!O792</f>
        <v>0</v>
      </c>
      <c r="P792" s="174">
        <f>Oportuno!P792</f>
        <v>0</v>
      </c>
      <c r="Q792" s="174">
        <f>Oportuno!Q792</f>
        <v>0</v>
      </c>
      <c r="R792" s="174">
        <f>Oportuno!R792</f>
        <v>0</v>
      </c>
      <c r="S792" s="215">
        <f>Oportuno!S792</f>
        <v>0</v>
      </c>
      <c r="T792" s="71">
        <f>Oportuno!T792</f>
        <v>0</v>
      </c>
      <c r="U792" s="71">
        <f>Oportuno!U792</f>
        <v>0</v>
      </c>
      <c r="V792" s="117">
        <f>Oportuno!V792</f>
        <v>0</v>
      </c>
      <c r="W792" s="117">
        <f>Oportuno!W792</f>
        <v>0</v>
      </c>
      <c r="X792" s="71">
        <f>Oportuno!X792</f>
        <v>0</v>
      </c>
      <c r="Y792" s="71">
        <f>Oportuno!Y792</f>
        <v>0</v>
      </c>
      <c r="AA792" s="65"/>
    </row>
    <row r="793" spans="2:27 16101:16120" ht="13" customHeight="1" thickBot="1">
      <c r="B793" s="119">
        <f>Oportuno!B793</f>
        <v>0</v>
      </c>
      <c r="C793" s="23">
        <f>Oportuno!C793</f>
        <v>2026092</v>
      </c>
      <c r="D793" s="23">
        <f>Oportuno!D793</f>
        <v>28</v>
      </c>
      <c r="E793" s="128">
        <f>Oportuno!E793</f>
        <v>0</v>
      </c>
      <c r="F793" s="126" t="e">
        <f>Oportuno!F793</f>
        <v>#N/A</v>
      </c>
      <c r="G793" s="36">
        <f>Oportuno!G793</f>
        <v>1</v>
      </c>
      <c r="H793" s="126" t="str">
        <f>Oportuno!H793</f>
        <v>Oficinas</v>
      </c>
      <c r="I793" s="130">
        <f>Oportuno!I793</f>
        <v>0</v>
      </c>
      <c r="J793" s="174">
        <f>Oportuno!J793</f>
        <v>0</v>
      </c>
      <c r="K793" s="174">
        <f>Oportuno!K793</f>
        <v>0</v>
      </c>
      <c r="L793" s="174">
        <f>Oportuno!L793</f>
        <v>0</v>
      </c>
      <c r="M793" s="174">
        <f>Oportuno!M793</f>
        <v>0</v>
      </c>
      <c r="N793" s="174">
        <f>Oportuno!N793</f>
        <v>0</v>
      </c>
      <c r="O793" s="174">
        <f>Oportuno!O793</f>
        <v>0</v>
      </c>
      <c r="P793" s="174">
        <f>Oportuno!P793</f>
        <v>0</v>
      </c>
      <c r="Q793" s="174">
        <f>Oportuno!Q793</f>
        <v>0</v>
      </c>
      <c r="R793" s="174">
        <f>Oportuno!R793</f>
        <v>0</v>
      </c>
      <c r="S793" s="215">
        <f>Oportuno!S793</f>
        <v>0</v>
      </c>
      <c r="T793" s="71">
        <f>Oportuno!T793</f>
        <v>0</v>
      </c>
      <c r="U793" s="71">
        <f>Oportuno!U793</f>
        <v>0</v>
      </c>
      <c r="V793" s="117">
        <f>Oportuno!V793</f>
        <v>0</v>
      </c>
      <c r="W793" s="117">
        <f>Oportuno!W793</f>
        <v>0</v>
      </c>
      <c r="X793" s="71">
        <f>Oportuno!X793</f>
        <v>0</v>
      </c>
      <c r="Y793" s="71">
        <f>Oportuno!Y793</f>
        <v>0</v>
      </c>
      <c r="AA793" s="65"/>
    </row>
    <row r="794" spans="2:27 16101:16120" ht="13" customHeight="1" thickBot="1">
      <c r="B794" s="1" t="s">
        <v>0</v>
      </c>
      <c r="C794" s="1" t="s">
        <v>0</v>
      </c>
      <c r="D794" s="20" t="s">
        <v>0</v>
      </c>
      <c r="E794" s="120" t="str">
        <f>Oportuno!E794</f>
        <v xml:space="preserve"> </v>
      </c>
      <c r="F794" s="121" t="str">
        <f>Oportuno!F794</f>
        <v>TOTAL RECAUDO</v>
      </c>
      <c r="G794" s="121" t="s">
        <v>0</v>
      </c>
      <c r="H794" s="121" t="s">
        <v>0</v>
      </c>
      <c r="I794" s="121" t="s">
        <v>0</v>
      </c>
      <c r="J794" s="122">
        <f>Oportuno!J794</f>
        <v>0</v>
      </c>
      <c r="K794" s="122">
        <f>Oportuno!K794</f>
        <v>0</v>
      </c>
      <c r="L794" s="122">
        <f>Oportuno!L794</f>
        <v>0</v>
      </c>
      <c r="M794" s="122">
        <f>Oportuno!M794</f>
        <v>0</v>
      </c>
      <c r="N794" s="122">
        <f>Oportuno!N794</f>
        <v>0</v>
      </c>
      <c r="O794" s="122">
        <f>Oportuno!O794</f>
        <v>0</v>
      </c>
      <c r="P794" s="122">
        <f>Oportuno!P794</f>
        <v>0</v>
      </c>
      <c r="Q794" s="122">
        <f>Oportuno!Q794</f>
        <v>0</v>
      </c>
      <c r="R794" s="122">
        <f>Oportuno!R794</f>
        <v>11</v>
      </c>
      <c r="S794" s="122">
        <f>Oportuno!S794</f>
        <v>595260</v>
      </c>
      <c r="T794" s="122">
        <f>Oportuno!T794</f>
        <v>11</v>
      </c>
      <c r="U794" s="122">
        <f>Oportuno!U794</f>
        <v>595260</v>
      </c>
      <c r="V794" s="123">
        <f>Oportuno!V794</f>
        <v>11</v>
      </c>
      <c r="W794" s="123">
        <f>Oportuno!W794</f>
        <v>595260</v>
      </c>
      <c r="X794" s="122">
        <f>Oportuno!X794</f>
        <v>0</v>
      </c>
      <c r="Y794" s="123">
        <f>Oportuno!Y794</f>
        <v>0</v>
      </c>
      <c r="AA794" s="65"/>
    </row>
    <row r="795" spans="2:27 16101:16120" ht="13" thickBot="1">
      <c r="AA795" s="65"/>
    </row>
    <row r="796" spans="2:27 16101:16120" ht="41.25" customHeight="1" thickBot="1">
      <c r="B796" s="112" t="s">
        <v>4</v>
      </c>
      <c r="C796" s="34" t="s">
        <v>6</v>
      </c>
      <c r="D796" s="34" t="s">
        <v>7</v>
      </c>
      <c r="E796" s="34" t="s">
        <v>49</v>
      </c>
      <c r="F796" s="34" t="s">
        <v>50</v>
      </c>
      <c r="G796" s="34" t="s">
        <v>51</v>
      </c>
      <c r="H796" s="34" t="s">
        <v>52</v>
      </c>
      <c r="I796" s="34" t="s">
        <v>13</v>
      </c>
      <c r="J796" s="231" t="s">
        <v>8</v>
      </c>
      <c r="K796" s="231" t="s">
        <v>36</v>
      </c>
      <c r="L796" s="12" t="s">
        <v>9</v>
      </c>
      <c r="M796" s="12" t="s">
        <v>37</v>
      </c>
      <c r="N796" s="87" t="s">
        <v>10</v>
      </c>
      <c r="O796" s="88" t="s">
        <v>38</v>
      </c>
      <c r="P796" s="87" t="s">
        <v>11</v>
      </c>
      <c r="Q796" s="88" t="s">
        <v>39</v>
      </c>
      <c r="R796" s="232" t="s">
        <v>12</v>
      </c>
      <c r="S796" s="233" t="s">
        <v>40</v>
      </c>
      <c r="T796" s="64" t="s">
        <v>41</v>
      </c>
      <c r="U796" s="64" t="s">
        <v>42</v>
      </c>
      <c r="V796" s="35" t="s">
        <v>32</v>
      </c>
      <c r="W796" s="67" t="s">
        <v>35</v>
      </c>
      <c r="X796" s="12" t="s">
        <v>34</v>
      </c>
      <c r="Y796" s="68" t="s">
        <v>33</v>
      </c>
      <c r="AA796" s="66"/>
      <c r="WUG796" s="1"/>
      <c r="WUH796" s="1"/>
      <c r="WUY796"/>
      <c r="WUZ796"/>
    </row>
    <row r="797" spans="2:27 16101:16120" ht="13" customHeight="1">
      <c r="B797" s="119" t="str">
        <f>Oportuno!B797</f>
        <v>30/09/2026</v>
      </c>
      <c r="C797" s="24">
        <f>Oportuno!C797</f>
        <v>2026092</v>
      </c>
      <c r="D797" s="24">
        <f>Oportuno!D797</f>
        <v>29</v>
      </c>
      <c r="E797" s="127">
        <f>Oportuno!E797</f>
        <v>20</v>
      </c>
      <c r="F797" s="125" t="str">
        <f>Oportuno!F797</f>
        <v>Bancolombia ENERBIT</v>
      </c>
      <c r="G797" s="18">
        <f>Oportuno!G797</f>
        <v>1</v>
      </c>
      <c r="H797" s="125" t="str">
        <f>Oportuno!H797</f>
        <v>Oficinas</v>
      </c>
      <c r="I797" s="129">
        <f>Oportuno!I797</f>
        <v>0</v>
      </c>
      <c r="J797" s="213">
        <f>Oportuno!J797</f>
        <v>0</v>
      </c>
      <c r="K797" s="213">
        <f>Oportuno!K797</f>
        <v>0</v>
      </c>
      <c r="L797" s="213">
        <f>Oportuno!L797</f>
        <v>0</v>
      </c>
      <c r="M797" s="213">
        <f>Oportuno!M797</f>
        <v>0</v>
      </c>
      <c r="N797" s="213">
        <f>Oportuno!N797</f>
        <v>0</v>
      </c>
      <c r="O797" s="213">
        <f>Oportuno!O797</f>
        <v>0</v>
      </c>
      <c r="P797" s="213">
        <f>Oportuno!P797</f>
        <v>0</v>
      </c>
      <c r="Q797" s="213">
        <f>Oportuno!Q797</f>
        <v>0</v>
      </c>
      <c r="R797" s="213">
        <f>Oportuno!R797</f>
        <v>16</v>
      </c>
      <c r="S797" s="214">
        <f>Oportuno!S797</f>
        <v>826770</v>
      </c>
      <c r="T797" s="70">
        <f>Oportuno!T797</f>
        <v>16</v>
      </c>
      <c r="U797" s="70">
        <f>Oportuno!U797</f>
        <v>826770</v>
      </c>
      <c r="V797" s="116">
        <f>Oportuno!V797</f>
        <v>16</v>
      </c>
      <c r="W797" s="116">
        <f>Oportuno!W797</f>
        <v>826770</v>
      </c>
      <c r="X797" s="70">
        <f>Oportuno!X797</f>
        <v>0</v>
      </c>
      <c r="Y797" s="70">
        <f>Oportuno!Y797</f>
        <v>0</v>
      </c>
      <c r="AA797" s="65"/>
    </row>
    <row r="798" spans="2:27 16101:16120" ht="13" customHeight="1">
      <c r="B798" s="119">
        <f>Oportuno!B798</f>
        <v>0</v>
      </c>
      <c r="C798" s="23">
        <f>Oportuno!C798</f>
        <v>2026092</v>
      </c>
      <c r="D798" s="23">
        <f>Oportuno!D798</f>
        <v>29</v>
      </c>
      <c r="E798" s="128">
        <f>Oportuno!E798</f>
        <v>0</v>
      </c>
      <c r="F798" s="126" t="e">
        <f>Oportuno!F798</f>
        <v>#N/A</v>
      </c>
      <c r="G798" s="36">
        <f>Oportuno!G798</f>
        <v>1</v>
      </c>
      <c r="H798" s="126" t="str">
        <f>Oportuno!H798</f>
        <v>Oficinas</v>
      </c>
      <c r="I798" s="130">
        <f>Oportuno!I798</f>
        <v>0</v>
      </c>
      <c r="J798" s="174">
        <f>Oportuno!J798</f>
        <v>0</v>
      </c>
      <c r="K798" s="174">
        <f>Oportuno!K798</f>
        <v>0</v>
      </c>
      <c r="L798" s="174">
        <f>Oportuno!L798</f>
        <v>0</v>
      </c>
      <c r="M798" s="174">
        <f>Oportuno!M798</f>
        <v>0</v>
      </c>
      <c r="N798" s="174">
        <f>Oportuno!N798</f>
        <v>0</v>
      </c>
      <c r="O798" s="174">
        <f>Oportuno!O798</f>
        <v>0</v>
      </c>
      <c r="P798" s="174">
        <f>Oportuno!P798</f>
        <v>0</v>
      </c>
      <c r="Q798" s="174">
        <f>Oportuno!Q798</f>
        <v>0</v>
      </c>
      <c r="R798" s="174">
        <f>Oportuno!R798</f>
        <v>0</v>
      </c>
      <c r="S798" s="215">
        <f>Oportuno!S798</f>
        <v>0</v>
      </c>
      <c r="T798" s="71">
        <f>Oportuno!T798</f>
        <v>0</v>
      </c>
      <c r="U798" s="71">
        <f>Oportuno!U798</f>
        <v>0</v>
      </c>
      <c r="V798" s="117">
        <f>Oportuno!V798</f>
        <v>0</v>
      </c>
      <c r="W798" s="117">
        <f>Oportuno!W798</f>
        <v>0</v>
      </c>
      <c r="X798" s="71">
        <f>Oportuno!X798</f>
        <v>0</v>
      </c>
      <c r="Y798" s="71">
        <f>Oportuno!Y798</f>
        <v>0</v>
      </c>
      <c r="AA798" s="65"/>
    </row>
    <row r="799" spans="2:27 16101:16120" ht="13" customHeight="1">
      <c r="B799" s="119">
        <f>Oportuno!B799</f>
        <v>0</v>
      </c>
      <c r="C799" s="23">
        <f>Oportuno!C799</f>
        <v>2026092</v>
      </c>
      <c r="D799" s="23">
        <f>Oportuno!D799</f>
        <v>29</v>
      </c>
      <c r="E799" s="128">
        <f>Oportuno!E799</f>
        <v>0</v>
      </c>
      <c r="F799" s="126" t="e">
        <f>Oportuno!F799</f>
        <v>#N/A</v>
      </c>
      <c r="G799" s="36">
        <f>Oportuno!G799</f>
        <v>1</v>
      </c>
      <c r="H799" s="126" t="str">
        <f>Oportuno!H799</f>
        <v>Oficinas</v>
      </c>
      <c r="I799" s="130">
        <f>Oportuno!I799</f>
        <v>0</v>
      </c>
      <c r="J799" s="174">
        <f>Oportuno!J799</f>
        <v>0</v>
      </c>
      <c r="K799" s="174">
        <f>Oportuno!K799</f>
        <v>0</v>
      </c>
      <c r="L799" s="174">
        <f>Oportuno!L799</f>
        <v>0</v>
      </c>
      <c r="M799" s="174">
        <f>Oportuno!M799</f>
        <v>0</v>
      </c>
      <c r="N799" s="174">
        <f>Oportuno!N799</f>
        <v>0</v>
      </c>
      <c r="O799" s="174">
        <f>Oportuno!O799</f>
        <v>0</v>
      </c>
      <c r="P799" s="174">
        <f>Oportuno!P799</f>
        <v>0</v>
      </c>
      <c r="Q799" s="174">
        <f>Oportuno!Q799</f>
        <v>0</v>
      </c>
      <c r="R799" s="174">
        <f>Oportuno!R799</f>
        <v>0</v>
      </c>
      <c r="S799" s="215">
        <f>Oportuno!S799</f>
        <v>0</v>
      </c>
      <c r="T799" s="71">
        <f>Oportuno!T799</f>
        <v>0</v>
      </c>
      <c r="U799" s="71">
        <f>Oportuno!U799</f>
        <v>0</v>
      </c>
      <c r="V799" s="117">
        <f>Oportuno!V799</f>
        <v>0</v>
      </c>
      <c r="W799" s="117">
        <f>Oportuno!W799</f>
        <v>0</v>
      </c>
      <c r="X799" s="71">
        <f>Oportuno!X799</f>
        <v>0</v>
      </c>
      <c r="Y799" s="71">
        <f>Oportuno!Y799</f>
        <v>0</v>
      </c>
      <c r="AA799" s="65"/>
    </row>
    <row r="800" spans="2:27 16101:16120" ht="13" customHeight="1">
      <c r="B800" s="119">
        <f>Oportuno!B800</f>
        <v>0</v>
      </c>
      <c r="C800" s="23">
        <f>Oportuno!C800</f>
        <v>2026092</v>
      </c>
      <c r="D800" s="23">
        <f>Oportuno!D800</f>
        <v>29</v>
      </c>
      <c r="E800" s="128">
        <f>Oportuno!E800</f>
        <v>0</v>
      </c>
      <c r="F800" s="126" t="e">
        <f>Oportuno!F800</f>
        <v>#N/A</v>
      </c>
      <c r="G800" s="36">
        <f>Oportuno!G800</f>
        <v>1</v>
      </c>
      <c r="H800" s="126" t="str">
        <f>Oportuno!H800</f>
        <v>Oficinas</v>
      </c>
      <c r="I800" s="130">
        <f>Oportuno!I800</f>
        <v>0</v>
      </c>
      <c r="J800" s="174">
        <f>Oportuno!J800</f>
        <v>0</v>
      </c>
      <c r="K800" s="174">
        <f>Oportuno!K800</f>
        <v>0</v>
      </c>
      <c r="L800" s="174">
        <f>Oportuno!L800</f>
        <v>0</v>
      </c>
      <c r="M800" s="174">
        <f>Oportuno!M800</f>
        <v>0</v>
      </c>
      <c r="N800" s="174">
        <f>Oportuno!N800</f>
        <v>0</v>
      </c>
      <c r="O800" s="174">
        <f>Oportuno!O800</f>
        <v>0</v>
      </c>
      <c r="P800" s="174">
        <f>Oportuno!P800</f>
        <v>0</v>
      </c>
      <c r="Q800" s="174">
        <f>Oportuno!Q800</f>
        <v>0</v>
      </c>
      <c r="R800" s="174">
        <f>Oportuno!R800</f>
        <v>0</v>
      </c>
      <c r="S800" s="215">
        <f>Oportuno!S800</f>
        <v>0</v>
      </c>
      <c r="T800" s="71">
        <f>Oportuno!T800</f>
        <v>0</v>
      </c>
      <c r="U800" s="71">
        <f>Oportuno!U800</f>
        <v>0</v>
      </c>
      <c r="V800" s="117">
        <f>Oportuno!V800</f>
        <v>0</v>
      </c>
      <c r="W800" s="117">
        <f>Oportuno!W800</f>
        <v>0</v>
      </c>
      <c r="X800" s="71">
        <f>Oportuno!X800</f>
        <v>0</v>
      </c>
      <c r="Y800" s="71">
        <f>Oportuno!Y800</f>
        <v>0</v>
      </c>
      <c r="AA800" s="65"/>
    </row>
    <row r="801" spans="2:27" ht="13" customHeight="1">
      <c r="B801" s="119">
        <f>Oportuno!B801</f>
        <v>0</v>
      </c>
      <c r="C801" s="23">
        <f>Oportuno!C801</f>
        <v>2026092</v>
      </c>
      <c r="D801" s="23">
        <f>Oportuno!D801</f>
        <v>29</v>
      </c>
      <c r="E801" s="128">
        <f>Oportuno!E801</f>
        <v>0</v>
      </c>
      <c r="F801" s="126" t="e">
        <f>Oportuno!F801</f>
        <v>#N/A</v>
      </c>
      <c r="G801" s="36">
        <f>Oportuno!G801</f>
        <v>1</v>
      </c>
      <c r="H801" s="126" t="str">
        <f>Oportuno!H801</f>
        <v>Oficinas</v>
      </c>
      <c r="I801" s="130">
        <f>Oportuno!I801</f>
        <v>0</v>
      </c>
      <c r="J801" s="174">
        <f>Oportuno!J801</f>
        <v>0</v>
      </c>
      <c r="K801" s="174">
        <f>Oportuno!K801</f>
        <v>0</v>
      </c>
      <c r="L801" s="174">
        <f>Oportuno!L801</f>
        <v>0</v>
      </c>
      <c r="M801" s="174">
        <f>Oportuno!M801</f>
        <v>0</v>
      </c>
      <c r="N801" s="174">
        <f>Oportuno!N801</f>
        <v>0</v>
      </c>
      <c r="O801" s="174">
        <f>Oportuno!O801</f>
        <v>0</v>
      </c>
      <c r="P801" s="174">
        <f>Oportuno!P801</f>
        <v>0</v>
      </c>
      <c r="Q801" s="174">
        <f>Oportuno!Q801</f>
        <v>0</v>
      </c>
      <c r="R801" s="174">
        <f>Oportuno!R801</f>
        <v>0</v>
      </c>
      <c r="S801" s="215">
        <f>Oportuno!S801</f>
        <v>0</v>
      </c>
      <c r="T801" s="71">
        <f>Oportuno!T801</f>
        <v>0</v>
      </c>
      <c r="U801" s="71">
        <f>Oportuno!U801</f>
        <v>0</v>
      </c>
      <c r="V801" s="117">
        <f>Oportuno!V801</f>
        <v>0</v>
      </c>
      <c r="W801" s="117">
        <f>Oportuno!W801</f>
        <v>0</v>
      </c>
      <c r="X801" s="71">
        <f>Oportuno!X801</f>
        <v>0</v>
      </c>
      <c r="Y801" s="71">
        <f>Oportuno!Y801</f>
        <v>0</v>
      </c>
      <c r="AA801" s="65"/>
    </row>
    <row r="802" spans="2:27" ht="13" customHeight="1">
      <c r="B802" s="119">
        <f>Oportuno!B802</f>
        <v>0</v>
      </c>
      <c r="C802" s="23">
        <f>Oportuno!C802</f>
        <v>2026092</v>
      </c>
      <c r="D802" s="23">
        <f>Oportuno!D802</f>
        <v>29</v>
      </c>
      <c r="E802" s="128">
        <f>Oportuno!E802</f>
        <v>0</v>
      </c>
      <c r="F802" s="126" t="e">
        <f>Oportuno!F802</f>
        <v>#N/A</v>
      </c>
      <c r="G802" s="36">
        <f>Oportuno!G802</f>
        <v>1</v>
      </c>
      <c r="H802" s="126" t="str">
        <f>Oportuno!H802</f>
        <v>Oficinas</v>
      </c>
      <c r="I802" s="130">
        <f>Oportuno!I802</f>
        <v>0</v>
      </c>
      <c r="J802" s="174">
        <f>Oportuno!J802</f>
        <v>0</v>
      </c>
      <c r="K802" s="174">
        <f>Oportuno!K802</f>
        <v>0</v>
      </c>
      <c r="L802" s="174">
        <f>Oportuno!L802</f>
        <v>0</v>
      </c>
      <c r="M802" s="174">
        <f>Oportuno!M802</f>
        <v>0</v>
      </c>
      <c r="N802" s="174">
        <f>Oportuno!N802</f>
        <v>0</v>
      </c>
      <c r="O802" s="174">
        <f>Oportuno!O802</f>
        <v>0</v>
      </c>
      <c r="P802" s="174">
        <f>Oportuno!P802</f>
        <v>0</v>
      </c>
      <c r="Q802" s="174">
        <f>Oportuno!Q802</f>
        <v>0</v>
      </c>
      <c r="R802" s="174">
        <f>Oportuno!R802</f>
        <v>0</v>
      </c>
      <c r="S802" s="215">
        <f>Oportuno!S802</f>
        <v>0</v>
      </c>
      <c r="T802" s="71">
        <f>Oportuno!T802</f>
        <v>0</v>
      </c>
      <c r="U802" s="71">
        <f>Oportuno!U802</f>
        <v>0</v>
      </c>
      <c r="V802" s="117">
        <f>Oportuno!V802</f>
        <v>0</v>
      </c>
      <c r="W802" s="117">
        <f>Oportuno!W802</f>
        <v>0</v>
      </c>
      <c r="X802" s="71">
        <f>Oportuno!X802</f>
        <v>0</v>
      </c>
      <c r="Y802" s="71">
        <f>Oportuno!Y802</f>
        <v>0</v>
      </c>
      <c r="AA802" s="65"/>
    </row>
    <row r="803" spans="2:27" ht="13" customHeight="1">
      <c r="B803" s="119">
        <f>Oportuno!B803</f>
        <v>0</v>
      </c>
      <c r="C803" s="23">
        <f>Oportuno!C803</f>
        <v>2026092</v>
      </c>
      <c r="D803" s="23">
        <f>Oportuno!D803</f>
        <v>29</v>
      </c>
      <c r="E803" s="128">
        <f>Oportuno!E803</f>
        <v>0</v>
      </c>
      <c r="F803" s="126" t="e">
        <f>Oportuno!F803</f>
        <v>#N/A</v>
      </c>
      <c r="G803" s="36">
        <f>Oportuno!G803</f>
        <v>1</v>
      </c>
      <c r="H803" s="126" t="str">
        <f>Oportuno!H803</f>
        <v>Oficinas</v>
      </c>
      <c r="I803" s="130">
        <f>Oportuno!I803</f>
        <v>0</v>
      </c>
      <c r="J803" s="174">
        <f>Oportuno!J803</f>
        <v>0</v>
      </c>
      <c r="K803" s="174">
        <f>Oportuno!K803</f>
        <v>0</v>
      </c>
      <c r="L803" s="174">
        <f>Oportuno!L803</f>
        <v>0</v>
      </c>
      <c r="M803" s="174">
        <f>Oportuno!M803</f>
        <v>0</v>
      </c>
      <c r="N803" s="174">
        <f>Oportuno!N803</f>
        <v>0</v>
      </c>
      <c r="O803" s="174">
        <f>Oportuno!O803</f>
        <v>0</v>
      </c>
      <c r="P803" s="174">
        <f>Oportuno!P803</f>
        <v>0</v>
      </c>
      <c r="Q803" s="174">
        <f>Oportuno!Q803</f>
        <v>0</v>
      </c>
      <c r="R803" s="174">
        <f>Oportuno!R803</f>
        <v>0</v>
      </c>
      <c r="S803" s="215">
        <f>Oportuno!S803</f>
        <v>0</v>
      </c>
      <c r="T803" s="71">
        <f>Oportuno!T803</f>
        <v>0</v>
      </c>
      <c r="U803" s="71">
        <f>Oportuno!U803</f>
        <v>0</v>
      </c>
      <c r="V803" s="117">
        <f>Oportuno!V803</f>
        <v>0</v>
      </c>
      <c r="W803" s="117">
        <f>Oportuno!W803</f>
        <v>0</v>
      </c>
      <c r="X803" s="71">
        <f>Oportuno!X803</f>
        <v>0</v>
      </c>
      <c r="Y803" s="71">
        <f>Oportuno!Y803</f>
        <v>0</v>
      </c>
      <c r="AA803" s="65"/>
    </row>
    <row r="804" spans="2:27" ht="13" customHeight="1">
      <c r="B804" s="119">
        <f>Oportuno!B804</f>
        <v>0</v>
      </c>
      <c r="C804" s="23">
        <f>Oportuno!C804</f>
        <v>2026092</v>
      </c>
      <c r="D804" s="23">
        <f>Oportuno!D804</f>
        <v>29</v>
      </c>
      <c r="E804" s="128">
        <f>Oportuno!E804</f>
        <v>0</v>
      </c>
      <c r="F804" s="126" t="e">
        <f>Oportuno!F804</f>
        <v>#N/A</v>
      </c>
      <c r="G804" s="36">
        <f>Oportuno!G804</f>
        <v>1</v>
      </c>
      <c r="H804" s="126" t="str">
        <f>Oportuno!H804</f>
        <v>Oficinas</v>
      </c>
      <c r="I804" s="130">
        <f>Oportuno!I804</f>
        <v>0</v>
      </c>
      <c r="J804" s="174">
        <f>Oportuno!J804</f>
        <v>0</v>
      </c>
      <c r="K804" s="174">
        <f>Oportuno!K804</f>
        <v>0</v>
      </c>
      <c r="L804" s="174">
        <f>Oportuno!L804</f>
        <v>0</v>
      </c>
      <c r="M804" s="174">
        <f>Oportuno!M804</f>
        <v>0</v>
      </c>
      <c r="N804" s="174">
        <f>Oportuno!N804</f>
        <v>0</v>
      </c>
      <c r="O804" s="174">
        <f>Oportuno!O804</f>
        <v>0</v>
      </c>
      <c r="P804" s="174">
        <f>Oportuno!P804</f>
        <v>0</v>
      </c>
      <c r="Q804" s="174">
        <f>Oportuno!Q804</f>
        <v>0</v>
      </c>
      <c r="R804" s="174">
        <f>Oportuno!R804</f>
        <v>0</v>
      </c>
      <c r="S804" s="215">
        <f>Oportuno!S804</f>
        <v>0</v>
      </c>
      <c r="T804" s="71">
        <f>Oportuno!T804</f>
        <v>0</v>
      </c>
      <c r="U804" s="71">
        <f>Oportuno!U804</f>
        <v>0</v>
      </c>
      <c r="V804" s="117">
        <f>Oportuno!V804</f>
        <v>0</v>
      </c>
      <c r="W804" s="117">
        <f>Oportuno!W804</f>
        <v>0</v>
      </c>
      <c r="X804" s="71">
        <f>Oportuno!X804</f>
        <v>0</v>
      </c>
      <c r="Y804" s="71">
        <f>Oportuno!Y804</f>
        <v>0</v>
      </c>
      <c r="AA804" s="65"/>
    </row>
    <row r="805" spans="2:27" ht="13" customHeight="1">
      <c r="B805" s="119">
        <f>Oportuno!B805</f>
        <v>0</v>
      </c>
      <c r="C805" s="23">
        <f>Oportuno!C805</f>
        <v>2026092</v>
      </c>
      <c r="D805" s="23">
        <f>Oportuno!D805</f>
        <v>29</v>
      </c>
      <c r="E805" s="128">
        <f>Oportuno!E805</f>
        <v>0</v>
      </c>
      <c r="F805" s="126" t="e">
        <f>Oportuno!F805</f>
        <v>#N/A</v>
      </c>
      <c r="G805" s="36">
        <f>Oportuno!G805</f>
        <v>1</v>
      </c>
      <c r="H805" s="126" t="str">
        <f>Oportuno!H805</f>
        <v>Oficinas</v>
      </c>
      <c r="I805" s="130">
        <f>Oportuno!I805</f>
        <v>0</v>
      </c>
      <c r="J805" s="174">
        <f>Oportuno!J805</f>
        <v>0</v>
      </c>
      <c r="K805" s="174">
        <f>Oportuno!K805</f>
        <v>0</v>
      </c>
      <c r="L805" s="174">
        <f>Oportuno!L805</f>
        <v>0</v>
      </c>
      <c r="M805" s="174">
        <f>Oportuno!M805</f>
        <v>0</v>
      </c>
      <c r="N805" s="174">
        <f>Oportuno!N805</f>
        <v>0</v>
      </c>
      <c r="O805" s="174">
        <f>Oportuno!O805</f>
        <v>0</v>
      </c>
      <c r="P805" s="174">
        <f>Oportuno!P805</f>
        <v>0</v>
      </c>
      <c r="Q805" s="174">
        <f>Oportuno!Q805</f>
        <v>0</v>
      </c>
      <c r="R805" s="174">
        <f>Oportuno!R805</f>
        <v>0</v>
      </c>
      <c r="S805" s="215">
        <f>Oportuno!S805</f>
        <v>0</v>
      </c>
      <c r="T805" s="71">
        <f>Oportuno!T805</f>
        <v>0</v>
      </c>
      <c r="U805" s="71">
        <f>Oportuno!U805</f>
        <v>0</v>
      </c>
      <c r="V805" s="117">
        <f>Oportuno!V805</f>
        <v>0</v>
      </c>
      <c r="W805" s="117">
        <f>Oportuno!W805</f>
        <v>0</v>
      </c>
      <c r="X805" s="71">
        <f>Oportuno!X805</f>
        <v>0</v>
      </c>
      <c r="Y805" s="71">
        <f>Oportuno!Y805</f>
        <v>0</v>
      </c>
      <c r="AA805" s="65"/>
    </row>
    <row r="806" spans="2:27" ht="13" customHeight="1">
      <c r="B806" s="119">
        <f>Oportuno!B806</f>
        <v>0</v>
      </c>
      <c r="C806" s="23">
        <f>Oportuno!C806</f>
        <v>2026092</v>
      </c>
      <c r="D806" s="23">
        <f>Oportuno!D806</f>
        <v>29</v>
      </c>
      <c r="E806" s="128">
        <f>Oportuno!E806</f>
        <v>0</v>
      </c>
      <c r="F806" s="126" t="e">
        <f>Oportuno!F806</f>
        <v>#N/A</v>
      </c>
      <c r="G806" s="36">
        <f>Oportuno!G806</f>
        <v>1</v>
      </c>
      <c r="H806" s="126" t="str">
        <f>Oportuno!H806</f>
        <v>Oficinas</v>
      </c>
      <c r="I806" s="130">
        <f>Oportuno!I806</f>
        <v>0</v>
      </c>
      <c r="J806" s="174">
        <f>Oportuno!J806</f>
        <v>0</v>
      </c>
      <c r="K806" s="174">
        <f>Oportuno!K806</f>
        <v>0</v>
      </c>
      <c r="L806" s="174">
        <f>Oportuno!L806</f>
        <v>0</v>
      </c>
      <c r="M806" s="174">
        <f>Oportuno!M806</f>
        <v>0</v>
      </c>
      <c r="N806" s="174">
        <f>Oportuno!N806</f>
        <v>0</v>
      </c>
      <c r="O806" s="174">
        <f>Oportuno!O806</f>
        <v>0</v>
      </c>
      <c r="P806" s="174">
        <f>Oportuno!P806</f>
        <v>0</v>
      </c>
      <c r="Q806" s="174">
        <f>Oportuno!Q806</f>
        <v>0</v>
      </c>
      <c r="R806" s="174">
        <f>Oportuno!R806</f>
        <v>0</v>
      </c>
      <c r="S806" s="215">
        <f>Oportuno!S806</f>
        <v>0</v>
      </c>
      <c r="T806" s="71">
        <f>Oportuno!T806</f>
        <v>0</v>
      </c>
      <c r="U806" s="71">
        <f>Oportuno!U806</f>
        <v>0</v>
      </c>
      <c r="V806" s="117">
        <f>Oportuno!V806</f>
        <v>0</v>
      </c>
      <c r="W806" s="117">
        <f>Oportuno!W806</f>
        <v>0</v>
      </c>
      <c r="X806" s="71">
        <f>Oportuno!X806</f>
        <v>0</v>
      </c>
      <c r="Y806" s="71">
        <f>Oportuno!Y806</f>
        <v>0</v>
      </c>
      <c r="AA806" s="65"/>
    </row>
    <row r="807" spans="2:27" ht="13" customHeight="1">
      <c r="B807" s="119">
        <f>Oportuno!B807</f>
        <v>0</v>
      </c>
      <c r="C807" s="23">
        <f>Oportuno!C807</f>
        <v>2026092</v>
      </c>
      <c r="D807" s="23">
        <f>Oportuno!D807</f>
        <v>29</v>
      </c>
      <c r="E807" s="128">
        <f>Oportuno!E807</f>
        <v>0</v>
      </c>
      <c r="F807" s="126" t="e">
        <f>Oportuno!F807</f>
        <v>#N/A</v>
      </c>
      <c r="G807" s="36">
        <f>Oportuno!G807</f>
        <v>1</v>
      </c>
      <c r="H807" s="126" t="str">
        <f>Oportuno!H807</f>
        <v>Oficinas</v>
      </c>
      <c r="I807" s="130">
        <f>Oportuno!I807</f>
        <v>0</v>
      </c>
      <c r="J807" s="174">
        <f>Oportuno!J807</f>
        <v>0</v>
      </c>
      <c r="K807" s="174">
        <f>Oportuno!K807</f>
        <v>0</v>
      </c>
      <c r="L807" s="174">
        <f>Oportuno!L807</f>
        <v>0</v>
      </c>
      <c r="M807" s="174">
        <f>Oportuno!M807</f>
        <v>0</v>
      </c>
      <c r="N807" s="174">
        <f>Oportuno!N807</f>
        <v>0</v>
      </c>
      <c r="O807" s="174">
        <f>Oportuno!O807</f>
        <v>0</v>
      </c>
      <c r="P807" s="174">
        <f>Oportuno!P807</f>
        <v>0</v>
      </c>
      <c r="Q807" s="174">
        <f>Oportuno!Q807</f>
        <v>0</v>
      </c>
      <c r="R807" s="174">
        <f>Oportuno!R807</f>
        <v>0</v>
      </c>
      <c r="S807" s="215">
        <f>Oportuno!S807</f>
        <v>0</v>
      </c>
      <c r="T807" s="71">
        <f>Oportuno!T807</f>
        <v>0</v>
      </c>
      <c r="U807" s="71">
        <f>Oportuno!U807</f>
        <v>0</v>
      </c>
      <c r="V807" s="117">
        <f>Oportuno!V807</f>
        <v>0</v>
      </c>
      <c r="W807" s="117">
        <f>Oportuno!W807</f>
        <v>0</v>
      </c>
      <c r="X807" s="71">
        <f>Oportuno!X807</f>
        <v>0</v>
      </c>
      <c r="Y807" s="71">
        <f>Oportuno!Y807</f>
        <v>0</v>
      </c>
      <c r="AA807" s="65"/>
    </row>
    <row r="808" spans="2:27" ht="13" customHeight="1">
      <c r="B808" s="119">
        <f>Oportuno!B808</f>
        <v>0</v>
      </c>
      <c r="C808" s="23">
        <f>Oportuno!C808</f>
        <v>2026092</v>
      </c>
      <c r="D808" s="23">
        <f>Oportuno!D808</f>
        <v>29</v>
      </c>
      <c r="E808" s="128">
        <f>Oportuno!E808</f>
        <v>0</v>
      </c>
      <c r="F808" s="126" t="e">
        <f>Oportuno!F808</f>
        <v>#N/A</v>
      </c>
      <c r="G808" s="36">
        <f>Oportuno!G808</f>
        <v>1</v>
      </c>
      <c r="H808" s="126" t="str">
        <f>Oportuno!H808</f>
        <v>Oficinas</v>
      </c>
      <c r="I808" s="130">
        <f>Oportuno!I808</f>
        <v>0</v>
      </c>
      <c r="J808" s="174">
        <f>Oportuno!J808</f>
        <v>0</v>
      </c>
      <c r="K808" s="174">
        <f>Oportuno!K808</f>
        <v>0</v>
      </c>
      <c r="L808" s="174">
        <f>Oportuno!L808</f>
        <v>0</v>
      </c>
      <c r="M808" s="174">
        <f>Oportuno!M808</f>
        <v>0</v>
      </c>
      <c r="N808" s="174">
        <f>Oportuno!N808</f>
        <v>0</v>
      </c>
      <c r="O808" s="174">
        <f>Oportuno!O808</f>
        <v>0</v>
      </c>
      <c r="P808" s="174">
        <f>Oportuno!P808</f>
        <v>0</v>
      </c>
      <c r="Q808" s="174">
        <f>Oportuno!Q808</f>
        <v>0</v>
      </c>
      <c r="R808" s="174">
        <f>Oportuno!R808</f>
        <v>0</v>
      </c>
      <c r="S808" s="215">
        <f>Oportuno!S808</f>
        <v>0</v>
      </c>
      <c r="T808" s="71">
        <f>Oportuno!T808</f>
        <v>0</v>
      </c>
      <c r="U808" s="71">
        <f>Oportuno!U808</f>
        <v>0</v>
      </c>
      <c r="V808" s="117">
        <f>Oportuno!V808</f>
        <v>0</v>
      </c>
      <c r="W808" s="117">
        <f>Oportuno!W808</f>
        <v>0</v>
      </c>
      <c r="X808" s="71">
        <f>Oportuno!X808</f>
        <v>0</v>
      </c>
      <c r="Y808" s="71">
        <f>Oportuno!Y808</f>
        <v>0</v>
      </c>
      <c r="AA808" s="65"/>
    </row>
    <row r="809" spans="2:27" ht="13" customHeight="1">
      <c r="B809" s="119">
        <f>Oportuno!B809</f>
        <v>0</v>
      </c>
      <c r="C809" s="23">
        <f>Oportuno!C809</f>
        <v>2026092</v>
      </c>
      <c r="D809" s="23">
        <f>Oportuno!D809</f>
        <v>29</v>
      </c>
      <c r="E809" s="128">
        <f>Oportuno!E809</f>
        <v>0</v>
      </c>
      <c r="F809" s="126" t="e">
        <f>Oportuno!F809</f>
        <v>#N/A</v>
      </c>
      <c r="G809" s="36">
        <f>Oportuno!G809</f>
        <v>1</v>
      </c>
      <c r="H809" s="126" t="str">
        <f>Oportuno!H809</f>
        <v>Oficinas</v>
      </c>
      <c r="I809" s="130">
        <f>Oportuno!I809</f>
        <v>0</v>
      </c>
      <c r="J809" s="174">
        <f>Oportuno!J809</f>
        <v>0</v>
      </c>
      <c r="K809" s="174">
        <f>Oportuno!K809</f>
        <v>0</v>
      </c>
      <c r="L809" s="174">
        <f>Oportuno!L809</f>
        <v>0</v>
      </c>
      <c r="M809" s="174">
        <f>Oportuno!M809</f>
        <v>0</v>
      </c>
      <c r="N809" s="174">
        <f>Oportuno!N809</f>
        <v>0</v>
      </c>
      <c r="O809" s="174">
        <f>Oportuno!O809</f>
        <v>0</v>
      </c>
      <c r="P809" s="174">
        <f>Oportuno!P809</f>
        <v>0</v>
      </c>
      <c r="Q809" s="174">
        <f>Oportuno!Q809</f>
        <v>0</v>
      </c>
      <c r="R809" s="174">
        <f>Oportuno!R809</f>
        <v>0</v>
      </c>
      <c r="S809" s="215">
        <f>Oportuno!S809</f>
        <v>0</v>
      </c>
      <c r="T809" s="71">
        <f>Oportuno!T809</f>
        <v>0</v>
      </c>
      <c r="U809" s="71">
        <f>Oportuno!U809</f>
        <v>0</v>
      </c>
      <c r="V809" s="117">
        <f>Oportuno!V809</f>
        <v>0</v>
      </c>
      <c r="W809" s="117">
        <f>Oportuno!W809</f>
        <v>0</v>
      </c>
      <c r="X809" s="71">
        <f>Oportuno!X809</f>
        <v>0</v>
      </c>
      <c r="Y809" s="71">
        <f>Oportuno!Y809</f>
        <v>0</v>
      </c>
      <c r="AA809" s="65"/>
    </row>
    <row r="810" spans="2:27" ht="13" customHeight="1">
      <c r="B810" s="119">
        <f>Oportuno!B810</f>
        <v>0</v>
      </c>
      <c r="C810" s="23">
        <f>Oportuno!C810</f>
        <v>2026092</v>
      </c>
      <c r="D810" s="23">
        <f>Oportuno!D810</f>
        <v>29</v>
      </c>
      <c r="E810" s="128">
        <f>Oportuno!E810</f>
        <v>0</v>
      </c>
      <c r="F810" s="126" t="e">
        <f>Oportuno!F810</f>
        <v>#N/A</v>
      </c>
      <c r="G810" s="36">
        <f>Oportuno!G810</f>
        <v>1</v>
      </c>
      <c r="H810" s="126" t="str">
        <f>Oportuno!H810</f>
        <v>Oficinas</v>
      </c>
      <c r="I810" s="130">
        <f>Oportuno!I810</f>
        <v>0</v>
      </c>
      <c r="J810" s="174">
        <f>Oportuno!J810</f>
        <v>0</v>
      </c>
      <c r="K810" s="174">
        <f>Oportuno!K810</f>
        <v>0</v>
      </c>
      <c r="L810" s="174">
        <f>Oportuno!L810</f>
        <v>0</v>
      </c>
      <c r="M810" s="174">
        <f>Oportuno!M810</f>
        <v>0</v>
      </c>
      <c r="N810" s="174">
        <f>Oportuno!N810</f>
        <v>0</v>
      </c>
      <c r="O810" s="174">
        <f>Oportuno!O810</f>
        <v>0</v>
      </c>
      <c r="P810" s="174">
        <f>Oportuno!P810</f>
        <v>0</v>
      </c>
      <c r="Q810" s="174">
        <f>Oportuno!Q810</f>
        <v>0</v>
      </c>
      <c r="R810" s="174">
        <f>Oportuno!R810</f>
        <v>0</v>
      </c>
      <c r="S810" s="215">
        <f>Oportuno!S810</f>
        <v>0</v>
      </c>
      <c r="T810" s="71">
        <f>Oportuno!T810</f>
        <v>0</v>
      </c>
      <c r="U810" s="71">
        <f>Oportuno!U810</f>
        <v>0</v>
      </c>
      <c r="V810" s="117">
        <f>Oportuno!V810</f>
        <v>0</v>
      </c>
      <c r="W810" s="117">
        <f>Oportuno!W810</f>
        <v>0</v>
      </c>
      <c r="X810" s="71">
        <f>Oportuno!X810</f>
        <v>0</v>
      </c>
      <c r="Y810" s="71">
        <f>Oportuno!Y810</f>
        <v>0</v>
      </c>
      <c r="AA810" s="65"/>
    </row>
    <row r="811" spans="2:27" ht="13" customHeight="1">
      <c r="B811" s="119">
        <f>Oportuno!B811</f>
        <v>0</v>
      </c>
      <c r="C811" s="23">
        <f>Oportuno!C811</f>
        <v>2026092</v>
      </c>
      <c r="D811" s="23">
        <f>Oportuno!D811</f>
        <v>29</v>
      </c>
      <c r="E811" s="128">
        <f>Oportuno!E811</f>
        <v>0</v>
      </c>
      <c r="F811" s="126" t="e">
        <f>Oportuno!F811</f>
        <v>#N/A</v>
      </c>
      <c r="G811" s="36">
        <f>Oportuno!G811</f>
        <v>1</v>
      </c>
      <c r="H811" s="126" t="str">
        <f>Oportuno!H811</f>
        <v>Oficinas</v>
      </c>
      <c r="I811" s="130">
        <f>Oportuno!I811</f>
        <v>0</v>
      </c>
      <c r="J811" s="174">
        <f>Oportuno!J811</f>
        <v>0</v>
      </c>
      <c r="K811" s="174">
        <f>Oportuno!K811</f>
        <v>0</v>
      </c>
      <c r="L811" s="174">
        <f>Oportuno!L811</f>
        <v>0</v>
      </c>
      <c r="M811" s="174">
        <f>Oportuno!M811</f>
        <v>0</v>
      </c>
      <c r="N811" s="174">
        <f>Oportuno!N811</f>
        <v>0</v>
      </c>
      <c r="O811" s="174">
        <f>Oportuno!O811</f>
        <v>0</v>
      </c>
      <c r="P811" s="174">
        <f>Oportuno!P811</f>
        <v>0</v>
      </c>
      <c r="Q811" s="174">
        <f>Oportuno!Q811</f>
        <v>0</v>
      </c>
      <c r="R811" s="174">
        <f>Oportuno!R811</f>
        <v>0</v>
      </c>
      <c r="S811" s="215">
        <f>Oportuno!S811</f>
        <v>0</v>
      </c>
      <c r="T811" s="71">
        <f>Oportuno!T811</f>
        <v>0</v>
      </c>
      <c r="U811" s="71">
        <f>Oportuno!U811</f>
        <v>0</v>
      </c>
      <c r="V811" s="117">
        <f>Oportuno!V811</f>
        <v>0</v>
      </c>
      <c r="W811" s="117">
        <f>Oportuno!W811</f>
        <v>0</v>
      </c>
      <c r="X811" s="71">
        <f>Oportuno!X811</f>
        <v>0</v>
      </c>
      <c r="Y811" s="71">
        <f>Oportuno!Y811</f>
        <v>0</v>
      </c>
      <c r="AA811" s="65"/>
    </row>
    <row r="812" spans="2:27" ht="12" customHeight="1">
      <c r="B812" s="119">
        <f>Oportuno!B812</f>
        <v>0</v>
      </c>
      <c r="C812" s="23">
        <f>Oportuno!C812</f>
        <v>2026092</v>
      </c>
      <c r="D812" s="23">
        <f>Oportuno!D812</f>
        <v>29</v>
      </c>
      <c r="E812" s="128">
        <f>Oportuno!E812</f>
        <v>0</v>
      </c>
      <c r="F812" s="126" t="e">
        <f>Oportuno!F812</f>
        <v>#N/A</v>
      </c>
      <c r="G812" s="36">
        <f>Oportuno!G812</f>
        <v>1</v>
      </c>
      <c r="H812" s="126" t="str">
        <f>Oportuno!H812</f>
        <v>Oficinas</v>
      </c>
      <c r="I812" s="130">
        <f>Oportuno!I812</f>
        <v>0</v>
      </c>
      <c r="J812" s="174">
        <f>Oportuno!J812</f>
        <v>0</v>
      </c>
      <c r="K812" s="174">
        <f>Oportuno!K812</f>
        <v>0</v>
      </c>
      <c r="L812" s="174">
        <f>Oportuno!L812</f>
        <v>0</v>
      </c>
      <c r="M812" s="174">
        <f>Oportuno!M812</f>
        <v>0</v>
      </c>
      <c r="N812" s="174">
        <f>Oportuno!N812</f>
        <v>0</v>
      </c>
      <c r="O812" s="174">
        <f>Oportuno!O812</f>
        <v>0</v>
      </c>
      <c r="P812" s="174">
        <f>Oportuno!P812</f>
        <v>0</v>
      </c>
      <c r="Q812" s="174">
        <f>Oportuno!Q812</f>
        <v>0</v>
      </c>
      <c r="R812" s="174">
        <f>Oportuno!R812</f>
        <v>0</v>
      </c>
      <c r="S812" s="215">
        <f>Oportuno!S812</f>
        <v>0</v>
      </c>
      <c r="T812" s="71">
        <f>Oportuno!T812</f>
        <v>0</v>
      </c>
      <c r="U812" s="71">
        <f>Oportuno!U812</f>
        <v>0</v>
      </c>
      <c r="V812" s="117">
        <f>Oportuno!V812</f>
        <v>0</v>
      </c>
      <c r="W812" s="117">
        <f>Oportuno!W812</f>
        <v>0</v>
      </c>
      <c r="X812" s="71">
        <f>Oportuno!X812</f>
        <v>0</v>
      </c>
      <c r="Y812" s="71">
        <f>Oportuno!Y812</f>
        <v>0</v>
      </c>
      <c r="AA812" s="65"/>
    </row>
    <row r="813" spans="2:27" ht="13" customHeight="1">
      <c r="B813" s="119">
        <f>Oportuno!B813</f>
        <v>0</v>
      </c>
      <c r="C813" s="23">
        <f>Oportuno!C813</f>
        <v>2026092</v>
      </c>
      <c r="D813" s="23">
        <f>Oportuno!D813</f>
        <v>29</v>
      </c>
      <c r="E813" s="128">
        <f>Oportuno!E813</f>
        <v>0</v>
      </c>
      <c r="F813" s="126" t="e">
        <f>Oportuno!F813</f>
        <v>#N/A</v>
      </c>
      <c r="G813" s="36">
        <f>Oportuno!G813</f>
        <v>1</v>
      </c>
      <c r="H813" s="126" t="str">
        <f>Oportuno!H813</f>
        <v>Oficinas</v>
      </c>
      <c r="I813" s="130">
        <f>Oportuno!I813</f>
        <v>0</v>
      </c>
      <c r="J813" s="174">
        <f>Oportuno!J813</f>
        <v>0</v>
      </c>
      <c r="K813" s="174">
        <f>Oportuno!K813</f>
        <v>0</v>
      </c>
      <c r="L813" s="174">
        <f>Oportuno!L813</f>
        <v>0</v>
      </c>
      <c r="M813" s="174">
        <f>Oportuno!M813</f>
        <v>0</v>
      </c>
      <c r="N813" s="174">
        <f>Oportuno!N813</f>
        <v>0</v>
      </c>
      <c r="O813" s="174">
        <f>Oportuno!O813</f>
        <v>0</v>
      </c>
      <c r="P813" s="174">
        <f>Oportuno!P813</f>
        <v>0</v>
      </c>
      <c r="Q813" s="174">
        <f>Oportuno!Q813</f>
        <v>0</v>
      </c>
      <c r="R813" s="174">
        <f>Oportuno!R813</f>
        <v>0</v>
      </c>
      <c r="S813" s="215">
        <f>Oportuno!S813</f>
        <v>0</v>
      </c>
      <c r="T813" s="71">
        <f>Oportuno!T813</f>
        <v>0</v>
      </c>
      <c r="U813" s="71">
        <f>Oportuno!U813</f>
        <v>0</v>
      </c>
      <c r="V813" s="117">
        <f>Oportuno!V813</f>
        <v>0</v>
      </c>
      <c r="W813" s="117">
        <f>Oportuno!W813</f>
        <v>0</v>
      </c>
      <c r="X813" s="71">
        <f>Oportuno!X813</f>
        <v>0</v>
      </c>
      <c r="Y813" s="71">
        <f>Oportuno!Y813</f>
        <v>0</v>
      </c>
      <c r="AA813" s="65"/>
    </row>
    <row r="814" spans="2:27" ht="13" customHeight="1">
      <c r="B814" s="119">
        <f>Oportuno!B814</f>
        <v>0</v>
      </c>
      <c r="C814" s="23">
        <f>Oportuno!C814</f>
        <v>2026092</v>
      </c>
      <c r="D814" s="23">
        <f>Oportuno!D814</f>
        <v>29</v>
      </c>
      <c r="E814" s="128">
        <f>Oportuno!E814</f>
        <v>0</v>
      </c>
      <c r="F814" s="126" t="e">
        <f>Oportuno!F814</f>
        <v>#N/A</v>
      </c>
      <c r="G814" s="36">
        <f>Oportuno!G814</f>
        <v>1</v>
      </c>
      <c r="H814" s="126" t="str">
        <f>Oportuno!H814</f>
        <v>Oficinas</v>
      </c>
      <c r="I814" s="130">
        <f>Oportuno!I814</f>
        <v>0</v>
      </c>
      <c r="J814" s="174">
        <f>Oportuno!J814</f>
        <v>0</v>
      </c>
      <c r="K814" s="174">
        <f>Oportuno!K814</f>
        <v>0</v>
      </c>
      <c r="L814" s="174">
        <f>Oportuno!L814</f>
        <v>0</v>
      </c>
      <c r="M814" s="174">
        <f>Oportuno!M814</f>
        <v>0</v>
      </c>
      <c r="N814" s="174">
        <f>Oportuno!N814</f>
        <v>0</v>
      </c>
      <c r="O814" s="174">
        <f>Oportuno!O814</f>
        <v>0</v>
      </c>
      <c r="P814" s="174">
        <f>Oportuno!P814</f>
        <v>0</v>
      </c>
      <c r="Q814" s="174">
        <f>Oportuno!Q814</f>
        <v>0</v>
      </c>
      <c r="R814" s="174">
        <f>Oportuno!R814</f>
        <v>0</v>
      </c>
      <c r="S814" s="215">
        <f>Oportuno!S814</f>
        <v>0</v>
      </c>
      <c r="T814" s="71">
        <f>Oportuno!T814</f>
        <v>0</v>
      </c>
      <c r="U814" s="71">
        <f>Oportuno!U814</f>
        <v>0</v>
      </c>
      <c r="V814" s="117">
        <f>Oportuno!V814</f>
        <v>0</v>
      </c>
      <c r="W814" s="117">
        <f>Oportuno!W814</f>
        <v>0</v>
      </c>
      <c r="X814" s="71">
        <f>Oportuno!X814</f>
        <v>0</v>
      </c>
      <c r="Y814" s="71">
        <f>Oportuno!Y814</f>
        <v>0</v>
      </c>
      <c r="AA814" s="65"/>
    </row>
    <row r="815" spans="2:27" ht="13" customHeight="1">
      <c r="B815" s="119">
        <f>Oportuno!B815</f>
        <v>0</v>
      </c>
      <c r="C815" s="23">
        <f>Oportuno!C815</f>
        <v>2026092</v>
      </c>
      <c r="D815" s="23">
        <f>Oportuno!D815</f>
        <v>29</v>
      </c>
      <c r="E815" s="128">
        <f>Oportuno!E815</f>
        <v>0</v>
      </c>
      <c r="F815" s="126" t="e">
        <f>Oportuno!F815</f>
        <v>#N/A</v>
      </c>
      <c r="G815" s="36">
        <f>Oportuno!G815</f>
        <v>1</v>
      </c>
      <c r="H815" s="126" t="str">
        <f>Oportuno!H815</f>
        <v>Oficinas</v>
      </c>
      <c r="I815" s="130">
        <f>Oportuno!I815</f>
        <v>0</v>
      </c>
      <c r="J815" s="174">
        <f>Oportuno!J815</f>
        <v>0</v>
      </c>
      <c r="K815" s="174">
        <f>Oportuno!K815</f>
        <v>0</v>
      </c>
      <c r="L815" s="174">
        <f>Oportuno!L815</f>
        <v>0</v>
      </c>
      <c r="M815" s="174">
        <f>Oportuno!M815</f>
        <v>0</v>
      </c>
      <c r="N815" s="174">
        <f>Oportuno!N815</f>
        <v>0</v>
      </c>
      <c r="O815" s="174">
        <f>Oportuno!O815</f>
        <v>0</v>
      </c>
      <c r="P815" s="174">
        <f>Oportuno!P815</f>
        <v>0</v>
      </c>
      <c r="Q815" s="174">
        <f>Oportuno!Q815</f>
        <v>0</v>
      </c>
      <c r="R815" s="174">
        <f>Oportuno!R815</f>
        <v>0</v>
      </c>
      <c r="S815" s="215">
        <f>Oportuno!S815</f>
        <v>0</v>
      </c>
      <c r="T815" s="71">
        <f>Oportuno!T815</f>
        <v>0</v>
      </c>
      <c r="U815" s="71">
        <f>Oportuno!U815</f>
        <v>0</v>
      </c>
      <c r="V815" s="117">
        <f>Oportuno!V815</f>
        <v>0</v>
      </c>
      <c r="W815" s="117">
        <f>Oportuno!W815</f>
        <v>0</v>
      </c>
      <c r="X815" s="71">
        <f>Oportuno!X815</f>
        <v>0</v>
      </c>
      <c r="Y815" s="71">
        <f>Oportuno!Y815</f>
        <v>0</v>
      </c>
      <c r="AA815" s="65"/>
    </row>
    <row r="816" spans="2:27" ht="13" customHeight="1">
      <c r="B816" s="119">
        <f>Oportuno!B816</f>
        <v>0</v>
      </c>
      <c r="C816" s="23">
        <f>Oportuno!C816</f>
        <v>2026092</v>
      </c>
      <c r="D816" s="23">
        <f>Oportuno!D816</f>
        <v>29</v>
      </c>
      <c r="E816" s="128">
        <f>Oportuno!E816</f>
        <v>0</v>
      </c>
      <c r="F816" s="126" t="e">
        <f>Oportuno!F816</f>
        <v>#N/A</v>
      </c>
      <c r="G816" s="36">
        <f>Oportuno!G816</f>
        <v>1</v>
      </c>
      <c r="H816" s="126" t="str">
        <f>Oportuno!H816</f>
        <v>Oficinas</v>
      </c>
      <c r="I816" s="130">
        <f>Oportuno!I816</f>
        <v>0</v>
      </c>
      <c r="J816" s="174">
        <f>Oportuno!J816</f>
        <v>0</v>
      </c>
      <c r="K816" s="174">
        <f>Oportuno!K816</f>
        <v>0</v>
      </c>
      <c r="L816" s="174">
        <f>Oportuno!L816</f>
        <v>0</v>
      </c>
      <c r="M816" s="174">
        <f>Oportuno!M816</f>
        <v>0</v>
      </c>
      <c r="N816" s="174">
        <f>Oportuno!N816</f>
        <v>0</v>
      </c>
      <c r="O816" s="174">
        <f>Oportuno!O816</f>
        <v>0</v>
      </c>
      <c r="P816" s="174">
        <f>Oportuno!P816</f>
        <v>0</v>
      </c>
      <c r="Q816" s="174">
        <f>Oportuno!Q816</f>
        <v>0</v>
      </c>
      <c r="R816" s="174">
        <f>Oportuno!R816</f>
        <v>0</v>
      </c>
      <c r="S816" s="215">
        <f>Oportuno!S816</f>
        <v>0</v>
      </c>
      <c r="T816" s="71">
        <f>Oportuno!T816</f>
        <v>0</v>
      </c>
      <c r="U816" s="71">
        <f>Oportuno!U816</f>
        <v>0</v>
      </c>
      <c r="V816" s="117">
        <f>Oportuno!V816</f>
        <v>0</v>
      </c>
      <c r="W816" s="117">
        <f>Oportuno!W816</f>
        <v>0</v>
      </c>
      <c r="X816" s="71">
        <f>Oportuno!X816</f>
        <v>0</v>
      </c>
      <c r="Y816" s="71">
        <f>Oportuno!Y816</f>
        <v>0</v>
      </c>
      <c r="AA816" s="65"/>
    </row>
    <row r="817" spans="2:27 16101:16120" ht="13" customHeight="1">
      <c r="B817" s="119">
        <f>Oportuno!B817</f>
        <v>0</v>
      </c>
      <c r="C817" s="23">
        <f>Oportuno!C817</f>
        <v>2026092</v>
      </c>
      <c r="D817" s="23">
        <f>Oportuno!D817</f>
        <v>29</v>
      </c>
      <c r="E817" s="128">
        <f>Oportuno!E817</f>
        <v>0</v>
      </c>
      <c r="F817" s="126" t="e">
        <f>Oportuno!F817</f>
        <v>#N/A</v>
      </c>
      <c r="G817" s="36">
        <f>Oportuno!G817</f>
        <v>1</v>
      </c>
      <c r="H817" s="126" t="str">
        <f>Oportuno!H817</f>
        <v>Oficinas</v>
      </c>
      <c r="I817" s="130">
        <f>Oportuno!I817</f>
        <v>0</v>
      </c>
      <c r="J817" s="174">
        <f>Oportuno!J817</f>
        <v>0</v>
      </c>
      <c r="K817" s="174">
        <f>Oportuno!K817</f>
        <v>0</v>
      </c>
      <c r="L817" s="174">
        <f>Oportuno!L817</f>
        <v>0</v>
      </c>
      <c r="M817" s="174">
        <f>Oportuno!M817</f>
        <v>0</v>
      </c>
      <c r="N817" s="174">
        <f>Oportuno!N817</f>
        <v>0</v>
      </c>
      <c r="O817" s="174">
        <f>Oportuno!O817</f>
        <v>0</v>
      </c>
      <c r="P817" s="174">
        <f>Oportuno!P817</f>
        <v>0</v>
      </c>
      <c r="Q817" s="174">
        <f>Oportuno!Q817</f>
        <v>0</v>
      </c>
      <c r="R817" s="174">
        <f>Oportuno!R817</f>
        <v>0</v>
      </c>
      <c r="S817" s="215">
        <f>Oportuno!S817</f>
        <v>0</v>
      </c>
      <c r="T817" s="71">
        <f>Oportuno!T817</f>
        <v>0</v>
      </c>
      <c r="U817" s="71">
        <f>Oportuno!U817</f>
        <v>0</v>
      </c>
      <c r="V817" s="117">
        <f>Oportuno!V817</f>
        <v>0</v>
      </c>
      <c r="W817" s="117">
        <f>Oportuno!W817</f>
        <v>0</v>
      </c>
      <c r="X817" s="71">
        <f>Oportuno!X817</f>
        <v>0</v>
      </c>
      <c r="Y817" s="71">
        <f>Oportuno!Y817</f>
        <v>0</v>
      </c>
      <c r="AA817" s="65"/>
    </row>
    <row r="818" spans="2:27 16101:16120" ht="13" customHeight="1">
      <c r="B818" s="119">
        <f>Oportuno!B818</f>
        <v>0</v>
      </c>
      <c r="C818" s="23">
        <f>Oportuno!C818</f>
        <v>2026092</v>
      </c>
      <c r="D818" s="23">
        <f>Oportuno!D818</f>
        <v>29</v>
      </c>
      <c r="E818" s="128">
        <f>Oportuno!E818</f>
        <v>0</v>
      </c>
      <c r="F818" s="126" t="e">
        <f>Oportuno!F818</f>
        <v>#N/A</v>
      </c>
      <c r="G818" s="36">
        <f>Oportuno!G818</f>
        <v>1</v>
      </c>
      <c r="H818" s="126" t="str">
        <f>Oportuno!H818</f>
        <v>Oficinas</v>
      </c>
      <c r="I818" s="130">
        <f>Oportuno!I818</f>
        <v>0</v>
      </c>
      <c r="J818" s="174">
        <f>Oportuno!J818</f>
        <v>0</v>
      </c>
      <c r="K818" s="174">
        <f>Oportuno!K818</f>
        <v>0</v>
      </c>
      <c r="L818" s="174">
        <f>Oportuno!L818</f>
        <v>0</v>
      </c>
      <c r="M818" s="174">
        <f>Oportuno!M818</f>
        <v>0</v>
      </c>
      <c r="N818" s="174">
        <f>Oportuno!N818</f>
        <v>0</v>
      </c>
      <c r="O818" s="174">
        <f>Oportuno!O818</f>
        <v>0</v>
      </c>
      <c r="P818" s="174">
        <f>Oportuno!P818</f>
        <v>0</v>
      </c>
      <c r="Q818" s="174">
        <f>Oportuno!Q818</f>
        <v>0</v>
      </c>
      <c r="R818" s="174">
        <f>Oportuno!R818</f>
        <v>0</v>
      </c>
      <c r="S818" s="215">
        <f>Oportuno!S818</f>
        <v>0</v>
      </c>
      <c r="T818" s="71">
        <f>Oportuno!T818</f>
        <v>0</v>
      </c>
      <c r="U818" s="71">
        <f>Oportuno!U818</f>
        <v>0</v>
      </c>
      <c r="V818" s="117">
        <f>Oportuno!V818</f>
        <v>0</v>
      </c>
      <c r="W818" s="117">
        <f>Oportuno!W818</f>
        <v>0</v>
      </c>
      <c r="X818" s="71">
        <f>Oportuno!X818</f>
        <v>0</v>
      </c>
      <c r="Y818" s="71">
        <f>Oportuno!Y818</f>
        <v>0</v>
      </c>
      <c r="AA818" s="65"/>
    </row>
    <row r="819" spans="2:27 16101:16120" ht="13" customHeight="1">
      <c r="B819" s="119">
        <f>Oportuno!B819</f>
        <v>0</v>
      </c>
      <c r="C819" s="23">
        <f>Oportuno!C819</f>
        <v>2026092</v>
      </c>
      <c r="D819" s="23">
        <f>Oportuno!D819</f>
        <v>29</v>
      </c>
      <c r="E819" s="128">
        <f>Oportuno!E819</f>
        <v>0</v>
      </c>
      <c r="F819" s="126" t="e">
        <f>Oportuno!F819</f>
        <v>#N/A</v>
      </c>
      <c r="G819" s="36">
        <f>Oportuno!G819</f>
        <v>1</v>
      </c>
      <c r="H819" s="126" t="str">
        <f>Oportuno!H819</f>
        <v>Oficinas</v>
      </c>
      <c r="I819" s="130">
        <f>Oportuno!I819</f>
        <v>0</v>
      </c>
      <c r="J819" s="174">
        <f>Oportuno!J819</f>
        <v>0</v>
      </c>
      <c r="K819" s="174">
        <f>Oportuno!K819</f>
        <v>0</v>
      </c>
      <c r="L819" s="174">
        <f>Oportuno!L819</f>
        <v>0</v>
      </c>
      <c r="M819" s="174">
        <f>Oportuno!M819</f>
        <v>0</v>
      </c>
      <c r="N819" s="174">
        <f>Oportuno!N819</f>
        <v>0</v>
      </c>
      <c r="O819" s="174">
        <f>Oportuno!O819</f>
        <v>0</v>
      </c>
      <c r="P819" s="174">
        <f>Oportuno!P819</f>
        <v>0</v>
      </c>
      <c r="Q819" s="174">
        <f>Oportuno!Q819</f>
        <v>0</v>
      </c>
      <c r="R819" s="174">
        <f>Oportuno!R819</f>
        <v>0</v>
      </c>
      <c r="S819" s="215">
        <f>Oportuno!S819</f>
        <v>0</v>
      </c>
      <c r="T819" s="71">
        <f>Oportuno!T819</f>
        <v>0</v>
      </c>
      <c r="U819" s="71">
        <f>Oportuno!U819</f>
        <v>0</v>
      </c>
      <c r="V819" s="117">
        <f>Oportuno!V819</f>
        <v>0</v>
      </c>
      <c r="W819" s="117">
        <f>Oportuno!W819</f>
        <v>0</v>
      </c>
      <c r="X819" s="71">
        <f>Oportuno!X819</f>
        <v>0</v>
      </c>
      <c r="Y819" s="71">
        <f>Oportuno!Y819</f>
        <v>0</v>
      </c>
      <c r="AA819" s="65"/>
    </row>
    <row r="820" spans="2:27 16101:16120" ht="13" customHeight="1">
      <c r="B820" s="119">
        <f>Oportuno!B820</f>
        <v>0</v>
      </c>
      <c r="C820" s="23">
        <f>Oportuno!C820</f>
        <v>2026092</v>
      </c>
      <c r="D820" s="23">
        <f>Oportuno!D820</f>
        <v>29</v>
      </c>
      <c r="E820" s="128">
        <f>Oportuno!E820</f>
        <v>0</v>
      </c>
      <c r="F820" s="126" t="e">
        <f>Oportuno!F820</f>
        <v>#N/A</v>
      </c>
      <c r="G820" s="36">
        <f>Oportuno!G820</f>
        <v>1</v>
      </c>
      <c r="H820" s="126" t="str">
        <f>Oportuno!H820</f>
        <v>Oficinas</v>
      </c>
      <c r="I820" s="130">
        <f>Oportuno!I820</f>
        <v>0</v>
      </c>
      <c r="J820" s="174">
        <f>Oportuno!J820</f>
        <v>0</v>
      </c>
      <c r="K820" s="174">
        <f>Oportuno!K820</f>
        <v>0</v>
      </c>
      <c r="L820" s="174">
        <f>Oportuno!L820</f>
        <v>0</v>
      </c>
      <c r="M820" s="174">
        <f>Oportuno!M820</f>
        <v>0</v>
      </c>
      <c r="N820" s="174">
        <f>Oportuno!N820</f>
        <v>0</v>
      </c>
      <c r="O820" s="174">
        <f>Oportuno!O820</f>
        <v>0</v>
      </c>
      <c r="P820" s="174">
        <f>Oportuno!P820</f>
        <v>0</v>
      </c>
      <c r="Q820" s="174">
        <f>Oportuno!Q820</f>
        <v>0</v>
      </c>
      <c r="R820" s="174">
        <f>Oportuno!R820</f>
        <v>0</v>
      </c>
      <c r="S820" s="215">
        <f>Oportuno!S820</f>
        <v>0</v>
      </c>
      <c r="T820" s="71">
        <f>Oportuno!T820</f>
        <v>0</v>
      </c>
      <c r="U820" s="71">
        <f>Oportuno!U820</f>
        <v>0</v>
      </c>
      <c r="V820" s="117">
        <f>Oportuno!V820</f>
        <v>0</v>
      </c>
      <c r="W820" s="117">
        <f>Oportuno!W820</f>
        <v>0</v>
      </c>
      <c r="X820" s="71">
        <f>Oportuno!X820</f>
        <v>0</v>
      </c>
      <c r="Y820" s="71">
        <f>Oportuno!Y820</f>
        <v>0</v>
      </c>
      <c r="AA820" s="65"/>
    </row>
    <row r="821" spans="2:27 16101:16120" ht="13" customHeight="1" thickBot="1">
      <c r="B821" s="119">
        <f>Oportuno!B821</f>
        <v>0</v>
      </c>
      <c r="C821" s="23">
        <f>Oportuno!C821</f>
        <v>2026092</v>
      </c>
      <c r="D821" s="23">
        <f>Oportuno!D821</f>
        <v>29</v>
      </c>
      <c r="E821" s="128">
        <f>Oportuno!E821</f>
        <v>0</v>
      </c>
      <c r="F821" s="126" t="e">
        <f>Oportuno!F821</f>
        <v>#N/A</v>
      </c>
      <c r="G821" s="36">
        <f>Oportuno!G821</f>
        <v>1</v>
      </c>
      <c r="H821" s="126" t="str">
        <f>Oportuno!H821</f>
        <v>Oficinas</v>
      </c>
      <c r="I821" s="130">
        <f>Oportuno!I821</f>
        <v>0</v>
      </c>
      <c r="J821" s="174">
        <f>Oportuno!J821</f>
        <v>0</v>
      </c>
      <c r="K821" s="174">
        <f>Oportuno!K821</f>
        <v>0</v>
      </c>
      <c r="L821" s="174">
        <f>Oportuno!L821</f>
        <v>0</v>
      </c>
      <c r="M821" s="174">
        <f>Oportuno!M821</f>
        <v>0</v>
      </c>
      <c r="N821" s="174">
        <f>Oportuno!N821</f>
        <v>0</v>
      </c>
      <c r="O821" s="174">
        <f>Oportuno!O821</f>
        <v>0</v>
      </c>
      <c r="P821" s="174">
        <f>Oportuno!P821</f>
        <v>0</v>
      </c>
      <c r="Q821" s="174">
        <f>Oportuno!Q821</f>
        <v>0</v>
      </c>
      <c r="R821" s="174">
        <f>Oportuno!R821</f>
        <v>0</v>
      </c>
      <c r="S821" s="215">
        <f>Oportuno!S821</f>
        <v>0</v>
      </c>
      <c r="T821" s="71">
        <f>Oportuno!T821</f>
        <v>0</v>
      </c>
      <c r="U821" s="71">
        <f>Oportuno!U821</f>
        <v>0</v>
      </c>
      <c r="V821" s="117">
        <f>Oportuno!V821</f>
        <v>0</v>
      </c>
      <c r="W821" s="117">
        <f>Oportuno!W821</f>
        <v>0</v>
      </c>
      <c r="X821" s="71">
        <f>Oportuno!X821</f>
        <v>0</v>
      </c>
      <c r="Y821" s="71">
        <f>Oportuno!Y821</f>
        <v>0</v>
      </c>
      <c r="AA821" s="65"/>
    </row>
    <row r="822" spans="2:27 16101:16120" ht="13" customHeight="1" thickBot="1">
      <c r="B822" s="1" t="s">
        <v>0</v>
      </c>
      <c r="C822" s="1" t="s">
        <v>0</v>
      </c>
      <c r="D822" s="20" t="s">
        <v>0</v>
      </c>
      <c r="E822" s="120" t="str">
        <f>Oportuno!E822</f>
        <v xml:space="preserve"> </v>
      </c>
      <c r="F822" s="121" t="str">
        <f>Oportuno!F822</f>
        <v>TOTAL RECAUDO</v>
      </c>
      <c r="G822" s="121" t="s">
        <v>0</v>
      </c>
      <c r="H822" s="121" t="s">
        <v>0</v>
      </c>
      <c r="I822" s="121" t="s">
        <v>0</v>
      </c>
      <c r="J822" s="122">
        <f>Oportuno!J822</f>
        <v>0</v>
      </c>
      <c r="K822" s="122">
        <f>Oportuno!K822</f>
        <v>0</v>
      </c>
      <c r="L822" s="122">
        <f>Oportuno!L822</f>
        <v>0</v>
      </c>
      <c r="M822" s="122">
        <f>Oportuno!M822</f>
        <v>0</v>
      </c>
      <c r="N822" s="122">
        <f>Oportuno!N822</f>
        <v>0</v>
      </c>
      <c r="O822" s="122">
        <f>Oportuno!O822</f>
        <v>0</v>
      </c>
      <c r="P822" s="122">
        <f>Oportuno!P822</f>
        <v>0</v>
      </c>
      <c r="Q822" s="122">
        <f>Oportuno!Q822</f>
        <v>0</v>
      </c>
      <c r="R822" s="122">
        <f>Oportuno!R822</f>
        <v>16</v>
      </c>
      <c r="S822" s="122">
        <f>Oportuno!S822</f>
        <v>826770</v>
      </c>
      <c r="T822" s="122">
        <f>Oportuno!T822</f>
        <v>16</v>
      </c>
      <c r="U822" s="122">
        <f>Oportuno!U822</f>
        <v>826770</v>
      </c>
      <c r="V822" s="123">
        <f>Oportuno!V822</f>
        <v>16</v>
      </c>
      <c r="W822" s="123">
        <f>Oportuno!W822</f>
        <v>826770</v>
      </c>
      <c r="X822" s="122">
        <f>Oportuno!X822</f>
        <v>0</v>
      </c>
      <c r="Y822" s="123">
        <f>Oportuno!Y822</f>
        <v>0</v>
      </c>
      <c r="AA822" s="65"/>
    </row>
    <row r="823" spans="2:27 16101:16120" ht="13" thickBot="1">
      <c r="AA823" s="65"/>
    </row>
    <row r="824" spans="2:27 16101:16120" ht="41.25" customHeight="1" thickBot="1">
      <c r="B824" s="112" t="s">
        <v>4</v>
      </c>
      <c r="C824" s="34" t="s">
        <v>6</v>
      </c>
      <c r="D824" s="34" t="s">
        <v>7</v>
      </c>
      <c r="E824" s="34" t="s">
        <v>49</v>
      </c>
      <c r="F824" s="34" t="s">
        <v>50</v>
      </c>
      <c r="G824" s="34" t="s">
        <v>51</v>
      </c>
      <c r="H824" s="34" t="s">
        <v>52</v>
      </c>
      <c r="I824" s="34" t="s">
        <v>13</v>
      </c>
      <c r="J824" s="231" t="s">
        <v>8</v>
      </c>
      <c r="K824" s="231" t="s">
        <v>36</v>
      </c>
      <c r="L824" s="12" t="s">
        <v>9</v>
      </c>
      <c r="M824" s="12" t="s">
        <v>37</v>
      </c>
      <c r="N824" s="87" t="s">
        <v>10</v>
      </c>
      <c r="O824" s="88" t="s">
        <v>38</v>
      </c>
      <c r="P824" s="87" t="s">
        <v>11</v>
      </c>
      <c r="Q824" s="88" t="s">
        <v>39</v>
      </c>
      <c r="R824" s="232" t="s">
        <v>12</v>
      </c>
      <c r="S824" s="233" t="s">
        <v>40</v>
      </c>
      <c r="T824" s="64" t="s">
        <v>41</v>
      </c>
      <c r="U824" s="64" t="s">
        <v>42</v>
      </c>
      <c r="V824" s="35" t="s">
        <v>32</v>
      </c>
      <c r="W824" s="67" t="s">
        <v>35</v>
      </c>
      <c r="X824" s="12" t="s">
        <v>34</v>
      </c>
      <c r="Y824" s="68" t="s">
        <v>33</v>
      </c>
      <c r="AA824" s="66"/>
      <c r="WUG824" s="1"/>
      <c r="WUH824" s="1"/>
      <c r="WUY824"/>
      <c r="WUZ824"/>
    </row>
    <row r="825" spans="2:27 16101:16120" ht="13" customHeight="1">
      <c r="B825" s="119" t="str">
        <f>Oportuno!B825</f>
        <v>1/10/2026</v>
      </c>
      <c r="C825" s="24">
        <f>Oportuno!C825</f>
        <v>2026092</v>
      </c>
      <c r="D825" s="24">
        <f>Oportuno!D825</f>
        <v>30</v>
      </c>
      <c r="E825" s="127">
        <f>Oportuno!E825</f>
        <v>20</v>
      </c>
      <c r="F825" s="125" t="str">
        <f>Oportuno!F825</f>
        <v>Bancolombia ENERBIT</v>
      </c>
      <c r="G825" s="18">
        <f>Oportuno!G825</f>
        <v>1</v>
      </c>
      <c r="H825" s="125" t="str">
        <f>Oportuno!H825</f>
        <v>Oficinas</v>
      </c>
      <c r="I825" s="129">
        <f>Oportuno!I825</f>
        <v>0</v>
      </c>
      <c r="J825" s="213">
        <f>Oportuno!J825</f>
        <v>0</v>
      </c>
      <c r="K825" s="213">
        <f>Oportuno!K825</f>
        <v>0</v>
      </c>
      <c r="L825" s="213">
        <f>Oportuno!L825</f>
        <v>0</v>
      </c>
      <c r="M825" s="213">
        <f>Oportuno!M825</f>
        <v>0</v>
      </c>
      <c r="N825" s="213">
        <f>Oportuno!N825</f>
        <v>0</v>
      </c>
      <c r="O825" s="213">
        <f>Oportuno!O825</f>
        <v>0</v>
      </c>
      <c r="P825" s="213">
        <f>Oportuno!P825</f>
        <v>0</v>
      </c>
      <c r="Q825" s="213">
        <f>Oportuno!Q825</f>
        <v>0</v>
      </c>
      <c r="R825" s="213">
        <f>Oportuno!R825</f>
        <v>18</v>
      </c>
      <c r="S825" s="214">
        <f>Oportuno!S825</f>
        <v>1712980</v>
      </c>
      <c r="T825" s="70">
        <f>Oportuno!T825</f>
        <v>18</v>
      </c>
      <c r="U825" s="70">
        <f>Oportuno!U825</f>
        <v>1712980</v>
      </c>
      <c r="V825" s="116">
        <f>Oportuno!V825</f>
        <v>18</v>
      </c>
      <c r="W825" s="116">
        <f>Oportuno!W825</f>
        <v>1712980</v>
      </c>
      <c r="X825" s="70">
        <f>Oportuno!X825</f>
        <v>0</v>
      </c>
      <c r="Y825" s="70">
        <f>Oportuno!Y825</f>
        <v>0</v>
      </c>
      <c r="AA825" s="65"/>
    </row>
    <row r="826" spans="2:27 16101:16120" ht="13" customHeight="1">
      <c r="B826" s="119">
        <f>Oportuno!B826</f>
        <v>0</v>
      </c>
      <c r="C826" s="23">
        <f>Oportuno!C826</f>
        <v>2026092</v>
      </c>
      <c r="D826" s="23">
        <f>Oportuno!D826</f>
        <v>30</v>
      </c>
      <c r="E826" s="128">
        <f>Oportuno!E826</f>
        <v>0</v>
      </c>
      <c r="F826" s="126" t="e">
        <f>Oportuno!F826</f>
        <v>#N/A</v>
      </c>
      <c r="G826" s="36">
        <f>Oportuno!G826</f>
        <v>1</v>
      </c>
      <c r="H826" s="126" t="str">
        <f>Oportuno!H826</f>
        <v>Oficinas</v>
      </c>
      <c r="I826" s="130">
        <f>Oportuno!I826</f>
        <v>0</v>
      </c>
      <c r="J826" s="174">
        <f>Oportuno!J826</f>
        <v>0</v>
      </c>
      <c r="K826" s="174">
        <f>Oportuno!K826</f>
        <v>0</v>
      </c>
      <c r="L826" s="174">
        <f>Oportuno!L826</f>
        <v>0</v>
      </c>
      <c r="M826" s="174">
        <f>Oportuno!M826</f>
        <v>0</v>
      </c>
      <c r="N826" s="174">
        <f>Oportuno!N826</f>
        <v>0</v>
      </c>
      <c r="O826" s="174">
        <f>Oportuno!O826</f>
        <v>0</v>
      </c>
      <c r="P826" s="174">
        <f>Oportuno!P826</f>
        <v>0</v>
      </c>
      <c r="Q826" s="174">
        <f>Oportuno!Q826</f>
        <v>0</v>
      </c>
      <c r="R826" s="174">
        <f>Oportuno!R826</f>
        <v>0</v>
      </c>
      <c r="S826" s="215">
        <f>Oportuno!S826</f>
        <v>0</v>
      </c>
      <c r="T826" s="71">
        <f>Oportuno!T826</f>
        <v>0</v>
      </c>
      <c r="U826" s="71">
        <f>Oportuno!U826</f>
        <v>0</v>
      </c>
      <c r="V826" s="117">
        <f>Oportuno!V826</f>
        <v>0</v>
      </c>
      <c r="W826" s="117">
        <f>Oportuno!W826</f>
        <v>0</v>
      </c>
      <c r="X826" s="71">
        <f>Oportuno!X826</f>
        <v>0</v>
      </c>
      <c r="Y826" s="71">
        <f>Oportuno!Y826</f>
        <v>0</v>
      </c>
      <c r="AA826" s="65"/>
    </row>
    <row r="827" spans="2:27 16101:16120" ht="13" customHeight="1">
      <c r="B827" s="119">
        <f>Oportuno!B827</f>
        <v>0</v>
      </c>
      <c r="C827" s="23">
        <f>Oportuno!C827</f>
        <v>2026092</v>
      </c>
      <c r="D827" s="23">
        <f>Oportuno!D827</f>
        <v>30</v>
      </c>
      <c r="E827" s="128">
        <f>Oportuno!E827</f>
        <v>0</v>
      </c>
      <c r="F827" s="126" t="e">
        <f>Oportuno!F827</f>
        <v>#N/A</v>
      </c>
      <c r="G827" s="36">
        <f>Oportuno!G827</f>
        <v>1</v>
      </c>
      <c r="H827" s="126" t="str">
        <f>Oportuno!H827</f>
        <v>Oficinas</v>
      </c>
      <c r="I827" s="130">
        <f>Oportuno!I827</f>
        <v>0</v>
      </c>
      <c r="J827" s="174">
        <f>Oportuno!J827</f>
        <v>0</v>
      </c>
      <c r="K827" s="174">
        <f>Oportuno!K827</f>
        <v>0</v>
      </c>
      <c r="L827" s="174">
        <f>Oportuno!L827</f>
        <v>0</v>
      </c>
      <c r="M827" s="174">
        <f>Oportuno!M827</f>
        <v>0</v>
      </c>
      <c r="N827" s="174">
        <f>Oportuno!N827</f>
        <v>0</v>
      </c>
      <c r="O827" s="174">
        <f>Oportuno!O827</f>
        <v>0</v>
      </c>
      <c r="P827" s="174">
        <f>Oportuno!P827</f>
        <v>0</v>
      </c>
      <c r="Q827" s="174">
        <f>Oportuno!Q827</f>
        <v>0</v>
      </c>
      <c r="R827" s="174">
        <f>Oportuno!R827</f>
        <v>0</v>
      </c>
      <c r="S827" s="215">
        <f>Oportuno!S827</f>
        <v>0</v>
      </c>
      <c r="T827" s="71">
        <f>Oportuno!T827</f>
        <v>0</v>
      </c>
      <c r="U827" s="71">
        <f>Oportuno!U827</f>
        <v>0</v>
      </c>
      <c r="V827" s="117">
        <f>Oportuno!V827</f>
        <v>0</v>
      </c>
      <c r="W827" s="117">
        <f>Oportuno!W827</f>
        <v>0</v>
      </c>
      <c r="X827" s="71">
        <f>Oportuno!X827</f>
        <v>0</v>
      </c>
      <c r="Y827" s="71">
        <f>Oportuno!Y827</f>
        <v>0</v>
      </c>
      <c r="AA827" s="65"/>
    </row>
    <row r="828" spans="2:27 16101:16120" ht="13" customHeight="1">
      <c r="B828" s="119">
        <f>Oportuno!B828</f>
        <v>0</v>
      </c>
      <c r="C828" s="23">
        <f>Oportuno!C828</f>
        <v>2026092</v>
      </c>
      <c r="D828" s="23">
        <f>Oportuno!D828</f>
        <v>30</v>
      </c>
      <c r="E828" s="128">
        <f>Oportuno!E828</f>
        <v>0</v>
      </c>
      <c r="F828" s="126" t="e">
        <f>Oportuno!F828</f>
        <v>#N/A</v>
      </c>
      <c r="G828" s="36">
        <f>Oportuno!G828</f>
        <v>1</v>
      </c>
      <c r="H828" s="126" t="str">
        <f>Oportuno!H828</f>
        <v>Oficinas</v>
      </c>
      <c r="I828" s="130">
        <f>Oportuno!I828</f>
        <v>0</v>
      </c>
      <c r="J828" s="174">
        <f>Oportuno!J828</f>
        <v>0</v>
      </c>
      <c r="K828" s="174">
        <f>Oportuno!K828</f>
        <v>0</v>
      </c>
      <c r="L828" s="174">
        <f>Oportuno!L828</f>
        <v>0</v>
      </c>
      <c r="M828" s="174">
        <f>Oportuno!M828</f>
        <v>0</v>
      </c>
      <c r="N828" s="174">
        <f>Oportuno!N828</f>
        <v>0</v>
      </c>
      <c r="O828" s="174">
        <f>Oportuno!O828</f>
        <v>0</v>
      </c>
      <c r="P828" s="174">
        <f>Oportuno!P828</f>
        <v>0</v>
      </c>
      <c r="Q828" s="174">
        <f>Oportuno!Q828</f>
        <v>0</v>
      </c>
      <c r="R828" s="174">
        <f>Oportuno!R828</f>
        <v>0</v>
      </c>
      <c r="S828" s="215">
        <f>Oportuno!S828</f>
        <v>0</v>
      </c>
      <c r="T828" s="71">
        <f>Oportuno!T828</f>
        <v>0</v>
      </c>
      <c r="U828" s="71">
        <f>Oportuno!U828</f>
        <v>0</v>
      </c>
      <c r="V828" s="117">
        <f>Oportuno!V828</f>
        <v>0</v>
      </c>
      <c r="W828" s="117">
        <f>Oportuno!W828</f>
        <v>0</v>
      </c>
      <c r="X828" s="71">
        <f>Oportuno!X828</f>
        <v>0</v>
      </c>
      <c r="Y828" s="71">
        <f>Oportuno!Y828</f>
        <v>0</v>
      </c>
      <c r="AA828" s="65"/>
    </row>
    <row r="829" spans="2:27 16101:16120" ht="13" customHeight="1">
      <c r="B829" s="119">
        <f>Oportuno!B829</f>
        <v>0</v>
      </c>
      <c r="C829" s="23">
        <f>Oportuno!C829</f>
        <v>2026092</v>
      </c>
      <c r="D829" s="23">
        <f>Oportuno!D829</f>
        <v>30</v>
      </c>
      <c r="E829" s="128">
        <f>Oportuno!E829</f>
        <v>0</v>
      </c>
      <c r="F829" s="126" t="e">
        <f>Oportuno!F829</f>
        <v>#N/A</v>
      </c>
      <c r="G829" s="36">
        <f>Oportuno!G829</f>
        <v>1</v>
      </c>
      <c r="H829" s="126" t="str">
        <f>Oportuno!H829</f>
        <v>Oficinas</v>
      </c>
      <c r="I829" s="130">
        <f>Oportuno!I829</f>
        <v>0</v>
      </c>
      <c r="J829" s="174">
        <f>Oportuno!J829</f>
        <v>0</v>
      </c>
      <c r="K829" s="174">
        <f>Oportuno!K829</f>
        <v>0</v>
      </c>
      <c r="L829" s="174">
        <f>Oportuno!L829</f>
        <v>0</v>
      </c>
      <c r="M829" s="174">
        <f>Oportuno!M829</f>
        <v>0</v>
      </c>
      <c r="N829" s="174">
        <f>Oportuno!N829</f>
        <v>0</v>
      </c>
      <c r="O829" s="174">
        <f>Oportuno!O829</f>
        <v>0</v>
      </c>
      <c r="P829" s="174">
        <f>Oportuno!P829</f>
        <v>0</v>
      </c>
      <c r="Q829" s="174">
        <f>Oportuno!Q829</f>
        <v>0</v>
      </c>
      <c r="R829" s="174">
        <f>Oportuno!R829</f>
        <v>0</v>
      </c>
      <c r="S829" s="215">
        <f>Oportuno!S829</f>
        <v>0</v>
      </c>
      <c r="T829" s="71">
        <f>Oportuno!T829</f>
        <v>0</v>
      </c>
      <c r="U829" s="71">
        <f>Oportuno!U829</f>
        <v>0</v>
      </c>
      <c r="V829" s="117">
        <f>Oportuno!V829</f>
        <v>0</v>
      </c>
      <c r="W829" s="117">
        <f>Oportuno!W829</f>
        <v>0</v>
      </c>
      <c r="X829" s="71">
        <f>Oportuno!X829</f>
        <v>0</v>
      </c>
      <c r="Y829" s="71">
        <f>Oportuno!Y829</f>
        <v>0</v>
      </c>
      <c r="AA829" s="65"/>
    </row>
    <row r="830" spans="2:27 16101:16120" ht="13" customHeight="1">
      <c r="B830" s="119">
        <f>Oportuno!B830</f>
        <v>0</v>
      </c>
      <c r="C830" s="23">
        <f>Oportuno!C830</f>
        <v>2026092</v>
      </c>
      <c r="D830" s="23">
        <f>Oportuno!D830</f>
        <v>30</v>
      </c>
      <c r="E830" s="128">
        <f>Oportuno!E830</f>
        <v>0</v>
      </c>
      <c r="F830" s="126" t="e">
        <f>Oportuno!F830</f>
        <v>#N/A</v>
      </c>
      <c r="G830" s="36">
        <f>Oportuno!G830</f>
        <v>1</v>
      </c>
      <c r="H830" s="126" t="str">
        <f>Oportuno!H830</f>
        <v>Oficinas</v>
      </c>
      <c r="I830" s="130">
        <f>Oportuno!I830</f>
        <v>0</v>
      </c>
      <c r="J830" s="174">
        <f>Oportuno!J830</f>
        <v>0</v>
      </c>
      <c r="K830" s="174">
        <f>Oportuno!K830</f>
        <v>0</v>
      </c>
      <c r="L830" s="174">
        <f>Oportuno!L830</f>
        <v>0</v>
      </c>
      <c r="M830" s="174">
        <f>Oportuno!M830</f>
        <v>0</v>
      </c>
      <c r="N830" s="174">
        <f>Oportuno!N830</f>
        <v>0</v>
      </c>
      <c r="O830" s="174">
        <f>Oportuno!O830</f>
        <v>0</v>
      </c>
      <c r="P830" s="174">
        <f>Oportuno!P830</f>
        <v>0</v>
      </c>
      <c r="Q830" s="174">
        <f>Oportuno!Q830</f>
        <v>0</v>
      </c>
      <c r="R830" s="174">
        <f>Oportuno!R830</f>
        <v>0</v>
      </c>
      <c r="S830" s="215">
        <f>Oportuno!S830</f>
        <v>0</v>
      </c>
      <c r="T830" s="71">
        <f>Oportuno!T830</f>
        <v>0</v>
      </c>
      <c r="U830" s="71">
        <f>Oportuno!U830</f>
        <v>0</v>
      </c>
      <c r="V830" s="117">
        <f>Oportuno!V830</f>
        <v>0</v>
      </c>
      <c r="W830" s="117">
        <f>Oportuno!W830</f>
        <v>0</v>
      </c>
      <c r="X830" s="71">
        <f>Oportuno!X830</f>
        <v>0</v>
      </c>
      <c r="Y830" s="71">
        <f>Oportuno!Y830</f>
        <v>0</v>
      </c>
      <c r="AA830" s="65"/>
    </row>
    <row r="831" spans="2:27 16101:16120" ht="13" customHeight="1">
      <c r="B831" s="119">
        <f>Oportuno!B831</f>
        <v>0</v>
      </c>
      <c r="C831" s="23">
        <f>Oportuno!C831</f>
        <v>2026092</v>
      </c>
      <c r="D831" s="23">
        <f>Oportuno!D831</f>
        <v>30</v>
      </c>
      <c r="E831" s="128">
        <f>Oportuno!E831</f>
        <v>0</v>
      </c>
      <c r="F831" s="126" t="e">
        <f>Oportuno!F831</f>
        <v>#N/A</v>
      </c>
      <c r="G831" s="36">
        <f>Oportuno!G831</f>
        <v>1</v>
      </c>
      <c r="H831" s="126" t="str">
        <f>Oportuno!H831</f>
        <v>Oficinas</v>
      </c>
      <c r="I831" s="130">
        <f>Oportuno!I831</f>
        <v>0</v>
      </c>
      <c r="J831" s="174">
        <f>Oportuno!J831</f>
        <v>0</v>
      </c>
      <c r="K831" s="174">
        <f>Oportuno!K831</f>
        <v>0</v>
      </c>
      <c r="L831" s="174">
        <f>Oportuno!L831</f>
        <v>0</v>
      </c>
      <c r="M831" s="174">
        <f>Oportuno!M831</f>
        <v>0</v>
      </c>
      <c r="N831" s="174">
        <f>Oportuno!N831</f>
        <v>0</v>
      </c>
      <c r="O831" s="174">
        <f>Oportuno!O831</f>
        <v>0</v>
      </c>
      <c r="P831" s="174">
        <f>Oportuno!P831</f>
        <v>0</v>
      </c>
      <c r="Q831" s="174">
        <f>Oportuno!Q831</f>
        <v>0</v>
      </c>
      <c r="R831" s="174">
        <f>Oportuno!R831</f>
        <v>0</v>
      </c>
      <c r="S831" s="215">
        <f>Oportuno!S831</f>
        <v>0</v>
      </c>
      <c r="T831" s="71">
        <f>Oportuno!T831</f>
        <v>0</v>
      </c>
      <c r="U831" s="71">
        <f>Oportuno!U831</f>
        <v>0</v>
      </c>
      <c r="V831" s="117">
        <f>Oportuno!V831</f>
        <v>0</v>
      </c>
      <c r="W831" s="117">
        <f>Oportuno!W831</f>
        <v>0</v>
      </c>
      <c r="X831" s="71">
        <f>Oportuno!X831</f>
        <v>0</v>
      </c>
      <c r="Y831" s="71">
        <f>Oportuno!Y831</f>
        <v>0</v>
      </c>
      <c r="AA831" s="65"/>
    </row>
    <row r="832" spans="2:27 16101:16120" ht="13" customHeight="1">
      <c r="B832" s="119">
        <f>Oportuno!B832</f>
        <v>0</v>
      </c>
      <c r="C832" s="23">
        <f>Oportuno!C832</f>
        <v>2026092</v>
      </c>
      <c r="D832" s="23">
        <f>Oportuno!D832</f>
        <v>30</v>
      </c>
      <c r="E832" s="128">
        <f>Oportuno!E832</f>
        <v>0</v>
      </c>
      <c r="F832" s="126" t="e">
        <f>Oportuno!F832</f>
        <v>#N/A</v>
      </c>
      <c r="G832" s="36">
        <f>Oportuno!G832</f>
        <v>1</v>
      </c>
      <c r="H832" s="126" t="str">
        <f>Oportuno!H832</f>
        <v>Oficinas</v>
      </c>
      <c r="I832" s="130">
        <f>Oportuno!I832</f>
        <v>0</v>
      </c>
      <c r="J832" s="174">
        <f>Oportuno!J832</f>
        <v>0</v>
      </c>
      <c r="K832" s="174">
        <f>Oportuno!K832</f>
        <v>0</v>
      </c>
      <c r="L832" s="174">
        <f>Oportuno!L832</f>
        <v>0</v>
      </c>
      <c r="M832" s="174">
        <f>Oportuno!M832</f>
        <v>0</v>
      </c>
      <c r="N832" s="174">
        <f>Oportuno!N832</f>
        <v>0</v>
      </c>
      <c r="O832" s="174">
        <f>Oportuno!O832</f>
        <v>0</v>
      </c>
      <c r="P832" s="174">
        <f>Oportuno!P832</f>
        <v>0</v>
      </c>
      <c r="Q832" s="174">
        <f>Oportuno!Q832</f>
        <v>0</v>
      </c>
      <c r="R832" s="174">
        <f>Oportuno!R832</f>
        <v>0</v>
      </c>
      <c r="S832" s="215">
        <f>Oportuno!S832</f>
        <v>0</v>
      </c>
      <c r="T832" s="71">
        <f>Oportuno!T832</f>
        <v>0</v>
      </c>
      <c r="U832" s="71">
        <f>Oportuno!U832</f>
        <v>0</v>
      </c>
      <c r="V832" s="117">
        <f>Oportuno!V832</f>
        <v>0</v>
      </c>
      <c r="W832" s="117">
        <f>Oportuno!W832</f>
        <v>0</v>
      </c>
      <c r="X832" s="71">
        <f>Oportuno!X832</f>
        <v>0</v>
      </c>
      <c r="Y832" s="71">
        <f>Oportuno!Y832</f>
        <v>0</v>
      </c>
      <c r="AA832" s="65"/>
    </row>
    <row r="833" spans="2:27" ht="13" customHeight="1">
      <c r="B833" s="119">
        <f>Oportuno!B833</f>
        <v>0</v>
      </c>
      <c r="C833" s="23">
        <f>Oportuno!C833</f>
        <v>2026092</v>
      </c>
      <c r="D833" s="23">
        <f>Oportuno!D833</f>
        <v>30</v>
      </c>
      <c r="E833" s="128">
        <f>Oportuno!E833</f>
        <v>0</v>
      </c>
      <c r="F833" s="126" t="e">
        <f>Oportuno!F833</f>
        <v>#N/A</v>
      </c>
      <c r="G833" s="36">
        <f>Oportuno!G833</f>
        <v>1</v>
      </c>
      <c r="H833" s="126" t="str">
        <f>Oportuno!H833</f>
        <v>Oficinas</v>
      </c>
      <c r="I833" s="130">
        <f>Oportuno!I833</f>
        <v>0</v>
      </c>
      <c r="J833" s="174">
        <f>Oportuno!J833</f>
        <v>0</v>
      </c>
      <c r="K833" s="174">
        <f>Oportuno!K833</f>
        <v>0</v>
      </c>
      <c r="L833" s="174">
        <f>Oportuno!L833</f>
        <v>0</v>
      </c>
      <c r="M833" s="174">
        <f>Oportuno!M833</f>
        <v>0</v>
      </c>
      <c r="N833" s="174">
        <f>Oportuno!N833</f>
        <v>0</v>
      </c>
      <c r="O833" s="174">
        <f>Oportuno!O833</f>
        <v>0</v>
      </c>
      <c r="P833" s="174">
        <f>Oportuno!P833</f>
        <v>0</v>
      </c>
      <c r="Q833" s="174">
        <f>Oportuno!Q833</f>
        <v>0</v>
      </c>
      <c r="R833" s="174">
        <f>Oportuno!R833</f>
        <v>0</v>
      </c>
      <c r="S833" s="215">
        <f>Oportuno!S833</f>
        <v>0</v>
      </c>
      <c r="T833" s="71">
        <f>Oportuno!T833</f>
        <v>0</v>
      </c>
      <c r="U833" s="71">
        <f>Oportuno!U833</f>
        <v>0</v>
      </c>
      <c r="V833" s="117">
        <f>Oportuno!V833</f>
        <v>0</v>
      </c>
      <c r="W833" s="117">
        <f>Oportuno!W833</f>
        <v>0</v>
      </c>
      <c r="X833" s="71">
        <f>Oportuno!X833</f>
        <v>0</v>
      </c>
      <c r="Y833" s="71">
        <f>Oportuno!Y833</f>
        <v>0</v>
      </c>
      <c r="AA833" s="65"/>
    </row>
    <row r="834" spans="2:27" ht="13" customHeight="1">
      <c r="B834" s="119">
        <f>Oportuno!B834</f>
        <v>0</v>
      </c>
      <c r="C834" s="23">
        <f>Oportuno!C834</f>
        <v>2026092</v>
      </c>
      <c r="D834" s="23">
        <f>Oportuno!D834</f>
        <v>30</v>
      </c>
      <c r="E834" s="128">
        <f>Oportuno!E834</f>
        <v>0</v>
      </c>
      <c r="F834" s="126" t="e">
        <f>Oportuno!F834</f>
        <v>#N/A</v>
      </c>
      <c r="G834" s="36">
        <f>Oportuno!G834</f>
        <v>1</v>
      </c>
      <c r="H834" s="126" t="str">
        <f>Oportuno!H834</f>
        <v>Oficinas</v>
      </c>
      <c r="I834" s="130">
        <f>Oportuno!I834</f>
        <v>0</v>
      </c>
      <c r="J834" s="174">
        <f>Oportuno!J834</f>
        <v>0</v>
      </c>
      <c r="K834" s="174">
        <f>Oportuno!K834</f>
        <v>0</v>
      </c>
      <c r="L834" s="174">
        <f>Oportuno!L834</f>
        <v>0</v>
      </c>
      <c r="M834" s="174">
        <f>Oportuno!M834</f>
        <v>0</v>
      </c>
      <c r="N834" s="174">
        <f>Oportuno!N834</f>
        <v>0</v>
      </c>
      <c r="O834" s="174">
        <f>Oportuno!O834</f>
        <v>0</v>
      </c>
      <c r="P834" s="174">
        <f>Oportuno!P834</f>
        <v>0</v>
      </c>
      <c r="Q834" s="174">
        <f>Oportuno!Q834</f>
        <v>0</v>
      </c>
      <c r="R834" s="174">
        <f>Oportuno!R834</f>
        <v>0</v>
      </c>
      <c r="S834" s="215">
        <f>Oportuno!S834</f>
        <v>0</v>
      </c>
      <c r="T834" s="71">
        <f>Oportuno!T834</f>
        <v>0</v>
      </c>
      <c r="U834" s="71">
        <f>Oportuno!U834</f>
        <v>0</v>
      </c>
      <c r="V834" s="117">
        <f>Oportuno!V834</f>
        <v>0</v>
      </c>
      <c r="W834" s="117">
        <f>Oportuno!W834</f>
        <v>0</v>
      </c>
      <c r="X834" s="71">
        <f>Oportuno!X834</f>
        <v>0</v>
      </c>
      <c r="Y834" s="71">
        <f>Oportuno!Y834</f>
        <v>0</v>
      </c>
      <c r="AA834" s="65"/>
    </row>
    <row r="835" spans="2:27" ht="13" customHeight="1">
      <c r="B835" s="119">
        <f>Oportuno!B835</f>
        <v>0</v>
      </c>
      <c r="C835" s="23">
        <f>Oportuno!C835</f>
        <v>2026092</v>
      </c>
      <c r="D835" s="23">
        <f>Oportuno!D835</f>
        <v>30</v>
      </c>
      <c r="E835" s="128">
        <f>Oportuno!E835</f>
        <v>0</v>
      </c>
      <c r="F835" s="126" t="e">
        <f>Oportuno!F835</f>
        <v>#N/A</v>
      </c>
      <c r="G835" s="36">
        <f>Oportuno!G835</f>
        <v>1</v>
      </c>
      <c r="H835" s="126" t="str">
        <f>Oportuno!H835</f>
        <v>Oficinas</v>
      </c>
      <c r="I835" s="130">
        <f>Oportuno!I835</f>
        <v>0</v>
      </c>
      <c r="J835" s="174">
        <f>Oportuno!J835</f>
        <v>0</v>
      </c>
      <c r="K835" s="174">
        <f>Oportuno!K835</f>
        <v>0</v>
      </c>
      <c r="L835" s="174">
        <f>Oportuno!L835</f>
        <v>0</v>
      </c>
      <c r="M835" s="174">
        <f>Oportuno!M835</f>
        <v>0</v>
      </c>
      <c r="N835" s="174">
        <f>Oportuno!N835</f>
        <v>0</v>
      </c>
      <c r="O835" s="174">
        <f>Oportuno!O835</f>
        <v>0</v>
      </c>
      <c r="P835" s="174">
        <f>Oportuno!P835</f>
        <v>0</v>
      </c>
      <c r="Q835" s="174">
        <f>Oportuno!Q835</f>
        <v>0</v>
      </c>
      <c r="R835" s="174">
        <f>Oportuno!R835</f>
        <v>0</v>
      </c>
      <c r="S835" s="215">
        <f>Oportuno!S835</f>
        <v>0</v>
      </c>
      <c r="T835" s="71">
        <f>Oportuno!T835</f>
        <v>0</v>
      </c>
      <c r="U835" s="71">
        <f>Oportuno!U835</f>
        <v>0</v>
      </c>
      <c r="V835" s="117">
        <f>Oportuno!V835</f>
        <v>0</v>
      </c>
      <c r="W835" s="117">
        <f>Oportuno!W835</f>
        <v>0</v>
      </c>
      <c r="X835" s="71">
        <f>Oportuno!X835</f>
        <v>0</v>
      </c>
      <c r="Y835" s="71">
        <f>Oportuno!Y835</f>
        <v>0</v>
      </c>
      <c r="AA835" s="65"/>
    </row>
    <row r="836" spans="2:27" ht="13" customHeight="1">
      <c r="B836" s="119">
        <f>Oportuno!B836</f>
        <v>0</v>
      </c>
      <c r="C836" s="23">
        <f>Oportuno!C836</f>
        <v>2026092</v>
      </c>
      <c r="D836" s="23">
        <f>Oportuno!D836</f>
        <v>30</v>
      </c>
      <c r="E836" s="128">
        <f>Oportuno!E836</f>
        <v>0</v>
      </c>
      <c r="F836" s="126" t="e">
        <f>Oportuno!F836</f>
        <v>#N/A</v>
      </c>
      <c r="G836" s="36">
        <f>Oportuno!G836</f>
        <v>1</v>
      </c>
      <c r="H836" s="126" t="str">
        <f>Oportuno!H836</f>
        <v>Oficinas</v>
      </c>
      <c r="I836" s="130">
        <f>Oportuno!I836</f>
        <v>0</v>
      </c>
      <c r="J836" s="174">
        <f>Oportuno!J836</f>
        <v>0</v>
      </c>
      <c r="K836" s="174">
        <f>Oportuno!K836</f>
        <v>0</v>
      </c>
      <c r="L836" s="174">
        <f>Oportuno!L836</f>
        <v>0</v>
      </c>
      <c r="M836" s="174">
        <f>Oportuno!M836</f>
        <v>0</v>
      </c>
      <c r="N836" s="174">
        <f>Oportuno!N836</f>
        <v>0</v>
      </c>
      <c r="O836" s="174">
        <f>Oportuno!O836</f>
        <v>0</v>
      </c>
      <c r="P836" s="174">
        <f>Oportuno!P836</f>
        <v>0</v>
      </c>
      <c r="Q836" s="174">
        <f>Oportuno!Q836</f>
        <v>0</v>
      </c>
      <c r="R836" s="174">
        <f>Oportuno!R836</f>
        <v>0</v>
      </c>
      <c r="S836" s="215">
        <f>Oportuno!S836</f>
        <v>0</v>
      </c>
      <c r="T836" s="71">
        <f>Oportuno!T836</f>
        <v>0</v>
      </c>
      <c r="U836" s="71">
        <f>Oportuno!U836</f>
        <v>0</v>
      </c>
      <c r="V836" s="117">
        <f>Oportuno!V836</f>
        <v>0</v>
      </c>
      <c r="W836" s="117">
        <f>Oportuno!W836</f>
        <v>0</v>
      </c>
      <c r="X836" s="71">
        <f>Oportuno!X836</f>
        <v>0</v>
      </c>
      <c r="Y836" s="71">
        <f>Oportuno!Y836</f>
        <v>0</v>
      </c>
      <c r="AA836" s="65"/>
    </row>
    <row r="837" spans="2:27" ht="13" customHeight="1">
      <c r="B837" s="119">
        <f>Oportuno!B837</f>
        <v>0</v>
      </c>
      <c r="C837" s="23">
        <f>Oportuno!C837</f>
        <v>2026092</v>
      </c>
      <c r="D837" s="23">
        <f>Oportuno!D837</f>
        <v>30</v>
      </c>
      <c r="E837" s="128">
        <f>Oportuno!E837</f>
        <v>0</v>
      </c>
      <c r="F837" s="126" t="e">
        <f>Oportuno!F837</f>
        <v>#N/A</v>
      </c>
      <c r="G837" s="36">
        <f>Oportuno!G837</f>
        <v>1</v>
      </c>
      <c r="H837" s="126" t="str">
        <f>Oportuno!H837</f>
        <v>Oficinas</v>
      </c>
      <c r="I837" s="130">
        <f>Oportuno!I837</f>
        <v>0</v>
      </c>
      <c r="J837" s="174">
        <f>Oportuno!J837</f>
        <v>0</v>
      </c>
      <c r="K837" s="174">
        <f>Oportuno!K837</f>
        <v>0</v>
      </c>
      <c r="L837" s="174">
        <f>Oportuno!L837</f>
        <v>0</v>
      </c>
      <c r="M837" s="174">
        <f>Oportuno!M837</f>
        <v>0</v>
      </c>
      <c r="N837" s="174">
        <f>Oportuno!N837</f>
        <v>0</v>
      </c>
      <c r="O837" s="174">
        <f>Oportuno!O837</f>
        <v>0</v>
      </c>
      <c r="P837" s="174">
        <f>Oportuno!P837</f>
        <v>0</v>
      </c>
      <c r="Q837" s="174">
        <f>Oportuno!Q837</f>
        <v>0</v>
      </c>
      <c r="R837" s="174">
        <f>Oportuno!R837</f>
        <v>0</v>
      </c>
      <c r="S837" s="215">
        <f>Oportuno!S837</f>
        <v>0</v>
      </c>
      <c r="T837" s="71">
        <f>Oportuno!T837</f>
        <v>0</v>
      </c>
      <c r="U837" s="71">
        <f>Oportuno!U837</f>
        <v>0</v>
      </c>
      <c r="V837" s="117">
        <f>Oportuno!V837</f>
        <v>0</v>
      </c>
      <c r="W837" s="117">
        <f>Oportuno!W837</f>
        <v>0</v>
      </c>
      <c r="X837" s="71">
        <f>Oportuno!X837</f>
        <v>0</v>
      </c>
      <c r="Y837" s="71">
        <f>Oportuno!Y837</f>
        <v>0</v>
      </c>
      <c r="AA837" s="65"/>
    </row>
    <row r="838" spans="2:27" ht="13" customHeight="1">
      <c r="B838" s="119">
        <f>Oportuno!B838</f>
        <v>0</v>
      </c>
      <c r="C838" s="23">
        <f>Oportuno!C838</f>
        <v>2026092</v>
      </c>
      <c r="D838" s="23">
        <f>Oportuno!D838</f>
        <v>30</v>
      </c>
      <c r="E838" s="128">
        <f>Oportuno!E838</f>
        <v>0</v>
      </c>
      <c r="F838" s="126" t="e">
        <f>Oportuno!F838</f>
        <v>#N/A</v>
      </c>
      <c r="G838" s="36">
        <f>Oportuno!G838</f>
        <v>1</v>
      </c>
      <c r="H838" s="126" t="str">
        <f>Oportuno!H838</f>
        <v>Oficinas</v>
      </c>
      <c r="I838" s="130">
        <f>Oportuno!I838</f>
        <v>0</v>
      </c>
      <c r="J838" s="174">
        <f>Oportuno!J838</f>
        <v>0</v>
      </c>
      <c r="K838" s="174">
        <f>Oportuno!K838</f>
        <v>0</v>
      </c>
      <c r="L838" s="174">
        <f>Oportuno!L838</f>
        <v>0</v>
      </c>
      <c r="M838" s="174">
        <f>Oportuno!M838</f>
        <v>0</v>
      </c>
      <c r="N838" s="174">
        <f>Oportuno!N838</f>
        <v>0</v>
      </c>
      <c r="O838" s="174">
        <f>Oportuno!O838</f>
        <v>0</v>
      </c>
      <c r="P838" s="174">
        <f>Oportuno!P838</f>
        <v>0</v>
      </c>
      <c r="Q838" s="174">
        <f>Oportuno!Q838</f>
        <v>0</v>
      </c>
      <c r="R838" s="174">
        <f>Oportuno!R838</f>
        <v>0</v>
      </c>
      <c r="S838" s="215">
        <f>Oportuno!S838</f>
        <v>0</v>
      </c>
      <c r="T838" s="71">
        <f>Oportuno!T838</f>
        <v>0</v>
      </c>
      <c r="U838" s="71">
        <f>Oportuno!U838</f>
        <v>0</v>
      </c>
      <c r="V838" s="117">
        <f>Oportuno!V838</f>
        <v>0</v>
      </c>
      <c r="W838" s="117">
        <f>Oportuno!W838</f>
        <v>0</v>
      </c>
      <c r="X838" s="71">
        <f>Oportuno!X838</f>
        <v>0</v>
      </c>
      <c r="Y838" s="71">
        <f>Oportuno!Y838</f>
        <v>0</v>
      </c>
      <c r="AA838" s="65"/>
    </row>
    <row r="839" spans="2:27" ht="13" customHeight="1">
      <c r="B839" s="119">
        <f>Oportuno!B839</f>
        <v>0</v>
      </c>
      <c r="C839" s="23">
        <f>Oportuno!C839</f>
        <v>2026092</v>
      </c>
      <c r="D839" s="23">
        <f>Oportuno!D839</f>
        <v>30</v>
      </c>
      <c r="E839" s="128">
        <f>Oportuno!E839</f>
        <v>0</v>
      </c>
      <c r="F839" s="126" t="e">
        <f>Oportuno!F839</f>
        <v>#N/A</v>
      </c>
      <c r="G839" s="36">
        <f>Oportuno!G839</f>
        <v>1</v>
      </c>
      <c r="H839" s="126" t="str">
        <f>Oportuno!H839</f>
        <v>Oficinas</v>
      </c>
      <c r="I839" s="130">
        <f>Oportuno!I839</f>
        <v>0</v>
      </c>
      <c r="J839" s="174">
        <f>Oportuno!J839</f>
        <v>0</v>
      </c>
      <c r="K839" s="174">
        <f>Oportuno!K839</f>
        <v>0</v>
      </c>
      <c r="L839" s="174">
        <f>Oportuno!L839</f>
        <v>0</v>
      </c>
      <c r="M839" s="174">
        <f>Oportuno!M839</f>
        <v>0</v>
      </c>
      <c r="N839" s="174">
        <f>Oportuno!N839</f>
        <v>0</v>
      </c>
      <c r="O839" s="174">
        <f>Oportuno!O839</f>
        <v>0</v>
      </c>
      <c r="P839" s="174">
        <f>Oportuno!P839</f>
        <v>0</v>
      </c>
      <c r="Q839" s="174">
        <f>Oportuno!Q839</f>
        <v>0</v>
      </c>
      <c r="R839" s="174">
        <f>Oportuno!R839</f>
        <v>0</v>
      </c>
      <c r="S839" s="215">
        <f>Oportuno!S839</f>
        <v>0</v>
      </c>
      <c r="T839" s="71">
        <f>Oportuno!T839</f>
        <v>0</v>
      </c>
      <c r="U839" s="71">
        <f>Oportuno!U839</f>
        <v>0</v>
      </c>
      <c r="V839" s="117">
        <f>Oportuno!V839</f>
        <v>0</v>
      </c>
      <c r="W839" s="117">
        <f>Oportuno!W839</f>
        <v>0</v>
      </c>
      <c r="X839" s="71">
        <f>Oportuno!X839</f>
        <v>0</v>
      </c>
      <c r="Y839" s="71">
        <f>Oportuno!Y839</f>
        <v>0</v>
      </c>
      <c r="AA839" s="65"/>
    </row>
    <row r="840" spans="2:27" ht="12" customHeight="1">
      <c r="B840" s="119">
        <f>Oportuno!B840</f>
        <v>0</v>
      </c>
      <c r="C840" s="23">
        <f>Oportuno!C840</f>
        <v>2026092</v>
      </c>
      <c r="D840" s="23">
        <f>Oportuno!D840</f>
        <v>30</v>
      </c>
      <c r="E840" s="128">
        <f>Oportuno!E840</f>
        <v>0</v>
      </c>
      <c r="F840" s="126" t="e">
        <f>Oportuno!F840</f>
        <v>#N/A</v>
      </c>
      <c r="G840" s="36">
        <f>Oportuno!G840</f>
        <v>1</v>
      </c>
      <c r="H840" s="126" t="str">
        <f>Oportuno!H840</f>
        <v>Oficinas</v>
      </c>
      <c r="I840" s="130">
        <f>Oportuno!I840</f>
        <v>0</v>
      </c>
      <c r="J840" s="174">
        <f>Oportuno!J840</f>
        <v>0</v>
      </c>
      <c r="K840" s="174">
        <f>Oportuno!K840</f>
        <v>0</v>
      </c>
      <c r="L840" s="174">
        <f>Oportuno!L840</f>
        <v>0</v>
      </c>
      <c r="M840" s="174">
        <f>Oportuno!M840</f>
        <v>0</v>
      </c>
      <c r="N840" s="174">
        <f>Oportuno!N840</f>
        <v>0</v>
      </c>
      <c r="O840" s="174">
        <f>Oportuno!O840</f>
        <v>0</v>
      </c>
      <c r="P840" s="174">
        <f>Oportuno!P840</f>
        <v>0</v>
      </c>
      <c r="Q840" s="174">
        <f>Oportuno!Q840</f>
        <v>0</v>
      </c>
      <c r="R840" s="174">
        <f>Oportuno!R840</f>
        <v>0</v>
      </c>
      <c r="S840" s="215">
        <f>Oportuno!S840</f>
        <v>0</v>
      </c>
      <c r="T840" s="71">
        <f>Oportuno!T840</f>
        <v>0</v>
      </c>
      <c r="U840" s="71">
        <f>Oportuno!U840</f>
        <v>0</v>
      </c>
      <c r="V840" s="117">
        <f>Oportuno!V840</f>
        <v>0</v>
      </c>
      <c r="W840" s="117">
        <f>Oportuno!W840</f>
        <v>0</v>
      </c>
      <c r="X840" s="71">
        <f>Oportuno!X840</f>
        <v>0</v>
      </c>
      <c r="Y840" s="71">
        <f>Oportuno!Y840</f>
        <v>0</v>
      </c>
      <c r="AA840" s="65"/>
    </row>
    <row r="841" spans="2:27" ht="13" customHeight="1">
      <c r="B841" s="119">
        <f>Oportuno!B841</f>
        <v>0</v>
      </c>
      <c r="C841" s="23">
        <f>Oportuno!C841</f>
        <v>2026092</v>
      </c>
      <c r="D841" s="23">
        <f>Oportuno!D841</f>
        <v>30</v>
      </c>
      <c r="E841" s="128">
        <f>Oportuno!E841</f>
        <v>0</v>
      </c>
      <c r="F841" s="126" t="e">
        <f>Oportuno!F841</f>
        <v>#N/A</v>
      </c>
      <c r="G841" s="36">
        <f>Oportuno!G841</f>
        <v>1</v>
      </c>
      <c r="H841" s="126" t="str">
        <f>Oportuno!H841</f>
        <v>Oficinas</v>
      </c>
      <c r="I841" s="130">
        <f>Oportuno!I841</f>
        <v>0</v>
      </c>
      <c r="J841" s="174">
        <f>Oportuno!J841</f>
        <v>0</v>
      </c>
      <c r="K841" s="174">
        <f>Oportuno!K841</f>
        <v>0</v>
      </c>
      <c r="L841" s="174">
        <f>Oportuno!L841</f>
        <v>0</v>
      </c>
      <c r="M841" s="174">
        <f>Oportuno!M841</f>
        <v>0</v>
      </c>
      <c r="N841" s="174">
        <f>Oportuno!N841</f>
        <v>0</v>
      </c>
      <c r="O841" s="174">
        <f>Oportuno!O841</f>
        <v>0</v>
      </c>
      <c r="P841" s="174">
        <f>Oportuno!P841</f>
        <v>0</v>
      </c>
      <c r="Q841" s="174">
        <f>Oportuno!Q841</f>
        <v>0</v>
      </c>
      <c r="R841" s="174">
        <f>Oportuno!R841</f>
        <v>0</v>
      </c>
      <c r="S841" s="215">
        <f>Oportuno!S841</f>
        <v>0</v>
      </c>
      <c r="T841" s="71">
        <f>Oportuno!T841</f>
        <v>0</v>
      </c>
      <c r="U841" s="71">
        <f>Oportuno!U841</f>
        <v>0</v>
      </c>
      <c r="V841" s="117">
        <f>Oportuno!V841</f>
        <v>0</v>
      </c>
      <c r="W841" s="117">
        <f>Oportuno!W841</f>
        <v>0</v>
      </c>
      <c r="X841" s="71">
        <f>Oportuno!X841</f>
        <v>0</v>
      </c>
      <c r="Y841" s="71">
        <f>Oportuno!Y841</f>
        <v>0</v>
      </c>
      <c r="AA841" s="65"/>
    </row>
    <row r="842" spans="2:27" ht="13" customHeight="1">
      <c r="B842" s="119">
        <f>Oportuno!B842</f>
        <v>0</v>
      </c>
      <c r="C842" s="23">
        <f>Oportuno!C842</f>
        <v>2026092</v>
      </c>
      <c r="D842" s="23">
        <f>Oportuno!D842</f>
        <v>30</v>
      </c>
      <c r="E842" s="128">
        <f>Oportuno!E842</f>
        <v>0</v>
      </c>
      <c r="F842" s="126" t="e">
        <f>Oportuno!F842</f>
        <v>#N/A</v>
      </c>
      <c r="G842" s="36">
        <f>Oportuno!G842</f>
        <v>1</v>
      </c>
      <c r="H842" s="126" t="str">
        <f>Oportuno!H842</f>
        <v>Oficinas</v>
      </c>
      <c r="I842" s="130">
        <f>Oportuno!I842</f>
        <v>0</v>
      </c>
      <c r="J842" s="174">
        <f>Oportuno!J842</f>
        <v>0</v>
      </c>
      <c r="K842" s="174">
        <f>Oportuno!K842</f>
        <v>0</v>
      </c>
      <c r="L842" s="174">
        <f>Oportuno!L842</f>
        <v>0</v>
      </c>
      <c r="M842" s="174">
        <f>Oportuno!M842</f>
        <v>0</v>
      </c>
      <c r="N842" s="174">
        <f>Oportuno!N842</f>
        <v>0</v>
      </c>
      <c r="O842" s="174">
        <f>Oportuno!O842</f>
        <v>0</v>
      </c>
      <c r="P842" s="174">
        <f>Oportuno!P842</f>
        <v>0</v>
      </c>
      <c r="Q842" s="174">
        <f>Oportuno!Q842</f>
        <v>0</v>
      </c>
      <c r="R842" s="174">
        <f>Oportuno!R842</f>
        <v>0</v>
      </c>
      <c r="S842" s="215">
        <f>Oportuno!S842</f>
        <v>0</v>
      </c>
      <c r="T842" s="71">
        <f>Oportuno!T842</f>
        <v>0</v>
      </c>
      <c r="U842" s="71">
        <f>Oportuno!U842</f>
        <v>0</v>
      </c>
      <c r="V842" s="117">
        <f>Oportuno!V842</f>
        <v>0</v>
      </c>
      <c r="W842" s="117">
        <f>Oportuno!W842</f>
        <v>0</v>
      </c>
      <c r="X842" s="71">
        <f>Oportuno!X842</f>
        <v>0</v>
      </c>
      <c r="Y842" s="71">
        <f>Oportuno!Y842</f>
        <v>0</v>
      </c>
      <c r="AA842" s="65"/>
    </row>
    <row r="843" spans="2:27" ht="13" customHeight="1">
      <c r="B843" s="119">
        <f>Oportuno!B843</f>
        <v>0</v>
      </c>
      <c r="C843" s="23">
        <f>Oportuno!C843</f>
        <v>2026092</v>
      </c>
      <c r="D843" s="23">
        <f>Oportuno!D843</f>
        <v>30</v>
      </c>
      <c r="E843" s="128">
        <f>Oportuno!E843</f>
        <v>0</v>
      </c>
      <c r="F843" s="126" t="e">
        <f>Oportuno!F843</f>
        <v>#N/A</v>
      </c>
      <c r="G843" s="36">
        <f>Oportuno!G843</f>
        <v>1</v>
      </c>
      <c r="H843" s="126" t="str">
        <f>Oportuno!H843</f>
        <v>Oficinas</v>
      </c>
      <c r="I843" s="130">
        <f>Oportuno!I843</f>
        <v>0</v>
      </c>
      <c r="J843" s="174">
        <f>Oportuno!J843</f>
        <v>0</v>
      </c>
      <c r="K843" s="174">
        <f>Oportuno!K843</f>
        <v>0</v>
      </c>
      <c r="L843" s="174">
        <f>Oportuno!L843</f>
        <v>0</v>
      </c>
      <c r="M843" s="174">
        <f>Oportuno!M843</f>
        <v>0</v>
      </c>
      <c r="N843" s="174">
        <f>Oportuno!N843</f>
        <v>0</v>
      </c>
      <c r="O843" s="174">
        <f>Oportuno!O843</f>
        <v>0</v>
      </c>
      <c r="P843" s="174">
        <f>Oportuno!P843</f>
        <v>0</v>
      </c>
      <c r="Q843" s="174">
        <f>Oportuno!Q843</f>
        <v>0</v>
      </c>
      <c r="R843" s="174">
        <f>Oportuno!R843</f>
        <v>0</v>
      </c>
      <c r="S843" s="215">
        <f>Oportuno!S843</f>
        <v>0</v>
      </c>
      <c r="T843" s="71">
        <f>Oportuno!T843</f>
        <v>0</v>
      </c>
      <c r="U843" s="71">
        <f>Oportuno!U843</f>
        <v>0</v>
      </c>
      <c r="V843" s="117">
        <f>Oportuno!V843</f>
        <v>0</v>
      </c>
      <c r="W843" s="117">
        <f>Oportuno!W843</f>
        <v>0</v>
      </c>
      <c r="X843" s="71">
        <f>Oportuno!X843</f>
        <v>0</v>
      </c>
      <c r="Y843" s="71">
        <f>Oportuno!Y843</f>
        <v>0</v>
      </c>
      <c r="AA843" s="65"/>
    </row>
    <row r="844" spans="2:27" ht="13" customHeight="1">
      <c r="B844" s="119">
        <f>Oportuno!B844</f>
        <v>0</v>
      </c>
      <c r="C844" s="23">
        <f>Oportuno!C844</f>
        <v>2026092</v>
      </c>
      <c r="D844" s="23">
        <f>Oportuno!D844</f>
        <v>30</v>
      </c>
      <c r="E844" s="128">
        <f>Oportuno!E844</f>
        <v>0</v>
      </c>
      <c r="F844" s="126" t="e">
        <f>Oportuno!F844</f>
        <v>#N/A</v>
      </c>
      <c r="G844" s="36">
        <f>Oportuno!G844</f>
        <v>1</v>
      </c>
      <c r="H844" s="126" t="str">
        <f>Oportuno!H844</f>
        <v>Oficinas</v>
      </c>
      <c r="I844" s="130">
        <f>Oportuno!I844</f>
        <v>0</v>
      </c>
      <c r="J844" s="174">
        <f>Oportuno!J844</f>
        <v>0</v>
      </c>
      <c r="K844" s="174">
        <f>Oportuno!K844</f>
        <v>0</v>
      </c>
      <c r="L844" s="174">
        <f>Oportuno!L844</f>
        <v>0</v>
      </c>
      <c r="M844" s="174">
        <f>Oportuno!M844</f>
        <v>0</v>
      </c>
      <c r="N844" s="174">
        <f>Oportuno!N844</f>
        <v>0</v>
      </c>
      <c r="O844" s="174">
        <f>Oportuno!O844</f>
        <v>0</v>
      </c>
      <c r="P844" s="174">
        <f>Oportuno!P844</f>
        <v>0</v>
      </c>
      <c r="Q844" s="174">
        <f>Oportuno!Q844</f>
        <v>0</v>
      </c>
      <c r="R844" s="174">
        <f>Oportuno!R844</f>
        <v>0</v>
      </c>
      <c r="S844" s="215">
        <f>Oportuno!S844</f>
        <v>0</v>
      </c>
      <c r="T844" s="71">
        <f>Oportuno!T844</f>
        <v>0</v>
      </c>
      <c r="U844" s="71">
        <f>Oportuno!U844</f>
        <v>0</v>
      </c>
      <c r="V844" s="117">
        <f>Oportuno!V844</f>
        <v>0</v>
      </c>
      <c r="W844" s="117">
        <f>Oportuno!W844</f>
        <v>0</v>
      </c>
      <c r="X844" s="71">
        <f>Oportuno!X844</f>
        <v>0</v>
      </c>
      <c r="Y844" s="71">
        <f>Oportuno!Y844</f>
        <v>0</v>
      </c>
      <c r="AA844" s="65"/>
    </row>
    <row r="845" spans="2:27" ht="13" customHeight="1">
      <c r="B845" s="119">
        <f>Oportuno!B845</f>
        <v>0</v>
      </c>
      <c r="C845" s="23">
        <f>Oportuno!C845</f>
        <v>2026092</v>
      </c>
      <c r="D845" s="23">
        <f>Oportuno!D845</f>
        <v>30</v>
      </c>
      <c r="E845" s="128">
        <f>Oportuno!E845</f>
        <v>0</v>
      </c>
      <c r="F845" s="126" t="e">
        <f>Oportuno!F845</f>
        <v>#N/A</v>
      </c>
      <c r="G845" s="36">
        <f>Oportuno!G845</f>
        <v>1</v>
      </c>
      <c r="H845" s="126" t="str">
        <f>Oportuno!H845</f>
        <v>Oficinas</v>
      </c>
      <c r="I845" s="130">
        <f>Oportuno!I845</f>
        <v>0</v>
      </c>
      <c r="J845" s="174">
        <f>Oportuno!J845</f>
        <v>0</v>
      </c>
      <c r="K845" s="174">
        <f>Oportuno!K845</f>
        <v>0</v>
      </c>
      <c r="L845" s="174">
        <f>Oportuno!L845</f>
        <v>0</v>
      </c>
      <c r="M845" s="174">
        <f>Oportuno!M845</f>
        <v>0</v>
      </c>
      <c r="N845" s="174">
        <f>Oportuno!N845</f>
        <v>0</v>
      </c>
      <c r="O845" s="174">
        <f>Oportuno!O845</f>
        <v>0</v>
      </c>
      <c r="P845" s="174">
        <f>Oportuno!P845</f>
        <v>0</v>
      </c>
      <c r="Q845" s="174">
        <f>Oportuno!Q845</f>
        <v>0</v>
      </c>
      <c r="R845" s="174">
        <f>Oportuno!R845</f>
        <v>0</v>
      </c>
      <c r="S845" s="215">
        <f>Oportuno!S845</f>
        <v>0</v>
      </c>
      <c r="T845" s="71">
        <f>Oportuno!T845</f>
        <v>0</v>
      </c>
      <c r="U845" s="71">
        <f>Oportuno!U845</f>
        <v>0</v>
      </c>
      <c r="V845" s="117">
        <f>Oportuno!V845</f>
        <v>0</v>
      </c>
      <c r="W845" s="117">
        <f>Oportuno!W845</f>
        <v>0</v>
      </c>
      <c r="X845" s="71">
        <f>Oportuno!X845</f>
        <v>0</v>
      </c>
      <c r="Y845" s="71">
        <f>Oportuno!Y845</f>
        <v>0</v>
      </c>
      <c r="AA845" s="65"/>
    </row>
    <row r="846" spans="2:27" ht="13" customHeight="1">
      <c r="B846" s="119">
        <f>Oportuno!B846</f>
        <v>0</v>
      </c>
      <c r="C846" s="23">
        <f>Oportuno!C846</f>
        <v>2026092</v>
      </c>
      <c r="D846" s="23">
        <f>Oportuno!D846</f>
        <v>30</v>
      </c>
      <c r="E846" s="128">
        <f>Oportuno!E846</f>
        <v>0</v>
      </c>
      <c r="F846" s="126" t="e">
        <f>Oportuno!F846</f>
        <v>#N/A</v>
      </c>
      <c r="G846" s="36">
        <f>Oportuno!G846</f>
        <v>1</v>
      </c>
      <c r="H846" s="126" t="str">
        <f>Oportuno!H846</f>
        <v>Oficinas</v>
      </c>
      <c r="I846" s="130">
        <f>Oportuno!I846</f>
        <v>0</v>
      </c>
      <c r="J846" s="174">
        <f>Oportuno!J846</f>
        <v>0</v>
      </c>
      <c r="K846" s="174">
        <f>Oportuno!K846</f>
        <v>0</v>
      </c>
      <c r="L846" s="174">
        <f>Oportuno!L846</f>
        <v>0</v>
      </c>
      <c r="M846" s="174">
        <f>Oportuno!M846</f>
        <v>0</v>
      </c>
      <c r="N846" s="174">
        <f>Oportuno!N846</f>
        <v>0</v>
      </c>
      <c r="O846" s="174">
        <f>Oportuno!O846</f>
        <v>0</v>
      </c>
      <c r="P846" s="174">
        <f>Oportuno!P846</f>
        <v>0</v>
      </c>
      <c r="Q846" s="174">
        <f>Oportuno!Q846</f>
        <v>0</v>
      </c>
      <c r="R846" s="174">
        <f>Oportuno!R846</f>
        <v>0</v>
      </c>
      <c r="S846" s="215">
        <f>Oportuno!S846</f>
        <v>0</v>
      </c>
      <c r="T846" s="71">
        <f>Oportuno!T846</f>
        <v>0</v>
      </c>
      <c r="U846" s="71">
        <f>Oportuno!U846</f>
        <v>0</v>
      </c>
      <c r="V846" s="117">
        <f>Oportuno!V846</f>
        <v>0</v>
      </c>
      <c r="W846" s="117">
        <f>Oportuno!W846</f>
        <v>0</v>
      </c>
      <c r="X846" s="71">
        <f>Oportuno!X846</f>
        <v>0</v>
      </c>
      <c r="Y846" s="71">
        <f>Oportuno!Y846</f>
        <v>0</v>
      </c>
      <c r="AA846" s="65"/>
    </row>
    <row r="847" spans="2:27" ht="13" customHeight="1">
      <c r="B847" s="119">
        <f>Oportuno!B847</f>
        <v>0</v>
      </c>
      <c r="C847" s="23">
        <f>Oportuno!C847</f>
        <v>2026092</v>
      </c>
      <c r="D847" s="23">
        <f>Oportuno!D847</f>
        <v>30</v>
      </c>
      <c r="E847" s="128">
        <f>Oportuno!E847</f>
        <v>0</v>
      </c>
      <c r="F847" s="126" t="e">
        <f>Oportuno!F847</f>
        <v>#N/A</v>
      </c>
      <c r="G847" s="36">
        <f>Oportuno!G847</f>
        <v>1</v>
      </c>
      <c r="H847" s="126" t="str">
        <f>Oportuno!H847</f>
        <v>Oficinas</v>
      </c>
      <c r="I847" s="130">
        <f>Oportuno!I847</f>
        <v>0</v>
      </c>
      <c r="J847" s="174">
        <f>Oportuno!J847</f>
        <v>0</v>
      </c>
      <c r="K847" s="174">
        <f>Oportuno!K847</f>
        <v>0</v>
      </c>
      <c r="L847" s="174">
        <f>Oportuno!L847</f>
        <v>0</v>
      </c>
      <c r="M847" s="174">
        <f>Oportuno!M847</f>
        <v>0</v>
      </c>
      <c r="N847" s="174">
        <f>Oportuno!N847</f>
        <v>0</v>
      </c>
      <c r="O847" s="174">
        <f>Oportuno!O847</f>
        <v>0</v>
      </c>
      <c r="P847" s="174">
        <f>Oportuno!P847</f>
        <v>0</v>
      </c>
      <c r="Q847" s="174">
        <f>Oportuno!Q847</f>
        <v>0</v>
      </c>
      <c r="R847" s="174">
        <f>Oportuno!R847</f>
        <v>0</v>
      </c>
      <c r="S847" s="215">
        <f>Oportuno!S847</f>
        <v>0</v>
      </c>
      <c r="T847" s="71">
        <f>Oportuno!T847</f>
        <v>0</v>
      </c>
      <c r="U847" s="71">
        <f>Oportuno!U847</f>
        <v>0</v>
      </c>
      <c r="V847" s="117">
        <f>Oportuno!V847</f>
        <v>0</v>
      </c>
      <c r="W847" s="117">
        <f>Oportuno!W847</f>
        <v>0</v>
      </c>
      <c r="X847" s="71">
        <f>Oportuno!X847</f>
        <v>0</v>
      </c>
      <c r="Y847" s="71">
        <f>Oportuno!Y847</f>
        <v>0</v>
      </c>
      <c r="AA847" s="65"/>
    </row>
    <row r="848" spans="2:27" ht="13" customHeight="1">
      <c r="B848" s="119">
        <f>Oportuno!B848</f>
        <v>0</v>
      </c>
      <c r="C848" s="23">
        <f>Oportuno!C848</f>
        <v>2026092</v>
      </c>
      <c r="D848" s="23">
        <f>Oportuno!D848</f>
        <v>30</v>
      </c>
      <c r="E848" s="128">
        <f>Oportuno!E848</f>
        <v>0</v>
      </c>
      <c r="F848" s="126" t="e">
        <f>Oportuno!F848</f>
        <v>#N/A</v>
      </c>
      <c r="G848" s="36">
        <f>Oportuno!G848</f>
        <v>1</v>
      </c>
      <c r="H848" s="126" t="str">
        <f>Oportuno!H848</f>
        <v>Oficinas</v>
      </c>
      <c r="I848" s="130">
        <f>Oportuno!I848</f>
        <v>0</v>
      </c>
      <c r="J848" s="174">
        <f>Oportuno!J848</f>
        <v>0</v>
      </c>
      <c r="K848" s="174">
        <f>Oportuno!K848</f>
        <v>0</v>
      </c>
      <c r="L848" s="174">
        <f>Oportuno!L848</f>
        <v>0</v>
      </c>
      <c r="M848" s="174">
        <f>Oportuno!M848</f>
        <v>0</v>
      </c>
      <c r="N848" s="174">
        <f>Oportuno!N848</f>
        <v>0</v>
      </c>
      <c r="O848" s="174">
        <f>Oportuno!O848</f>
        <v>0</v>
      </c>
      <c r="P848" s="174">
        <f>Oportuno!P848</f>
        <v>0</v>
      </c>
      <c r="Q848" s="174">
        <f>Oportuno!Q848</f>
        <v>0</v>
      </c>
      <c r="R848" s="174">
        <f>Oportuno!R848</f>
        <v>0</v>
      </c>
      <c r="S848" s="215">
        <f>Oportuno!S848</f>
        <v>0</v>
      </c>
      <c r="T848" s="71">
        <f>Oportuno!T848</f>
        <v>0</v>
      </c>
      <c r="U848" s="71">
        <f>Oportuno!U848</f>
        <v>0</v>
      </c>
      <c r="V848" s="117">
        <f>Oportuno!V848</f>
        <v>0</v>
      </c>
      <c r="W848" s="117">
        <f>Oportuno!W848</f>
        <v>0</v>
      </c>
      <c r="X848" s="71">
        <f>Oportuno!X848</f>
        <v>0</v>
      </c>
      <c r="Y848" s="71">
        <f>Oportuno!Y848</f>
        <v>0</v>
      </c>
      <c r="AA848" s="65"/>
    </row>
    <row r="849" spans="2:27 16101:16120" ht="13" customHeight="1" thickBot="1">
      <c r="B849" s="119">
        <f>Oportuno!B849</f>
        <v>0</v>
      </c>
      <c r="C849" s="23">
        <f>Oportuno!C849</f>
        <v>2026092</v>
      </c>
      <c r="D849" s="23">
        <f>Oportuno!D849</f>
        <v>30</v>
      </c>
      <c r="E849" s="128">
        <f>Oportuno!E849</f>
        <v>0</v>
      </c>
      <c r="F849" s="126" t="e">
        <f>Oportuno!F849</f>
        <v>#N/A</v>
      </c>
      <c r="G849" s="36">
        <f>Oportuno!G849</f>
        <v>1</v>
      </c>
      <c r="H849" s="126" t="str">
        <f>Oportuno!H849</f>
        <v>Oficinas</v>
      </c>
      <c r="I849" s="130">
        <f>Oportuno!I849</f>
        <v>0</v>
      </c>
      <c r="J849" s="174">
        <f>Oportuno!J849</f>
        <v>0</v>
      </c>
      <c r="K849" s="174">
        <f>Oportuno!K849</f>
        <v>0</v>
      </c>
      <c r="L849" s="174">
        <f>Oportuno!L849</f>
        <v>0</v>
      </c>
      <c r="M849" s="174">
        <f>Oportuno!M849</f>
        <v>0</v>
      </c>
      <c r="N849" s="174">
        <f>Oportuno!N849</f>
        <v>0</v>
      </c>
      <c r="O849" s="174">
        <f>Oportuno!O849</f>
        <v>0</v>
      </c>
      <c r="P849" s="174">
        <f>Oportuno!P849</f>
        <v>0</v>
      </c>
      <c r="Q849" s="174">
        <f>Oportuno!Q849</f>
        <v>0</v>
      </c>
      <c r="R849" s="174">
        <f>Oportuno!R849</f>
        <v>0</v>
      </c>
      <c r="S849" s="215">
        <f>Oportuno!S849</f>
        <v>0</v>
      </c>
      <c r="T849" s="71">
        <f>Oportuno!T849</f>
        <v>0</v>
      </c>
      <c r="U849" s="71">
        <f>Oportuno!U849</f>
        <v>0</v>
      </c>
      <c r="V849" s="117">
        <f>Oportuno!V849</f>
        <v>0</v>
      </c>
      <c r="W849" s="117">
        <f>Oportuno!W849</f>
        <v>0</v>
      </c>
      <c r="X849" s="71">
        <f>Oportuno!X849</f>
        <v>0</v>
      </c>
      <c r="Y849" s="71">
        <f>Oportuno!Y849</f>
        <v>0</v>
      </c>
      <c r="AA849" s="65"/>
    </row>
    <row r="850" spans="2:27 16101:16120" ht="13" customHeight="1" thickBot="1">
      <c r="B850" s="1" t="s">
        <v>0</v>
      </c>
      <c r="C850" s="1" t="s">
        <v>0</v>
      </c>
      <c r="D850" s="20" t="s">
        <v>0</v>
      </c>
      <c r="E850" s="120" t="str">
        <f>Oportuno!E850</f>
        <v xml:space="preserve"> </v>
      </c>
      <c r="F850" s="121" t="str">
        <f>Oportuno!F850</f>
        <v>TOTAL RECAUDO</v>
      </c>
      <c r="G850" s="121" t="s">
        <v>0</v>
      </c>
      <c r="H850" s="121" t="s">
        <v>0</v>
      </c>
      <c r="I850" s="121" t="s">
        <v>0</v>
      </c>
      <c r="J850" s="122">
        <f>Oportuno!J850</f>
        <v>0</v>
      </c>
      <c r="K850" s="122">
        <f>Oportuno!K850</f>
        <v>0</v>
      </c>
      <c r="L850" s="122">
        <f>Oportuno!L850</f>
        <v>0</v>
      </c>
      <c r="M850" s="122">
        <f>Oportuno!M850</f>
        <v>0</v>
      </c>
      <c r="N850" s="122">
        <f>Oportuno!N850</f>
        <v>0</v>
      </c>
      <c r="O850" s="122">
        <f>Oportuno!O850</f>
        <v>0</v>
      </c>
      <c r="P850" s="122">
        <f>Oportuno!P850</f>
        <v>0</v>
      </c>
      <c r="Q850" s="122">
        <f>Oportuno!Q850</f>
        <v>0</v>
      </c>
      <c r="R850" s="122">
        <f>Oportuno!R850</f>
        <v>18</v>
      </c>
      <c r="S850" s="122">
        <f>Oportuno!S850</f>
        <v>1712980</v>
      </c>
      <c r="T850" s="122">
        <f>Oportuno!T850</f>
        <v>18</v>
      </c>
      <c r="U850" s="122">
        <f>Oportuno!U850</f>
        <v>1712980</v>
      </c>
      <c r="V850" s="123">
        <f>Oportuno!V850</f>
        <v>18</v>
      </c>
      <c r="W850" s="123">
        <f>Oportuno!W850</f>
        <v>1712980</v>
      </c>
      <c r="X850" s="122">
        <f>Oportuno!X850</f>
        <v>0</v>
      </c>
      <c r="Y850" s="123">
        <f>Oportuno!Y850</f>
        <v>0</v>
      </c>
      <c r="AA850" s="65"/>
    </row>
    <row r="851" spans="2:27 16101:16120" ht="13" thickBot="1">
      <c r="AA851" s="65"/>
    </row>
    <row r="852" spans="2:27 16101:16120" ht="41.25" customHeight="1" thickBot="1">
      <c r="B852" s="112" t="s">
        <v>4</v>
      </c>
      <c r="C852" s="34" t="s">
        <v>6</v>
      </c>
      <c r="D852" s="34" t="s">
        <v>7</v>
      </c>
      <c r="E852" s="34" t="s">
        <v>49</v>
      </c>
      <c r="F852" s="34" t="s">
        <v>50</v>
      </c>
      <c r="G852" s="34" t="s">
        <v>51</v>
      </c>
      <c r="H852" s="34" t="s">
        <v>52</v>
      </c>
      <c r="I852" s="34" t="s">
        <v>13</v>
      </c>
      <c r="J852" s="231" t="s">
        <v>8</v>
      </c>
      <c r="K852" s="231" t="s">
        <v>36</v>
      </c>
      <c r="L852" s="12" t="s">
        <v>9</v>
      </c>
      <c r="M852" s="12" t="s">
        <v>37</v>
      </c>
      <c r="N852" s="87" t="s">
        <v>10</v>
      </c>
      <c r="O852" s="88" t="s">
        <v>38</v>
      </c>
      <c r="P852" s="87" t="s">
        <v>11</v>
      </c>
      <c r="Q852" s="88" t="s">
        <v>39</v>
      </c>
      <c r="R852" s="232" t="s">
        <v>12</v>
      </c>
      <c r="S852" s="233" t="s">
        <v>40</v>
      </c>
      <c r="T852" s="64" t="s">
        <v>41</v>
      </c>
      <c r="U852" s="64" t="s">
        <v>42</v>
      </c>
      <c r="V852" s="35" t="s">
        <v>32</v>
      </c>
      <c r="W852" s="67" t="s">
        <v>35</v>
      </c>
      <c r="X852" s="12" t="s">
        <v>34</v>
      </c>
      <c r="Y852" s="68" t="s">
        <v>33</v>
      </c>
      <c r="AA852" s="66"/>
      <c r="WUG852" s="1"/>
      <c r="WUH852" s="1"/>
      <c r="WUY852"/>
      <c r="WUZ852"/>
    </row>
    <row r="853" spans="2:27 16101:16120" ht="13" customHeight="1">
      <c r="B853" s="119">
        <f>Oportuno!B853</f>
        <v>0</v>
      </c>
      <c r="C853" s="24">
        <f>Oportuno!C853</f>
        <v>2026092</v>
      </c>
      <c r="D853" s="24">
        <f>Oportuno!D853</f>
        <v>31</v>
      </c>
      <c r="E853" s="127">
        <f>Oportuno!E853</f>
        <v>20</v>
      </c>
      <c r="F853" s="125" t="str">
        <f>Oportuno!F853</f>
        <v>Bancolombia ENERBIT</v>
      </c>
      <c r="G853" s="18">
        <f>Oportuno!G853</f>
        <v>1</v>
      </c>
      <c r="H853" s="125" t="str">
        <f>Oportuno!H853</f>
        <v>Oficinas</v>
      </c>
      <c r="I853" s="129">
        <f>Oportuno!I853</f>
        <v>0</v>
      </c>
      <c r="J853" s="213">
        <f>Oportuno!J853</f>
        <v>0</v>
      </c>
      <c r="K853" s="213">
        <f>Oportuno!K853</f>
        <v>0</v>
      </c>
      <c r="L853" s="213">
        <f>Oportuno!L853</f>
        <v>0</v>
      </c>
      <c r="M853" s="213">
        <f>Oportuno!M853</f>
        <v>0</v>
      </c>
      <c r="N853" s="213">
        <f>Oportuno!N853</f>
        <v>0</v>
      </c>
      <c r="O853" s="213">
        <f>Oportuno!O853</f>
        <v>0</v>
      </c>
      <c r="P853" s="213">
        <f>Oportuno!P853</f>
        <v>0</v>
      </c>
      <c r="Q853" s="213">
        <f>Oportuno!Q853</f>
        <v>0</v>
      </c>
      <c r="R853" s="213">
        <f>Oportuno!R853</f>
        <v>0</v>
      </c>
      <c r="S853" s="214">
        <f>Oportuno!S853</f>
        <v>0</v>
      </c>
      <c r="T853" s="70">
        <f>Oportuno!T853</f>
        <v>0</v>
      </c>
      <c r="U853" s="70">
        <f>Oportuno!U853</f>
        <v>0</v>
      </c>
      <c r="V853" s="116">
        <f>Oportuno!V853</f>
        <v>0</v>
      </c>
      <c r="W853" s="116">
        <f>Oportuno!W853</f>
        <v>0</v>
      </c>
      <c r="X853" s="70">
        <f>Oportuno!X853</f>
        <v>0</v>
      </c>
      <c r="Y853" s="70">
        <f>Oportuno!Y853</f>
        <v>0</v>
      </c>
      <c r="AA853" s="65"/>
    </row>
    <row r="854" spans="2:27 16101:16120" ht="13" customHeight="1">
      <c r="B854" s="119">
        <f>Oportuno!B854</f>
        <v>0</v>
      </c>
      <c r="C854" s="23">
        <f>Oportuno!C854</f>
        <v>2026092</v>
      </c>
      <c r="D854" s="23">
        <f>Oportuno!D854</f>
        <v>31</v>
      </c>
      <c r="E854" s="128">
        <f>Oportuno!E854</f>
        <v>0</v>
      </c>
      <c r="F854" s="126" t="e">
        <f>Oportuno!F854</f>
        <v>#N/A</v>
      </c>
      <c r="G854" s="36">
        <f>Oportuno!G854</f>
        <v>1</v>
      </c>
      <c r="H854" s="126" t="str">
        <f>Oportuno!H854</f>
        <v>Oficinas</v>
      </c>
      <c r="I854" s="130">
        <f>Oportuno!I854</f>
        <v>0</v>
      </c>
      <c r="J854" s="174">
        <f>Oportuno!J854</f>
        <v>0</v>
      </c>
      <c r="K854" s="174">
        <f>Oportuno!K854</f>
        <v>0</v>
      </c>
      <c r="L854" s="174">
        <f>Oportuno!L854</f>
        <v>0</v>
      </c>
      <c r="M854" s="174">
        <f>Oportuno!M854</f>
        <v>0</v>
      </c>
      <c r="N854" s="174">
        <f>Oportuno!N854</f>
        <v>0</v>
      </c>
      <c r="O854" s="174">
        <f>Oportuno!O854</f>
        <v>0</v>
      </c>
      <c r="P854" s="174">
        <f>Oportuno!P854</f>
        <v>0</v>
      </c>
      <c r="Q854" s="174">
        <f>Oportuno!Q854</f>
        <v>0</v>
      </c>
      <c r="R854" s="174">
        <f>Oportuno!R854</f>
        <v>0</v>
      </c>
      <c r="S854" s="215">
        <f>Oportuno!S854</f>
        <v>0</v>
      </c>
      <c r="T854" s="71">
        <f>Oportuno!T854</f>
        <v>0</v>
      </c>
      <c r="U854" s="71">
        <f>Oportuno!U854</f>
        <v>0</v>
      </c>
      <c r="V854" s="117">
        <f>Oportuno!V854</f>
        <v>0</v>
      </c>
      <c r="W854" s="117">
        <f>Oportuno!W854</f>
        <v>0</v>
      </c>
      <c r="X854" s="71">
        <f>Oportuno!X854</f>
        <v>0</v>
      </c>
      <c r="Y854" s="71">
        <f>Oportuno!Y854</f>
        <v>0</v>
      </c>
      <c r="AA854" s="65"/>
    </row>
    <row r="855" spans="2:27 16101:16120" ht="13" customHeight="1">
      <c r="B855" s="119">
        <f>Oportuno!B855</f>
        <v>0</v>
      </c>
      <c r="C855" s="23">
        <f>Oportuno!C855</f>
        <v>2026092</v>
      </c>
      <c r="D855" s="23">
        <f>Oportuno!D855</f>
        <v>31</v>
      </c>
      <c r="E855" s="128">
        <f>Oportuno!E855</f>
        <v>0</v>
      </c>
      <c r="F855" s="126" t="e">
        <f>Oportuno!F855</f>
        <v>#N/A</v>
      </c>
      <c r="G855" s="36">
        <f>Oportuno!G855</f>
        <v>1</v>
      </c>
      <c r="H855" s="126" t="str">
        <f>Oportuno!H855</f>
        <v>Oficinas</v>
      </c>
      <c r="I855" s="130">
        <f>Oportuno!I855</f>
        <v>0</v>
      </c>
      <c r="J855" s="174">
        <f>Oportuno!J855</f>
        <v>0</v>
      </c>
      <c r="K855" s="174">
        <f>Oportuno!K855</f>
        <v>0</v>
      </c>
      <c r="L855" s="174">
        <f>Oportuno!L855</f>
        <v>0</v>
      </c>
      <c r="M855" s="174">
        <f>Oportuno!M855</f>
        <v>0</v>
      </c>
      <c r="N855" s="174">
        <f>Oportuno!N855</f>
        <v>0</v>
      </c>
      <c r="O855" s="174">
        <f>Oportuno!O855</f>
        <v>0</v>
      </c>
      <c r="P855" s="174">
        <f>Oportuno!P855</f>
        <v>0</v>
      </c>
      <c r="Q855" s="174">
        <f>Oportuno!Q855</f>
        <v>0</v>
      </c>
      <c r="R855" s="174">
        <f>Oportuno!R855</f>
        <v>0</v>
      </c>
      <c r="S855" s="215">
        <f>Oportuno!S855</f>
        <v>0</v>
      </c>
      <c r="T855" s="71">
        <f>Oportuno!T855</f>
        <v>0</v>
      </c>
      <c r="U855" s="71">
        <f>Oportuno!U855</f>
        <v>0</v>
      </c>
      <c r="V855" s="117">
        <f>Oportuno!V855</f>
        <v>0</v>
      </c>
      <c r="W855" s="117">
        <f>Oportuno!W855</f>
        <v>0</v>
      </c>
      <c r="X855" s="71">
        <f>Oportuno!X855</f>
        <v>0</v>
      </c>
      <c r="Y855" s="71">
        <f>Oportuno!Y855</f>
        <v>0</v>
      </c>
      <c r="AA855" s="65"/>
    </row>
    <row r="856" spans="2:27 16101:16120" ht="13" customHeight="1">
      <c r="B856" s="119">
        <f>Oportuno!B856</f>
        <v>0</v>
      </c>
      <c r="C856" s="23">
        <f>Oportuno!C856</f>
        <v>2026092</v>
      </c>
      <c r="D856" s="23">
        <f>Oportuno!D856</f>
        <v>31</v>
      </c>
      <c r="E856" s="128">
        <f>Oportuno!E856</f>
        <v>0</v>
      </c>
      <c r="F856" s="126" t="e">
        <f>Oportuno!F856</f>
        <v>#N/A</v>
      </c>
      <c r="G856" s="36">
        <f>Oportuno!G856</f>
        <v>1</v>
      </c>
      <c r="H856" s="126" t="str">
        <f>Oportuno!H856</f>
        <v>Oficinas</v>
      </c>
      <c r="I856" s="130">
        <f>Oportuno!I856</f>
        <v>0</v>
      </c>
      <c r="J856" s="174">
        <f>Oportuno!J856</f>
        <v>0</v>
      </c>
      <c r="K856" s="174">
        <f>Oportuno!K856</f>
        <v>0</v>
      </c>
      <c r="L856" s="174">
        <f>Oportuno!L856</f>
        <v>0</v>
      </c>
      <c r="M856" s="174">
        <f>Oportuno!M856</f>
        <v>0</v>
      </c>
      <c r="N856" s="174">
        <f>Oportuno!N856</f>
        <v>0</v>
      </c>
      <c r="O856" s="174">
        <f>Oportuno!O856</f>
        <v>0</v>
      </c>
      <c r="P856" s="174">
        <f>Oportuno!P856</f>
        <v>0</v>
      </c>
      <c r="Q856" s="174">
        <f>Oportuno!Q856</f>
        <v>0</v>
      </c>
      <c r="R856" s="174">
        <f>Oportuno!R856</f>
        <v>0</v>
      </c>
      <c r="S856" s="215">
        <f>Oportuno!S856</f>
        <v>0</v>
      </c>
      <c r="T856" s="71">
        <f>Oportuno!T856</f>
        <v>0</v>
      </c>
      <c r="U856" s="71">
        <f>Oportuno!U856</f>
        <v>0</v>
      </c>
      <c r="V856" s="117">
        <f>Oportuno!V856</f>
        <v>0</v>
      </c>
      <c r="W856" s="117">
        <f>Oportuno!W856</f>
        <v>0</v>
      </c>
      <c r="X856" s="71">
        <f>Oportuno!X856</f>
        <v>0</v>
      </c>
      <c r="Y856" s="71">
        <f>Oportuno!Y856</f>
        <v>0</v>
      </c>
      <c r="AA856" s="65"/>
    </row>
    <row r="857" spans="2:27 16101:16120" ht="13" customHeight="1">
      <c r="B857" s="119">
        <f>Oportuno!B857</f>
        <v>0</v>
      </c>
      <c r="C857" s="23">
        <f>Oportuno!C857</f>
        <v>2026092</v>
      </c>
      <c r="D857" s="23">
        <f>Oportuno!D857</f>
        <v>31</v>
      </c>
      <c r="E857" s="128">
        <f>Oportuno!E857</f>
        <v>0</v>
      </c>
      <c r="F857" s="126" t="e">
        <f>Oportuno!F857</f>
        <v>#N/A</v>
      </c>
      <c r="G857" s="36">
        <f>Oportuno!G857</f>
        <v>1</v>
      </c>
      <c r="H857" s="126" t="str">
        <f>Oportuno!H857</f>
        <v>Oficinas</v>
      </c>
      <c r="I857" s="130">
        <f>Oportuno!I857</f>
        <v>0</v>
      </c>
      <c r="J857" s="174">
        <f>Oportuno!J857</f>
        <v>0</v>
      </c>
      <c r="K857" s="174">
        <f>Oportuno!K857</f>
        <v>0</v>
      </c>
      <c r="L857" s="174">
        <f>Oportuno!L857</f>
        <v>0</v>
      </c>
      <c r="M857" s="174">
        <f>Oportuno!M857</f>
        <v>0</v>
      </c>
      <c r="N857" s="174">
        <f>Oportuno!N857</f>
        <v>0</v>
      </c>
      <c r="O857" s="174">
        <f>Oportuno!O857</f>
        <v>0</v>
      </c>
      <c r="P857" s="174">
        <f>Oportuno!P857</f>
        <v>0</v>
      </c>
      <c r="Q857" s="174">
        <f>Oportuno!Q857</f>
        <v>0</v>
      </c>
      <c r="R857" s="174">
        <f>Oportuno!R857</f>
        <v>0</v>
      </c>
      <c r="S857" s="215">
        <f>Oportuno!S857</f>
        <v>0</v>
      </c>
      <c r="T857" s="71">
        <f>Oportuno!T857</f>
        <v>0</v>
      </c>
      <c r="U857" s="71">
        <f>Oportuno!U857</f>
        <v>0</v>
      </c>
      <c r="V857" s="117">
        <f>Oportuno!V857</f>
        <v>0</v>
      </c>
      <c r="W857" s="117">
        <f>Oportuno!W857</f>
        <v>0</v>
      </c>
      <c r="X857" s="71">
        <f>Oportuno!X857</f>
        <v>0</v>
      </c>
      <c r="Y857" s="71">
        <f>Oportuno!Y857</f>
        <v>0</v>
      </c>
      <c r="AA857" s="65"/>
    </row>
    <row r="858" spans="2:27 16101:16120" ht="13" customHeight="1">
      <c r="B858" s="119">
        <f>Oportuno!B858</f>
        <v>0</v>
      </c>
      <c r="C858" s="23">
        <f>Oportuno!C858</f>
        <v>2026092</v>
      </c>
      <c r="D858" s="23">
        <f>Oportuno!D858</f>
        <v>31</v>
      </c>
      <c r="E858" s="128">
        <f>Oportuno!E858</f>
        <v>0</v>
      </c>
      <c r="F858" s="126" t="e">
        <f>Oportuno!F858</f>
        <v>#N/A</v>
      </c>
      <c r="G858" s="36">
        <f>Oportuno!G858</f>
        <v>1</v>
      </c>
      <c r="H858" s="126" t="str">
        <f>Oportuno!H858</f>
        <v>Oficinas</v>
      </c>
      <c r="I858" s="130">
        <f>Oportuno!I858</f>
        <v>0</v>
      </c>
      <c r="J858" s="174">
        <f>Oportuno!J858</f>
        <v>0</v>
      </c>
      <c r="K858" s="174">
        <f>Oportuno!K858</f>
        <v>0</v>
      </c>
      <c r="L858" s="174">
        <f>Oportuno!L858</f>
        <v>0</v>
      </c>
      <c r="M858" s="174">
        <f>Oportuno!M858</f>
        <v>0</v>
      </c>
      <c r="N858" s="174">
        <f>Oportuno!N858</f>
        <v>0</v>
      </c>
      <c r="O858" s="174">
        <f>Oportuno!O858</f>
        <v>0</v>
      </c>
      <c r="P858" s="174">
        <f>Oportuno!P858</f>
        <v>0</v>
      </c>
      <c r="Q858" s="174">
        <f>Oportuno!Q858</f>
        <v>0</v>
      </c>
      <c r="R858" s="174">
        <f>Oportuno!R858</f>
        <v>0</v>
      </c>
      <c r="S858" s="215">
        <f>Oportuno!S858</f>
        <v>0</v>
      </c>
      <c r="T858" s="71">
        <f>Oportuno!T858</f>
        <v>0</v>
      </c>
      <c r="U858" s="71">
        <f>Oportuno!U858</f>
        <v>0</v>
      </c>
      <c r="V858" s="117">
        <f>Oportuno!V858</f>
        <v>0</v>
      </c>
      <c r="W858" s="117">
        <f>Oportuno!W858</f>
        <v>0</v>
      </c>
      <c r="X858" s="71">
        <f>Oportuno!X858</f>
        <v>0</v>
      </c>
      <c r="Y858" s="71">
        <f>Oportuno!Y858</f>
        <v>0</v>
      </c>
      <c r="AA858" s="65"/>
    </row>
    <row r="859" spans="2:27 16101:16120" ht="13" customHeight="1">
      <c r="B859" s="119">
        <f>Oportuno!B859</f>
        <v>0</v>
      </c>
      <c r="C859" s="23">
        <f>Oportuno!C859</f>
        <v>2026092</v>
      </c>
      <c r="D859" s="23">
        <f>Oportuno!D859</f>
        <v>31</v>
      </c>
      <c r="E859" s="128">
        <f>Oportuno!E859</f>
        <v>0</v>
      </c>
      <c r="F859" s="126" t="e">
        <f>Oportuno!F859</f>
        <v>#N/A</v>
      </c>
      <c r="G859" s="36">
        <f>Oportuno!G859</f>
        <v>1</v>
      </c>
      <c r="H859" s="126" t="str">
        <f>Oportuno!H859</f>
        <v>Oficinas</v>
      </c>
      <c r="I859" s="130">
        <f>Oportuno!I859</f>
        <v>0</v>
      </c>
      <c r="J859" s="174">
        <f>Oportuno!J859</f>
        <v>0</v>
      </c>
      <c r="K859" s="174">
        <f>Oportuno!K859</f>
        <v>0</v>
      </c>
      <c r="L859" s="174">
        <f>Oportuno!L859</f>
        <v>0</v>
      </c>
      <c r="M859" s="174">
        <f>Oportuno!M859</f>
        <v>0</v>
      </c>
      <c r="N859" s="174">
        <f>Oportuno!N859</f>
        <v>0</v>
      </c>
      <c r="O859" s="174">
        <f>Oportuno!O859</f>
        <v>0</v>
      </c>
      <c r="P859" s="174">
        <f>Oportuno!P859</f>
        <v>0</v>
      </c>
      <c r="Q859" s="174">
        <f>Oportuno!Q859</f>
        <v>0</v>
      </c>
      <c r="R859" s="174">
        <f>Oportuno!R859</f>
        <v>0</v>
      </c>
      <c r="S859" s="215">
        <f>Oportuno!S859</f>
        <v>0</v>
      </c>
      <c r="T859" s="71">
        <f>Oportuno!T859</f>
        <v>0</v>
      </c>
      <c r="U859" s="71">
        <f>Oportuno!U859</f>
        <v>0</v>
      </c>
      <c r="V859" s="117">
        <f>Oportuno!V859</f>
        <v>0</v>
      </c>
      <c r="W859" s="117">
        <f>Oportuno!W859</f>
        <v>0</v>
      </c>
      <c r="X859" s="71">
        <f>Oportuno!X859</f>
        <v>0</v>
      </c>
      <c r="Y859" s="71">
        <f>Oportuno!Y859</f>
        <v>0</v>
      </c>
      <c r="AA859" s="65"/>
    </row>
    <row r="860" spans="2:27 16101:16120" ht="13" customHeight="1">
      <c r="B860" s="119">
        <f>Oportuno!B860</f>
        <v>0</v>
      </c>
      <c r="C860" s="23">
        <f>Oportuno!C860</f>
        <v>2026092</v>
      </c>
      <c r="D860" s="23">
        <f>Oportuno!D860</f>
        <v>31</v>
      </c>
      <c r="E860" s="128">
        <f>Oportuno!E860</f>
        <v>0</v>
      </c>
      <c r="F860" s="126" t="e">
        <f>Oportuno!F860</f>
        <v>#N/A</v>
      </c>
      <c r="G860" s="36">
        <f>Oportuno!G860</f>
        <v>1</v>
      </c>
      <c r="H860" s="126" t="str">
        <f>Oportuno!H860</f>
        <v>Oficinas</v>
      </c>
      <c r="I860" s="130">
        <f>Oportuno!I860</f>
        <v>0</v>
      </c>
      <c r="J860" s="174">
        <f>Oportuno!J860</f>
        <v>0</v>
      </c>
      <c r="K860" s="174">
        <f>Oportuno!K860</f>
        <v>0</v>
      </c>
      <c r="L860" s="174">
        <f>Oportuno!L860</f>
        <v>0</v>
      </c>
      <c r="M860" s="174">
        <f>Oportuno!M860</f>
        <v>0</v>
      </c>
      <c r="N860" s="174">
        <f>Oportuno!N860</f>
        <v>0</v>
      </c>
      <c r="O860" s="174">
        <f>Oportuno!O860</f>
        <v>0</v>
      </c>
      <c r="P860" s="174">
        <f>Oportuno!P860</f>
        <v>0</v>
      </c>
      <c r="Q860" s="174">
        <f>Oportuno!Q860</f>
        <v>0</v>
      </c>
      <c r="R860" s="174">
        <f>Oportuno!R860</f>
        <v>0</v>
      </c>
      <c r="S860" s="215">
        <f>Oportuno!S860</f>
        <v>0</v>
      </c>
      <c r="T860" s="71">
        <f>Oportuno!T860</f>
        <v>0</v>
      </c>
      <c r="U860" s="71">
        <f>Oportuno!U860</f>
        <v>0</v>
      </c>
      <c r="V860" s="117">
        <f>Oportuno!V860</f>
        <v>0</v>
      </c>
      <c r="W860" s="117">
        <f>Oportuno!W860</f>
        <v>0</v>
      </c>
      <c r="X860" s="71">
        <f>Oportuno!X860</f>
        <v>0</v>
      </c>
      <c r="Y860" s="71">
        <f>Oportuno!Y860</f>
        <v>0</v>
      </c>
      <c r="AA860" s="65"/>
    </row>
    <row r="861" spans="2:27 16101:16120" ht="13" customHeight="1">
      <c r="B861" s="119">
        <f>Oportuno!B861</f>
        <v>0</v>
      </c>
      <c r="C861" s="23">
        <f>Oportuno!C861</f>
        <v>2026092</v>
      </c>
      <c r="D861" s="23">
        <f>Oportuno!D861</f>
        <v>31</v>
      </c>
      <c r="E861" s="128">
        <f>Oportuno!E861</f>
        <v>0</v>
      </c>
      <c r="F861" s="126" t="e">
        <f>Oportuno!F861</f>
        <v>#N/A</v>
      </c>
      <c r="G861" s="36">
        <f>Oportuno!G861</f>
        <v>1</v>
      </c>
      <c r="H861" s="126" t="str">
        <f>Oportuno!H861</f>
        <v>Oficinas</v>
      </c>
      <c r="I861" s="130">
        <f>Oportuno!I861</f>
        <v>0</v>
      </c>
      <c r="J861" s="174">
        <f>Oportuno!J861</f>
        <v>0</v>
      </c>
      <c r="K861" s="174">
        <f>Oportuno!K861</f>
        <v>0</v>
      </c>
      <c r="L861" s="174">
        <f>Oportuno!L861</f>
        <v>0</v>
      </c>
      <c r="M861" s="174">
        <f>Oportuno!M861</f>
        <v>0</v>
      </c>
      <c r="N861" s="174">
        <f>Oportuno!N861</f>
        <v>0</v>
      </c>
      <c r="O861" s="174">
        <f>Oportuno!O861</f>
        <v>0</v>
      </c>
      <c r="P861" s="174">
        <f>Oportuno!P861</f>
        <v>0</v>
      </c>
      <c r="Q861" s="174">
        <f>Oportuno!Q861</f>
        <v>0</v>
      </c>
      <c r="R861" s="174">
        <f>Oportuno!R861</f>
        <v>0</v>
      </c>
      <c r="S861" s="215">
        <f>Oportuno!S861</f>
        <v>0</v>
      </c>
      <c r="T861" s="71">
        <f>Oportuno!T861</f>
        <v>0</v>
      </c>
      <c r="U861" s="71">
        <f>Oportuno!U861</f>
        <v>0</v>
      </c>
      <c r="V861" s="117">
        <f>Oportuno!V861</f>
        <v>0</v>
      </c>
      <c r="W861" s="117">
        <f>Oportuno!W861</f>
        <v>0</v>
      </c>
      <c r="X861" s="71">
        <f>Oportuno!X861</f>
        <v>0</v>
      </c>
      <c r="Y861" s="71">
        <f>Oportuno!Y861</f>
        <v>0</v>
      </c>
      <c r="AA861" s="65"/>
    </row>
    <row r="862" spans="2:27 16101:16120" ht="13" customHeight="1">
      <c r="B862" s="119">
        <f>Oportuno!B862</f>
        <v>0</v>
      </c>
      <c r="C862" s="23">
        <f>Oportuno!C862</f>
        <v>2026092</v>
      </c>
      <c r="D862" s="23">
        <f>Oportuno!D862</f>
        <v>31</v>
      </c>
      <c r="E862" s="128">
        <f>Oportuno!E862</f>
        <v>0</v>
      </c>
      <c r="F862" s="126" t="e">
        <f>Oportuno!F862</f>
        <v>#N/A</v>
      </c>
      <c r="G862" s="36">
        <f>Oportuno!G862</f>
        <v>1</v>
      </c>
      <c r="H862" s="126" t="str">
        <f>Oportuno!H862</f>
        <v>Oficinas</v>
      </c>
      <c r="I862" s="130">
        <f>Oportuno!I862</f>
        <v>0</v>
      </c>
      <c r="J862" s="174">
        <f>Oportuno!J862</f>
        <v>0</v>
      </c>
      <c r="K862" s="174">
        <f>Oportuno!K862</f>
        <v>0</v>
      </c>
      <c r="L862" s="174">
        <f>Oportuno!L862</f>
        <v>0</v>
      </c>
      <c r="M862" s="174">
        <f>Oportuno!M862</f>
        <v>0</v>
      </c>
      <c r="N862" s="174">
        <f>Oportuno!N862</f>
        <v>0</v>
      </c>
      <c r="O862" s="174">
        <f>Oportuno!O862</f>
        <v>0</v>
      </c>
      <c r="P862" s="174">
        <f>Oportuno!P862</f>
        <v>0</v>
      </c>
      <c r="Q862" s="174">
        <f>Oportuno!Q862</f>
        <v>0</v>
      </c>
      <c r="R862" s="174">
        <f>Oportuno!R862</f>
        <v>0</v>
      </c>
      <c r="S862" s="215">
        <f>Oportuno!S862</f>
        <v>0</v>
      </c>
      <c r="T862" s="71">
        <f>Oportuno!T862</f>
        <v>0</v>
      </c>
      <c r="U862" s="71">
        <f>Oportuno!U862</f>
        <v>0</v>
      </c>
      <c r="V862" s="117">
        <f>Oportuno!V862</f>
        <v>0</v>
      </c>
      <c r="W862" s="117">
        <f>Oportuno!W862</f>
        <v>0</v>
      </c>
      <c r="X862" s="71">
        <f>Oportuno!X862</f>
        <v>0</v>
      </c>
      <c r="Y862" s="71">
        <f>Oportuno!Y862</f>
        <v>0</v>
      </c>
      <c r="AA862" s="65"/>
    </row>
    <row r="863" spans="2:27 16101:16120" ht="13" customHeight="1">
      <c r="B863" s="119">
        <f>Oportuno!B863</f>
        <v>0</v>
      </c>
      <c r="C863" s="23">
        <f>Oportuno!C863</f>
        <v>2026092</v>
      </c>
      <c r="D863" s="23">
        <f>Oportuno!D863</f>
        <v>31</v>
      </c>
      <c r="E863" s="128">
        <f>Oportuno!E863</f>
        <v>0</v>
      </c>
      <c r="F863" s="126" t="e">
        <f>Oportuno!F863</f>
        <v>#N/A</v>
      </c>
      <c r="G863" s="36">
        <f>Oportuno!G863</f>
        <v>1</v>
      </c>
      <c r="H863" s="126" t="str">
        <f>Oportuno!H863</f>
        <v>Oficinas</v>
      </c>
      <c r="I863" s="130">
        <f>Oportuno!I863</f>
        <v>0</v>
      </c>
      <c r="J863" s="174">
        <f>Oportuno!J863</f>
        <v>0</v>
      </c>
      <c r="K863" s="174">
        <f>Oportuno!K863</f>
        <v>0</v>
      </c>
      <c r="L863" s="174">
        <f>Oportuno!L863</f>
        <v>0</v>
      </c>
      <c r="M863" s="174">
        <f>Oportuno!M863</f>
        <v>0</v>
      </c>
      <c r="N863" s="174">
        <f>Oportuno!N863</f>
        <v>0</v>
      </c>
      <c r="O863" s="174">
        <f>Oportuno!O863</f>
        <v>0</v>
      </c>
      <c r="P863" s="174">
        <f>Oportuno!P863</f>
        <v>0</v>
      </c>
      <c r="Q863" s="174">
        <f>Oportuno!Q863</f>
        <v>0</v>
      </c>
      <c r="R863" s="174">
        <f>Oportuno!R863</f>
        <v>0</v>
      </c>
      <c r="S863" s="215">
        <f>Oportuno!S863</f>
        <v>0</v>
      </c>
      <c r="T863" s="71">
        <f>Oportuno!T863</f>
        <v>0</v>
      </c>
      <c r="U863" s="71">
        <f>Oportuno!U863</f>
        <v>0</v>
      </c>
      <c r="V863" s="117">
        <f>Oportuno!V863</f>
        <v>0</v>
      </c>
      <c r="W863" s="117">
        <f>Oportuno!W863</f>
        <v>0</v>
      </c>
      <c r="X863" s="71">
        <f>Oportuno!X863</f>
        <v>0</v>
      </c>
      <c r="Y863" s="71">
        <f>Oportuno!Y863</f>
        <v>0</v>
      </c>
      <c r="AA863" s="65"/>
    </row>
    <row r="864" spans="2:27 16101:16120" ht="13" customHeight="1">
      <c r="B864" s="119">
        <f>Oportuno!B864</f>
        <v>0</v>
      </c>
      <c r="C864" s="23">
        <f>Oportuno!C864</f>
        <v>2026092</v>
      </c>
      <c r="D864" s="23">
        <f>Oportuno!D864</f>
        <v>31</v>
      </c>
      <c r="E864" s="128">
        <f>Oportuno!E864</f>
        <v>0</v>
      </c>
      <c r="F864" s="126" t="e">
        <f>Oportuno!F864</f>
        <v>#N/A</v>
      </c>
      <c r="G864" s="36">
        <f>Oportuno!G864</f>
        <v>1</v>
      </c>
      <c r="H864" s="126" t="str">
        <f>Oportuno!H864</f>
        <v>Oficinas</v>
      </c>
      <c r="I864" s="130">
        <f>Oportuno!I864</f>
        <v>0</v>
      </c>
      <c r="J864" s="174">
        <f>Oportuno!J864</f>
        <v>0</v>
      </c>
      <c r="K864" s="174">
        <f>Oportuno!K864</f>
        <v>0</v>
      </c>
      <c r="L864" s="174">
        <f>Oportuno!L864</f>
        <v>0</v>
      </c>
      <c r="M864" s="174">
        <f>Oportuno!M864</f>
        <v>0</v>
      </c>
      <c r="N864" s="174">
        <f>Oportuno!N864</f>
        <v>0</v>
      </c>
      <c r="O864" s="174">
        <f>Oportuno!O864</f>
        <v>0</v>
      </c>
      <c r="P864" s="174">
        <f>Oportuno!P864</f>
        <v>0</v>
      </c>
      <c r="Q864" s="174">
        <f>Oportuno!Q864</f>
        <v>0</v>
      </c>
      <c r="R864" s="174">
        <f>Oportuno!R864</f>
        <v>0</v>
      </c>
      <c r="S864" s="215">
        <f>Oportuno!S864</f>
        <v>0</v>
      </c>
      <c r="T864" s="71">
        <f>Oportuno!T864</f>
        <v>0</v>
      </c>
      <c r="U864" s="71">
        <f>Oportuno!U864</f>
        <v>0</v>
      </c>
      <c r="V864" s="117">
        <f>Oportuno!V864</f>
        <v>0</v>
      </c>
      <c r="W864" s="117">
        <f>Oportuno!W864</f>
        <v>0</v>
      </c>
      <c r="X864" s="71">
        <f>Oportuno!X864</f>
        <v>0</v>
      </c>
      <c r="Y864" s="71">
        <f>Oportuno!Y864</f>
        <v>0</v>
      </c>
      <c r="AA864" s="65"/>
    </row>
    <row r="865" spans="1:27" ht="13" customHeight="1">
      <c r="B865" s="119">
        <f>Oportuno!B865</f>
        <v>0</v>
      </c>
      <c r="C865" s="23">
        <f>Oportuno!C865</f>
        <v>2026092</v>
      </c>
      <c r="D865" s="23">
        <f>Oportuno!D865</f>
        <v>31</v>
      </c>
      <c r="E865" s="128">
        <f>Oportuno!E865</f>
        <v>0</v>
      </c>
      <c r="F865" s="126" t="e">
        <f>Oportuno!F865</f>
        <v>#N/A</v>
      </c>
      <c r="G865" s="36">
        <f>Oportuno!G865</f>
        <v>1</v>
      </c>
      <c r="H865" s="126" t="str">
        <f>Oportuno!H865</f>
        <v>Oficinas</v>
      </c>
      <c r="I865" s="130">
        <f>Oportuno!I865</f>
        <v>0</v>
      </c>
      <c r="J865" s="174">
        <f>Oportuno!J865</f>
        <v>0</v>
      </c>
      <c r="K865" s="174">
        <f>Oportuno!K865</f>
        <v>0</v>
      </c>
      <c r="L865" s="174">
        <f>Oportuno!L865</f>
        <v>0</v>
      </c>
      <c r="M865" s="174">
        <f>Oportuno!M865</f>
        <v>0</v>
      </c>
      <c r="N865" s="174">
        <f>Oportuno!N865</f>
        <v>0</v>
      </c>
      <c r="O865" s="174">
        <f>Oportuno!O865</f>
        <v>0</v>
      </c>
      <c r="P865" s="174">
        <f>Oportuno!P865</f>
        <v>0</v>
      </c>
      <c r="Q865" s="174">
        <f>Oportuno!Q865</f>
        <v>0</v>
      </c>
      <c r="R865" s="174">
        <f>Oportuno!R865</f>
        <v>0</v>
      </c>
      <c r="S865" s="215">
        <f>Oportuno!S865</f>
        <v>0</v>
      </c>
      <c r="T865" s="71">
        <f>Oportuno!T865</f>
        <v>0</v>
      </c>
      <c r="U865" s="71">
        <f>Oportuno!U865</f>
        <v>0</v>
      </c>
      <c r="V865" s="117">
        <f>Oportuno!V865</f>
        <v>0</v>
      </c>
      <c r="W865" s="117">
        <f>Oportuno!W865</f>
        <v>0</v>
      </c>
      <c r="X865" s="71">
        <f>Oportuno!X865</f>
        <v>0</v>
      </c>
      <c r="Y865" s="71">
        <f>Oportuno!Y865</f>
        <v>0</v>
      </c>
      <c r="AA865" s="65"/>
    </row>
    <row r="866" spans="1:27" ht="13" customHeight="1">
      <c r="B866" s="119">
        <f>Oportuno!B866</f>
        <v>0</v>
      </c>
      <c r="C866" s="23">
        <f>Oportuno!C866</f>
        <v>2026092</v>
      </c>
      <c r="D866" s="23">
        <f>Oportuno!D866</f>
        <v>31</v>
      </c>
      <c r="E866" s="128">
        <f>Oportuno!E866</f>
        <v>0</v>
      </c>
      <c r="F866" s="126" t="e">
        <f>Oportuno!F866</f>
        <v>#N/A</v>
      </c>
      <c r="G866" s="36">
        <f>Oportuno!G866</f>
        <v>1</v>
      </c>
      <c r="H866" s="126" t="str">
        <f>Oportuno!H866</f>
        <v>Oficinas</v>
      </c>
      <c r="I866" s="130">
        <f>Oportuno!I866</f>
        <v>0</v>
      </c>
      <c r="J866" s="174">
        <f>Oportuno!J866</f>
        <v>0</v>
      </c>
      <c r="K866" s="174">
        <f>Oportuno!K866</f>
        <v>0</v>
      </c>
      <c r="L866" s="174">
        <f>Oportuno!L866</f>
        <v>0</v>
      </c>
      <c r="M866" s="174">
        <f>Oportuno!M866</f>
        <v>0</v>
      </c>
      <c r="N866" s="174">
        <f>Oportuno!N866</f>
        <v>0</v>
      </c>
      <c r="O866" s="174">
        <f>Oportuno!O866</f>
        <v>0</v>
      </c>
      <c r="P866" s="174">
        <f>Oportuno!P866</f>
        <v>0</v>
      </c>
      <c r="Q866" s="174">
        <f>Oportuno!Q866</f>
        <v>0</v>
      </c>
      <c r="R866" s="174">
        <f>Oportuno!R866</f>
        <v>0</v>
      </c>
      <c r="S866" s="215">
        <f>Oportuno!S866</f>
        <v>0</v>
      </c>
      <c r="T866" s="71">
        <f>Oportuno!T866</f>
        <v>0</v>
      </c>
      <c r="U866" s="71">
        <f>Oportuno!U866</f>
        <v>0</v>
      </c>
      <c r="V866" s="117">
        <f>Oportuno!V866</f>
        <v>0</v>
      </c>
      <c r="W866" s="117">
        <f>Oportuno!W866</f>
        <v>0</v>
      </c>
      <c r="X866" s="71">
        <f>Oportuno!X866</f>
        <v>0</v>
      </c>
      <c r="Y866" s="71">
        <f>Oportuno!Y866</f>
        <v>0</v>
      </c>
      <c r="AA866" s="65"/>
    </row>
    <row r="867" spans="1:27" ht="13" customHeight="1">
      <c r="B867" s="119">
        <f>Oportuno!B867</f>
        <v>0</v>
      </c>
      <c r="C867" s="23">
        <f>Oportuno!C867</f>
        <v>2026092</v>
      </c>
      <c r="D867" s="23">
        <f>Oportuno!D867</f>
        <v>31</v>
      </c>
      <c r="E867" s="128">
        <f>Oportuno!E867</f>
        <v>0</v>
      </c>
      <c r="F867" s="126" t="e">
        <f>Oportuno!F867</f>
        <v>#N/A</v>
      </c>
      <c r="G867" s="36">
        <f>Oportuno!G867</f>
        <v>1</v>
      </c>
      <c r="H867" s="126" t="str">
        <f>Oportuno!H867</f>
        <v>Oficinas</v>
      </c>
      <c r="I867" s="130">
        <f>Oportuno!I867</f>
        <v>0</v>
      </c>
      <c r="J867" s="174">
        <f>Oportuno!J867</f>
        <v>0</v>
      </c>
      <c r="K867" s="174">
        <f>Oportuno!K867</f>
        <v>0</v>
      </c>
      <c r="L867" s="174">
        <f>Oportuno!L867</f>
        <v>0</v>
      </c>
      <c r="M867" s="174">
        <f>Oportuno!M867</f>
        <v>0</v>
      </c>
      <c r="N867" s="174">
        <f>Oportuno!N867</f>
        <v>0</v>
      </c>
      <c r="O867" s="174">
        <f>Oportuno!O867</f>
        <v>0</v>
      </c>
      <c r="P867" s="174">
        <f>Oportuno!P867</f>
        <v>0</v>
      </c>
      <c r="Q867" s="174">
        <f>Oportuno!Q867</f>
        <v>0</v>
      </c>
      <c r="R867" s="174">
        <f>Oportuno!R867</f>
        <v>0</v>
      </c>
      <c r="S867" s="215">
        <f>Oportuno!S867</f>
        <v>0</v>
      </c>
      <c r="T867" s="71">
        <f>Oportuno!T867</f>
        <v>0</v>
      </c>
      <c r="U867" s="71">
        <f>Oportuno!U867</f>
        <v>0</v>
      </c>
      <c r="V867" s="117">
        <f>Oportuno!V867</f>
        <v>0</v>
      </c>
      <c r="W867" s="117">
        <f>Oportuno!W867</f>
        <v>0</v>
      </c>
      <c r="X867" s="71">
        <f>Oportuno!X867</f>
        <v>0</v>
      </c>
      <c r="Y867" s="71">
        <f>Oportuno!Y867</f>
        <v>0</v>
      </c>
      <c r="AA867" s="65"/>
    </row>
    <row r="868" spans="1:27" ht="12" customHeight="1">
      <c r="B868" s="119">
        <f>Oportuno!B868</f>
        <v>0</v>
      </c>
      <c r="C868" s="23">
        <f>Oportuno!C868</f>
        <v>2026092</v>
      </c>
      <c r="D868" s="23">
        <f>Oportuno!D868</f>
        <v>31</v>
      </c>
      <c r="E868" s="128">
        <f>Oportuno!E868</f>
        <v>0</v>
      </c>
      <c r="F868" s="126" t="e">
        <f>Oportuno!F868</f>
        <v>#N/A</v>
      </c>
      <c r="G868" s="36">
        <f>Oportuno!G868</f>
        <v>1</v>
      </c>
      <c r="H868" s="126" t="str">
        <f>Oportuno!H868</f>
        <v>Oficinas</v>
      </c>
      <c r="I868" s="130">
        <f>Oportuno!I868</f>
        <v>0</v>
      </c>
      <c r="J868" s="174">
        <f>Oportuno!J868</f>
        <v>0</v>
      </c>
      <c r="K868" s="174">
        <f>Oportuno!K868</f>
        <v>0</v>
      </c>
      <c r="L868" s="174">
        <f>Oportuno!L868</f>
        <v>0</v>
      </c>
      <c r="M868" s="174">
        <f>Oportuno!M868</f>
        <v>0</v>
      </c>
      <c r="N868" s="174">
        <f>Oportuno!N868</f>
        <v>0</v>
      </c>
      <c r="O868" s="174">
        <f>Oportuno!O868</f>
        <v>0</v>
      </c>
      <c r="P868" s="174">
        <f>Oportuno!P868</f>
        <v>0</v>
      </c>
      <c r="Q868" s="174">
        <f>Oportuno!Q868</f>
        <v>0</v>
      </c>
      <c r="R868" s="174">
        <f>Oportuno!R868</f>
        <v>0</v>
      </c>
      <c r="S868" s="215">
        <f>Oportuno!S868</f>
        <v>0</v>
      </c>
      <c r="T868" s="71">
        <f>Oportuno!T868</f>
        <v>0</v>
      </c>
      <c r="U868" s="71">
        <f>Oportuno!U868</f>
        <v>0</v>
      </c>
      <c r="V868" s="117">
        <f>Oportuno!V868</f>
        <v>0</v>
      </c>
      <c r="W868" s="117">
        <f>Oportuno!W868</f>
        <v>0</v>
      </c>
      <c r="X868" s="71">
        <f>Oportuno!X868</f>
        <v>0</v>
      </c>
      <c r="Y868" s="71">
        <f>Oportuno!Y868</f>
        <v>0</v>
      </c>
      <c r="AA868" s="65"/>
    </row>
    <row r="869" spans="1:27" ht="13" customHeight="1">
      <c r="B869" s="119">
        <f>Oportuno!B869</f>
        <v>0</v>
      </c>
      <c r="C869" s="23">
        <f>Oportuno!C869</f>
        <v>2026092</v>
      </c>
      <c r="D869" s="23">
        <f>Oportuno!D869</f>
        <v>31</v>
      </c>
      <c r="E869" s="128">
        <f>Oportuno!E869</f>
        <v>0</v>
      </c>
      <c r="F869" s="126" t="e">
        <f>Oportuno!F869</f>
        <v>#N/A</v>
      </c>
      <c r="G869" s="36">
        <f>Oportuno!G869</f>
        <v>1</v>
      </c>
      <c r="H869" s="126" t="str">
        <f>Oportuno!H869</f>
        <v>Oficinas</v>
      </c>
      <c r="I869" s="130">
        <f>Oportuno!I869</f>
        <v>0</v>
      </c>
      <c r="J869" s="174">
        <f>Oportuno!J869</f>
        <v>0</v>
      </c>
      <c r="K869" s="174">
        <f>Oportuno!K869</f>
        <v>0</v>
      </c>
      <c r="L869" s="174">
        <f>Oportuno!L869</f>
        <v>0</v>
      </c>
      <c r="M869" s="174">
        <f>Oportuno!M869</f>
        <v>0</v>
      </c>
      <c r="N869" s="174">
        <f>Oportuno!N869</f>
        <v>0</v>
      </c>
      <c r="O869" s="174">
        <f>Oportuno!O869</f>
        <v>0</v>
      </c>
      <c r="P869" s="174">
        <f>Oportuno!P869</f>
        <v>0</v>
      </c>
      <c r="Q869" s="174">
        <f>Oportuno!Q869</f>
        <v>0</v>
      </c>
      <c r="R869" s="174">
        <f>Oportuno!R869</f>
        <v>0</v>
      </c>
      <c r="S869" s="215">
        <f>Oportuno!S869</f>
        <v>0</v>
      </c>
      <c r="T869" s="71">
        <f>Oportuno!T869</f>
        <v>0</v>
      </c>
      <c r="U869" s="71">
        <f>Oportuno!U869</f>
        <v>0</v>
      </c>
      <c r="V869" s="117">
        <f>Oportuno!V869</f>
        <v>0</v>
      </c>
      <c r="W869" s="117">
        <f>Oportuno!W869</f>
        <v>0</v>
      </c>
      <c r="X869" s="71">
        <f>Oportuno!X869</f>
        <v>0</v>
      </c>
      <c r="Y869" s="71">
        <f>Oportuno!Y869</f>
        <v>0</v>
      </c>
      <c r="AA869" s="65"/>
    </row>
    <row r="870" spans="1:27" ht="13" customHeight="1">
      <c r="B870" s="119">
        <f>Oportuno!B870</f>
        <v>0</v>
      </c>
      <c r="C870" s="23">
        <f>Oportuno!C870</f>
        <v>2026092</v>
      </c>
      <c r="D870" s="23">
        <f>Oportuno!D870</f>
        <v>31</v>
      </c>
      <c r="E870" s="128">
        <f>Oportuno!E870</f>
        <v>0</v>
      </c>
      <c r="F870" s="126" t="e">
        <f>Oportuno!F870</f>
        <v>#N/A</v>
      </c>
      <c r="G870" s="36">
        <f>Oportuno!G870</f>
        <v>1</v>
      </c>
      <c r="H870" s="126" t="str">
        <f>Oportuno!H870</f>
        <v>Oficinas</v>
      </c>
      <c r="I870" s="130">
        <f>Oportuno!I870</f>
        <v>0</v>
      </c>
      <c r="J870" s="174">
        <f>Oportuno!J870</f>
        <v>0</v>
      </c>
      <c r="K870" s="174">
        <f>Oportuno!K870</f>
        <v>0</v>
      </c>
      <c r="L870" s="174">
        <f>Oportuno!L870</f>
        <v>0</v>
      </c>
      <c r="M870" s="174">
        <f>Oportuno!M870</f>
        <v>0</v>
      </c>
      <c r="N870" s="174">
        <f>Oportuno!N870</f>
        <v>0</v>
      </c>
      <c r="O870" s="174">
        <f>Oportuno!O870</f>
        <v>0</v>
      </c>
      <c r="P870" s="174">
        <f>Oportuno!P870</f>
        <v>0</v>
      </c>
      <c r="Q870" s="174">
        <f>Oportuno!Q870</f>
        <v>0</v>
      </c>
      <c r="R870" s="174">
        <f>Oportuno!R870</f>
        <v>0</v>
      </c>
      <c r="S870" s="215">
        <f>Oportuno!S870</f>
        <v>0</v>
      </c>
      <c r="T870" s="71">
        <f>Oportuno!T870</f>
        <v>0</v>
      </c>
      <c r="U870" s="71">
        <f>Oportuno!U870</f>
        <v>0</v>
      </c>
      <c r="V870" s="117">
        <f>Oportuno!V870</f>
        <v>0</v>
      </c>
      <c r="W870" s="117">
        <f>Oportuno!W870</f>
        <v>0</v>
      </c>
      <c r="X870" s="71">
        <f>Oportuno!X870</f>
        <v>0</v>
      </c>
      <c r="Y870" s="71">
        <f>Oportuno!Y870</f>
        <v>0</v>
      </c>
      <c r="AA870" s="65"/>
    </row>
    <row r="871" spans="1:27" ht="13" customHeight="1">
      <c r="B871" s="119">
        <f>Oportuno!B871</f>
        <v>0</v>
      </c>
      <c r="C871" s="23">
        <f>Oportuno!C871</f>
        <v>2026092</v>
      </c>
      <c r="D871" s="23">
        <f>Oportuno!D871</f>
        <v>31</v>
      </c>
      <c r="E871" s="128">
        <f>Oportuno!E871</f>
        <v>0</v>
      </c>
      <c r="F871" s="126" t="e">
        <f>Oportuno!F871</f>
        <v>#N/A</v>
      </c>
      <c r="G871" s="36">
        <f>Oportuno!G871</f>
        <v>1</v>
      </c>
      <c r="H871" s="126" t="str">
        <f>Oportuno!H871</f>
        <v>Oficinas</v>
      </c>
      <c r="I871" s="130">
        <f>Oportuno!I871</f>
        <v>0</v>
      </c>
      <c r="J871" s="174">
        <f>Oportuno!J871</f>
        <v>0</v>
      </c>
      <c r="K871" s="174">
        <f>Oportuno!K871</f>
        <v>0</v>
      </c>
      <c r="L871" s="174">
        <f>Oportuno!L871</f>
        <v>0</v>
      </c>
      <c r="M871" s="174">
        <f>Oportuno!M871</f>
        <v>0</v>
      </c>
      <c r="N871" s="174">
        <f>Oportuno!N871</f>
        <v>0</v>
      </c>
      <c r="O871" s="174">
        <f>Oportuno!O871</f>
        <v>0</v>
      </c>
      <c r="P871" s="174">
        <f>Oportuno!P871</f>
        <v>0</v>
      </c>
      <c r="Q871" s="174">
        <f>Oportuno!Q871</f>
        <v>0</v>
      </c>
      <c r="R871" s="174">
        <f>Oportuno!R871</f>
        <v>0</v>
      </c>
      <c r="S871" s="215">
        <f>Oportuno!S871</f>
        <v>0</v>
      </c>
      <c r="T871" s="71">
        <f>Oportuno!T871</f>
        <v>0</v>
      </c>
      <c r="U871" s="71">
        <f>Oportuno!U871</f>
        <v>0</v>
      </c>
      <c r="V871" s="117">
        <f>Oportuno!V871</f>
        <v>0</v>
      </c>
      <c r="W871" s="117">
        <f>Oportuno!W871</f>
        <v>0</v>
      </c>
      <c r="X871" s="71">
        <f>Oportuno!X871</f>
        <v>0</v>
      </c>
      <c r="Y871" s="71">
        <f>Oportuno!Y871</f>
        <v>0</v>
      </c>
      <c r="AA871" s="65"/>
    </row>
    <row r="872" spans="1:27" ht="13" customHeight="1">
      <c r="B872" s="119">
        <f>Oportuno!B872</f>
        <v>0</v>
      </c>
      <c r="C872" s="23">
        <f>Oportuno!C872</f>
        <v>2026092</v>
      </c>
      <c r="D872" s="23">
        <f>Oportuno!D872</f>
        <v>31</v>
      </c>
      <c r="E872" s="128">
        <f>Oportuno!E872</f>
        <v>0</v>
      </c>
      <c r="F872" s="126" t="e">
        <f>Oportuno!F872</f>
        <v>#N/A</v>
      </c>
      <c r="G872" s="36">
        <f>Oportuno!G872</f>
        <v>1</v>
      </c>
      <c r="H872" s="126" t="str">
        <f>Oportuno!H872</f>
        <v>Oficinas</v>
      </c>
      <c r="I872" s="130">
        <f>Oportuno!I872</f>
        <v>0</v>
      </c>
      <c r="J872" s="174">
        <f>Oportuno!J872</f>
        <v>0</v>
      </c>
      <c r="K872" s="174">
        <f>Oportuno!K872</f>
        <v>0</v>
      </c>
      <c r="L872" s="174">
        <f>Oportuno!L872</f>
        <v>0</v>
      </c>
      <c r="M872" s="174">
        <f>Oportuno!M872</f>
        <v>0</v>
      </c>
      <c r="N872" s="174">
        <f>Oportuno!N872</f>
        <v>0</v>
      </c>
      <c r="O872" s="174">
        <f>Oportuno!O872</f>
        <v>0</v>
      </c>
      <c r="P872" s="174">
        <f>Oportuno!P872</f>
        <v>0</v>
      </c>
      <c r="Q872" s="174">
        <f>Oportuno!Q872</f>
        <v>0</v>
      </c>
      <c r="R872" s="174">
        <f>Oportuno!R872</f>
        <v>0</v>
      </c>
      <c r="S872" s="215">
        <f>Oportuno!S872</f>
        <v>0</v>
      </c>
      <c r="T872" s="71">
        <f>Oportuno!T872</f>
        <v>0</v>
      </c>
      <c r="U872" s="71">
        <f>Oportuno!U872</f>
        <v>0</v>
      </c>
      <c r="V872" s="117">
        <f>Oportuno!V872</f>
        <v>0</v>
      </c>
      <c r="W872" s="117">
        <f>Oportuno!W872</f>
        <v>0</v>
      </c>
      <c r="X872" s="71">
        <f>Oportuno!X872</f>
        <v>0</v>
      </c>
      <c r="Y872" s="71">
        <f>Oportuno!Y872</f>
        <v>0</v>
      </c>
      <c r="AA872" s="65"/>
    </row>
    <row r="873" spans="1:27" ht="13" customHeight="1">
      <c r="B873" s="119">
        <f>Oportuno!B873</f>
        <v>0</v>
      </c>
      <c r="C873" s="23">
        <f>Oportuno!C873</f>
        <v>2026092</v>
      </c>
      <c r="D873" s="23">
        <f>Oportuno!D873</f>
        <v>31</v>
      </c>
      <c r="E873" s="128">
        <f>Oportuno!E873</f>
        <v>0</v>
      </c>
      <c r="F873" s="126" t="e">
        <f>Oportuno!F873</f>
        <v>#N/A</v>
      </c>
      <c r="G873" s="36">
        <f>Oportuno!G873</f>
        <v>1</v>
      </c>
      <c r="H873" s="126" t="str">
        <f>Oportuno!H873</f>
        <v>Oficinas</v>
      </c>
      <c r="I873" s="130">
        <f>Oportuno!I873</f>
        <v>0</v>
      </c>
      <c r="J873" s="174">
        <f>Oportuno!J873</f>
        <v>0</v>
      </c>
      <c r="K873" s="174">
        <f>Oportuno!K873</f>
        <v>0</v>
      </c>
      <c r="L873" s="174">
        <f>Oportuno!L873</f>
        <v>0</v>
      </c>
      <c r="M873" s="174">
        <f>Oportuno!M873</f>
        <v>0</v>
      </c>
      <c r="N873" s="174">
        <f>Oportuno!N873</f>
        <v>0</v>
      </c>
      <c r="O873" s="174">
        <f>Oportuno!O873</f>
        <v>0</v>
      </c>
      <c r="P873" s="174">
        <f>Oportuno!P873</f>
        <v>0</v>
      </c>
      <c r="Q873" s="174">
        <f>Oportuno!Q873</f>
        <v>0</v>
      </c>
      <c r="R873" s="174">
        <f>Oportuno!R873</f>
        <v>0</v>
      </c>
      <c r="S873" s="215">
        <f>Oportuno!S873</f>
        <v>0</v>
      </c>
      <c r="T873" s="71">
        <f>Oportuno!T873</f>
        <v>0</v>
      </c>
      <c r="U873" s="71">
        <f>Oportuno!U873</f>
        <v>0</v>
      </c>
      <c r="V873" s="117">
        <f>Oportuno!V873</f>
        <v>0</v>
      </c>
      <c r="W873" s="117">
        <f>Oportuno!W873</f>
        <v>0</v>
      </c>
      <c r="X873" s="71">
        <f>Oportuno!X873</f>
        <v>0</v>
      </c>
      <c r="Y873" s="71">
        <f>Oportuno!Y873</f>
        <v>0</v>
      </c>
      <c r="AA873" s="65"/>
    </row>
    <row r="874" spans="1:27" ht="13" customHeight="1">
      <c r="B874" s="119">
        <f>Oportuno!B874</f>
        <v>0</v>
      </c>
      <c r="C874" s="23">
        <f>Oportuno!C874</f>
        <v>2026092</v>
      </c>
      <c r="D874" s="23">
        <f>Oportuno!D874</f>
        <v>31</v>
      </c>
      <c r="E874" s="128">
        <f>Oportuno!E874</f>
        <v>0</v>
      </c>
      <c r="F874" s="126" t="e">
        <f>Oportuno!F874</f>
        <v>#N/A</v>
      </c>
      <c r="G874" s="36">
        <f>Oportuno!G874</f>
        <v>1</v>
      </c>
      <c r="H874" s="126" t="str">
        <f>Oportuno!H874</f>
        <v>Oficinas</v>
      </c>
      <c r="I874" s="130">
        <f>Oportuno!I874</f>
        <v>0</v>
      </c>
      <c r="J874" s="174">
        <f>Oportuno!J874</f>
        <v>0</v>
      </c>
      <c r="K874" s="174">
        <f>Oportuno!K874</f>
        <v>0</v>
      </c>
      <c r="L874" s="174">
        <f>Oportuno!L874</f>
        <v>0</v>
      </c>
      <c r="M874" s="174">
        <f>Oportuno!M874</f>
        <v>0</v>
      </c>
      <c r="N874" s="174">
        <f>Oportuno!N874</f>
        <v>0</v>
      </c>
      <c r="O874" s="174">
        <f>Oportuno!O874</f>
        <v>0</v>
      </c>
      <c r="P874" s="174">
        <f>Oportuno!P874</f>
        <v>0</v>
      </c>
      <c r="Q874" s="174">
        <f>Oportuno!Q874</f>
        <v>0</v>
      </c>
      <c r="R874" s="174">
        <f>Oportuno!R874</f>
        <v>0</v>
      </c>
      <c r="S874" s="215">
        <f>Oportuno!S874</f>
        <v>0</v>
      </c>
      <c r="T874" s="71">
        <f>Oportuno!T874</f>
        <v>0</v>
      </c>
      <c r="U874" s="71">
        <f>Oportuno!U874</f>
        <v>0</v>
      </c>
      <c r="V874" s="117">
        <f>Oportuno!V874</f>
        <v>0</v>
      </c>
      <c r="W874" s="117">
        <f>Oportuno!W874</f>
        <v>0</v>
      </c>
      <c r="X874" s="71">
        <f>Oportuno!X874</f>
        <v>0</v>
      </c>
      <c r="Y874" s="71">
        <f>Oportuno!Y874</f>
        <v>0</v>
      </c>
      <c r="AA874" s="65"/>
    </row>
    <row r="875" spans="1:27" ht="13" customHeight="1">
      <c r="B875" s="119">
        <f>Oportuno!B875</f>
        <v>0</v>
      </c>
      <c r="C875" s="23">
        <f>Oportuno!C875</f>
        <v>2026092</v>
      </c>
      <c r="D875" s="23">
        <f>Oportuno!D875</f>
        <v>31</v>
      </c>
      <c r="E875" s="128">
        <f>Oportuno!E875</f>
        <v>0</v>
      </c>
      <c r="F875" s="126" t="e">
        <f>Oportuno!F875</f>
        <v>#N/A</v>
      </c>
      <c r="G875" s="36">
        <f>Oportuno!G875</f>
        <v>1</v>
      </c>
      <c r="H875" s="126" t="str">
        <f>Oportuno!H875</f>
        <v>Oficinas</v>
      </c>
      <c r="I875" s="130">
        <f>Oportuno!I875</f>
        <v>0</v>
      </c>
      <c r="J875" s="174">
        <f>Oportuno!J875</f>
        <v>0</v>
      </c>
      <c r="K875" s="174">
        <f>Oportuno!K875</f>
        <v>0</v>
      </c>
      <c r="L875" s="174">
        <f>Oportuno!L875</f>
        <v>0</v>
      </c>
      <c r="M875" s="174">
        <f>Oportuno!M875</f>
        <v>0</v>
      </c>
      <c r="N875" s="174">
        <f>Oportuno!N875</f>
        <v>0</v>
      </c>
      <c r="O875" s="174">
        <f>Oportuno!O875</f>
        <v>0</v>
      </c>
      <c r="P875" s="174">
        <f>Oportuno!P875</f>
        <v>0</v>
      </c>
      <c r="Q875" s="174">
        <f>Oportuno!Q875</f>
        <v>0</v>
      </c>
      <c r="R875" s="174">
        <f>Oportuno!R875</f>
        <v>0</v>
      </c>
      <c r="S875" s="215">
        <f>Oportuno!S875</f>
        <v>0</v>
      </c>
      <c r="T875" s="71">
        <f>Oportuno!T875</f>
        <v>0</v>
      </c>
      <c r="U875" s="71">
        <f>Oportuno!U875</f>
        <v>0</v>
      </c>
      <c r="V875" s="117">
        <f>Oportuno!V875</f>
        <v>0</v>
      </c>
      <c r="W875" s="117">
        <f>Oportuno!W875</f>
        <v>0</v>
      </c>
      <c r="X875" s="71">
        <f>Oportuno!X875</f>
        <v>0</v>
      </c>
      <c r="Y875" s="71">
        <f>Oportuno!Y875</f>
        <v>0</v>
      </c>
      <c r="AA875" s="65"/>
    </row>
    <row r="876" spans="1:27" ht="13" customHeight="1">
      <c r="B876" s="119">
        <f>Oportuno!B876</f>
        <v>0</v>
      </c>
      <c r="C876" s="23">
        <f>Oportuno!C876</f>
        <v>2026092</v>
      </c>
      <c r="D876" s="23">
        <f>Oportuno!D876</f>
        <v>31</v>
      </c>
      <c r="E876" s="128">
        <f>Oportuno!E876</f>
        <v>0</v>
      </c>
      <c r="F876" s="126" t="e">
        <f>Oportuno!F876</f>
        <v>#N/A</v>
      </c>
      <c r="G876" s="36">
        <f>Oportuno!G876</f>
        <v>1</v>
      </c>
      <c r="H876" s="126" t="str">
        <f>Oportuno!H876</f>
        <v>Oficinas</v>
      </c>
      <c r="I876" s="130">
        <f>Oportuno!I876</f>
        <v>0</v>
      </c>
      <c r="J876" s="174">
        <f>Oportuno!J876</f>
        <v>0</v>
      </c>
      <c r="K876" s="174">
        <f>Oportuno!K876</f>
        <v>0</v>
      </c>
      <c r="L876" s="174">
        <f>Oportuno!L876</f>
        <v>0</v>
      </c>
      <c r="M876" s="174">
        <f>Oportuno!M876</f>
        <v>0</v>
      </c>
      <c r="N876" s="174">
        <f>Oportuno!N876</f>
        <v>0</v>
      </c>
      <c r="O876" s="174">
        <f>Oportuno!O876</f>
        <v>0</v>
      </c>
      <c r="P876" s="174">
        <f>Oportuno!P876</f>
        <v>0</v>
      </c>
      <c r="Q876" s="174">
        <f>Oportuno!Q876</f>
        <v>0</v>
      </c>
      <c r="R876" s="174">
        <f>Oportuno!R876</f>
        <v>0</v>
      </c>
      <c r="S876" s="215">
        <f>Oportuno!S876</f>
        <v>0</v>
      </c>
      <c r="T876" s="71">
        <f>Oportuno!T876</f>
        <v>0</v>
      </c>
      <c r="U876" s="71">
        <f>Oportuno!U876</f>
        <v>0</v>
      </c>
      <c r="V876" s="117">
        <f>Oportuno!V876</f>
        <v>0</v>
      </c>
      <c r="W876" s="117">
        <f>Oportuno!W876</f>
        <v>0</v>
      </c>
      <c r="X876" s="71">
        <f>Oportuno!X876</f>
        <v>0</v>
      </c>
      <c r="Y876" s="71">
        <f>Oportuno!Y876</f>
        <v>0</v>
      </c>
      <c r="AA876" s="65"/>
    </row>
    <row r="877" spans="1:27" ht="13" customHeight="1" thickBot="1">
      <c r="B877" s="119">
        <f>Oportuno!B877</f>
        <v>0</v>
      </c>
      <c r="C877" s="23">
        <f>Oportuno!C877</f>
        <v>2026092</v>
      </c>
      <c r="D877" s="23">
        <f>Oportuno!D877</f>
        <v>31</v>
      </c>
      <c r="E877" s="128">
        <f>Oportuno!E877</f>
        <v>0</v>
      </c>
      <c r="F877" s="126" t="e">
        <f>Oportuno!F877</f>
        <v>#N/A</v>
      </c>
      <c r="G877" s="36">
        <f>Oportuno!G877</f>
        <v>1</v>
      </c>
      <c r="H877" s="126" t="str">
        <f>Oportuno!H877</f>
        <v>Oficinas</v>
      </c>
      <c r="I877" s="130">
        <f>Oportuno!I877</f>
        <v>0</v>
      </c>
      <c r="J877" s="174">
        <f>Oportuno!J877</f>
        <v>0</v>
      </c>
      <c r="K877" s="174">
        <f>Oportuno!K877</f>
        <v>0</v>
      </c>
      <c r="L877" s="174">
        <f>Oportuno!L877</f>
        <v>0</v>
      </c>
      <c r="M877" s="174">
        <f>Oportuno!M877</f>
        <v>0</v>
      </c>
      <c r="N877" s="174">
        <f>Oportuno!N877</f>
        <v>0</v>
      </c>
      <c r="O877" s="174">
        <f>Oportuno!O877</f>
        <v>0</v>
      </c>
      <c r="P877" s="174">
        <f>Oportuno!P877</f>
        <v>0</v>
      </c>
      <c r="Q877" s="174">
        <f>Oportuno!Q877</f>
        <v>0</v>
      </c>
      <c r="R877" s="174">
        <f>Oportuno!R877</f>
        <v>0</v>
      </c>
      <c r="S877" s="215">
        <f>Oportuno!S877</f>
        <v>0</v>
      </c>
      <c r="T877" s="71">
        <f>Oportuno!T877</f>
        <v>0</v>
      </c>
      <c r="U877" s="71">
        <f>Oportuno!U877</f>
        <v>0</v>
      </c>
      <c r="V877" s="117">
        <f>Oportuno!V877</f>
        <v>0</v>
      </c>
      <c r="W877" s="117">
        <f>Oportuno!W877</f>
        <v>0</v>
      </c>
      <c r="X877" s="71">
        <f>Oportuno!X877</f>
        <v>0</v>
      </c>
      <c r="Y877" s="71">
        <f>Oportuno!Y877</f>
        <v>0</v>
      </c>
      <c r="AA877" s="65"/>
    </row>
    <row r="878" spans="1:27" ht="13" customHeight="1" thickBot="1">
      <c r="B878" s="1" t="s">
        <v>0</v>
      </c>
      <c r="C878" s="1" t="s">
        <v>0</v>
      </c>
      <c r="D878" s="20" t="s">
        <v>0</v>
      </c>
      <c r="E878" s="120" t="str">
        <f>Oportuno!E878</f>
        <v xml:space="preserve"> </v>
      </c>
      <c r="F878" s="121" t="str">
        <f>Oportuno!F878</f>
        <v>TOTAL RECAUDO</v>
      </c>
      <c r="G878" s="121" t="s">
        <v>0</v>
      </c>
      <c r="H878" s="121" t="s">
        <v>0</v>
      </c>
      <c r="I878" s="121" t="s">
        <v>0</v>
      </c>
      <c r="J878" s="122">
        <f>Oportuno!J878</f>
        <v>0</v>
      </c>
      <c r="K878" s="122">
        <f>Oportuno!K878</f>
        <v>0</v>
      </c>
      <c r="L878" s="122">
        <f>Oportuno!L878</f>
        <v>0</v>
      </c>
      <c r="M878" s="122">
        <f>Oportuno!M878</f>
        <v>0</v>
      </c>
      <c r="N878" s="122">
        <f>Oportuno!N878</f>
        <v>0</v>
      </c>
      <c r="O878" s="122">
        <f>Oportuno!O878</f>
        <v>0</v>
      </c>
      <c r="P878" s="122">
        <f>Oportuno!P878</f>
        <v>0</v>
      </c>
      <c r="Q878" s="122">
        <f>Oportuno!Q878</f>
        <v>0</v>
      </c>
      <c r="R878" s="122">
        <f>Oportuno!R878</f>
        <v>0</v>
      </c>
      <c r="S878" s="122">
        <f>Oportuno!S878</f>
        <v>0</v>
      </c>
      <c r="T878" s="122">
        <f>Oportuno!T878</f>
        <v>0</v>
      </c>
      <c r="U878" s="122">
        <f>Oportuno!U878</f>
        <v>0</v>
      </c>
      <c r="V878" s="123">
        <f>Oportuno!V878</f>
        <v>0</v>
      </c>
      <c r="W878" s="123">
        <f>Oportuno!W878</f>
        <v>0</v>
      </c>
      <c r="X878" s="122">
        <f>Oportuno!X878</f>
        <v>0</v>
      </c>
      <c r="Y878" s="123">
        <f>Oportuno!Y878</f>
        <v>0</v>
      </c>
      <c r="AA878" s="65"/>
    </row>
    <row r="879" spans="1:27">
      <c r="AA879" s="65"/>
    </row>
    <row r="880" spans="1:27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</row>
  </sheetData>
  <conditionalFormatting sqref="AC1:AY3">
    <cfRule type="cellIs" dxfId="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TR217"/>
  <sheetViews>
    <sheetView zoomScale="90" zoomScaleNormal="90" workbookViewId="0">
      <selection activeCell="A13" sqref="A13"/>
    </sheetView>
  </sheetViews>
  <sheetFormatPr baseColWidth="10" defaultColWidth="11.453125" defaultRowHeight="11.5"/>
  <cols>
    <col min="1" max="1" width="3" style="1" customWidth="1"/>
    <col min="2" max="2" width="11.54296875" style="1" customWidth="1"/>
    <col min="3" max="3" width="15.453125" style="1" customWidth="1"/>
    <col min="4" max="4" width="11" style="221" customWidth="1"/>
    <col min="5" max="5" width="9.54296875" style="1" customWidth="1"/>
    <col min="6" max="6" width="14.54296875" style="1" bestFit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customWidth="1"/>
    <col min="11" max="11" width="14.54296875" style="1" customWidth="1"/>
    <col min="12" max="12" width="12.81640625" style="1" customWidth="1"/>
    <col min="13" max="13" width="11" style="1" customWidth="1"/>
    <col min="14" max="14" width="12.81640625" style="1" customWidth="1"/>
    <col min="15" max="15" width="12" style="1" bestFit="1" customWidth="1"/>
    <col min="16" max="16" width="12.81640625" style="1" customWidth="1"/>
    <col min="17" max="17" width="13.81640625" style="1" customWidth="1"/>
    <col min="18" max="18" width="12.81640625" style="1" bestFit="1" customWidth="1"/>
    <col min="19" max="19" width="13.453125" style="1" bestFit="1" customWidth="1"/>
    <col min="20" max="20" width="11.1796875" style="1" bestFit="1" customWidth="1"/>
    <col min="21" max="21" width="14" style="1" bestFit="1" customWidth="1"/>
    <col min="22" max="22" width="13.453125" style="1" bestFit="1" customWidth="1"/>
    <col min="23" max="23" width="13.453125" style="1" customWidth="1"/>
    <col min="24" max="24" width="11.81640625" style="1" customWidth="1"/>
    <col min="25" max="25" width="12" style="1" bestFit="1" customWidth="1"/>
    <col min="26" max="26" width="5.453125" style="1" customWidth="1"/>
    <col min="27" max="27" width="2.54296875" style="1" customWidth="1"/>
    <col min="28" max="28" width="11.453125" style="1"/>
    <col min="29" max="51" width="12.81640625" style="1" bestFit="1" customWidth="1"/>
    <col min="52" max="16384" width="11.453125" style="1"/>
  </cols>
  <sheetData>
    <row r="1" spans="2:51 16085:16086" ht="13" customHeight="1">
      <c r="C1" s="89">
        <f>EXTEMPORANEO!C1</f>
        <v>2026091</v>
      </c>
      <c r="D1" s="218"/>
      <c r="E1" s="90"/>
      <c r="F1" s="90"/>
      <c r="G1" s="90"/>
      <c r="H1" s="90"/>
      <c r="I1" s="90"/>
      <c r="J1" s="18">
        <f t="shared" ref="J1:Y1" si="0">SUM(J13:J111)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6</v>
      </c>
      <c r="S1" s="18">
        <f t="shared" si="0"/>
        <v>1179300</v>
      </c>
      <c r="T1" s="18">
        <f t="shared" si="0"/>
        <v>6</v>
      </c>
      <c r="U1" s="18">
        <f t="shared" si="0"/>
        <v>1179300</v>
      </c>
      <c r="V1" s="18">
        <f t="shared" si="0"/>
        <v>6</v>
      </c>
      <c r="W1" s="18">
        <f t="shared" si="0"/>
        <v>1179300</v>
      </c>
      <c r="X1" s="18">
        <f t="shared" si="0"/>
        <v>0</v>
      </c>
      <c r="Y1" s="10">
        <f t="shared" si="0"/>
        <v>0</v>
      </c>
      <c r="AA1" s="66"/>
      <c r="AC1" s="1" t="b">
        <f>C1=EXTEMPORANEO!C1</f>
        <v>1</v>
      </c>
      <c r="AD1" s="1" t="b">
        <f>D1=EXTEMPORANEO!D1</f>
        <v>1</v>
      </c>
      <c r="AE1" s="1" t="b">
        <f>E1=EXTEMPORANEO!E1</f>
        <v>1</v>
      </c>
      <c r="AF1" s="1" t="b">
        <f>F1=EXTEMPORANEO!F1</f>
        <v>1</v>
      </c>
      <c r="AG1" s="1" t="b">
        <f>G1=EXTEMPORANEO!G1</f>
        <v>1</v>
      </c>
      <c r="AH1" s="1" t="b">
        <f>H1=EXTEMPORANEO!H1</f>
        <v>1</v>
      </c>
      <c r="AI1" s="1" t="b">
        <f>I1=EXTEMPORANEO!I1</f>
        <v>1</v>
      </c>
      <c r="AJ1" s="1" t="b">
        <f>J1=EXTEMPORANEO!J1</f>
        <v>1</v>
      </c>
      <c r="AK1" s="1" t="b">
        <f>K1=EXTEMPORANEO!K1</f>
        <v>1</v>
      </c>
      <c r="AL1" s="1" t="b">
        <f>L1=EXTEMPORANEO!L1</f>
        <v>1</v>
      </c>
      <c r="AM1" s="1" t="b">
        <f>M1=EXTEMPORANEO!M1</f>
        <v>1</v>
      </c>
      <c r="AN1" s="1" t="b">
        <f>N1=EXTEMPORANEO!N1</f>
        <v>1</v>
      </c>
      <c r="AO1" s="1" t="b">
        <f>O1=EXTEMPORANEO!O1</f>
        <v>1</v>
      </c>
      <c r="AP1" s="1" t="b">
        <f>P1=EXTEMPORANEO!P1</f>
        <v>1</v>
      </c>
      <c r="AQ1" s="1" t="b">
        <f>Q1=EXTEMPORANEO!Q1</f>
        <v>1</v>
      </c>
      <c r="AR1" s="1" t="b">
        <f>R1=EXTEMPORANEO!R1</f>
        <v>1</v>
      </c>
      <c r="AS1" s="1" t="b">
        <f>S1=EXTEMPORANEO!S1</f>
        <v>1</v>
      </c>
      <c r="AT1" s="1" t="b">
        <f>T1=EXTEMPORANEO!T1</f>
        <v>1</v>
      </c>
      <c r="AU1" s="1" t="b">
        <f>U1=EXTEMPORANEO!U1</f>
        <v>1</v>
      </c>
      <c r="AV1" s="1" t="b">
        <f>V1=EXTEMPORANEO!V1</f>
        <v>1</v>
      </c>
      <c r="AW1" s="1" t="b">
        <f>W1=EXTEMPORANEO!W1</f>
        <v>1</v>
      </c>
      <c r="AX1" s="1" t="b">
        <f>X1=EXTEMPORANEO!X1</f>
        <v>1</v>
      </c>
      <c r="AY1" s="1" t="b">
        <f>Y1=EXTEMPORANEO!Y1</f>
        <v>1</v>
      </c>
    </row>
    <row r="2" spans="2:51 16085:16086" ht="13" customHeight="1">
      <c r="C2" s="91">
        <f>EXTEMPORANEO!C2</f>
        <v>2026092</v>
      </c>
      <c r="D2" s="219"/>
      <c r="E2" s="80"/>
      <c r="F2" s="80"/>
      <c r="G2" s="80"/>
      <c r="H2" s="80"/>
      <c r="I2" s="80"/>
      <c r="J2" s="36">
        <f t="shared" ref="J2:Y2" si="1">SUM(J116:J215)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76</v>
      </c>
      <c r="S2" s="36">
        <f t="shared" si="1"/>
        <v>5242682</v>
      </c>
      <c r="T2" s="36">
        <f t="shared" si="1"/>
        <v>76</v>
      </c>
      <c r="U2" s="36">
        <f t="shared" si="1"/>
        <v>5242682</v>
      </c>
      <c r="V2" s="36">
        <f t="shared" si="1"/>
        <v>76</v>
      </c>
      <c r="W2" s="36">
        <f t="shared" si="1"/>
        <v>5242682</v>
      </c>
      <c r="X2" s="36">
        <f t="shared" si="1"/>
        <v>0</v>
      </c>
      <c r="Y2" s="9">
        <f t="shared" si="1"/>
        <v>0</v>
      </c>
      <c r="AA2" s="66"/>
      <c r="AC2" s="1" t="b">
        <f>C2=EXTEMPORANEO!C2</f>
        <v>1</v>
      </c>
      <c r="AD2" s="1" t="b">
        <f>D2=EXTEMPORANEO!D2</f>
        <v>1</v>
      </c>
      <c r="AE2" s="1" t="b">
        <f>E2=EXTEMPORANEO!E2</f>
        <v>1</v>
      </c>
      <c r="AF2" s="1" t="b">
        <f>F2=EXTEMPORANEO!F2</f>
        <v>1</v>
      </c>
      <c r="AG2" s="1" t="b">
        <f>G2=EXTEMPORANEO!G2</f>
        <v>1</v>
      </c>
      <c r="AH2" s="1" t="b">
        <f>H2=EXTEMPORANEO!H2</f>
        <v>1</v>
      </c>
      <c r="AI2" s="1" t="b">
        <f>I2=EXTEMPORANEO!I2</f>
        <v>1</v>
      </c>
      <c r="AJ2" s="1" t="b">
        <f>J2=EXTEMPORANEO!J2</f>
        <v>1</v>
      </c>
      <c r="AK2" s="1" t="b">
        <f>K2=EXTEMPORANEO!K2</f>
        <v>1</v>
      </c>
      <c r="AL2" s="1" t="b">
        <f>L2=EXTEMPORANEO!L2</f>
        <v>1</v>
      </c>
      <c r="AM2" s="1" t="b">
        <f>M2=EXTEMPORANEO!M2</f>
        <v>1</v>
      </c>
      <c r="AN2" s="1" t="b">
        <f>N2=EXTEMPORANEO!N2</f>
        <v>1</v>
      </c>
      <c r="AO2" s="1" t="b">
        <f>O2=EXTEMPORANEO!O2</f>
        <v>1</v>
      </c>
      <c r="AP2" s="1" t="b">
        <f>P2=EXTEMPORANEO!P2</f>
        <v>1</v>
      </c>
      <c r="AQ2" s="1" t="b">
        <f>Q2=EXTEMPORANEO!Q2</f>
        <v>1</v>
      </c>
      <c r="AR2" s="1" t="b">
        <f>R2=EXTEMPORANEO!R2</f>
        <v>1</v>
      </c>
      <c r="AS2" s="1" t="b">
        <f>S2=EXTEMPORANEO!S2</f>
        <v>1</v>
      </c>
      <c r="AT2" s="1" t="b">
        <f>T2=EXTEMPORANEO!T2</f>
        <v>1</v>
      </c>
      <c r="AU2" s="1" t="b">
        <f>U2=EXTEMPORANEO!U2</f>
        <v>1</v>
      </c>
      <c r="AV2" s="1" t="b">
        <f>V2=EXTEMPORANEO!V2</f>
        <v>1</v>
      </c>
      <c r="AW2" s="1" t="b">
        <f>W2=EXTEMPORANEO!W2</f>
        <v>1</v>
      </c>
      <c r="AX2" s="1" t="b">
        <f>X2=EXTEMPORANEO!X2</f>
        <v>1</v>
      </c>
      <c r="AY2" s="1" t="b">
        <f>Y2=EXTEMPORANEO!Y2</f>
        <v>1</v>
      </c>
    </row>
    <row r="3" spans="2:51 16085:16086" ht="13" customHeight="1" thickBot="1">
      <c r="C3" s="92">
        <f>EXTEMPORANEO!C3</f>
        <v>202609</v>
      </c>
      <c r="D3" s="220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82</v>
      </c>
      <c r="S3" s="94">
        <f t="shared" si="2"/>
        <v>6421982</v>
      </c>
      <c r="T3" s="94">
        <f t="shared" si="2"/>
        <v>82</v>
      </c>
      <c r="U3" s="94">
        <f t="shared" si="2"/>
        <v>6421982</v>
      </c>
      <c r="V3" s="94">
        <f t="shared" si="2"/>
        <v>82</v>
      </c>
      <c r="W3" s="94">
        <f t="shared" si="2"/>
        <v>6421982</v>
      </c>
      <c r="X3" s="94">
        <f t="shared" si="2"/>
        <v>0</v>
      </c>
      <c r="Y3" s="95">
        <f t="shared" si="2"/>
        <v>0</v>
      </c>
      <c r="AA3" s="66"/>
      <c r="AC3" s="1" t="b">
        <f>C3=EXTEMPORANEO!C3</f>
        <v>1</v>
      </c>
      <c r="AD3" s="1" t="b">
        <f>D3=EXTEMPORANEO!D3</f>
        <v>1</v>
      </c>
      <c r="AE3" s="1" t="b">
        <f>E3=EXTEMPORANEO!E3</f>
        <v>1</v>
      </c>
      <c r="AF3" s="1" t="b">
        <f>F3=EXTEMPORANEO!F3</f>
        <v>1</v>
      </c>
      <c r="AG3" s="1" t="b">
        <f>G3=EXTEMPORANEO!G3</f>
        <v>1</v>
      </c>
      <c r="AH3" s="1" t="b">
        <f>H3=EXTEMPORANEO!H3</f>
        <v>1</v>
      </c>
      <c r="AI3" s="1" t="b">
        <f>I3=EXTEMPORANEO!I3</f>
        <v>1</v>
      </c>
      <c r="AJ3" s="1" t="b">
        <f>J3=EXTEMPORANEO!J3</f>
        <v>1</v>
      </c>
      <c r="AK3" s="1" t="b">
        <f>K3=EXTEMPORANEO!K3</f>
        <v>1</v>
      </c>
      <c r="AL3" s="1" t="b">
        <f>L3=EXTEMPORANEO!L3</f>
        <v>1</v>
      </c>
      <c r="AM3" s="1" t="b">
        <f>M3=EXTEMPORANEO!M3</f>
        <v>1</v>
      </c>
      <c r="AN3" s="1" t="b">
        <f>N3=EXTEMPORANEO!N3</f>
        <v>1</v>
      </c>
      <c r="AO3" s="1" t="b">
        <f>O3=EXTEMPORANEO!O3</f>
        <v>1</v>
      </c>
      <c r="AP3" s="1" t="b">
        <f>P3=EXTEMPORANEO!P3</f>
        <v>1</v>
      </c>
      <c r="AQ3" s="1" t="b">
        <f>Q3=EXTEMPORANEO!Q3</f>
        <v>1</v>
      </c>
      <c r="AR3" s="1" t="b">
        <f>R3=EXTEMPORANEO!R3</f>
        <v>1</v>
      </c>
      <c r="AS3" s="1" t="b">
        <f>S3=EXTEMPORANEO!S3</f>
        <v>1</v>
      </c>
      <c r="AT3" s="1" t="b">
        <f>T3=EXTEMPORANEO!T3</f>
        <v>1</v>
      </c>
      <c r="AU3" s="1" t="b">
        <f>U3=EXTEMPORANEO!U3</f>
        <v>1</v>
      </c>
      <c r="AV3" s="1" t="b">
        <f>V3=EXTEMPORANEO!V3</f>
        <v>1</v>
      </c>
      <c r="AW3" s="1" t="b">
        <f>W3=EXTEMPORANEO!W3</f>
        <v>1</v>
      </c>
      <c r="AX3" s="1" t="b">
        <f>X3=EXTEMPORANEO!X3</f>
        <v>1</v>
      </c>
      <c r="AY3" s="1" t="b">
        <f>Y3=EXTEMPORANEO!Y3</f>
        <v>1</v>
      </c>
    </row>
    <row r="4" spans="2:51 16085:16086" ht="12" customHeight="1" thickBot="1">
      <c r="AA4" s="66"/>
    </row>
    <row r="5" spans="2:51 16085:16086" ht="12.5">
      <c r="B5" s="96"/>
      <c r="C5" s="19"/>
      <c r="D5" s="222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TQ5"/>
      <c r="WTR5"/>
    </row>
    <row r="6" spans="2:51 16085:16086" ht="15.5">
      <c r="B6" s="97"/>
      <c r="C6" s="20"/>
      <c r="D6" s="223"/>
      <c r="E6" s="99"/>
      <c r="G6" s="100"/>
      <c r="H6" s="101" t="s">
        <v>26</v>
      </c>
      <c r="W6" s="102"/>
      <c r="Y6" s="5"/>
      <c r="AA6" s="66"/>
      <c r="WTQ6"/>
      <c r="WTR6"/>
    </row>
    <row r="7" spans="2:51 16085:16086" ht="15.5">
      <c r="B7" s="97"/>
      <c r="C7" s="20"/>
      <c r="D7" s="223"/>
      <c r="E7" s="99"/>
      <c r="G7" s="100"/>
      <c r="H7" s="101" t="s">
        <v>24</v>
      </c>
      <c r="Y7" s="5"/>
      <c r="AA7" s="66"/>
      <c r="WTQ7"/>
      <c r="WTR7"/>
    </row>
    <row r="8" spans="2:51 16085:16086" ht="15.5">
      <c r="B8" s="97"/>
      <c r="C8" s="20"/>
      <c r="D8" s="223"/>
      <c r="E8" s="99"/>
      <c r="G8" s="100"/>
      <c r="H8" s="103" t="s">
        <v>25</v>
      </c>
      <c r="Y8" s="5"/>
      <c r="AA8" s="66"/>
      <c r="WTQ8"/>
      <c r="WTR8"/>
    </row>
    <row r="9" spans="2:51 16085:16086" ht="13.5" customHeight="1">
      <c r="B9" s="97"/>
      <c r="C9" s="20"/>
      <c r="D9" s="223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TQ9"/>
      <c r="WTR9"/>
    </row>
    <row r="10" spans="2:51 16085:16086" ht="13.5" customHeight="1">
      <c r="B10" s="97"/>
      <c r="C10" s="20"/>
      <c r="D10" s="223"/>
      <c r="E10" s="109"/>
      <c r="G10" s="100"/>
      <c r="H10" s="110" t="str">
        <f>EXTEMPORANEO!H10</f>
        <v>SEPTIEMBRE_2026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WTQ10"/>
      <c r="WTR10"/>
    </row>
    <row r="11" spans="2:51 16085:16086" ht="13.5" customHeight="1" thickBot="1">
      <c r="B11" s="111"/>
      <c r="C11" s="21"/>
      <c r="D11" s="224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TQ11"/>
      <c r="WTR11"/>
    </row>
    <row r="12" spans="2:51 16085:16086" ht="41.25" customHeight="1" thickBot="1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12" t="s">
        <v>8</v>
      </c>
      <c r="K12" s="12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87" t="s">
        <v>12</v>
      </c>
      <c r="S12" s="88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WTQ12"/>
      <c r="WTR12"/>
    </row>
    <row r="13" spans="2:51 16085:16086" ht="13" customHeight="1">
      <c r="B13" s="73" t="str">
        <f>EXTEMPORANEO!B13</f>
        <v>3/09/2026</v>
      </c>
      <c r="C13" s="25">
        <f>EXTEMPORANEO!C13</f>
        <v>2026091</v>
      </c>
      <c r="D13" s="226">
        <f>EXTEMPORANEO!D13</f>
        <v>46260</v>
      </c>
      <c r="E13" s="138">
        <f>EXTEMPORANEO!E13</f>
        <v>20</v>
      </c>
      <c r="F13" s="139" t="str">
        <f>EXTEMPORANEO!F13</f>
        <v>Bancolombia ENERBIT</v>
      </c>
      <c r="G13" s="138">
        <f>EXTEMPORANEO!G13</f>
        <v>1</v>
      </c>
      <c r="H13" s="139" t="str">
        <f>EXTEMPORANEO!H13</f>
        <v>Oficinas</v>
      </c>
      <c r="I13" s="139">
        <f>EXTEMPORANEO!I13</f>
        <v>0</v>
      </c>
      <c r="J13" s="212">
        <f>EXTEMPORANEO!J13</f>
        <v>0</v>
      </c>
      <c r="K13" s="212">
        <f>EXTEMPORANEO!K13</f>
        <v>0</v>
      </c>
      <c r="L13" s="212">
        <f>EXTEMPORANEO!L13</f>
        <v>0</v>
      </c>
      <c r="M13" s="212">
        <f>EXTEMPORANEO!M13</f>
        <v>0</v>
      </c>
      <c r="N13" s="212">
        <f>EXTEMPORANEO!N13</f>
        <v>0</v>
      </c>
      <c r="O13" s="212">
        <f>EXTEMPORANEO!O13</f>
        <v>0</v>
      </c>
      <c r="P13" s="212">
        <f>EXTEMPORANEO!P13</f>
        <v>0</v>
      </c>
      <c r="Q13" s="212">
        <f>EXTEMPORANEO!Q13</f>
        <v>0</v>
      </c>
      <c r="R13" s="174">
        <f>EXTEMPORANEO!R13</f>
        <v>6</v>
      </c>
      <c r="S13" s="174">
        <f>EXTEMPORANEO!S13</f>
        <v>1179300</v>
      </c>
      <c r="T13" s="141">
        <f>EXTEMPORANEO!T13</f>
        <v>6</v>
      </c>
      <c r="U13" s="84">
        <f>EXTEMPORANEO!U13</f>
        <v>1179300</v>
      </c>
      <c r="V13" s="13">
        <f>EXTEMPORANEO!V13</f>
        <v>6</v>
      </c>
      <c r="W13" s="13">
        <f>EXTEMPORANEO!W13</f>
        <v>1179300</v>
      </c>
      <c r="X13" s="113">
        <f>EXTEMPORANEO!X13</f>
        <v>0</v>
      </c>
      <c r="Y13" s="113">
        <f>EXTEMPORANEO!Y13</f>
        <v>0</v>
      </c>
      <c r="AA13" s="66"/>
    </row>
    <row r="14" spans="2:51 16085:16086" ht="13" customHeight="1">
      <c r="B14" s="73">
        <f>EXTEMPORANEO!B14</f>
        <v>0</v>
      </c>
      <c r="C14" s="25">
        <f>EXTEMPORANEO!C14</f>
        <v>2026091</v>
      </c>
      <c r="D14" s="226">
        <f>EXTEMPORANEO!D14</f>
        <v>0</v>
      </c>
      <c r="E14" s="138">
        <f>EXTEMPORANEO!E14</f>
        <v>0</v>
      </c>
      <c r="F14" s="139" t="e">
        <f>EXTEMPORANEO!F14</f>
        <v>#N/A</v>
      </c>
      <c r="G14" s="138" t="str">
        <f>EXTEMPORANEO!G14</f>
        <v/>
      </c>
      <c r="H14" s="139" t="e">
        <f>EXTEMPORANEO!H14</f>
        <v>#N/A</v>
      </c>
      <c r="I14" s="139" t="e">
        <f>EXTEMPORANEO!I14</f>
        <v>#N/A</v>
      </c>
      <c r="J14" s="212">
        <f>EXTEMPORANEO!J14</f>
        <v>0</v>
      </c>
      <c r="K14" s="212">
        <f>EXTEMPORANEO!K14</f>
        <v>0</v>
      </c>
      <c r="L14" s="212">
        <f>EXTEMPORANEO!L14</f>
        <v>0</v>
      </c>
      <c r="M14" s="212">
        <f>EXTEMPORANEO!M14</f>
        <v>0</v>
      </c>
      <c r="N14" s="212">
        <f>EXTEMPORANEO!N14</f>
        <v>0</v>
      </c>
      <c r="O14" s="212">
        <f>EXTEMPORANEO!O14</f>
        <v>0</v>
      </c>
      <c r="P14" s="212">
        <f>EXTEMPORANEO!P14</f>
        <v>0</v>
      </c>
      <c r="Q14" s="212">
        <f>EXTEMPORANEO!Q14</f>
        <v>0</v>
      </c>
      <c r="R14" s="174">
        <f>EXTEMPORANEO!R14</f>
        <v>0</v>
      </c>
      <c r="S14" s="174">
        <f>EXTEMPORANEO!S14</f>
        <v>0</v>
      </c>
      <c r="T14" s="141">
        <f>EXTEMPORANEO!T14</f>
        <v>0</v>
      </c>
      <c r="U14" s="84">
        <f>EXTEMPORANEO!U14</f>
        <v>0</v>
      </c>
      <c r="V14" s="13">
        <f>EXTEMPORANEO!V14</f>
        <v>0</v>
      </c>
      <c r="W14" s="13">
        <f>EXTEMPORANEO!W14</f>
        <v>0</v>
      </c>
      <c r="X14" s="113">
        <f>EXTEMPORANEO!X14</f>
        <v>0</v>
      </c>
      <c r="Y14" s="113">
        <f>EXTEMPORANEO!Y14</f>
        <v>0</v>
      </c>
      <c r="AA14" s="66"/>
    </row>
    <row r="15" spans="2:51 16085:16086" ht="13" customHeight="1">
      <c r="B15" s="73">
        <f>EXTEMPORANEO!B15</f>
        <v>0</v>
      </c>
      <c r="C15" s="25">
        <f>EXTEMPORANEO!C15</f>
        <v>2026091</v>
      </c>
      <c r="D15" s="226">
        <f>EXTEMPORANEO!D15</f>
        <v>0</v>
      </c>
      <c r="E15" s="138">
        <f>EXTEMPORANEO!E15</f>
        <v>0</v>
      </c>
      <c r="F15" s="139" t="e">
        <f>EXTEMPORANEO!F15</f>
        <v>#N/A</v>
      </c>
      <c r="G15" s="138" t="str">
        <f>EXTEMPORANEO!G15</f>
        <v/>
      </c>
      <c r="H15" s="139" t="e">
        <f>EXTEMPORANEO!H15</f>
        <v>#N/A</v>
      </c>
      <c r="I15" s="139" t="e">
        <f>EXTEMPORANEO!I15</f>
        <v>#N/A</v>
      </c>
      <c r="J15" s="212">
        <f>EXTEMPORANEO!J15</f>
        <v>0</v>
      </c>
      <c r="K15" s="212">
        <f>EXTEMPORANEO!K15</f>
        <v>0</v>
      </c>
      <c r="L15" s="212">
        <f>EXTEMPORANEO!L15</f>
        <v>0</v>
      </c>
      <c r="M15" s="212">
        <f>EXTEMPORANEO!M15</f>
        <v>0</v>
      </c>
      <c r="N15" s="212">
        <f>EXTEMPORANEO!N15</f>
        <v>0</v>
      </c>
      <c r="O15" s="212">
        <f>EXTEMPORANEO!O15</f>
        <v>0</v>
      </c>
      <c r="P15" s="212">
        <f>EXTEMPORANEO!P15</f>
        <v>0</v>
      </c>
      <c r="Q15" s="212">
        <f>EXTEMPORANEO!Q15</f>
        <v>0</v>
      </c>
      <c r="R15" s="174">
        <f>EXTEMPORANEO!R15</f>
        <v>0</v>
      </c>
      <c r="S15" s="174">
        <f>EXTEMPORANEO!S15</f>
        <v>0</v>
      </c>
      <c r="T15" s="141">
        <f>EXTEMPORANEO!T15</f>
        <v>0</v>
      </c>
      <c r="U15" s="84">
        <f>EXTEMPORANEO!U15</f>
        <v>0</v>
      </c>
      <c r="V15" s="13">
        <f>EXTEMPORANEO!V15</f>
        <v>0</v>
      </c>
      <c r="W15" s="13">
        <f>EXTEMPORANEO!W15</f>
        <v>0</v>
      </c>
      <c r="X15" s="113">
        <f>EXTEMPORANEO!X15</f>
        <v>0</v>
      </c>
      <c r="Y15" s="113">
        <f>EXTEMPORANEO!Y15</f>
        <v>0</v>
      </c>
      <c r="AA15" s="66"/>
    </row>
    <row r="16" spans="2:51 16085:16086" ht="13" customHeight="1">
      <c r="B16" s="73">
        <f>EXTEMPORANEO!B16</f>
        <v>0</v>
      </c>
      <c r="C16" s="25">
        <f>EXTEMPORANEO!C16</f>
        <v>2026091</v>
      </c>
      <c r="D16" s="226">
        <f>EXTEMPORANEO!D16</f>
        <v>0</v>
      </c>
      <c r="E16" s="138">
        <f>EXTEMPORANEO!E16</f>
        <v>0</v>
      </c>
      <c r="F16" s="139" t="e">
        <f>EXTEMPORANEO!F16</f>
        <v>#N/A</v>
      </c>
      <c r="G16" s="138" t="str">
        <f>EXTEMPORANEO!G16</f>
        <v/>
      </c>
      <c r="H16" s="139" t="e">
        <f>EXTEMPORANEO!H16</f>
        <v>#N/A</v>
      </c>
      <c r="I16" s="139" t="e">
        <f>EXTEMPORANEO!I16</f>
        <v>#N/A</v>
      </c>
      <c r="J16" s="212">
        <f>EXTEMPORANEO!J16</f>
        <v>0</v>
      </c>
      <c r="K16" s="212">
        <f>EXTEMPORANEO!K16</f>
        <v>0</v>
      </c>
      <c r="L16" s="212">
        <f>EXTEMPORANEO!L16</f>
        <v>0</v>
      </c>
      <c r="M16" s="212">
        <f>EXTEMPORANEO!M16</f>
        <v>0</v>
      </c>
      <c r="N16" s="212">
        <f>EXTEMPORANEO!N16</f>
        <v>0</v>
      </c>
      <c r="O16" s="212">
        <f>EXTEMPORANEO!O16</f>
        <v>0</v>
      </c>
      <c r="P16" s="212">
        <f>EXTEMPORANEO!P16</f>
        <v>0</v>
      </c>
      <c r="Q16" s="212">
        <f>EXTEMPORANEO!Q16</f>
        <v>0</v>
      </c>
      <c r="R16" s="174">
        <f>EXTEMPORANEO!R16</f>
        <v>0</v>
      </c>
      <c r="S16" s="174">
        <f>EXTEMPORANEO!S16</f>
        <v>0</v>
      </c>
      <c r="T16" s="141">
        <f>EXTEMPORANEO!T16</f>
        <v>0</v>
      </c>
      <c r="U16" s="84">
        <f>EXTEMPORANEO!U16</f>
        <v>0</v>
      </c>
      <c r="V16" s="13">
        <f>EXTEMPORANEO!V16</f>
        <v>0</v>
      </c>
      <c r="W16" s="13">
        <f>EXTEMPORANEO!W16</f>
        <v>0</v>
      </c>
      <c r="X16" s="113">
        <f>EXTEMPORANEO!X16</f>
        <v>0</v>
      </c>
      <c r="Y16" s="113">
        <f>EXTEMPORANEO!Y16</f>
        <v>0</v>
      </c>
      <c r="AA16" s="66"/>
    </row>
    <row r="17" spans="2:27" ht="13" customHeight="1">
      <c r="B17" s="73">
        <f>EXTEMPORANEO!B17</f>
        <v>0</v>
      </c>
      <c r="C17" s="25">
        <f>EXTEMPORANEO!C17</f>
        <v>2026091</v>
      </c>
      <c r="D17" s="226">
        <f>EXTEMPORANEO!D17</f>
        <v>0</v>
      </c>
      <c r="E17" s="138">
        <f>EXTEMPORANEO!E17</f>
        <v>0</v>
      </c>
      <c r="F17" s="139" t="e">
        <f>EXTEMPORANEO!F17</f>
        <v>#N/A</v>
      </c>
      <c r="G17" s="138" t="str">
        <f>EXTEMPORANEO!G17</f>
        <v/>
      </c>
      <c r="H17" s="139" t="e">
        <f>EXTEMPORANEO!H17</f>
        <v>#N/A</v>
      </c>
      <c r="I17" s="139" t="e">
        <f>EXTEMPORANEO!I17</f>
        <v>#N/A</v>
      </c>
      <c r="J17" s="212">
        <f>EXTEMPORANEO!J17</f>
        <v>0</v>
      </c>
      <c r="K17" s="212">
        <f>EXTEMPORANEO!K17</f>
        <v>0</v>
      </c>
      <c r="L17" s="212">
        <f>EXTEMPORANEO!L17</f>
        <v>0</v>
      </c>
      <c r="M17" s="212">
        <f>EXTEMPORANEO!M17</f>
        <v>0</v>
      </c>
      <c r="N17" s="212">
        <f>EXTEMPORANEO!N17</f>
        <v>0</v>
      </c>
      <c r="O17" s="212">
        <f>EXTEMPORANEO!O17</f>
        <v>0</v>
      </c>
      <c r="P17" s="212">
        <f>EXTEMPORANEO!P17</f>
        <v>0</v>
      </c>
      <c r="Q17" s="212">
        <f>EXTEMPORANEO!Q17</f>
        <v>0</v>
      </c>
      <c r="R17" s="174">
        <f>EXTEMPORANEO!R17</f>
        <v>0</v>
      </c>
      <c r="S17" s="174">
        <f>EXTEMPORANEO!S17</f>
        <v>0</v>
      </c>
      <c r="T17" s="141">
        <f>EXTEMPORANEO!T17</f>
        <v>0</v>
      </c>
      <c r="U17" s="84">
        <f>EXTEMPORANEO!U17</f>
        <v>0</v>
      </c>
      <c r="V17" s="13">
        <f>EXTEMPORANEO!V17</f>
        <v>0</v>
      </c>
      <c r="W17" s="13">
        <f>EXTEMPORANEO!W17</f>
        <v>0</v>
      </c>
      <c r="X17" s="113">
        <f>EXTEMPORANEO!X17</f>
        <v>0</v>
      </c>
      <c r="Y17" s="113">
        <f>EXTEMPORANEO!Y17</f>
        <v>0</v>
      </c>
      <c r="AA17" s="66"/>
    </row>
    <row r="18" spans="2:27" ht="13" customHeight="1">
      <c r="B18" s="73">
        <f>EXTEMPORANEO!B18</f>
        <v>0</v>
      </c>
      <c r="C18" s="25">
        <f>EXTEMPORANEO!C18</f>
        <v>2026091</v>
      </c>
      <c r="D18" s="226">
        <f>EXTEMPORANEO!D18</f>
        <v>0</v>
      </c>
      <c r="E18" s="138">
        <f>EXTEMPORANEO!E18</f>
        <v>0</v>
      </c>
      <c r="F18" s="139" t="e">
        <f>EXTEMPORANEO!F18</f>
        <v>#N/A</v>
      </c>
      <c r="G18" s="138" t="str">
        <f>EXTEMPORANEO!G18</f>
        <v/>
      </c>
      <c r="H18" s="139" t="e">
        <f>EXTEMPORANEO!H18</f>
        <v>#N/A</v>
      </c>
      <c r="I18" s="139" t="e">
        <f>EXTEMPORANEO!I18</f>
        <v>#N/A</v>
      </c>
      <c r="J18" s="212">
        <f>EXTEMPORANEO!J18</f>
        <v>0</v>
      </c>
      <c r="K18" s="212">
        <f>EXTEMPORANEO!K18</f>
        <v>0</v>
      </c>
      <c r="L18" s="212">
        <f>EXTEMPORANEO!L18</f>
        <v>0</v>
      </c>
      <c r="M18" s="212">
        <f>EXTEMPORANEO!M18</f>
        <v>0</v>
      </c>
      <c r="N18" s="212">
        <f>EXTEMPORANEO!N18</f>
        <v>0</v>
      </c>
      <c r="O18" s="212">
        <f>EXTEMPORANEO!O18</f>
        <v>0</v>
      </c>
      <c r="P18" s="212">
        <f>EXTEMPORANEO!P18</f>
        <v>0</v>
      </c>
      <c r="Q18" s="212">
        <f>EXTEMPORANEO!Q18</f>
        <v>0</v>
      </c>
      <c r="R18" s="174">
        <f>EXTEMPORANEO!R18</f>
        <v>0</v>
      </c>
      <c r="S18" s="174">
        <f>EXTEMPORANEO!S18</f>
        <v>0</v>
      </c>
      <c r="T18" s="141">
        <f>EXTEMPORANEO!T18</f>
        <v>0</v>
      </c>
      <c r="U18" s="84">
        <f>EXTEMPORANEO!U18</f>
        <v>0</v>
      </c>
      <c r="V18" s="13">
        <f>EXTEMPORANEO!V18</f>
        <v>0</v>
      </c>
      <c r="W18" s="13">
        <f>EXTEMPORANEO!W18</f>
        <v>0</v>
      </c>
      <c r="X18" s="113">
        <f>EXTEMPORANEO!X18</f>
        <v>0</v>
      </c>
      <c r="Y18" s="113">
        <f>EXTEMPORANEO!Y18</f>
        <v>0</v>
      </c>
      <c r="AA18" s="66"/>
    </row>
    <row r="19" spans="2:27" ht="13" customHeight="1">
      <c r="B19" s="73">
        <f>EXTEMPORANEO!B19</f>
        <v>0</v>
      </c>
      <c r="C19" s="25">
        <f>EXTEMPORANEO!C19</f>
        <v>2026091</v>
      </c>
      <c r="D19" s="226">
        <f>EXTEMPORANEO!D19</f>
        <v>0</v>
      </c>
      <c r="E19" s="138">
        <f>EXTEMPORANEO!E19</f>
        <v>0</v>
      </c>
      <c r="F19" s="139" t="e">
        <f>EXTEMPORANEO!F19</f>
        <v>#N/A</v>
      </c>
      <c r="G19" s="138" t="str">
        <f>EXTEMPORANEO!G19</f>
        <v/>
      </c>
      <c r="H19" s="139" t="e">
        <f>EXTEMPORANEO!H19</f>
        <v>#N/A</v>
      </c>
      <c r="I19" s="139" t="e">
        <f>EXTEMPORANEO!I19</f>
        <v>#N/A</v>
      </c>
      <c r="J19" s="212">
        <f>EXTEMPORANEO!J19</f>
        <v>0</v>
      </c>
      <c r="K19" s="212">
        <f>EXTEMPORANEO!K19</f>
        <v>0</v>
      </c>
      <c r="L19" s="212">
        <f>EXTEMPORANEO!L19</f>
        <v>0</v>
      </c>
      <c r="M19" s="212">
        <f>EXTEMPORANEO!M19</f>
        <v>0</v>
      </c>
      <c r="N19" s="212">
        <f>EXTEMPORANEO!N19</f>
        <v>0</v>
      </c>
      <c r="O19" s="212">
        <f>EXTEMPORANEO!O19</f>
        <v>0</v>
      </c>
      <c r="P19" s="212">
        <f>EXTEMPORANEO!P19</f>
        <v>0</v>
      </c>
      <c r="Q19" s="212">
        <f>EXTEMPORANEO!Q19</f>
        <v>0</v>
      </c>
      <c r="R19" s="174">
        <f>EXTEMPORANEO!R19</f>
        <v>0</v>
      </c>
      <c r="S19" s="174">
        <f>EXTEMPORANEO!S19</f>
        <v>0</v>
      </c>
      <c r="T19" s="141">
        <f>EXTEMPORANEO!T19</f>
        <v>0</v>
      </c>
      <c r="U19" s="84">
        <f>EXTEMPORANEO!U19</f>
        <v>0</v>
      </c>
      <c r="V19" s="13">
        <f>EXTEMPORANEO!V19</f>
        <v>0</v>
      </c>
      <c r="W19" s="13">
        <f>EXTEMPORANEO!W19</f>
        <v>0</v>
      </c>
      <c r="X19" s="113">
        <f>EXTEMPORANEO!X19</f>
        <v>0</v>
      </c>
      <c r="Y19" s="113">
        <f>EXTEMPORANEO!Y19</f>
        <v>0</v>
      </c>
      <c r="AA19" s="66"/>
    </row>
    <row r="20" spans="2:27" ht="13" customHeight="1">
      <c r="B20" s="73">
        <f>EXTEMPORANEO!B20</f>
        <v>0</v>
      </c>
      <c r="C20" s="25">
        <f>EXTEMPORANEO!C20</f>
        <v>2026091</v>
      </c>
      <c r="D20" s="226">
        <f>EXTEMPORANEO!D20</f>
        <v>0</v>
      </c>
      <c r="E20" s="138">
        <f>EXTEMPORANEO!E20</f>
        <v>0</v>
      </c>
      <c r="F20" s="139" t="e">
        <f>EXTEMPORANEO!F20</f>
        <v>#N/A</v>
      </c>
      <c r="G20" s="138" t="str">
        <f>EXTEMPORANEO!G20</f>
        <v/>
      </c>
      <c r="H20" s="139" t="e">
        <f>EXTEMPORANEO!H20</f>
        <v>#N/A</v>
      </c>
      <c r="I20" s="139" t="e">
        <f>EXTEMPORANEO!I20</f>
        <v>#N/A</v>
      </c>
      <c r="J20" s="212">
        <f>EXTEMPORANEO!J20</f>
        <v>0</v>
      </c>
      <c r="K20" s="212">
        <f>EXTEMPORANEO!K20</f>
        <v>0</v>
      </c>
      <c r="L20" s="212">
        <f>EXTEMPORANEO!L20</f>
        <v>0</v>
      </c>
      <c r="M20" s="212">
        <f>EXTEMPORANEO!M20</f>
        <v>0</v>
      </c>
      <c r="N20" s="212">
        <f>EXTEMPORANEO!N20</f>
        <v>0</v>
      </c>
      <c r="O20" s="212">
        <f>EXTEMPORANEO!O20</f>
        <v>0</v>
      </c>
      <c r="P20" s="212">
        <f>EXTEMPORANEO!P20</f>
        <v>0</v>
      </c>
      <c r="Q20" s="212">
        <f>EXTEMPORANEO!Q20</f>
        <v>0</v>
      </c>
      <c r="R20" s="174">
        <f>EXTEMPORANEO!R20</f>
        <v>0</v>
      </c>
      <c r="S20" s="174">
        <f>EXTEMPORANEO!S20</f>
        <v>0</v>
      </c>
      <c r="T20" s="141">
        <f>EXTEMPORANEO!T20</f>
        <v>0</v>
      </c>
      <c r="U20" s="84">
        <f>EXTEMPORANEO!U20</f>
        <v>0</v>
      </c>
      <c r="V20" s="13">
        <f>EXTEMPORANEO!V20</f>
        <v>0</v>
      </c>
      <c r="W20" s="13">
        <f>EXTEMPORANEO!W20</f>
        <v>0</v>
      </c>
      <c r="X20" s="113">
        <f>EXTEMPORANEO!X20</f>
        <v>0</v>
      </c>
      <c r="Y20" s="113">
        <f>EXTEMPORANEO!Y20</f>
        <v>0</v>
      </c>
      <c r="AA20" s="66"/>
    </row>
    <row r="21" spans="2:27" ht="13" customHeight="1">
      <c r="B21" s="73">
        <f>EXTEMPORANEO!B21</f>
        <v>0</v>
      </c>
      <c r="C21" s="25">
        <f>EXTEMPORANEO!C21</f>
        <v>2026091</v>
      </c>
      <c r="D21" s="226">
        <f>EXTEMPORANEO!D21</f>
        <v>0</v>
      </c>
      <c r="E21" s="138">
        <f>EXTEMPORANEO!E21</f>
        <v>0</v>
      </c>
      <c r="F21" s="139" t="e">
        <f>EXTEMPORANEO!F21</f>
        <v>#N/A</v>
      </c>
      <c r="G21" s="138" t="str">
        <f>EXTEMPORANEO!G21</f>
        <v/>
      </c>
      <c r="H21" s="139" t="e">
        <f>EXTEMPORANEO!H21</f>
        <v>#N/A</v>
      </c>
      <c r="I21" s="139" t="e">
        <f>EXTEMPORANEO!I21</f>
        <v>#N/A</v>
      </c>
      <c r="J21" s="212">
        <f>EXTEMPORANEO!J21</f>
        <v>0</v>
      </c>
      <c r="K21" s="212">
        <f>EXTEMPORANEO!K21</f>
        <v>0</v>
      </c>
      <c r="L21" s="212">
        <f>EXTEMPORANEO!L21</f>
        <v>0</v>
      </c>
      <c r="M21" s="212">
        <f>EXTEMPORANEO!M21</f>
        <v>0</v>
      </c>
      <c r="N21" s="212">
        <f>EXTEMPORANEO!N21</f>
        <v>0</v>
      </c>
      <c r="O21" s="212">
        <f>EXTEMPORANEO!O21</f>
        <v>0</v>
      </c>
      <c r="P21" s="212">
        <f>EXTEMPORANEO!P21</f>
        <v>0</v>
      </c>
      <c r="Q21" s="212">
        <f>EXTEMPORANEO!Q21</f>
        <v>0</v>
      </c>
      <c r="R21" s="174">
        <f>EXTEMPORANEO!R21</f>
        <v>0</v>
      </c>
      <c r="S21" s="174">
        <f>EXTEMPORANEO!S21</f>
        <v>0</v>
      </c>
      <c r="T21" s="141">
        <f>EXTEMPORANEO!T21</f>
        <v>0</v>
      </c>
      <c r="U21" s="84">
        <f>EXTEMPORANEO!U21</f>
        <v>0</v>
      </c>
      <c r="V21" s="13">
        <f>EXTEMPORANEO!V21</f>
        <v>0</v>
      </c>
      <c r="W21" s="13">
        <f>EXTEMPORANEO!W21</f>
        <v>0</v>
      </c>
      <c r="X21" s="113">
        <f>EXTEMPORANEO!X21</f>
        <v>0</v>
      </c>
      <c r="Y21" s="113">
        <f>EXTEMPORANEO!Y21</f>
        <v>0</v>
      </c>
      <c r="AA21" s="66"/>
    </row>
    <row r="22" spans="2:27" ht="13" customHeight="1">
      <c r="B22" s="73">
        <f>EXTEMPORANEO!B22</f>
        <v>0</v>
      </c>
      <c r="C22" s="25">
        <f>EXTEMPORANEO!C22</f>
        <v>2026091</v>
      </c>
      <c r="D22" s="226">
        <f>EXTEMPORANEO!D22</f>
        <v>0</v>
      </c>
      <c r="E22" s="138">
        <f>EXTEMPORANEO!E22</f>
        <v>0</v>
      </c>
      <c r="F22" s="139" t="e">
        <f>EXTEMPORANEO!F22</f>
        <v>#N/A</v>
      </c>
      <c r="G22" s="138" t="str">
        <f>EXTEMPORANEO!G22</f>
        <v/>
      </c>
      <c r="H22" s="139" t="e">
        <f>EXTEMPORANEO!H22</f>
        <v>#N/A</v>
      </c>
      <c r="I22" s="139" t="e">
        <f>EXTEMPORANEO!I22</f>
        <v>#N/A</v>
      </c>
      <c r="J22" s="212">
        <f>EXTEMPORANEO!J22</f>
        <v>0</v>
      </c>
      <c r="K22" s="212">
        <f>EXTEMPORANEO!K22</f>
        <v>0</v>
      </c>
      <c r="L22" s="212">
        <f>EXTEMPORANEO!L22</f>
        <v>0</v>
      </c>
      <c r="M22" s="212">
        <f>EXTEMPORANEO!M22</f>
        <v>0</v>
      </c>
      <c r="N22" s="212">
        <f>EXTEMPORANEO!N22</f>
        <v>0</v>
      </c>
      <c r="O22" s="212">
        <f>EXTEMPORANEO!O22</f>
        <v>0</v>
      </c>
      <c r="P22" s="212">
        <f>EXTEMPORANEO!P22</f>
        <v>0</v>
      </c>
      <c r="Q22" s="212">
        <f>EXTEMPORANEO!Q22</f>
        <v>0</v>
      </c>
      <c r="R22" s="174">
        <f>EXTEMPORANEO!R22</f>
        <v>0</v>
      </c>
      <c r="S22" s="174">
        <f>EXTEMPORANEO!S22</f>
        <v>0</v>
      </c>
      <c r="T22" s="141">
        <f>EXTEMPORANEO!T22</f>
        <v>0</v>
      </c>
      <c r="U22" s="84">
        <f>EXTEMPORANEO!U22</f>
        <v>0</v>
      </c>
      <c r="V22" s="13">
        <f>EXTEMPORANEO!V22</f>
        <v>0</v>
      </c>
      <c r="W22" s="13">
        <f>EXTEMPORANEO!W22</f>
        <v>0</v>
      </c>
      <c r="X22" s="113">
        <f>EXTEMPORANEO!X22</f>
        <v>0</v>
      </c>
      <c r="Y22" s="113">
        <f>EXTEMPORANEO!Y22</f>
        <v>0</v>
      </c>
      <c r="AA22" s="66"/>
    </row>
    <row r="23" spans="2:27" ht="13" customHeight="1">
      <c r="B23" s="73">
        <f>EXTEMPORANEO!B23</f>
        <v>0</v>
      </c>
      <c r="C23" s="25">
        <f>EXTEMPORANEO!C23</f>
        <v>2026091</v>
      </c>
      <c r="D23" s="226">
        <f>EXTEMPORANEO!D23</f>
        <v>0</v>
      </c>
      <c r="E23" s="138">
        <f>EXTEMPORANEO!E23</f>
        <v>0</v>
      </c>
      <c r="F23" s="139" t="e">
        <f>EXTEMPORANEO!F23</f>
        <v>#N/A</v>
      </c>
      <c r="G23" s="138" t="str">
        <f>EXTEMPORANEO!G23</f>
        <v/>
      </c>
      <c r="H23" s="139" t="e">
        <f>EXTEMPORANEO!H23</f>
        <v>#N/A</v>
      </c>
      <c r="I23" s="139" t="e">
        <f>EXTEMPORANEO!I23</f>
        <v>#N/A</v>
      </c>
      <c r="J23" s="212">
        <f>EXTEMPORANEO!J23</f>
        <v>0</v>
      </c>
      <c r="K23" s="212">
        <f>EXTEMPORANEO!K23</f>
        <v>0</v>
      </c>
      <c r="L23" s="212">
        <f>EXTEMPORANEO!L23</f>
        <v>0</v>
      </c>
      <c r="M23" s="212">
        <f>EXTEMPORANEO!M23</f>
        <v>0</v>
      </c>
      <c r="N23" s="212">
        <f>EXTEMPORANEO!N23</f>
        <v>0</v>
      </c>
      <c r="O23" s="212">
        <f>EXTEMPORANEO!O23</f>
        <v>0</v>
      </c>
      <c r="P23" s="212">
        <f>EXTEMPORANEO!P23</f>
        <v>0</v>
      </c>
      <c r="Q23" s="212">
        <f>EXTEMPORANEO!Q23</f>
        <v>0</v>
      </c>
      <c r="R23" s="174">
        <f>EXTEMPORANEO!R23</f>
        <v>0</v>
      </c>
      <c r="S23" s="174">
        <f>EXTEMPORANEO!S23</f>
        <v>0</v>
      </c>
      <c r="T23" s="141">
        <f>EXTEMPORANEO!T23</f>
        <v>0</v>
      </c>
      <c r="U23" s="84">
        <f>EXTEMPORANEO!U23</f>
        <v>0</v>
      </c>
      <c r="V23" s="13">
        <f>EXTEMPORANEO!V23</f>
        <v>0</v>
      </c>
      <c r="W23" s="13">
        <f>EXTEMPORANEO!W23</f>
        <v>0</v>
      </c>
      <c r="X23" s="113">
        <f>EXTEMPORANEO!X23</f>
        <v>0</v>
      </c>
      <c r="Y23" s="113">
        <f>EXTEMPORANEO!Y23</f>
        <v>0</v>
      </c>
      <c r="AA23" s="66"/>
    </row>
    <row r="24" spans="2:27" ht="13" customHeight="1">
      <c r="B24" s="73">
        <f>EXTEMPORANEO!B24</f>
        <v>0</v>
      </c>
      <c r="C24" s="25">
        <f>EXTEMPORANEO!C24</f>
        <v>2026091</v>
      </c>
      <c r="D24" s="226">
        <f>EXTEMPORANEO!D24</f>
        <v>0</v>
      </c>
      <c r="E24" s="138">
        <f>EXTEMPORANEO!E24</f>
        <v>0</v>
      </c>
      <c r="F24" s="139" t="e">
        <f>EXTEMPORANEO!F24</f>
        <v>#N/A</v>
      </c>
      <c r="G24" s="138" t="str">
        <f>EXTEMPORANEO!G24</f>
        <v/>
      </c>
      <c r="H24" s="139" t="e">
        <f>EXTEMPORANEO!H24</f>
        <v>#N/A</v>
      </c>
      <c r="I24" s="139" t="e">
        <f>EXTEMPORANEO!I24</f>
        <v>#N/A</v>
      </c>
      <c r="J24" s="212">
        <f>EXTEMPORANEO!J24</f>
        <v>0</v>
      </c>
      <c r="K24" s="212">
        <f>EXTEMPORANEO!K24</f>
        <v>0</v>
      </c>
      <c r="L24" s="212">
        <f>EXTEMPORANEO!L24</f>
        <v>0</v>
      </c>
      <c r="M24" s="212">
        <f>EXTEMPORANEO!M24</f>
        <v>0</v>
      </c>
      <c r="N24" s="212">
        <f>EXTEMPORANEO!N24</f>
        <v>0</v>
      </c>
      <c r="O24" s="212">
        <f>EXTEMPORANEO!O24</f>
        <v>0</v>
      </c>
      <c r="P24" s="212">
        <f>EXTEMPORANEO!P24</f>
        <v>0</v>
      </c>
      <c r="Q24" s="212">
        <f>EXTEMPORANEO!Q24</f>
        <v>0</v>
      </c>
      <c r="R24" s="174">
        <f>EXTEMPORANEO!R24</f>
        <v>0</v>
      </c>
      <c r="S24" s="174">
        <f>EXTEMPORANEO!S24</f>
        <v>0</v>
      </c>
      <c r="T24" s="141">
        <f>EXTEMPORANEO!T24</f>
        <v>0</v>
      </c>
      <c r="U24" s="84">
        <f>EXTEMPORANEO!U24</f>
        <v>0</v>
      </c>
      <c r="V24" s="13">
        <f>EXTEMPORANEO!V24</f>
        <v>0</v>
      </c>
      <c r="W24" s="13">
        <f>EXTEMPORANEO!W24</f>
        <v>0</v>
      </c>
      <c r="X24" s="113">
        <f>EXTEMPORANEO!X24</f>
        <v>0</v>
      </c>
      <c r="Y24" s="113">
        <f>EXTEMPORANEO!Y24</f>
        <v>0</v>
      </c>
      <c r="AA24" s="66"/>
    </row>
    <row r="25" spans="2:27" ht="13" customHeight="1">
      <c r="B25" s="73">
        <f>EXTEMPORANEO!B25</f>
        <v>0</v>
      </c>
      <c r="C25" s="25">
        <f>EXTEMPORANEO!C25</f>
        <v>2026091</v>
      </c>
      <c r="D25" s="226">
        <f>EXTEMPORANEO!D25</f>
        <v>0</v>
      </c>
      <c r="E25" s="138">
        <f>EXTEMPORANEO!E25</f>
        <v>0</v>
      </c>
      <c r="F25" s="139" t="e">
        <f>EXTEMPORANEO!F25</f>
        <v>#N/A</v>
      </c>
      <c r="G25" s="138" t="str">
        <f>EXTEMPORANEO!G25</f>
        <v/>
      </c>
      <c r="H25" s="139" t="e">
        <f>EXTEMPORANEO!H25</f>
        <v>#N/A</v>
      </c>
      <c r="I25" s="139" t="e">
        <f>EXTEMPORANEO!I25</f>
        <v>#N/A</v>
      </c>
      <c r="J25" s="212">
        <f>EXTEMPORANEO!J25</f>
        <v>0</v>
      </c>
      <c r="K25" s="212">
        <f>EXTEMPORANEO!K25</f>
        <v>0</v>
      </c>
      <c r="L25" s="212">
        <f>EXTEMPORANEO!L25</f>
        <v>0</v>
      </c>
      <c r="M25" s="212">
        <f>EXTEMPORANEO!M25</f>
        <v>0</v>
      </c>
      <c r="N25" s="212">
        <f>EXTEMPORANEO!N25</f>
        <v>0</v>
      </c>
      <c r="O25" s="212">
        <f>EXTEMPORANEO!O25</f>
        <v>0</v>
      </c>
      <c r="P25" s="212">
        <f>EXTEMPORANEO!P25</f>
        <v>0</v>
      </c>
      <c r="Q25" s="212">
        <f>EXTEMPORANEO!Q25</f>
        <v>0</v>
      </c>
      <c r="R25" s="174">
        <f>EXTEMPORANEO!R25</f>
        <v>0</v>
      </c>
      <c r="S25" s="174">
        <f>EXTEMPORANEO!S25</f>
        <v>0</v>
      </c>
      <c r="T25" s="141">
        <f>EXTEMPORANEO!T25</f>
        <v>0</v>
      </c>
      <c r="U25" s="84">
        <f>EXTEMPORANEO!U25</f>
        <v>0</v>
      </c>
      <c r="V25" s="13">
        <f>EXTEMPORANEO!V25</f>
        <v>0</v>
      </c>
      <c r="W25" s="13">
        <f>EXTEMPORANEO!W25</f>
        <v>0</v>
      </c>
      <c r="X25" s="113">
        <f>EXTEMPORANEO!X25</f>
        <v>0</v>
      </c>
      <c r="Y25" s="113">
        <f>EXTEMPORANEO!Y25</f>
        <v>0</v>
      </c>
      <c r="AA25" s="66"/>
    </row>
    <row r="26" spans="2:27" ht="13" customHeight="1">
      <c r="B26" s="73">
        <f>EXTEMPORANEO!B26</f>
        <v>0</v>
      </c>
      <c r="C26" s="25">
        <f>EXTEMPORANEO!C26</f>
        <v>2026091</v>
      </c>
      <c r="D26" s="226">
        <f>EXTEMPORANEO!D26</f>
        <v>0</v>
      </c>
      <c r="E26" s="138">
        <f>EXTEMPORANEO!E26</f>
        <v>0</v>
      </c>
      <c r="F26" s="139" t="e">
        <f>EXTEMPORANEO!F26</f>
        <v>#N/A</v>
      </c>
      <c r="G26" s="138" t="str">
        <f>EXTEMPORANEO!G26</f>
        <v/>
      </c>
      <c r="H26" s="139" t="e">
        <f>EXTEMPORANEO!H26</f>
        <v>#N/A</v>
      </c>
      <c r="I26" s="139" t="e">
        <f>EXTEMPORANEO!I26</f>
        <v>#N/A</v>
      </c>
      <c r="J26" s="212">
        <f>EXTEMPORANEO!J26</f>
        <v>0</v>
      </c>
      <c r="K26" s="212">
        <f>EXTEMPORANEO!K26</f>
        <v>0</v>
      </c>
      <c r="L26" s="212">
        <f>EXTEMPORANEO!L26</f>
        <v>0</v>
      </c>
      <c r="M26" s="212">
        <f>EXTEMPORANEO!M26</f>
        <v>0</v>
      </c>
      <c r="N26" s="212">
        <f>EXTEMPORANEO!N26</f>
        <v>0</v>
      </c>
      <c r="O26" s="212">
        <f>EXTEMPORANEO!O26</f>
        <v>0</v>
      </c>
      <c r="P26" s="212">
        <f>EXTEMPORANEO!P26</f>
        <v>0</v>
      </c>
      <c r="Q26" s="212">
        <f>EXTEMPORANEO!Q26</f>
        <v>0</v>
      </c>
      <c r="R26" s="174">
        <f>EXTEMPORANEO!R26</f>
        <v>0</v>
      </c>
      <c r="S26" s="174">
        <f>EXTEMPORANEO!S26</f>
        <v>0</v>
      </c>
      <c r="T26" s="141">
        <f>EXTEMPORANEO!T26</f>
        <v>0</v>
      </c>
      <c r="U26" s="84">
        <f>EXTEMPORANEO!U26</f>
        <v>0</v>
      </c>
      <c r="V26" s="13">
        <f>EXTEMPORANEO!V26</f>
        <v>0</v>
      </c>
      <c r="W26" s="13">
        <f>EXTEMPORANEO!W26</f>
        <v>0</v>
      </c>
      <c r="X26" s="113">
        <f>EXTEMPORANEO!X26</f>
        <v>0</v>
      </c>
      <c r="Y26" s="113">
        <f>EXTEMPORANEO!Y26</f>
        <v>0</v>
      </c>
      <c r="AA26" s="66"/>
    </row>
    <row r="27" spans="2:27" ht="13" customHeight="1">
      <c r="B27" s="73">
        <f>EXTEMPORANEO!B27</f>
        <v>0</v>
      </c>
      <c r="C27" s="25">
        <f>EXTEMPORANEO!C27</f>
        <v>2026091</v>
      </c>
      <c r="D27" s="226">
        <f>EXTEMPORANEO!D27</f>
        <v>0</v>
      </c>
      <c r="E27" s="138">
        <f>EXTEMPORANEO!E27</f>
        <v>0</v>
      </c>
      <c r="F27" s="139" t="e">
        <f>EXTEMPORANEO!F27</f>
        <v>#N/A</v>
      </c>
      <c r="G27" s="138" t="str">
        <f>EXTEMPORANEO!G27</f>
        <v/>
      </c>
      <c r="H27" s="139" t="e">
        <f>EXTEMPORANEO!H27</f>
        <v>#N/A</v>
      </c>
      <c r="I27" s="139" t="e">
        <f>EXTEMPORANEO!I27</f>
        <v>#N/A</v>
      </c>
      <c r="J27" s="212">
        <f>EXTEMPORANEO!J27</f>
        <v>0</v>
      </c>
      <c r="K27" s="212">
        <f>EXTEMPORANEO!K27</f>
        <v>0</v>
      </c>
      <c r="L27" s="212">
        <f>EXTEMPORANEO!L27</f>
        <v>0</v>
      </c>
      <c r="M27" s="212">
        <f>EXTEMPORANEO!M27</f>
        <v>0</v>
      </c>
      <c r="N27" s="212">
        <f>EXTEMPORANEO!N27</f>
        <v>0</v>
      </c>
      <c r="O27" s="212">
        <f>EXTEMPORANEO!O27</f>
        <v>0</v>
      </c>
      <c r="P27" s="212">
        <f>EXTEMPORANEO!P27</f>
        <v>0</v>
      </c>
      <c r="Q27" s="212">
        <f>EXTEMPORANEO!Q27</f>
        <v>0</v>
      </c>
      <c r="R27" s="174">
        <f>EXTEMPORANEO!R27</f>
        <v>0</v>
      </c>
      <c r="S27" s="174">
        <f>EXTEMPORANEO!S27</f>
        <v>0</v>
      </c>
      <c r="T27" s="141">
        <f>EXTEMPORANEO!T27</f>
        <v>0</v>
      </c>
      <c r="U27" s="84">
        <f>EXTEMPORANEO!U27</f>
        <v>0</v>
      </c>
      <c r="V27" s="13">
        <f>EXTEMPORANEO!V27</f>
        <v>0</v>
      </c>
      <c r="W27" s="13">
        <f>EXTEMPORANEO!W27</f>
        <v>0</v>
      </c>
      <c r="X27" s="113">
        <f>EXTEMPORANEO!X27</f>
        <v>0</v>
      </c>
      <c r="Y27" s="113">
        <f>EXTEMPORANEO!Y27</f>
        <v>0</v>
      </c>
      <c r="AA27" s="66"/>
    </row>
    <row r="28" spans="2:27" ht="13" customHeight="1">
      <c r="B28" s="73">
        <f>EXTEMPORANEO!B28</f>
        <v>0</v>
      </c>
      <c r="C28" s="25">
        <f>EXTEMPORANEO!C28</f>
        <v>2026091</v>
      </c>
      <c r="D28" s="226">
        <f>EXTEMPORANEO!D28</f>
        <v>0</v>
      </c>
      <c r="E28" s="138">
        <f>EXTEMPORANEO!E28</f>
        <v>0</v>
      </c>
      <c r="F28" s="139" t="e">
        <f>EXTEMPORANEO!F28</f>
        <v>#N/A</v>
      </c>
      <c r="G28" s="138" t="str">
        <f>EXTEMPORANEO!G28</f>
        <v/>
      </c>
      <c r="H28" s="139" t="e">
        <f>EXTEMPORANEO!H28</f>
        <v>#N/A</v>
      </c>
      <c r="I28" s="139" t="e">
        <f>EXTEMPORANEO!I28</f>
        <v>#N/A</v>
      </c>
      <c r="J28" s="212">
        <f>EXTEMPORANEO!J28</f>
        <v>0</v>
      </c>
      <c r="K28" s="212">
        <f>EXTEMPORANEO!K28</f>
        <v>0</v>
      </c>
      <c r="L28" s="212">
        <f>EXTEMPORANEO!L28</f>
        <v>0</v>
      </c>
      <c r="M28" s="212">
        <f>EXTEMPORANEO!M28</f>
        <v>0</v>
      </c>
      <c r="N28" s="212">
        <f>EXTEMPORANEO!N28</f>
        <v>0</v>
      </c>
      <c r="O28" s="212">
        <f>EXTEMPORANEO!O28</f>
        <v>0</v>
      </c>
      <c r="P28" s="212">
        <f>EXTEMPORANEO!P28</f>
        <v>0</v>
      </c>
      <c r="Q28" s="212">
        <f>EXTEMPORANEO!Q28</f>
        <v>0</v>
      </c>
      <c r="R28" s="174">
        <f>EXTEMPORANEO!R28</f>
        <v>0</v>
      </c>
      <c r="S28" s="174">
        <f>EXTEMPORANEO!S28</f>
        <v>0</v>
      </c>
      <c r="T28" s="141">
        <f>EXTEMPORANEO!T28</f>
        <v>0</v>
      </c>
      <c r="U28" s="84">
        <f>EXTEMPORANEO!U28</f>
        <v>0</v>
      </c>
      <c r="V28" s="13">
        <f>EXTEMPORANEO!V28</f>
        <v>0</v>
      </c>
      <c r="W28" s="13">
        <f>EXTEMPORANEO!W28</f>
        <v>0</v>
      </c>
      <c r="X28" s="113">
        <f>EXTEMPORANEO!X28</f>
        <v>0</v>
      </c>
      <c r="Y28" s="113">
        <f>EXTEMPORANEO!Y28</f>
        <v>0</v>
      </c>
      <c r="AA28" s="66"/>
    </row>
    <row r="29" spans="2:27" ht="13" customHeight="1">
      <c r="B29" s="73">
        <f>EXTEMPORANEO!B29</f>
        <v>0</v>
      </c>
      <c r="C29" s="25">
        <f>EXTEMPORANEO!C29</f>
        <v>2026091</v>
      </c>
      <c r="D29" s="226">
        <f>EXTEMPORANEO!D29</f>
        <v>0</v>
      </c>
      <c r="E29" s="138">
        <f>EXTEMPORANEO!E29</f>
        <v>0</v>
      </c>
      <c r="F29" s="139" t="e">
        <f>EXTEMPORANEO!F29</f>
        <v>#N/A</v>
      </c>
      <c r="G29" s="138" t="str">
        <f>EXTEMPORANEO!G29</f>
        <v/>
      </c>
      <c r="H29" s="139" t="e">
        <f>EXTEMPORANEO!H29</f>
        <v>#N/A</v>
      </c>
      <c r="I29" s="139" t="e">
        <f>EXTEMPORANEO!I29</f>
        <v>#N/A</v>
      </c>
      <c r="J29" s="212">
        <f>EXTEMPORANEO!J29</f>
        <v>0</v>
      </c>
      <c r="K29" s="212">
        <f>EXTEMPORANEO!K29</f>
        <v>0</v>
      </c>
      <c r="L29" s="212">
        <f>EXTEMPORANEO!L29</f>
        <v>0</v>
      </c>
      <c r="M29" s="212">
        <f>EXTEMPORANEO!M29</f>
        <v>0</v>
      </c>
      <c r="N29" s="212">
        <f>EXTEMPORANEO!N29</f>
        <v>0</v>
      </c>
      <c r="O29" s="212">
        <f>EXTEMPORANEO!O29</f>
        <v>0</v>
      </c>
      <c r="P29" s="212">
        <f>EXTEMPORANEO!P29</f>
        <v>0</v>
      </c>
      <c r="Q29" s="212">
        <f>EXTEMPORANEO!Q29</f>
        <v>0</v>
      </c>
      <c r="R29" s="174">
        <f>EXTEMPORANEO!R29</f>
        <v>0</v>
      </c>
      <c r="S29" s="174">
        <f>EXTEMPORANEO!S29</f>
        <v>0</v>
      </c>
      <c r="T29" s="141">
        <f>EXTEMPORANEO!T29</f>
        <v>0</v>
      </c>
      <c r="U29" s="84">
        <f>EXTEMPORANEO!U29</f>
        <v>0</v>
      </c>
      <c r="V29" s="13">
        <f>EXTEMPORANEO!V29</f>
        <v>0</v>
      </c>
      <c r="W29" s="13">
        <f>EXTEMPORANEO!W29</f>
        <v>0</v>
      </c>
      <c r="X29" s="113">
        <f>EXTEMPORANEO!X29</f>
        <v>0</v>
      </c>
      <c r="Y29" s="113">
        <f>EXTEMPORANEO!Y29</f>
        <v>0</v>
      </c>
      <c r="AA29" s="66"/>
    </row>
    <row r="30" spans="2:27" ht="13" customHeight="1">
      <c r="B30" s="73">
        <f>EXTEMPORANEO!B30</f>
        <v>0</v>
      </c>
      <c r="C30" s="25">
        <f>EXTEMPORANEO!C30</f>
        <v>2026091</v>
      </c>
      <c r="D30" s="226">
        <f>EXTEMPORANEO!D30</f>
        <v>0</v>
      </c>
      <c r="E30" s="138">
        <f>EXTEMPORANEO!E30</f>
        <v>0</v>
      </c>
      <c r="F30" s="139" t="e">
        <f>EXTEMPORANEO!F30</f>
        <v>#N/A</v>
      </c>
      <c r="G30" s="138" t="str">
        <f>EXTEMPORANEO!G30</f>
        <v/>
      </c>
      <c r="H30" s="139" t="e">
        <f>EXTEMPORANEO!H30</f>
        <v>#N/A</v>
      </c>
      <c r="I30" s="139" t="e">
        <f>EXTEMPORANEO!I30</f>
        <v>#N/A</v>
      </c>
      <c r="J30" s="212">
        <f>EXTEMPORANEO!J30</f>
        <v>0</v>
      </c>
      <c r="K30" s="212">
        <f>EXTEMPORANEO!K30</f>
        <v>0</v>
      </c>
      <c r="L30" s="212">
        <f>EXTEMPORANEO!L30</f>
        <v>0</v>
      </c>
      <c r="M30" s="212">
        <f>EXTEMPORANEO!M30</f>
        <v>0</v>
      </c>
      <c r="N30" s="212">
        <f>EXTEMPORANEO!N30</f>
        <v>0</v>
      </c>
      <c r="O30" s="212">
        <f>EXTEMPORANEO!O30</f>
        <v>0</v>
      </c>
      <c r="P30" s="212">
        <f>EXTEMPORANEO!P30</f>
        <v>0</v>
      </c>
      <c r="Q30" s="212">
        <f>EXTEMPORANEO!Q30</f>
        <v>0</v>
      </c>
      <c r="R30" s="174">
        <f>EXTEMPORANEO!R30</f>
        <v>0</v>
      </c>
      <c r="S30" s="174">
        <f>EXTEMPORANEO!S30</f>
        <v>0</v>
      </c>
      <c r="T30" s="141">
        <f>EXTEMPORANEO!T30</f>
        <v>0</v>
      </c>
      <c r="U30" s="84">
        <f>EXTEMPORANEO!U30</f>
        <v>0</v>
      </c>
      <c r="V30" s="13">
        <f>EXTEMPORANEO!V30</f>
        <v>0</v>
      </c>
      <c r="W30" s="13">
        <f>EXTEMPORANEO!W30</f>
        <v>0</v>
      </c>
      <c r="X30" s="113">
        <f>EXTEMPORANEO!X30</f>
        <v>0</v>
      </c>
      <c r="Y30" s="113">
        <f>EXTEMPORANEO!Y30</f>
        <v>0</v>
      </c>
      <c r="AA30" s="66"/>
    </row>
    <row r="31" spans="2:27" ht="13" customHeight="1">
      <c r="B31" s="73">
        <f>EXTEMPORANEO!B31</f>
        <v>0</v>
      </c>
      <c r="C31" s="25">
        <f>EXTEMPORANEO!C31</f>
        <v>2026091</v>
      </c>
      <c r="D31" s="226">
        <f>EXTEMPORANEO!D31</f>
        <v>0</v>
      </c>
      <c r="E31" s="138">
        <f>EXTEMPORANEO!E31</f>
        <v>0</v>
      </c>
      <c r="F31" s="139" t="e">
        <f>EXTEMPORANEO!F31</f>
        <v>#N/A</v>
      </c>
      <c r="G31" s="138" t="str">
        <f>EXTEMPORANEO!G31</f>
        <v/>
      </c>
      <c r="H31" s="139" t="e">
        <f>EXTEMPORANEO!H31</f>
        <v>#N/A</v>
      </c>
      <c r="I31" s="139" t="e">
        <f>EXTEMPORANEO!I31</f>
        <v>#N/A</v>
      </c>
      <c r="J31" s="212">
        <f>EXTEMPORANEO!J31</f>
        <v>0</v>
      </c>
      <c r="K31" s="212">
        <f>EXTEMPORANEO!K31</f>
        <v>0</v>
      </c>
      <c r="L31" s="212">
        <f>EXTEMPORANEO!L31</f>
        <v>0</v>
      </c>
      <c r="M31" s="212">
        <f>EXTEMPORANEO!M31</f>
        <v>0</v>
      </c>
      <c r="N31" s="212">
        <f>EXTEMPORANEO!N31</f>
        <v>0</v>
      </c>
      <c r="O31" s="212">
        <f>EXTEMPORANEO!O31</f>
        <v>0</v>
      </c>
      <c r="P31" s="212">
        <f>EXTEMPORANEO!P31</f>
        <v>0</v>
      </c>
      <c r="Q31" s="212">
        <f>EXTEMPORANEO!Q31</f>
        <v>0</v>
      </c>
      <c r="R31" s="174">
        <f>EXTEMPORANEO!R31</f>
        <v>0</v>
      </c>
      <c r="S31" s="174">
        <f>EXTEMPORANEO!S31</f>
        <v>0</v>
      </c>
      <c r="T31" s="141">
        <f>EXTEMPORANEO!T31</f>
        <v>0</v>
      </c>
      <c r="U31" s="84">
        <f>EXTEMPORANEO!U31</f>
        <v>0</v>
      </c>
      <c r="V31" s="13">
        <f>EXTEMPORANEO!V31</f>
        <v>0</v>
      </c>
      <c r="W31" s="13">
        <f>EXTEMPORANEO!W31</f>
        <v>0</v>
      </c>
      <c r="X31" s="113">
        <f>EXTEMPORANEO!X31</f>
        <v>0</v>
      </c>
      <c r="Y31" s="113">
        <f>EXTEMPORANEO!Y31</f>
        <v>0</v>
      </c>
      <c r="AA31" s="66"/>
    </row>
    <row r="32" spans="2:27" ht="13" customHeight="1">
      <c r="B32" s="73">
        <f>EXTEMPORANEO!B32</f>
        <v>0</v>
      </c>
      <c r="C32" s="25">
        <f>EXTEMPORANEO!C32</f>
        <v>2026091</v>
      </c>
      <c r="D32" s="226">
        <f>EXTEMPORANEO!D32</f>
        <v>0</v>
      </c>
      <c r="E32" s="138">
        <f>EXTEMPORANEO!E32</f>
        <v>0</v>
      </c>
      <c r="F32" s="139" t="e">
        <f>EXTEMPORANEO!F32</f>
        <v>#N/A</v>
      </c>
      <c r="G32" s="138" t="str">
        <f>EXTEMPORANEO!G32</f>
        <v/>
      </c>
      <c r="H32" s="139" t="e">
        <f>EXTEMPORANEO!H32</f>
        <v>#N/A</v>
      </c>
      <c r="I32" s="139" t="e">
        <f>EXTEMPORANEO!I32</f>
        <v>#N/A</v>
      </c>
      <c r="J32" s="212">
        <f>EXTEMPORANEO!J32</f>
        <v>0</v>
      </c>
      <c r="K32" s="212">
        <f>EXTEMPORANEO!K32</f>
        <v>0</v>
      </c>
      <c r="L32" s="212">
        <f>EXTEMPORANEO!L32</f>
        <v>0</v>
      </c>
      <c r="M32" s="212">
        <f>EXTEMPORANEO!M32</f>
        <v>0</v>
      </c>
      <c r="N32" s="212">
        <f>EXTEMPORANEO!N32</f>
        <v>0</v>
      </c>
      <c r="O32" s="212">
        <f>EXTEMPORANEO!O32</f>
        <v>0</v>
      </c>
      <c r="P32" s="212">
        <f>EXTEMPORANEO!P32</f>
        <v>0</v>
      </c>
      <c r="Q32" s="212">
        <f>EXTEMPORANEO!Q32</f>
        <v>0</v>
      </c>
      <c r="R32" s="174">
        <f>EXTEMPORANEO!R32</f>
        <v>0</v>
      </c>
      <c r="S32" s="174">
        <f>EXTEMPORANEO!S32</f>
        <v>0</v>
      </c>
      <c r="T32" s="141">
        <f>EXTEMPORANEO!T32</f>
        <v>0</v>
      </c>
      <c r="U32" s="84">
        <f>EXTEMPORANEO!U32</f>
        <v>0</v>
      </c>
      <c r="V32" s="13">
        <f>EXTEMPORANEO!V32</f>
        <v>0</v>
      </c>
      <c r="W32" s="13">
        <f>EXTEMPORANEO!W32</f>
        <v>0</v>
      </c>
      <c r="X32" s="113">
        <f>EXTEMPORANEO!X32</f>
        <v>0</v>
      </c>
      <c r="Y32" s="113">
        <f>EXTEMPORANEO!Y32</f>
        <v>0</v>
      </c>
      <c r="AA32" s="66"/>
    </row>
    <row r="33" spans="2:27" ht="13" customHeight="1">
      <c r="B33" s="73">
        <f>EXTEMPORANEO!B33</f>
        <v>0</v>
      </c>
      <c r="C33" s="25">
        <f>EXTEMPORANEO!C33</f>
        <v>2026091</v>
      </c>
      <c r="D33" s="226">
        <f>EXTEMPORANEO!D33</f>
        <v>0</v>
      </c>
      <c r="E33" s="138">
        <f>EXTEMPORANEO!E33</f>
        <v>0</v>
      </c>
      <c r="F33" s="139" t="e">
        <f>EXTEMPORANEO!F33</f>
        <v>#N/A</v>
      </c>
      <c r="G33" s="138" t="str">
        <f>EXTEMPORANEO!G33</f>
        <v/>
      </c>
      <c r="H33" s="139" t="e">
        <f>EXTEMPORANEO!H33</f>
        <v>#N/A</v>
      </c>
      <c r="I33" s="139" t="e">
        <f>EXTEMPORANEO!I33</f>
        <v>#N/A</v>
      </c>
      <c r="J33" s="212">
        <f>EXTEMPORANEO!J33</f>
        <v>0</v>
      </c>
      <c r="K33" s="212">
        <f>EXTEMPORANEO!K33</f>
        <v>0</v>
      </c>
      <c r="L33" s="212">
        <f>EXTEMPORANEO!L33</f>
        <v>0</v>
      </c>
      <c r="M33" s="212">
        <f>EXTEMPORANEO!M33</f>
        <v>0</v>
      </c>
      <c r="N33" s="212">
        <f>EXTEMPORANEO!N33</f>
        <v>0</v>
      </c>
      <c r="O33" s="212">
        <f>EXTEMPORANEO!O33</f>
        <v>0</v>
      </c>
      <c r="P33" s="212">
        <f>EXTEMPORANEO!P33</f>
        <v>0</v>
      </c>
      <c r="Q33" s="212">
        <f>EXTEMPORANEO!Q33</f>
        <v>0</v>
      </c>
      <c r="R33" s="174">
        <f>EXTEMPORANEO!R33</f>
        <v>0</v>
      </c>
      <c r="S33" s="174">
        <f>EXTEMPORANEO!S33</f>
        <v>0</v>
      </c>
      <c r="T33" s="141">
        <f>EXTEMPORANEO!T33</f>
        <v>0</v>
      </c>
      <c r="U33" s="84">
        <f>EXTEMPORANEO!U33</f>
        <v>0</v>
      </c>
      <c r="V33" s="13">
        <f>EXTEMPORANEO!V33</f>
        <v>0</v>
      </c>
      <c r="W33" s="13">
        <f>EXTEMPORANEO!W33</f>
        <v>0</v>
      </c>
      <c r="X33" s="113">
        <f>EXTEMPORANEO!X33</f>
        <v>0</v>
      </c>
      <c r="Y33" s="113">
        <f>EXTEMPORANEO!Y33</f>
        <v>0</v>
      </c>
      <c r="AA33" s="66"/>
    </row>
    <row r="34" spans="2:27" ht="13" customHeight="1">
      <c r="B34" s="73">
        <f>EXTEMPORANEO!B34</f>
        <v>0</v>
      </c>
      <c r="C34" s="25">
        <f>EXTEMPORANEO!C34</f>
        <v>2026091</v>
      </c>
      <c r="D34" s="226">
        <f>EXTEMPORANEO!D34</f>
        <v>0</v>
      </c>
      <c r="E34" s="138">
        <f>EXTEMPORANEO!E34</f>
        <v>0</v>
      </c>
      <c r="F34" s="139" t="e">
        <f>EXTEMPORANEO!F34</f>
        <v>#N/A</v>
      </c>
      <c r="G34" s="138" t="str">
        <f>EXTEMPORANEO!G34</f>
        <v/>
      </c>
      <c r="H34" s="139" t="e">
        <f>EXTEMPORANEO!H34</f>
        <v>#N/A</v>
      </c>
      <c r="I34" s="139" t="e">
        <f>EXTEMPORANEO!I34</f>
        <v>#N/A</v>
      </c>
      <c r="J34" s="212">
        <f>EXTEMPORANEO!J34</f>
        <v>0</v>
      </c>
      <c r="K34" s="212">
        <f>EXTEMPORANEO!K34</f>
        <v>0</v>
      </c>
      <c r="L34" s="212">
        <f>EXTEMPORANEO!L34</f>
        <v>0</v>
      </c>
      <c r="M34" s="212">
        <f>EXTEMPORANEO!M34</f>
        <v>0</v>
      </c>
      <c r="N34" s="212">
        <f>EXTEMPORANEO!N34</f>
        <v>0</v>
      </c>
      <c r="O34" s="212">
        <f>EXTEMPORANEO!O34</f>
        <v>0</v>
      </c>
      <c r="P34" s="212">
        <f>EXTEMPORANEO!P34</f>
        <v>0</v>
      </c>
      <c r="Q34" s="212">
        <f>EXTEMPORANEO!Q34</f>
        <v>0</v>
      </c>
      <c r="R34" s="174">
        <f>EXTEMPORANEO!R34</f>
        <v>0</v>
      </c>
      <c r="S34" s="174">
        <f>EXTEMPORANEO!S34</f>
        <v>0</v>
      </c>
      <c r="T34" s="141">
        <f>EXTEMPORANEO!T34</f>
        <v>0</v>
      </c>
      <c r="U34" s="84">
        <f>EXTEMPORANEO!U34</f>
        <v>0</v>
      </c>
      <c r="V34" s="13">
        <f>EXTEMPORANEO!V34</f>
        <v>0</v>
      </c>
      <c r="W34" s="13">
        <f>EXTEMPORANEO!W34</f>
        <v>0</v>
      </c>
      <c r="X34" s="113">
        <f>EXTEMPORANEO!X34</f>
        <v>0</v>
      </c>
      <c r="Y34" s="113">
        <f>EXTEMPORANEO!Y34</f>
        <v>0</v>
      </c>
      <c r="AA34" s="66"/>
    </row>
    <row r="35" spans="2:27" ht="13" customHeight="1">
      <c r="B35" s="73">
        <f>EXTEMPORANEO!B35</f>
        <v>0</v>
      </c>
      <c r="C35" s="25">
        <f>EXTEMPORANEO!C35</f>
        <v>2026091</v>
      </c>
      <c r="D35" s="226">
        <f>EXTEMPORANEO!D35</f>
        <v>0</v>
      </c>
      <c r="E35" s="138">
        <f>EXTEMPORANEO!E35</f>
        <v>0</v>
      </c>
      <c r="F35" s="139" t="e">
        <f>EXTEMPORANEO!F35</f>
        <v>#N/A</v>
      </c>
      <c r="G35" s="138" t="str">
        <f>EXTEMPORANEO!G35</f>
        <v/>
      </c>
      <c r="H35" s="139" t="e">
        <f>EXTEMPORANEO!H35</f>
        <v>#N/A</v>
      </c>
      <c r="I35" s="139" t="e">
        <f>EXTEMPORANEO!I35</f>
        <v>#N/A</v>
      </c>
      <c r="J35" s="212">
        <f>EXTEMPORANEO!J35</f>
        <v>0</v>
      </c>
      <c r="K35" s="212">
        <f>EXTEMPORANEO!K35</f>
        <v>0</v>
      </c>
      <c r="L35" s="212">
        <f>EXTEMPORANEO!L35</f>
        <v>0</v>
      </c>
      <c r="M35" s="212">
        <f>EXTEMPORANEO!M35</f>
        <v>0</v>
      </c>
      <c r="N35" s="212">
        <f>EXTEMPORANEO!N35</f>
        <v>0</v>
      </c>
      <c r="O35" s="212">
        <f>EXTEMPORANEO!O35</f>
        <v>0</v>
      </c>
      <c r="P35" s="212">
        <f>EXTEMPORANEO!P35</f>
        <v>0</v>
      </c>
      <c r="Q35" s="212">
        <f>EXTEMPORANEO!Q35</f>
        <v>0</v>
      </c>
      <c r="R35" s="174">
        <f>EXTEMPORANEO!R35</f>
        <v>0</v>
      </c>
      <c r="S35" s="174">
        <f>EXTEMPORANEO!S35</f>
        <v>0</v>
      </c>
      <c r="T35" s="141">
        <f>EXTEMPORANEO!T35</f>
        <v>0</v>
      </c>
      <c r="U35" s="84">
        <f>EXTEMPORANEO!U35</f>
        <v>0</v>
      </c>
      <c r="V35" s="13">
        <f>EXTEMPORANEO!V35</f>
        <v>0</v>
      </c>
      <c r="W35" s="13">
        <f>EXTEMPORANEO!W35</f>
        <v>0</v>
      </c>
      <c r="X35" s="113">
        <f>EXTEMPORANEO!X35</f>
        <v>0</v>
      </c>
      <c r="Y35" s="113">
        <f>EXTEMPORANEO!Y35</f>
        <v>0</v>
      </c>
      <c r="AA35" s="66"/>
    </row>
    <row r="36" spans="2:27" ht="13" customHeight="1">
      <c r="B36" s="73">
        <f>EXTEMPORANEO!B36</f>
        <v>0</v>
      </c>
      <c r="C36" s="25">
        <f>EXTEMPORANEO!C36</f>
        <v>2026091</v>
      </c>
      <c r="D36" s="226">
        <f>EXTEMPORANEO!D36</f>
        <v>0</v>
      </c>
      <c r="E36" s="138">
        <f>EXTEMPORANEO!E36</f>
        <v>0</v>
      </c>
      <c r="F36" s="139" t="e">
        <f>EXTEMPORANEO!F36</f>
        <v>#N/A</v>
      </c>
      <c r="G36" s="138" t="str">
        <f>EXTEMPORANEO!G36</f>
        <v/>
      </c>
      <c r="H36" s="139" t="e">
        <f>EXTEMPORANEO!H36</f>
        <v>#N/A</v>
      </c>
      <c r="I36" s="139" t="e">
        <f>EXTEMPORANEO!I36</f>
        <v>#N/A</v>
      </c>
      <c r="J36" s="212">
        <f>EXTEMPORANEO!J36</f>
        <v>0</v>
      </c>
      <c r="K36" s="212">
        <f>EXTEMPORANEO!K36</f>
        <v>0</v>
      </c>
      <c r="L36" s="212">
        <f>EXTEMPORANEO!L36</f>
        <v>0</v>
      </c>
      <c r="M36" s="212">
        <f>EXTEMPORANEO!M36</f>
        <v>0</v>
      </c>
      <c r="N36" s="212">
        <f>EXTEMPORANEO!N36</f>
        <v>0</v>
      </c>
      <c r="O36" s="212">
        <f>EXTEMPORANEO!O36</f>
        <v>0</v>
      </c>
      <c r="P36" s="212">
        <f>EXTEMPORANEO!P36</f>
        <v>0</v>
      </c>
      <c r="Q36" s="212">
        <f>EXTEMPORANEO!Q36</f>
        <v>0</v>
      </c>
      <c r="R36" s="174">
        <f>EXTEMPORANEO!R36</f>
        <v>0</v>
      </c>
      <c r="S36" s="174">
        <f>EXTEMPORANEO!S36</f>
        <v>0</v>
      </c>
      <c r="T36" s="141">
        <f>EXTEMPORANEO!T36</f>
        <v>0</v>
      </c>
      <c r="U36" s="84">
        <f>EXTEMPORANEO!U36</f>
        <v>0</v>
      </c>
      <c r="V36" s="13">
        <f>EXTEMPORANEO!V36</f>
        <v>0</v>
      </c>
      <c r="W36" s="13">
        <f>EXTEMPORANEO!W36</f>
        <v>0</v>
      </c>
      <c r="X36" s="113">
        <f>EXTEMPORANEO!X36</f>
        <v>0</v>
      </c>
      <c r="Y36" s="113">
        <f>EXTEMPORANEO!Y36</f>
        <v>0</v>
      </c>
      <c r="AA36" s="66"/>
    </row>
    <row r="37" spans="2:27" ht="13" customHeight="1">
      <c r="B37" s="73">
        <f>EXTEMPORANEO!B37</f>
        <v>0</v>
      </c>
      <c r="C37" s="25">
        <f>EXTEMPORANEO!C37</f>
        <v>2026091</v>
      </c>
      <c r="D37" s="226">
        <f>EXTEMPORANEO!D37</f>
        <v>0</v>
      </c>
      <c r="E37" s="138">
        <f>EXTEMPORANEO!E37</f>
        <v>0</v>
      </c>
      <c r="F37" s="139" t="e">
        <f>EXTEMPORANEO!F37</f>
        <v>#N/A</v>
      </c>
      <c r="G37" s="138" t="str">
        <f>EXTEMPORANEO!G37</f>
        <v/>
      </c>
      <c r="H37" s="139" t="e">
        <f>EXTEMPORANEO!H37</f>
        <v>#N/A</v>
      </c>
      <c r="I37" s="139" t="e">
        <f>EXTEMPORANEO!I37</f>
        <v>#N/A</v>
      </c>
      <c r="J37" s="212">
        <f>EXTEMPORANEO!J37</f>
        <v>0</v>
      </c>
      <c r="K37" s="212">
        <f>EXTEMPORANEO!K37</f>
        <v>0</v>
      </c>
      <c r="L37" s="212">
        <f>EXTEMPORANEO!L37</f>
        <v>0</v>
      </c>
      <c r="M37" s="212">
        <f>EXTEMPORANEO!M37</f>
        <v>0</v>
      </c>
      <c r="N37" s="212">
        <f>EXTEMPORANEO!N37</f>
        <v>0</v>
      </c>
      <c r="O37" s="212">
        <f>EXTEMPORANEO!O37</f>
        <v>0</v>
      </c>
      <c r="P37" s="212">
        <f>EXTEMPORANEO!P37</f>
        <v>0</v>
      </c>
      <c r="Q37" s="212">
        <f>EXTEMPORANEO!Q37</f>
        <v>0</v>
      </c>
      <c r="R37" s="174">
        <f>EXTEMPORANEO!R37</f>
        <v>0</v>
      </c>
      <c r="S37" s="174">
        <f>EXTEMPORANEO!S37</f>
        <v>0</v>
      </c>
      <c r="T37" s="141">
        <f>EXTEMPORANEO!T37</f>
        <v>0</v>
      </c>
      <c r="U37" s="84">
        <f>EXTEMPORANEO!U37</f>
        <v>0</v>
      </c>
      <c r="V37" s="13">
        <f>EXTEMPORANEO!V37</f>
        <v>0</v>
      </c>
      <c r="W37" s="13">
        <f>EXTEMPORANEO!W37</f>
        <v>0</v>
      </c>
      <c r="X37" s="113">
        <f>EXTEMPORANEO!X37</f>
        <v>0</v>
      </c>
      <c r="Y37" s="113">
        <f>EXTEMPORANEO!Y37</f>
        <v>0</v>
      </c>
      <c r="AA37" s="66"/>
    </row>
    <row r="38" spans="2:27" ht="13" customHeight="1">
      <c r="B38" s="73">
        <f>EXTEMPORANEO!B38</f>
        <v>0</v>
      </c>
      <c r="C38" s="25">
        <f>EXTEMPORANEO!C38</f>
        <v>2026091</v>
      </c>
      <c r="D38" s="226">
        <f>EXTEMPORANEO!D38</f>
        <v>0</v>
      </c>
      <c r="E38" s="138">
        <f>EXTEMPORANEO!E38</f>
        <v>0</v>
      </c>
      <c r="F38" s="139" t="e">
        <f>EXTEMPORANEO!F38</f>
        <v>#N/A</v>
      </c>
      <c r="G38" s="138" t="str">
        <f>EXTEMPORANEO!G38</f>
        <v/>
      </c>
      <c r="H38" s="139" t="e">
        <f>EXTEMPORANEO!H38</f>
        <v>#N/A</v>
      </c>
      <c r="I38" s="139" t="e">
        <f>EXTEMPORANEO!I38</f>
        <v>#N/A</v>
      </c>
      <c r="J38" s="212">
        <f>EXTEMPORANEO!J38</f>
        <v>0</v>
      </c>
      <c r="K38" s="212">
        <f>EXTEMPORANEO!K38</f>
        <v>0</v>
      </c>
      <c r="L38" s="212">
        <f>EXTEMPORANEO!L38</f>
        <v>0</v>
      </c>
      <c r="M38" s="212">
        <f>EXTEMPORANEO!M38</f>
        <v>0</v>
      </c>
      <c r="N38" s="212">
        <f>EXTEMPORANEO!N38</f>
        <v>0</v>
      </c>
      <c r="O38" s="212">
        <f>EXTEMPORANEO!O38</f>
        <v>0</v>
      </c>
      <c r="P38" s="212">
        <f>EXTEMPORANEO!P38</f>
        <v>0</v>
      </c>
      <c r="Q38" s="212">
        <f>EXTEMPORANEO!Q38</f>
        <v>0</v>
      </c>
      <c r="R38" s="174">
        <f>EXTEMPORANEO!R38</f>
        <v>0</v>
      </c>
      <c r="S38" s="174">
        <f>EXTEMPORANEO!S38</f>
        <v>0</v>
      </c>
      <c r="T38" s="141">
        <f>EXTEMPORANEO!T38</f>
        <v>0</v>
      </c>
      <c r="U38" s="84">
        <f>EXTEMPORANEO!U38</f>
        <v>0</v>
      </c>
      <c r="V38" s="13">
        <f>EXTEMPORANEO!V38</f>
        <v>0</v>
      </c>
      <c r="W38" s="13">
        <f>EXTEMPORANEO!W38</f>
        <v>0</v>
      </c>
      <c r="X38" s="113">
        <f>EXTEMPORANEO!X38</f>
        <v>0</v>
      </c>
      <c r="Y38" s="113">
        <f>EXTEMPORANEO!Y38</f>
        <v>0</v>
      </c>
      <c r="AA38" s="66"/>
    </row>
    <row r="39" spans="2:27" ht="13" customHeight="1">
      <c r="B39" s="73">
        <f>EXTEMPORANEO!B39</f>
        <v>0</v>
      </c>
      <c r="C39" s="25">
        <f>EXTEMPORANEO!C39</f>
        <v>2026091</v>
      </c>
      <c r="D39" s="226">
        <f>EXTEMPORANEO!D39</f>
        <v>0</v>
      </c>
      <c r="E39" s="138">
        <f>EXTEMPORANEO!E39</f>
        <v>0</v>
      </c>
      <c r="F39" s="139" t="e">
        <f>EXTEMPORANEO!F39</f>
        <v>#N/A</v>
      </c>
      <c r="G39" s="138" t="str">
        <f>EXTEMPORANEO!G39</f>
        <v/>
      </c>
      <c r="H39" s="139" t="e">
        <f>EXTEMPORANEO!H39</f>
        <v>#N/A</v>
      </c>
      <c r="I39" s="139" t="e">
        <f>EXTEMPORANEO!I39</f>
        <v>#N/A</v>
      </c>
      <c r="J39" s="212">
        <f>EXTEMPORANEO!J39</f>
        <v>0</v>
      </c>
      <c r="K39" s="212">
        <f>EXTEMPORANEO!K39</f>
        <v>0</v>
      </c>
      <c r="L39" s="212">
        <f>EXTEMPORANEO!L39</f>
        <v>0</v>
      </c>
      <c r="M39" s="212">
        <f>EXTEMPORANEO!M39</f>
        <v>0</v>
      </c>
      <c r="N39" s="212">
        <f>EXTEMPORANEO!N39</f>
        <v>0</v>
      </c>
      <c r="O39" s="212">
        <f>EXTEMPORANEO!O39</f>
        <v>0</v>
      </c>
      <c r="P39" s="212">
        <f>EXTEMPORANEO!P39</f>
        <v>0</v>
      </c>
      <c r="Q39" s="212">
        <f>EXTEMPORANEO!Q39</f>
        <v>0</v>
      </c>
      <c r="R39" s="174">
        <f>EXTEMPORANEO!R39</f>
        <v>0</v>
      </c>
      <c r="S39" s="174">
        <f>EXTEMPORANEO!S39</f>
        <v>0</v>
      </c>
      <c r="T39" s="141">
        <f>EXTEMPORANEO!T39</f>
        <v>0</v>
      </c>
      <c r="U39" s="84">
        <f>EXTEMPORANEO!U39</f>
        <v>0</v>
      </c>
      <c r="V39" s="13">
        <f>EXTEMPORANEO!V39</f>
        <v>0</v>
      </c>
      <c r="W39" s="13">
        <f>EXTEMPORANEO!W39</f>
        <v>0</v>
      </c>
      <c r="X39" s="113">
        <f>EXTEMPORANEO!X39</f>
        <v>0</v>
      </c>
      <c r="Y39" s="113">
        <f>EXTEMPORANEO!Y39</f>
        <v>0</v>
      </c>
      <c r="AA39" s="66"/>
    </row>
    <row r="40" spans="2:27" ht="13" customHeight="1">
      <c r="B40" s="73">
        <f>EXTEMPORANEO!B40</f>
        <v>0</v>
      </c>
      <c r="C40" s="25">
        <f>EXTEMPORANEO!C40</f>
        <v>2026091</v>
      </c>
      <c r="D40" s="226">
        <f>EXTEMPORANEO!D40</f>
        <v>0</v>
      </c>
      <c r="E40" s="138">
        <f>EXTEMPORANEO!E40</f>
        <v>0</v>
      </c>
      <c r="F40" s="139" t="e">
        <f>EXTEMPORANEO!F40</f>
        <v>#N/A</v>
      </c>
      <c r="G40" s="138" t="str">
        <f>EXTEMPORANEO!G40</f>
        <v/>
      </c>
      <c r="H40" s="139" t="e">
        <f>EXTEMPORANEO!H40</f>
        <v>#N/A</v>
      </c>
      <c r="I40" s="139" t="e">
        <f>EXTEMPORANEO!I40</f>
        <v>#N/A</v>
      </c>
      <c r="J40" s="212">
        <f>EXTEMPORANEO!J40</f>
        <v>0</v>
      </c>
      <c r="K40" s="212">
        <f>EXTEMPORANEO!K40</f>
        <v>0</v>
      </c>
      <c r="L40" s="212">
        <f>EXTEMPORANEO!L40</f>
        <v>0</v>
      </c>
      <c r="M40" s="212">
        <f>EXTEMPORANEO!M40</f>
        <v>0</v>
      </c>
      <c r="N40" s="212">
        <f>EXTEMPORANEO!N40</f>
        <v>0</v>
      </c>
      <c r="O40" s="212">
        <f>EXTEMPORANEO!O40</f>
        <v>0</v>
      </c>
      <c r="P40" s="212">
        <f>EXTEMPORANEO!P40</f>
        <v>0</v>
      </c>
      <c r="Q40" s="212">
        <f>EXTEMPORANEO!Q40</f>
        <v>0</v>
      </c>
      <c r="R40" s="174">
        <f>EXTEMPORANEO!R40</f>
        <v>0</v>
      </c>
      <c r="S40" s="174">
        <f>EXTEMPORANEO!S40</f>
        <v>0</v>
      </c>
      <c r="T40" s="141">
        <f>EXTEMPORANEO!T40</f>
        <v>0</v>
      </c>
      <c r="U40" s="84">
        <f>EXTEMPORANEO!U40</f>
        <v>0</v>
      </c>
      <c r="V40" s="13">
        <f>EXTEMPORANEO!V40</f>
        <v>0</v>
      </c>
      <c r="W40" s="13">
        <f>EXTEMPORANEO!W40</f>
        <v>0</v>
      </c>
      <c r="X40" s="113">
        <f>EXTEMPORANEO!X40</f>
        <v>0</v>
      </c>
      <c r="Y40" s="113">
        <f>EXTEMPORANEO!Y40</f>
        <v>0</v>
      </c>
      <c r="AA40" s="66"/>
    </row>
    <row r="41" spans="2:27" ht="13" customHeight="1">
      <c r="B41" s="73">
        <f>EXTEMPORANEO!B41</f>
        <v>0</v>
      </c>
      <c r="C41" s="25">
        <f>EXTEMPORANEO!C41</f>
        <v>2026091</v>
      </c>
      <c r="D41" s="226">
        <f>EXTEMPORANEO!D41</f>
        <v>0</v>
      </c>
      <c r="E41" s="138">
        <f>EXTEMPORANEO!E41</f>
        <v>0</v>
      </c>
      <c r="F41" s="139" t="e">
        <f>EXTEMPORANEO!F41</f>
        <v>#N/A</v>
      </c>
      <c r="G41" s="138" t="str">
        <f>EXTEMPORANEO!G41</f>
        <v/>
      </c>
      <c r="H41" s="139" t="e">
        <f>EXTEMPORANEO!H41</f>
        <v>#N/A</v>
      </c>
      <c r="I41" s="139" t="e">
        <f>EXTEMPORANEO!I41</f>
        <v>#N/A</v>
      </c>
      <c r="J41" s="212">
        <f>EXTEMPORANEO!J41</f>
        <v>0</v>
      </c>
      <c r="K41" s="212">
        <f>EXTEMPORANEO!K41</f>
        <v>0</v>
      </c>
      <c r="L41" s="212">
        <f>EXTEMPORANEO!L41</f>
        <v>0</v>
      </c>
      <c r="M41" s="212">
        <f>EXTEMPORANEO!M41</f>
        <v>0</v>
      </c>
      <c r="N41" s="212">
        <f>EXTEMPORANEO!N41</f>
        <v>0</v>
      </c>
      <c r="O41" s="212">
        <f>EXTEMPORANEO!O41</f>
        <v>0</v>
      </c>
      <c r="P41" s="212">
        <f>EXTEMPORANEO!P41</f>
        <v>0</v>
      </c>
      <c r="Q41" s="212">
        <f>EXTEMPORANEO!Q41</f>
        <v>0</v>
      </c>
      <c r="R41" s="174">
        <f>EXTEMPORANEO!R41</f>
        <v>0</v>
      </c>
      <c r="S41" s="174">
        <f>EXTEMPORANEO!S41</f>
        <v>0</v>
      </c>
      <c r="T41" s="141">
        <f>EXTEMPORANEO!T41</f>
        <v>0</v>
      </c>
      <c r="U41" s="84">
        <f>EXTEMPORANEO!U41</f>
        <v>0</v>
      </c>
      <c r="V41" s="13">
        <f>EXTEMPORANEO!V41</f>
        <v>0</v>
      </c>
      <c r="W41" s="13">
        <f>EXTEMPORANEO!W41</f>
        <v>0</v>
      </c>
      <c r="X41" s="113">
        <f>EXTEMPORANEO!X41</f>
        <v>0</v>
      </c>
      <c r="Y41" s="113">
        <f>EXTEMPORANEO!Y41</f>
        <v>0</v>
      </c>
      <c r="AA41" s="66"/>
    </row>
    <row r="42" spans="2:27" ht="13" customHeight="1">
      <c r="B42" s="73">
        <f>EXTEMPORANEO!B42</f>
        <v>0</v>
      </c>
      <c r="C42" s="25">
        <f>EXTEMPORANEO!C42</f>
        <v>2026091</v>
      </c>
      <c r="D42" s="226">
        <f>EXTEMPORANEO!D42</f>
        <v>0</v>
      </c>
      <c r="E42" s="138">
        <f>EXTEMPORANEO!E42</f>
        <v>0</v>
      </c>
      <c r="F42" s="139" t="e">
        <f>EXTEMPORANEO!F42</f>
        <v>#N/A</v>
      </c>
      <c r="G42" s="138" t="str">
        <f>EXTEMPORANEO!G42</f>
        <v/>
      </c>
      <c r="H42" s="139" t="e">
        <f>EXTEMPORANEO!H42</f>
        <v>#N/A</v>
      </c>
      <c r="I42" s="139" t="e">
        <f>EXTEMPORANEO!I42</f>
        <v>#N/A</v>
      </c>
      <c r="J42" s="212">
        <f>EXTEMPORANEO!J42</f>
        <v>0</v>
      </c>
      <c r="K42" s="212">
        <f>EXTEMPORANEO!K42</f>
        <v>0</v>
      </c>
      <c r="L42" s="212">
        <f>EXTEMPORANEO!L42</f>
        <v>0</v>
      </c>
      <c r="M42" s="212">
        <f>EXTEMPORANEO!M42</f>
        <v>0</v>
      </c>
      <c r="N42" s="212">
        <f>EXTEMPORANEO!N42</f>
        <v>0</v>
      </c>
      <c r="O42" s="212">
        <f>EXTEMPORANEO!O42</f>
        <v>0</v>
      </c>
      <c r="P42" s="212">
        <f>EXTEMPORANEO!P42</f>
        <v>0</v>
      </c>
      <c r="Q42" s="212">
        <f>EXTEMPORANEO!Q42</f>
        <v>0</v>
      </c>
      <c r="R42" s="174">
        <f>EXTEMPORANEO!R42</f>
        <v>0</v>
      </c>
      <c r="S42" s="174">
        <f>EXTEMPORANEO!S42</f>
        <v>0</v>
      </c>
      <c r="T42" s="141">
        <f>EXTEMPORANEO!T42</f>
        <v>0</v>
      </c>
      <c r="U42" s="84">
        <f>EXTEMPORANEO!U42</f>
        <v>0</v>
      </c>
      <c r="V42" s="13">
        <f>EXTEMPORANEO!V42</f>
        <v>0</v>
      </c>
      <c r="W42" s="13">
        <f>EXTEMPORANEO!W42</f>
        <v>0</v>
      </c>
      <c r="X42" s="113">
        <f>EXTEMPORANEO!X42</f>
        <v>0</v>
      </c>
      <c r="Y42" s="113">
        <f>EXTEMPORANEO!Y42</f>
        <v>0</v>
      </c>
      <c r="AA42" s="66"/>
    </row>
    <row r="43" spans="2:27" ht="13" customHeight="1">
      <c r="B43" s="73">
        <f>EXTEMPORANEO!B43</f>
        <v>0</v>
      </c>
      <c r="C43" s="25">
        <f>EXTEMPORANEO!C43</f>
        <v>2026091</v>
      </c>
      <c r="D43" s="226">
        <f>EXTEMPORANEO!D43</f>
        <v>0</v>
      </c>
      <c r="E43" s="138">
        <f>EXTEMPORANEO!E43</f>
        <v>0</v>
      </c>
      <c r="F43" s="139" t="e">
        <f>EXTEMPORANEO!F43</f>
        <v>#N/A</v>
      </c>
      <c r="G43" s="138" t="str">
        <f>EXTEMPORANEO!G43</f>
        <v/>
      </c>
      <c r="H43" s="139" t="e">
        <f>EXTEMPORANEO!H43</f>
        <v>#N/A</v>
      </c>
      <c r="I43" s="139" t="e">
        <f>EXTEMPORANEO!I43</f>
        <v>#N/A</v>
      </c>
      <c r="J43" s="212">
        <f>EXTEMPORANEO!J43</f>
        <v>0</v>
      </c>
      <c r="K43" s="212">
        <f>EXTEMPORANEO!K43</f>
        <v>0</v>
      </c>
      <c r="L43" s="212">
        <f>EXTEMPORANEO!L43</f>
        <v>0</v>
      </c>
      <c r="M43" s="212">
        <f>EXTEMPORANEO!M43</f>
        <v>0</v>
      </c>
      <c r="N43" s="212">
        <f>EXTEMPORANEO!N43</f>
        <v>0</v>
      </c>
      <c r="O43" s="212">
        <f>EXTEMPORANEO!O43</f>
        <v>0</v>
      </c>
      <c r="P43" s="212">
        <f>EXTEMPORANEO!P43</f>
        <v>0</v>
      </c>
      <c r="Q43" s="212">
        <f>EXTEMPORANEO!Q43</f>
        <v>0</v>
      </c>
      <c r="R43" s="174">
        <f>EXTEMPORANEO!R43</f>
        <v>0</v>
      </c>
      <c r="S43" s="174">
        <f>EXTEMPORANEO!S43</f>
        <v>0</v>
      </c>
      <c r="T43" s="141">
        <f>EXTEMPORANEO!T43</f>
        <v>0</v>
      </c>
      <c r="U43" s="84">
        <f>EXTEMPORANEO!U43</f>
        <v>0</v>
      </c>
      <c r="V43" s="13">
        <f>EXTEMPORANEO!V43</f>
        <v>0</v>
      </c>
      <c r="W43" s="13">
        <f>EXTEMPORANEO!W43</f>
        <v>0</v>
      </c>
      <c r="X43" s="113">
        <f>EXTEMPORANEO!X43</f>
        <v>0</v>
      </c>
      <c r="Y43" s="113">
        <f>EXTEMPORANEO!Y43</f>
        <v>0</v>
      </c>
      <c r="AA43" s="66"/>
    </row>
    <row r="44" spans="2:27" ht="13" customHeight="1">
      <c r="B44" s="73">
        <f>EXTEMPORANEO!B44</f>
        <v>0</v>
      </c>
      <c r="C44" s="25">
        <f>EXTEMPORANEO!C44</f>
        <v>2026091</v>
      </c>
      <c r="D44" s="226">
        <f>EXTEMPORANEO!D44</f>
        <v>0</v>
      </c>
      <c r="E44" s="138">
        <f>EXTEMPORANEO!E44</f>
        <v>0</v>
      </c>
      <c r="F44" s="139" t="e">
        <f>EXTEMPORANEO!F44</f>
        <v>#N/A</v>
      </c>
      <c r="G44" s="138" t="str">
        <f>EXTEMPORANEO!G44</f>
        <v/>
      </c>
      <c r="H44" s="139" t="e">
        <f>EXTEMPORANEO!H44</f>
        <v>#N/A</v>
      </c>
      <c r="I44" s="139" t="e">
        <f>EXTEMPORANEO!I44</f>
        <v>#N/A</v>
      </c>
      <c r="J44" s="212">
        <f>EXTEMPORANEO!J44</f>
        <v>0</v>
      </c>
      <c r="K44" s="212">
        <f>EXTEMPORANEO!K44</f>
        <v>0</v>
      </c>
      <c r="L44" s="212">
        <f>EXTEMPORANEO!L44</f>
        <v>0</v>
      </c>
      <c r="M44" s="212">
        <f>EXTEMPORANEO!M44</f>
        <v>0</v>
      </c>
      <c r="N44" s="212">
        <f>EXTEMPORANEO!N44</f>
        <v>0</v>
      </c>
      <c r="O44" s="212">
        <f>EXTEMPORANEO!O44</f>
        <v>0</v>
      </c>
      <c r="P44" s="212">
        <f>EXTEMPORANEO!P44</f>
        <v>0</v>
      </c>
      <c r="Q44" s="212">
        <f>EXTEMPORANEO!Q44</f>
        <v>0</v>
      </c>
      <c r="R44" s="174">
        <f>EXTEMPORANEO!R44</f>
        <v>0</v>
      </c>
      <c r="S44" s="174">
        <f>EXTEMPORANEO!S44</f>
        <v>0</v>
      </c>
      <c r="T44" s="141">
        <f>EXTEMPORANEO!T44</f>
        <v>0</v>
      </c>
      <c r="U44" s="84">
        <f>EXTEMPORANEO!U44</f>
        <v>0</v>
      </c>
      <c r="V44" s="13">
        <f>EXTEMPORANEO!V44</f>
        <v>0</v>
      </c>
      <c r="W44" s="13">
        <f>EXTEMPORANEO!W44</f>
        <v>0</v>
      </c>
      <c r="X44" s="113">
        <f>EXTEMPORANEO!X44</f>
        <v>0</v>
      </c>
      <c r="Y44" s="113">
        <f>EXTEMPORANEO!Y44</f>
        <v>0</v>
      </c>
      <c r="AA44" s="66"/>
    </row>
    <row r="45" spans="2:27" ht="13" customHeight="1">
      <c r="B45" s="73">
        <f>EXTEMPORANEO!B45</f>
        <v>0</v>
      </c>
      <c r="C45" s="25">
        <f>EXTEMPORANEO!C45</f>
        <v>2026091</v>
      </c>
      <c r="D45" s="226">
        <f>EXTEMPORANEO!D45</f>
        <v>0</v>
      </c>
      <c r="E45" s="138">
        <f>EXTEMPORANEO!E45</f>
        <v>0</v>
      </c>
      <c r="F45" s="139" t="e">
        <f>EXTEMPORANEO!F45</f>
        <v>#N/A</v>
      </c>
      <c r="G45" s="138" t="str">
        <f>EXTEMPORANEO!G45</f>
        <v/>
      </c>
      <c r="H45" s="139" t="e">
        <f>EXTEMPORANEO!H45</f>
        <v>#N/A</v>
      </c>
      <c r="I45" s="139" t="e">
        <f>EXTEMPORANEO!I45</f>
        <v>#N/A</v>
      </c>
      <c r="J45" s="212">
        <f>EXTEMPORANEO!J45</f>
        <v>0</v>
      </c>
      <c r="K45" s="212">
        <f>EXTEMPORANEO!K45</f>
        <v>0</v>
      </c>
      <c r="L45" s="212">
        <f>EXTEMPORANEO!L45</f>
        <v>0</v>
      </c>
      <c r="M45" s="212">
        <f>EXTEMPORANEO!M45</f>
        <v>0</v>
      </c>
      <c r="N45" s="212">
        <f>EXTEMPORANEO!N45</f>
        <v>0</v>
      </c>
      <c r="O45" s="212">
        <f>EXTEMPORANEO!O45</f>
        <v>0</v>
      </c>
      <c r="P45" s="212">
        <f>EXTEMPORANEO!P45</f>
        <v>0</v>
      </c>
      <c r="Q45" s="212">
        <f>EXTEMPORANEO!Q45</f>
        <v>0</v>
      </c>
      <c r="R45" s="174">
        <f>EXTEMPORANEO!R45</f>
        <v>0</v>
      </c>
      <c r="S45" s="174">
        <f>EXTEMPORANEO!S45</f>
        <v>0</v>
      </c>
      <c r="T45" s="141">
        <f>EXTEMPORANEO!T45</f>
        <v>0</v>
      </c>
      <c r="U45" s="84">
        <f>EXTEMPORANEO!U45</f>
        <v>0</v>
      </c>
      <c r="V45" s="13">
        <f>EXTEMPORANEO!V45</f>
        <v>0</v>
      </c>
      <c r="W45" s="13">
        <f>EXTEMPORANEO!W45</f>
        <v>0</v>
      </c>
      <c r="X45" s="113">
        <f>EXTEMPORANEO!X45</f>
        <v>0</v>
      </c>
      <c r="Y45" s="113">
        <f>EXTEMPORANEO!Y45</f>
        <v>0</v>
      </c>
      <c r="AA45" s="66"/>
    </row>
    <row r="46" spans="2:27" ht="13" customHeight="1">
      <c r="B46" s="73">
        <f>EXTEMPORANEO!B46</f>
        <v>0</v>
      </c>
      <c r="C46" s="25">
        <f>EXTEMPORANEO!C46</f>
        <v>2026091</v>
      </c>
      <c r="D46" s="226">
        <f>EXTEMPORANEO!D46</f>
        <v>0</v>
      </c>
      <c r="E46" s="138">
        <f>EXTEMPORANEO!E46</f>
        <v>0</v>
      </c>
      <c r="F46" s="139" t="e">
        <f>EXTEMPORANEO!F46</f>
        <v>#N/A</v>
      </c>
      <c r="G46" s="138" t="str">
        <f>EXTEMPORANEO!G46</f>
        <v/>
      </c>
      <c r="H46" s="139" t="e">
        <f>EXTEMPORANEO!H46</f>
        <v>#N/A</v>
      </c>
      <c r="I46" s="139" t="e">
        <f>EXTEMPORANEO!I46</f>
        <v>#N/A</v>
      </c>
      <c r="J46" s="212">
        <f>EXTEMPORANEO!J46</f>
        <v>0</v>
      </c>
      <c r="K46" s="212">
        <f>EXTEMPORANEO!K46</f>
        <v>0</v>
      </c>
      <c r="L46" s="212">
        <f>EXTEMPORANEO!L46</f>
        <v>0</v>
      </c>
      <c r="M46" s="212">
        <f>EXTEMPORANEO!M46</f>
        <v>0</v>
      </c>
      <c r="N46" s="212">
        <f>EXTEMPORANEO!N46</f>
        <v>0</v>
      </c>
      <c r="O46" s="212">
        <f>EXTEMPORANEO!O46</f>
        <v>0</v>
      </c>
      <c r="P46" s="212">
        <f>EXTEMPORANEO!P46</f>
        <v>0</v>
      </c>
      <c r="Q46" s="212">
        <f>EXTEMPORANEO!Q46</f>
        <v>0</v>
      </c>
      <c r="R46" s="174">
        <f>EXTEMPORANEO!R46</f>
        <v>0</v>
      </c>
      <c r="S46" s="174">
        <f>EXTEMPORANEO!S46</f>
        <v>0</v>
      </c>
      <c r="T46" s="141">
        <f>EXTEMPORANEO!T46</f>
        <v>0</v>
      </c>
      <c r="U46" s="84">
        <f>EXTEMPORANEO!U46</f>
        <v>0</v>
      </c>
      <c r="V46" s="13">
        <f>EXTEMPORANEO!V46</f>
        <v>0</v>
      </c>
      <c r="W46" s="13">
        <f>EXTEMPORANEO!W46</f>
        <v>0</v>
      </c>
      <c r="X46" s="113">
        <f>EXTEMPORANEO!X46</f>
        <v>0</v>
      </c>
      <c r="Y46" s="113">
        <f>EXTEMPORANEO!Y46</f>
        <v>0</v>
      </c>
      <c r="AA46" s="66"/>
    </row>
    <row r="47" spans="2:27" ht="13" customHeight="1">
      <c r="B47" s="73">
        <f>EXTEMPORANEO!B47</f>
        <v>0</v>
      </c>
      <c r="C47" s="25">
        <f>EXTEMPORANEO!C47</f>
        <v>2026091</v>
      </c>
      <c r="D47" s="226">
        <f>EXTEMPORANEO!D47</f>
        <v>0</v>
      </c>
      <c r="E47" s="138">
        <f>EXTEMPORANEO!E47</f>
        <v>0</v>
      </c>
      <c r="F47" s="139" t="e">
        <f>EXTEMPORANEO!F47</f>
        <v>#N/A</v>
      </c>
      <c r="G47" s="138" t="str">
        <f>EXTEMPORANEO!G47</f>
        <v/>
      </c>
      <c r="H47" s="139" t="e">
        <f>EXTEMPORANEO!H47</f>
        <v>#N/A</v>
      </c>
      <c r="I47" s="139" t="e">
        <f>EXTEMPORANEO!I47</f>
        <v>#N/A</v>
      </c>
      <c r="J47" s="212">
        <f>EXTEMPORANEO!J47</f>
        <v>0</v>
      </c>
      <c r="K47" s="212">
        <f>EXTEMPORANEO!K47</f>
        <v>0</v>
      </c>
      <c r="L47" s="212">
        <f>EXTEMPORANEO!L47</f>
        <v>0</v>
      </c>
      <c r="M47" s="212">
        <f>EXTEMPORANEO!M47</f>
        <v>0</v>
      </c>
      <c r="N47" s="212">
        <f>EXTEMPORANEO!N47</f>
        <v>0</v>
      </c>
      <c r="O47" s="212">
        <f>EXTEMPORANEO!O47</f>
        <v>0</v>
      </c>
      <c r="P47" s="212">
        <f>EXTEMPORANEO!P47</f>
        <v>0</v>
      </c>
      <c r="Q47" s="212">
        <f>EXTEMPORANEO!Q47</f>
        <v>0</v>
      </c>
      <c r="R47" s="174">
        <f>EXTEMPORANEO!R47</f>
        <v>0</v>
      </c>
      <c r="S47" s="174">
        <f>EXTEMPORANEO!S47</f>
        <v>0</v>
      </c>
      <c r="T47" s="141">
        <f>EXTEMPORANEO!T47</f>
        <v>0</v>
      </c>
      <c r="U47" s="84">
        <f>EXTEMPORANEO!U47</f>
        <v>0</v>
      </c>
      <c r="V47" s="13">
        <f>EXTEMPORANEO!V47</f>
        <v>0</v>
      </c>
      <c r="W47" s="13">
        <f>EXTEMPORANEO!W47</f>
        <v>0</v>
      </c>
      <c r="X47" s="113">
        <f>EXTEMPORANEO!X47</f>
        <v>0</v>
      </c>
      <c r="Y47" s="113">
        <f>EXTEMPORANEO!Y47</f>
        <v>0</v>
      </c>
      <c r="AA47" s="66"/>
    </row>
    <row r="48" spans="2:27" ht="13" customHeight="1">
      <c r="B48" s="73">
        <f>EXTEMPORANEO!B48</f>
        <v>0</v>
      </c>
      <c r="C48" s="25">
        <f>EXTEMPORANEO!C48</f>
        <v>2026091</v>
      </c>
      <c r="D48" s="226">
        <f>EXTEMPORANEO!D48</f>
        <v>0</v>
      </c>
      <c r="E48" s="138">
        <f>EXTEMPORANEO!E48</f>
        <v>0</v>
      </c>
      <c r="F48" s="139" t="e">
        <f>EXTEMPORANEO!F48</f>
        <v>#N/A</v>
      </c>
      <c r="G48" s="138" t="str">
        <f>EXTEMPORANEO!G48</f>
        <v/>
      </c>
      <c r="H48" s="139" t="e">
        <f>EXTEMPORANEO!H48</f>
        <v>#N/A</v>
      </c>
      <c r="I48" s="139" t="e">
        <f>EXTEMPORANEO!I48</f>
        <v>#N/A</v>
      </c>
      <c r="J48" s="212">
        <f>EXTEMPORANEO!J48</f>
        <v>0</v>
      </c>
      <c r="K48" s="212">
        <f>EXTEMPORANEO!K48</f>
        <v>0</v>
      </c>
      <c r="L48" s="212">
        <f>EXTEMPORANEO!L48</f>
        <v>0</v>
      </c>
      <c r="M48" s="212">
        <f>EXTEMPORANEO!M48</f>
        <v>0</v>
      </c>
      <c r="N48" s="212">
        <f>EXTEMPORANEO!N48</f>
        <v>0</v>
      </c>
      <c r="O48" s="212">
        <f>EXTEMPORANEO!O48</f>
        <v>0</v>
      </c>
      <c r="P48" s="212">
        <f>EXTEMPORANEO!P48</f>
        <v>0</v>
      </c>
      <c r="Q48" s="212">
        <f>EXTEMPORANEO!Q48</f>
        <v>0</v>
      </c>
      <c r="R48" s="174">
        <f>EXTEMPORANEO!R48</f>
        <v>0</v>
      </c>
      <c r="S48" s="174">
        <f>EXTEMPORANEO!S48</f>
        <v>0</v>
      </c>
      <c r="T48" s="141">
        <f>EXTEMPORANEO!T48</f>
        <v>0</v>
      </c>
      <c r="U48" s="84">
        <f>EXTEMPORANEO!U48</f>
        <v>0</v>
      </c>
      <c r="V48" s="13">
        <f>EXTEMPORANEO!V48</f>
        <v>0</v>
      </c>
      <c r="W48" s="13">
        <f>EXTEMPORANEO!W48</f>
        <v>0</v>
      </c>
      <c r="X48" s="113">
        <f>EXTEMPORANEO!X48</f>
        <v>0</v>
      </c>
      <c r="Y48" s="113">
        <f>EXTEMPORANEO!Y48</f>
        <v>0</v>
      </c>
      <c r="AA48" s="66"/>
    </row>
    <row r="49" spans="2:27" ht="13" customHeight="1">
      <c r="B49" s="73">
        <f>EXTEMPORANEO!B49</f>
        <v>0</v>
      </c>
      <c r="C49" s="25">
        <f>EXTEMPORANEO!C49</f>
        <v>2026091</v>
      </c>
      <c r="D49" s="226">
        <f>EXTEMPORANEO!D49</f>
        <v>0</v>
      </c>
      <c r="E49" s="138">
        <f>EXTEMPORANEO!E49</f>
        <v>0</v>
      </c>
      <c r="F49" s="139" t="e">
        <f>EXTEMPORANEO!F49</f>
        <v>#N/A</v>
      </c>
      <c r="G49" s="138" t="str">
        <f>EXTEMPORANEO!G49</f>
        <v/>
      </c>
      <c r="H49" s="139" t="e">
        <f>EXTEMPORANEO!H49</f>
        <v>#N/A</v>
      </c>
      <c r="I49" s="139" t="e">
        <f>EXTEMPORANEO!I49</f>
        <v>#N/A</v>
      </c>
      <c r="J49" s="212">
        <f>EXTEMPORANEO!J49</f>
        <v>0</v>
      </c>
      <c r="K49" s="212">
        <f>EXTEMPORANEO!K49</f>
        <v>0</v>
      </c>
      <c r="L49" s="212">
        <f>EXTEMPORANEO!L49</f>
        <v>0</v>
      </c>
      <c r="M49" s="212">
        <f>EXTEMPORANEO!M49</f>
        <v>0</v>
      </c>
      <c r="N49" s="212">
        <f>EXTEMPORANEO!N49</f>
        <v>0</v>
      </c>
      <c r="O49" s="212">
        <f>EXTEMPORANEO!O49</f>
        <v>0</v>
      </c>
      <c r="P49" s="212">
        <f>EXTEMPORANEO!P49</f>
        <v>0</v>
      </c>
      <c r="Q49" s="212">
        <f>EXTEMPORANEO!Q49</f>
        <v>0</v>
      </c>
      <c r="R49" s="174">
        <f>EXTEMPORANEO!R49</f>
        <v>0</v>
      </c>
      <c r="S49" s="174">
        <f>EXTEMPORANEO!S49</f>
        <v>0</v>
      </c>
      <c r="T49" s="141">
        <f>EXTEMPORANEO!T49</f>
        <v>0</v>
      </c>
      <c r="U49" s="84">
        <f>EXTEMPORANEO!U49</f>
        <v>0</v>
      </c>
      <c r="V49" s="13">
        <f>EXTEMPORANEO!V49</f>
        <v>0</v>
      </c>
      <c r="W49" s="13">
        <f>EXTEMPORANEO!W49</f>
        <v>0</v>
      </c>
      <c r="X49" s="113">
        <f>EXTEMPORANEO!X49</f>
        <v>0</v>
      </c>
      <c r="Y49" s="113">
        <f>EXTEMPORANEO!Y49</f>
        <v>0</v>
      </c>
      <c r="AA49" s="66"/>
    </row>
    <row r="50" spans="2:27" ht="13" customHeight="1">
      <c r="B50" s="73">
        <f>EXTEMPORANEO!B50</f>
        <v>0</v>
      </c>
      <c r="C50" s="25">
        <f>EXTEMPORANEO!C50</f>
        <v>2026091</v>
      </c>
      <c r="D50" s="226">
        <f>EXTEMPORANEO!D50</f>
        <v>0</v>
      </c>
      <c r="E50" s="138">
        <f>EXTEMPORANEO!E50</f>
        <v>0</v>
      </c>
      <c r="F50" s="139" t="e">
        <f>EXTEMPORANEO!F50</f>
        <v>#N/A</v>
      </c>
      <c r="G50" s="138" t="str">
        <f>EXTEMPORANEO!G50</f>
        <v/>
      </c>
      <c r="H50" s="139" t="e">
        <f>EXTEMPORANEO!H50</f>
        <v>#N/A</v>
      </c>
      <c r="I50" s="139" t="e">
        <f>EXTEMPORANEO!I50</f>
        <v>#N/A</v>
      </c>
      <c r="J50" s="212">
        <f>EXTEMPORANEO!J50</f>
        <v>0</v>
      </c>
      <c r="K50" s="212">
        <f>EXTEMPORANEO!K50</f>
        <v>0</v>
      </c>
      <c r="L50" s="212">
        <f>EXTEMPORANEO!L50</f>
        <v>0</v>
      </c>
      <c r="M50" s="212">
        <f>EXTEMPORANEO!M50</f>
        <v>0</v>
      </c>
      <c r="N50" s="212">
        <f>EXTEMPORANEO!N50</f>
        <v>0</v>
      </c>
      <c r="O50" s="212">
        <f>EXTEMPORANEO!O50</f>
        <v>0</v>
      </c>
      <c r="P50" s="212">
        <f>EXTEMPORANEO!P50</f>
        <v>0</v>
      </c>
      <c r="Q50" s="212">
        <f>EXTEMPORANEO!Q50</f>
        <v>0</v>
      </c>
      <c r="R50" s="174">
        <f>EXTEMPORANEO!R50</f>
        <v>0</v>
      </c>
      <c r="S50" s="174">
        <f>EXTEMPORANEO!S50</f>
        <v>0</v>
      </c>
      <c r="T50" s="141">
        <f>EXTEMPORANEO!T50</f>
        <v>0</v>
      </c>
      <c r="U50" s="84">
        <f>EXTEMPORANEO!U50</f>
        <v>0</v>
      </c>
      <c r="V50" s="13">
        <f>EXTEMPORANEO!V50</f>
        <v>0</v>
      </c>
      <c r="W50" s="13">
        <f>EXTEMPORANEO!W50</f>
        <v>0</v>
      </c>
      <c r="X50" s="113">
        <f>EXTEMPORANEO!X50</f>
        <v>0</v>
      </c>
      <c r="Y50" s="113">
        <f>EXTEMPORANEO!Y50</f>
        <v>0</v>
      </c>
      <c r="AA50" s="66"/>
    </row>
    <row r="51" spans="2:27" ht="13" customHeight="1">
      <c r="B51" s="73">
        <f>EXTEMPORANEO!B51</f>
        <v>0</v>
      </c>
      <c r="C51" s="25">
        <f>EXTEMPORANEO!C51</f>
        <v>2026091</v>
      </c>
      <c r="D51" s="226">
        <f>EXTEMPORANEO!D51</f>
        <v>0</v>
      </c>
      <c r="E51" s="138">
        <f>EXTEMPORANEO!E51</f>
        <v>0</v>
      </c>
      <c r="F51" s="139" t="e">
        <f>EXTEMPORANEO!F51</f>
        <v>#N/A</v>
      </c>
      <c r="G51" s="138" t="str">
        <f>EXTEMPORANEO!G51</f>
        <v/>
      </c>
      <c r="H51" s="139" t="e">
        <f>EXTEMPORANEO!H51</f>
        <v>#N/A</v>
      </c>
      <c r="I51" s="139" t="e">
        <f>EXTEMPORANEO!I51</f>
        <v>#N/A</v>
      </c>
      <c r="J51" s="212">
        <f>EXTEMPORANEO!J51</f>
        <v>0</v>
      </c>
      <c r="K51" s="212">
        <f>EXTEMPORANEO!K51</f>
        <v>0</v>
      </c>
      <c r="L51" s="212">
        <f>EXTEMPORANEO!L51</f>
        <v>0</v>
      </c>
      <c r="M51" s="212">
        <f>EXTEMPORANEO!M51</f>
        <v>0</v>
      </c>
      <c r="N51" s="212">
        <f>EXTEMPORANEO!N51</f>
        <v>0</v>
      </c>
      <c r="O51" s="212">
        <f>EXTEMPORANEO!O51</f>
        <v>0</v>
      </c>
      <c r="P51" s="212">
        <f>EXTEMPORANEO!P51</f>
        <v>0</v>
      </c>
      <c r="Q51" s="212">
        <f>EXTEMPORANEO!Q51</f>
        <v>0</v>
      </c>
      <c r="R51" s="174">
        <f>EXTEMPORANEO!R51</f>
        <v>0</v>
      </c>
      <c r="S51" s="174">
        <f>EXTEMPORANEO!S51</f>
        <v>0</v>
      </c>
      <c r="T51" s="141">
        <f>EXTEMPORANEO!T51</f>
        <v>0</v>
      </c>
      <c r="U51" s="84">
        <f>EXTEMPORANEO!U51</f>
        <v>0</v>
      </c>
      <c r="V51" s="13">
        <f>EXTEMPORANEO!V51</f>
        <v>0</v>
      </c>
      <c r="W51" s="13">
        <f>EXTEMPORANEO!W51</f>
        <v>0</v>
      </c>
      <c r="X51" s="113">
        <f>EXTEMPORANEO!X51</f>
        <v>0</v>
      </c>
      <c r="Y51" s="113">
        <f>EXTEMPORANEO!Y51</f>
        <v>0</v>
      </c>
      <c r="AA51" s="66"/>
    </row>
    <row r="52" spans="2:27" ht="13" customHeight="1">
      <c r="B52" s="73">
        <f>EXTEMPORANEO!B52</f>
        <v>0</v>
      </c>
      <c r="C52" s="25">
        <f>EXTEMPORANEO!C52</f>
        <v>2026091</v>
      </c>
      <c r="D52" s="226">
        <f>EXTEMPORANEO!D52</f>
        <v>0</v>
      </c>
      <c r="E52" s="138">
        <f>EXTEMPORANEO!E52</f>
        <v>0</v>
      </c>
      <c r="F52" s="139" t="e">
        <f>EXTEMPORANEO!F52</f>
        <v>#N/A</v>
      </c>
      <c r="G52" s="138" t="str">
        <f>EXTEMPORANEO!G52</f>
        <v/>
      </c>
      <c r="H52" s="139" t="e">
        <f>EXTEMPORANEO!H52</f>
        <v>#N/A</v>
      </c>
      <c r="I52" s="139" t="e">
        <f>EXTEMPORANEO!I52</f>
        <v>#N/A</v>
      </c>
      <c r="J52" s="212">
        <f>EXTEMPORANEO!J52</f>
        <v>0</v>
      </c>
      <c r="K52" s="212">
        <f>EXTEMPORANEO!K52</f>
        <v>0</v>
      </c>
      <c r="L52" s="212">
        <f>EXTEMPORANEO!L52</f>
        <v>0</v>
      </c>
      <c r="M52" s="212">
        <f>EXTEMPORANEO!M52</f>
        <v>0</v>
      </c>
      <c r="N52" s="212">
        <f>EXTEMPORANEO!N52</f>
        <v>0</v>
      </c>
      <c r="O52" s="212">
        <f>EXTEMPORANEO!O52</f>
        <v>0</v>
      </c>
      <c r="P52" s="212">
        <f>EXTEMPORANEO!P52</f>
        <v>0</v>
      </c>
      <c r="Q52" s="212">
        <f>EXTEMPORANEO!Q52</f>
        <v>0</v>
      </c>
      <c r="R52" s="174">
        <f>EXTEMPORANEO!R52</f>
        <v>0</v>
      </c>
      <c r="S52" s="174">
        <f>EXTEMPORANEO!S52</f>
        <v>0</v>
      </c>
      <c r="T52" s="141">
        <f>EXTEMPORANEO!T52</f>
        <v>0</v>
      </c>
      <c r="U52" s="84">
        <f>EXTEMPORANEO!U52</f>
        <v>0</v>
      </c>
      <c r="V52" s="13">
        <f>EXTEMPORANEO!V52</f>
        <v>0</v>
      </c>
      <c r="W52" s="13">
        <f>EXTEMPORANEO!W52</f>
        <v>0</v>
      </c>
      <c r="X52" s="113">
        <f>EXTEMPORANEO!X52</f>
        <v>0</v>
      </c>
      <c r="Y52" s="113">
        <f>EXTEMPORANEO!Y52</f>
        <v>0</v>
      </c>
      <c r="AA52" s="66"/>
    </row>
    <row r="53" spans="2:27" ht="13" customHeight="1">
      <c r="B53" s="73">
        <f>EXTEMPORANEO!B53</f>
        <v>0</v>
      </c>
      <c r="C53" s="25">
        <f>EXTEMPORANEO!C53</f>
        <v>2026091</v>
      </c>
      <c r="D53" s="226">
        <f>EXTEMPORANEO!D53</f>
        <v>0</v>
      </c>
      <c r="E53" s="138">
        <f>EXTEMPORANEO!E53</f>
        <v>0</v>
      </c>
      <c r="F53" s="139" t="e">
        <f>EXTEMPORANEO!F53</f>
        <v>#N/A</v>
      </c>
      <c r="G53" s="138" t="str">
        <f>EXTEMPORANEO!G53</f>
        <v/>
      </c>
      <c r="H53" s="139" t="e">
        <f>EXTEMPORANEO!H53</f>
        <v>#N/A</v>
      </c>
      <c r="I53" s="139" t="e">
        <f>EXTEMPORANEO!I53</f>
        <v>#N/A</v>
      </c>
      <c r="J53" s="212">
        <f>EXTEMPORANEO!J53</f>
        <v>0</v>
      </c>
      <c r="K53" s="212">
        <f>EXTEMPORANEO!K53</f>
        <v>0</v>
      </c>
      <c r="L53" s="212">
        <f>EXTEMPORANEO!L53</f>
        <v>0</v>
      </c>
      <c r="M53" s="212">
        <f>EXTEMPORANEO!M53</f>
        <v>0</v>
      </c>
      <c r="N53" s="212">
        <f>EXTEMPORANEO!N53</f>
        <v>0</v>
      </c>
      <c r="O53" s="212">
        <f>EXTEMPORANEO!O53</f>
        <v>0</v>
      </c>
      <c r="P53" s="212">
        <f>EXTEMPORANEO!P53</f>
        <v>0</v>
      </c>
      <c r="Q53" s="212">
        <f>EXTEMPORANEO!Q53</f>
        <v>0</v>
      </c>
      <c r="R53" s="174">
        <f>EXTEMPORANEO!R53</f>
        <v>0</v>
      </c>
      <c r="S53" s="174">
        <f>EXTEMPORANEO!S53</f>
        <v>0</v>
      </c>
      <c r="T53" s="141">
        <f>EXTEMPORANEO!T53</f>
        <v>0</v>
      </c>
      <c r="U53" s="84">
        <f>EXTEMPORANEO!U53</f>
        <v>0</v>
      </c>
      <c r="V53" s="13">
        <f>EXTEMPORANEO!V53</f>
        <v>0</v>
      </c>
      <c r="W53" s="13">
        <f>EXTEMPORANEO!W53</f>
        <v>0</v>
      </c>
      <c r="X53" s="113">
        <f>EXTEMPORANEO!X53</f>
        <v>0</v>
      </c>
      <c r="Y53" s="113">
        <f>EXTEMPORANEO!Y53</f>
        <v>0</v>
      </c>
      <c r="AA53" s="66"/>
    </row>
    <row r="54" spans="2:27" ht="13" customHeight="1">
      <c r="B54" s="73">
        <f>EXTEMPORANEO!B54</f>
        <v>0</v>
      </c>
      <c r="C54" s="25">
        <f>EXTEMPORANEO!C54</f>
        <v>2026091</v>
      </c>
      <c r="D54" s="226">
        <f>EXTEMPORANEO!D54</f>
        <v>0</v>
      </c>
      <c r="E54" s="138">
        <f>EXTEMPORANEO!E54</f>
        <v>0</v>
      </c>
      <c r="F54" s="139" t="e">
        <f>EXTEMPORANEO!F54</f>
        <v>#N/A</v>
      </c>
      <c r="G54" s="138" t="str">
        <f>EXTEMPORANEO!G54</f>
        <v/>
      </c>
      <c r="H54" s="139" t="e">
        <f>EXTEMPORANEO!H54</f>
        <v>#N/A</v>
      </c>
      <c r="I54" s="139" t="e">
        <f>EXTEMPORANEO!I54</f>
        <v>#N/A</v>
      </c>
      <c r="J54" s="212">
        <f>EXTEMPORANEO!J54</f>
        <v>0</v>
      </c>
      <c r="K54" s="212">
        <f>EXTEMPORANEO!K54</f>
        <v>0</v>
      </c>
      <c r="L54" s="212">
        <f>EXTEMPORANEO!L54</f>
        <v>0</v>
      </c>
      <c r="M54" s="212">
        <f>EXTEMPORANEO!M54</f>
        <v>0</v>
      </c>
      <c r="N54" s="212">
        <f>EXTEMPORANEO!N54</f>
        <v>0</v>
      </c>
      <c r="O54" s="212">
        <f>EXTEMPORANEO!O54</f>
        <v>0</v>
      </c>
      <c r="P54" s="212">
        <f>EXTEMPORANEO!P54</f>
        <v>0</v>
      </c>
      <c r="Q54" s="212">
        <f>EXTEMPORANEO!Q54</f>
        <v>0</v>
      </c>
      <c r="R54" s="174">
        <f>EXTEMPORANEO!R54</f>
        <v>0</v>
      </c>
      <c r="S54" s="174">
        <f>EXTEMPORANEO!S54</f>
        <v>0</v>
      </c>
      <c r="T54" s="141">
        <f>EXTEMPORANEO!T54</f>
        <v>0</v>
      </c>
      <c r="U54" s="84">
        <f>EXTEMPORANEO!U54</f>
        <v>0</v>
      </c>
      <c r="V54" s="13">
        <f>EXTEMPORANEO!V54</f>
        <v>0</v>
      </c>
      <c r="W54" s="13">
        <f>EXTEMPORANEO!W54</f>
        <v>0</v>
      </c>
      <c r="X54" s="113">
        <f>EXTEMPORANEO!X54</f>
        <v>0</v>
      </c>
      <c r="Y54" s="113">
        <f>EXTEMPORANEO!Y54</f>
        <v>0</v>
      </c>
      <c r="AA54" s="66"/>
    </row>
    <row r="55" spans="2:27" ht="13" customHeight="1">
      <c r="B55" s="73">
        <f>EXTEMPORANEO!B55</f>
        <v>0</v>
      </c>
      <c r="C55" s="25">
        <f>EXTEMPORANEO!C55</f>
        <v>2026091</v>
      </c>
      <c r="D55" s="226">
        <f>EXTEMPORANEO!D55</f>
        <v>0</v>
      </c>
      <c r="E55" s="138">
        <f>EXTEMPORANEO!E55</f>
        <v>0</v>
      </c>
      <c r="F55" s="139" t="e">
        <f>EXTEMPORANEO!F55</f>
        <v>#N/A</v>
      </c>
      <c r="G55" s="138" t="str">
        <f>EXTEMPORANEO!G55</f>
        <v/>
      </c>
      <c r="H55" s="139" t="e">
        <f>EXTEMPORANEO!H55</f>
        <v>#N/A</v>
      </c>
      <c r="I55" s="139" t="e">
        <f>EXTEMPORANEO!I55</f>
        <v>#N/A</v>
      </c>
      <c r="J55" s="212">
        <f>EXTEMPORANEO!J55</f>
        <v>0</v>
      </c>
      <c r="K55" s="212">
        <f>EXTEMPORANEO!K55</f>
        <v>0</v>
      </c>
      <c r="L55" s="212">
        <f>EXTEMPORANEO!L55</f>
        <v>0</v>
      </c>
      <c r="M55" s="212">
        <f>EXTEMPORANEO!M55</f>
        <v>0</v>
      </c>
      <c r="N55" s="212">
        <f>EXTEMPORANEO!N55</f>
        <v>0</v>
      </c>
      <c r="O55" s="212">
        <f>EXTEMPORANEO!O55</f>
        <v>0</v>
      </c>
      <c r="P55" s="212">
        <f>EXTEMPORANEO!P55</f>
        <v>0</v>
      </c>
      <c r="Q55" s="212">
        <f>EXTEMPORANEO!Q55</f>
        <v>0</v>
      </c>
      <c r="R55" s="174">
        <f>EXTEMPORANEO!R55</f>
        <v>0</v>
      </c>
      <c r="S55" s="174">
        <f>EXTEMPORANEO!S55</f>
        <v>0</v>
      </c>
      <c r="T55" s="141">
        <f>EXTEMPORANEO!T55</f>
        <v>0</v>
      </c>
      <c r="U55" s="84">
        <f>EXTEMPORANEO!U55</f>
        <v>0</v>
      </c>
      <c r="V55" s="13">
        <f>EXTEMPORANEO!V55</f>
        <v>0</v>
      </c>
      <c r="W55" s="13">
        <f>EXTEMPORANEO!W55</f>
        <v>0</v>
      </c>
      <c r="X55" s="113">
        <f>EXTEMPORANEO!X55</f>
        <v>0</v>
      </c>
      <c r="Y55" s="113">
        <f>EXTEMPORANEO!Y55</f>
        <v>0</v>
      </c>
      <c r="AA55" s="66"/>
    </row>
    <row r="56" spans="2:27" ht="13" customHeight="1">
      <c r="B56" s="73">
        <f>EXTEMPORANEO!B56</f>
        <v>0</v>
      </c>
      <c r="C56" s="25">
        <f>EXTEMPORANEO!C56</f>
        <v>2026091</v>
      </c>
      <c r="D56" s="226">
        <f>EXTEMPORANEO!D56</f>
        <v>0</v>
      </c>
      <c r="E56" s="138">
        <f>EXTEMPORANEO!E56</f>
        <v>0</v>
      </c>
      <c r="F56" s="139" t="e">
        <f>EXTEMPORANEO!F56</f>
        <v>#N/A</v>
      </c>
      <c r="G56" s="138" t="str">
        <f>EXTEMPORANEO!G56</f>
        <v/>
      </c>
      <c r="H56" s="139" t="e">
        <f>EXTEMPORANEO!H56</f>
        <v>#N/A</v>
      </c>
      <c r="I56" s="139" t="e">
        <f>EXTEMPORANEO!I56</f>
        <v>#N/A</v>
      </c>
      <c r="J56" s="212">
        <f>EXTEMPORANEO!J56</f>
        <v>0</v>
      </c>
      <c r="K56" s="212">
        <f>EXTEMPORANEO!K56</f>
        <v>0</v>
      </c>
      <c r="L56" s="212">
        <f>EXTEMPORANEO!L56</f>
        <v>0</v>
      </c>
      <c r="M56" s="212">
        <f>EXTEMPORANEO!M56</f>
        <v>0</v>
      </c>
      <c r="N56" s="212">
        <f>EXTEMPORANEO!N56</f>
        <v>0</v>
      </c>
      <c r="O56" s="212">
        <f>EXTEMPORANEO!O56</f>
        <v>0</v>
      </c>
      <c r="P56" s="212">
        <f>EXTEMPORANEO!P56</f>
        <v>0</v>
      </c>
      <c r="Q56" s="212">
        <f>EXTEMPORANEO!Q56</f>
        <v>0</v>
      </c>
      <c r="R56" s="174">
        <f>EXTEMPORANEO!R56</f>
        <v>0</v>
      </c>
      <c r="S56" s="174">
        <f>EXTEMPORANEO!S56</f>
        <v>0</v>
      </c>
      <c r="T56" s="141">
        <f>EXTEMPORANEO!T56</f>
        <v>0</v>
      </c>
      <c r="U56" s="84">
        <f>EXTEMPORANEO!U56</f>
        <v>0</v>
      </c>
      <c r="V56" s="13">
        <f>EXTEMPORANEO!V56</f>
        <v>0</v>
      </c>
      <c r="W56" s="13">
        <f>EXTEMPORANEO!W56</f>
        <v>0</v>
      </c>
      <c r="X56" s="113">
        <f>EXTEMPORANEO!X56</f>
        <v>0</v>
      </c>
      <c r="Y56" s="113">
        <f>EXTEMPORANEO!Y56</f>
        <v>0</v>
      </c>
      <c r="AA56" s="66"/>
    </row>
    <row r="57" spans="2:27" ht="13" customHeight="1">
      <c r="B57" s="73">
        <f>EXTEMPORANEO!B57</f>
        <v>0</v>
      </c>
      <c r="C57" s="25">
        <f>EXTEMPORANEO!C57</f>
        <v>2026091</v>
      </c>
      <c r="D57" s="226">
        <f>EXTEMPORANEO!D57</f>
        <v>0</v>
      </c>
      <c r="E57" s="138">
        <f>EXTEMPORANEO!E57</f>
        <v>0</v>
      </c>
      <c r="F57" s="139" t="e">
        <f>EXTEMPORANEO!F57</f>
        <v>#N/A</v>
      </c>
      <c r="G57" s="138" t="str">
        <f>EXTEMPORANEO!G57</f>
        <v/>
      </c>
      <c r="H57" s="139" t="e">
        <f>EXTEMPORANEO!H57</f>
        <v>#N/A</v>
      </c>
      <c r="I57" s="139" t="e">
        <f>EXTEMPORANEO!I57</f>
        <v>#N/A</v>
      </c>
      <c r="J57" s="212">
        <f>EXTEMPORANEO!J57</f>
        <v>0</v>
      </c>
      <c r="K57" s="212">
        <f>EXTEMPORANEO!K57</f>
        <v>0</v>
      </c>
      <c r="L57" s="212">
        <f>EXTEMPORANEO!L57</f>
        <v>0</v>
      </c>
      <c r="M57" s="212">
        <f>EXTEMPORANEO!M57</f>
        <v>0</v>
      </c>
      <c r="N57" s="212">
        <f>EXTEMPORANEO!N57</f>
        <v>0</v>
      </c>
      <c r="O57" s="212">
        <f>EXTEMPORANEO!O57</f>
        <v>0</v>
      </c>
      <c r="P57" s="212">
        <f>EXTEMPORANEO!P57</f>
        <v>0</v>
      </c>
      <c r="Q57" s="212">
        <f>EXTEMPORANEO!Q57</f>
        <v>0</v>
      </c>
      <c r="R57" s="174">
        <f>EXTEMPORANEO!R57</f>
        <v>0</v>
      </c>
      <c r="S57" s="174">
        <f>EXTEMPORANEO!S57</f>
        <v>0</v>
      </c>
      <c r="T57" s="141">
        <f>EXTEMPORANEO!T57</f>
        <v>0</v>
      </c>
      <c r="U57" s="84">
        <f>EXTEMPORANEO!U57</f>
        <v>0</v>
      </c>
      <c r="V57" s="13">
        <f>EXTEMPORANEO!V57</f>
        <v>0</v>
      </c>
      <c r="W57" s="13">
        <f>EXTEMPORANEO!W57</f>
        <v>0</v>
      </c>
      <c r="X57" s="113">
        <f>EXTEMPORANEO!X57</f>
        <v>0</v>
      </c>
      <c r="Y57" s="113">
        <f>EXTEMPORANEO!Y57</f>
        <v>0</v>
      </c>
      <c r="AA57" s="66"/>
    </row>
    <row r="58" spans="2:27" ht="13" customHeight="1">
      <c r="B58" s="73">
        <f>EXTEMPORANEO!B58</f>
        <v>0</v>
      </c>
      <c r="C58" s="25">
        <f>EXTEMPORANEO!C58</f>
        <v>2026091</v>
      </c>
      <c r="D58" s="226">
        <f>EXTEMPORANEO!D58</f>
        <v>0</v>
      </c>
      <c r="E58" s="138">
        <f>EXTEMPORANEO!E58</f>
        <v>0</v>
      </c>
      <c r="F58" s="139" t="e">
        <f>EXTEMPORANEO!F58</f>
        <v>#N/A</v>
      </c>
      <c r="G58" s="138" t="str">
        <f>EXTEMPORANEO!G58</f>
        <v/>
      </c>
      <c r="H58" s="139" t="e">
        <f>EXTEMPORANEO!H58</f>
        <v>#N/A</v>
      </c>
      <c r="I58" s="139" t="e">
        <f>EXTEMPORANEO!I58</f>
        <v>#N/A</v>
      </c>
      <c r="J58" s="212">
        <f>EXTEMPORANEO!J58</f>
        <v>0</v>
      </c>
      <c r="K58" s="212">
        <f>EXTEMPORANEO!K58</f>
        <v>0</v>
      </c>
      <c r="L58" s="212">
        <f>EXTEMPORANEO!L58</f>
        <v>0</v>
      </c>
      <c r="M58" s="212">
        <f>EXTEMPORANEO!M58</f>
        <v>0</v>
      </c>
      <c r="N58" s="212">
        <f>EXTEMPORANEO!N58</f>
        <v>0</v>
      </c>
      <c r="O58" s="212">
        <f>EXTEMPORANEO!O58</f>
        <v>0</v>
      </c>
      <c r="P58" s="212">
        <f>EXTEMPORANEO!P58</f>
        <v>0</v>
      </c>
      <c r="Q58" s="212">
        <f>EXTEMPORANEO!Q58</f>
        <v>0</v>
      </c>
      <c r="R58" s="174">
        <f>EXTEMPORANEO!R58</f>
        <v>0</v>
      </c>
      <c r="S58" s="174">
        <f>EXTEMPORANEO!S58</f>
        <v>0</v>
      </c>
      <c r="T58" s="141">
        <f>EXTEMPORANEO!T58</f>
        <v>0</v>
      </c>
      <c r="U58" s="84">
        <f>EXTEMPORANEO!U58</f>
        <v>0</v>
      </c>
      <c r="V58" s="13">
        <f>EXTEMPORANEO!V58</f>
        <v>0</v>
      </c>
      <c r="W58" s="13">
        <f>EXTEMPORANEO!W58</f>
        <v>0</v>
      </c>
      <c r="X58" s="113">
        <f>EXTEMPORANEO!X58</f>
        <v>0</v>
      </c>
      <c r="Y58" s="113">
        <f>EXTEMPORANEO!Y58</f>
        <v>0</v>
      </c>
      <c r="AA58" s="66"/>
    </row>
    <row r="59" spans="2:27" ht="13" customHeight="1">
      <c r="B59" s="73">
        <f>EXTEMPORANEO!B59</f>
        <v>0</v>
      </c>
      <c r="C59" s="25">
        <f>EXTEMPORANEO!C59</f>
        <v>2026091</v>
      </c>
      <c r="D59" s="226">
        <f>EXTEMPORANEO!D59</f>
        <v>0</v>
      </c>
      <c r="E59" s="138">
        <f>EXTEMPORANEO!E59</f>
        <v>0</v>
      </c>
      <c r="F59" s="139" t="e">
        <f>EXTEMPORANEO!F59</f>
        <v>#N/A</v>
      </c>
      <c r="G59" s="138" t="str">
        <f>EXTEMPORANEO!G59</f>
        <v/>
      </c>
      <c r="H59" s="139" t="e">
        <f>EXTEMPORANEO!H59</f>
        <v>#N/A</v>
      </c>
      <c r="I59" s="139" t="e">
        <f>EXTEMPORANEO!I59</f>
        <v>#N/A</v>
      </c>
      <c r="J59" s="212">
        <f>EXTEMPORANEO!J59</f>
        <v>0</v>
      </c>
      <c r="K59" s="212">
        <f>EXTEMPORANEO!K59</f>
        <v>0</v>
      </c>
      <c r="L59" s="212">
        <f>EXTEMPORANEO!L59</f>
        <v>0</v>
      </c>
      <c r="M59" s="212">
        <f>EXTEMPORANEO!M59</f>
        <v>0</v>
      </c>
      <c r="N59" s="212">
        <f>EXTEMPORANEO!N59</f>
        <v>0</v>
      </c>
      <c r="O59" s="212">
        <f>EXTEMPORANEO!O59</f>
        <v>0</v>
      </c>
      <c r="P59" s="212">
        <f>EXTEMPORANEO!P59</f>
        <v>0</v>
      </c>
      <c r="Q59" s="212">
        <f>EXTEMPORANEO!Q59</f>
        <v>0</v>
      </c>
      <c r="R59" s="174">
        <f>EXTEMPORANEO!R59</f>
        <v>0</v>
      </c>
      <c r="S59" s="174">
        <f>EXTEMPORANEO!S59</f>
        <v>0</v>
      </c>
      <c r="T59" s="141">
        <f>EXTEMPORANEO!T59</f>
        <v>0</v>
      </c>
      <c r="U59" s="84">
        <f>EXTEMPORANEO!U59</f>
        <v>0</v>
      </c>
      <c r="V59" s="13">
        <f>EXTEMPORANEO!V59</f>
        <v>0</v>
      </c>
      <c r="W59" s="13">
        <f>EXTEMPORANEO!W59</f>
        <v>0</v>
      </c>
      <c r="X59" s="113">
        <f>EXTEMPORANEO!X59</f>
        <v>0</v>
      </c>
      <c r="Y59" s="113">
        <f>EXTEMPORANEO!Y59</f>
        <v>0</v>
      </c>
      <c r="AA59" s="66"/>
    </row>
    <row r="60" spans="2:27" ht="13" customHeight="1">
      <c r="B60" s="73">
        <f>EXTEMPORANEO!B60</f>
        <v>0</v>
      </c>
      <c r="C60" s="25">
        <f>EXTEMPORANEO!C60</f>
        <v>2026091</v>
      </c>
      <c r="D60" s="226">
        <f>EXTEMPORANEO!D60</f>
        <v>0</v>
      </c>
      <c r="E60" s="138">
        <f>EXTEMPORANEO!E60</f>
        <v>0</v>
      </c>
      <c r="F60" s="139" t="e">
        <f>EXTEMPORANEO!F60</f>
        <v>#N/A</v>
      </c>
      <c r="G60" s="138" t="str">
        <f>EXTEMPORANEO!G60</f>
        <v/>
      </c>
      <c r="H60" s="139" t="e">
        <f>EXTEMPORANEO!H60</f>
        <v>#N/A</v>
      </c>
      <c r="I60" s="139" t="e">
        <f>EXTEMPORANEO!I60</f>
        <v>#N/A</v>
      </c>
      <c r="J60" s="212">
        <f>EXTEMPORANEO!J60</f>
        <v>0</v>
      </c>
      <c r="K60" s="212">
        <f>EXTEMPORANEO!K60</f>
        <v>0</v>
      </c>
      <c r="L60" s="212">
        <f>EXTEMPORANEO!L60</f>
        <v>0</v>
      </c>
      <c r="M60" s="212">
        <f>EXTEMPORANEO!M60</f>
        <v>0</v>
      </c>
      <c r="N60" s="212">
        <f>EXTEMPORANEO!N60</f>
        <v>0</v>
      </c>
      <c r="O60" s="212">
        <f>EXTEMPORANEO!O60</f>
        <v>0</v>
      </c>
      <c r="P60" s="212">
        <f>EXTEMPORANEO!P60</f>
        <v>0</v>
      </c>
      <c r="Q60" s="212">
        <f>EXTEMPORANEO!Q60</f>
        <v>0</v>
      </c>
      <c r="R60" s="174">
        <f>EXTEMPORANEO!R60</f>
        <v>0</v>
      </c>
      <c r="S60" s="174">
        <f>EXTEMPORANEO!S60</f>
        <v>0</v>
      </c>
      <c r="T60" s="141">
        <f>EXTEMPORANEO!T60</f>
        <v>0</v>
      </c>
      <c r="U60" s="84">
        <f>EXTEMPORANEO!U60</f>
        <v>0</v>
      </c>
      <c r="V60" s="13">
        <f>EXTEMPORANEO!V60</f>
        <v>0</v>
      </c>
      <c r="W60" s="13">
        <f>EXTEMPORANEO!W60</f>
        <v>0</v>
      </c>
      <c r="X60" s="113">
        <f>EXTEMPORANEO!X60</f>
        <v>0</v>
      </c>
      <c r="Y60" s="113">
        <f>EXTEMPORANEO!Y60</f>
        <v>0</v>
      </c>
      <c r="AA60" s="66"/>
    </row>
    <row r="61" spans="2:27" ht="13" customHeight="1">
      <c r="B61" s="73">
        <f>EXTEMPORANEO!B61</f>
        <v>0</v>
      </c>
      <c r="C61" s="25">
        <f>EXTEMPORANEO!C61</f>
        <v>2026091</v>
      </c>
      <c r="D61" s="226">
        <f>EXTEMPORANEO!D61</f>
        <v>0</v>
      </c>
      <c r="E61" s="138">
        <f>EXTEMPORANEO!E61</f>
        <v>0</v>
      </c>
      <c r="F61" s="139" t="e">
        <f>EXTEMPORANEO!F61</f>
        <v>#N/A</v>
      </c>
      <c r="G61" s="138" t="str">
        <f>EXTEMPORANEO!G61</f>
        <v/>
      </c>
      <c r="H61" s="139" t="e">
        <f>EXTEMPORANEO!H61</f>
        <v>#N/A</v>
      </c>
      <c r="I61" s="139" t="e">
        <f>EXTEMPORANEO!I61</f>
        <v>#N/A</v>
      </c>
      <c r="J61" s="212">
        <f>EXTEMPORANEO!J61</f>
        <v>0</v>
      </c>
      <c r="K61" s="212">
        <f>EXTEMPORANEO!K61</f>
        <v>0</v>
      </c>
      <c r="L61" s="212">
        <f>EXTEMPORANEO!L61</f>
        <v>0</v>
      </c>
      <c r="M61" s="212">
        <f>EXTEMPORANEO!M61</f>
        <v>0</v>
      </c>
      <c r="N61" s="212">
        <f>EXTEMPORANEO!N61</f>
        <v>0</v>
      </c>
      <c r="O61" s="212">
        <f>EXTEMPORANEO!O61</f>
        <v>0</v>
      </c>
      <c r="P61" s="212">
        <f>EXTEMPORANEO!P61</f>
        <v>0</v>
      </c>
      <c r="Q61" s="212">
        <f>EXTEMPORANEO!Q61</f>
        <v>0</v>
      </c>
      <c r="R61" s="174">
        <f>EXTEMPORANEO!R61</f>
        <v>0</v>
      </c>
      <c r="S61" s="174">
        <f>EXTEMPORANEO!S61</f>
        <v>0</v>
      </c>
      <c r="T61" s="141">
        <f>EXTEMPORANEO!T61</f>
        <v>0</v>
      </c>
      <c r="U61" s="84">
        <f>EXTEMPORANEO!U61</f>
        <v>0</v>
      </c>
      <c r="V61" s="13">
        <f>EXTEMPORANEO!V61</f>
        <v>0</v>
      </c>
      <c r="W61" s="13">
        <f>EXTEMPORANEO!W61</f>
        <v>0</v>
      </c>
      <c r="X61" s="113">
        <f>EXTEMPORANEO!X61</f>
        <v>0</v>
      </c>
      <c r="Y61" s="113">
        <f>EXTEMPORANEO!Y61</f>
        <v>0</v>
      </c>
      <c r="AA61" s="66"/>
    </row>
    <row r="62" spans="2:27" ht="13" customHeight="1">
      <c r="B62" s="73">
        <f>EXTEMPORANEO!B62</f>
        <v>0</v>
      </c>
      <c r="C62" s="25">
        <f>EXTEMPORANEO!C62</f>
        <v>2026091</v>
      </c>
      <c r="D62" s="226">
        <f>EXTEMPORANEO!D62</f>
        <v>0</v>
      </c>
      <c r="E62" s="138">
        <f>EXTEMPORANEO!E62</f>
        <v>0</v>
      </c>
      <c r="F62" s="139" t="e">
        <f>EXTEMPORANEO!F62</f>
        <v>#N/A</v>
      </c>
      <c r="G62" s="138" t="str">
        <f>EXTEMPORANEO!G62</f>
        <v/>
      </c>
      <c r="H62" s="139" t="e">
        <f>EXTEMPORANEO!H62</f>
        <v>#N/A</v>
      </c>
      <c r="I62" s="139" t="e">
        <f>EXTEMPORANEO!I62</f>
        <v>#N/A</v>
      </c>
      <c r="J62" s="212">
        <f>EXTEMPORANEO!J62</f>
        <v>0</v>
      </c>
      <c r="K62" s="212">
        <f>EXTEMPORANEO!K62</f>
        <v>0</v>
      </c>
      <c r="L62" s="212">
        <f>EXTEMPORANEO!L62</f>
        <v>0</v>
      </c>
      <c r="M62" s="212">
        <f>EXTEMPORANEO!M62</f>
        <v>0</v>
      </c>
      <c r="N62" s="212">
        <f>EXTEMPORANEO!N62</f>
        <v>0</v>
      </c>
      <c r="O62" s="212">
        <f>EXTEMPORANEO!O62</f>
        <v>0</v>
      </c>
      <c r="P62" s="212">
        <f>EXTEMPORANEO!P62</f>
        <v>0</v>
      </c>
      <c r="Q62" s="212">
        <f>EXTEMPORANEO!Q62</f>
        <v>0</v>
      </c>
      <c r="R62" s="174">
        <f>EXTEMPORANEO!R62</f>
        <v>0</v>
      </c>
      <c r="S62" s="174">
        <f>EXTEMPORANEO!S62</f>
        <v>0</v>
      </c>
      <c r="T62" s="141">
        <f>EXTEMPORANEO!T62</f>
        <v>0</v>
      </c>
      <c r="U62" s="84">
        <f>EXTEMPORANEO!U62</f>
        <v>0</v>
      </c>
      <c r="V62" s="13">
        <f>EXTEMPORANEO!V62</f>
        <v>0</v>
      </c>
      <c r="W62" s="13">
        <f>EXTEMPORANEO!W62</f>
        <v>0</v>
      </c>
      <c r="X62" s="113">
        <f>EXTEMPORANEO!X62</f>
        <v>0</v>
      </c>
      <c r="Y62" s="113">
        <f>EXTEMPORANEO!Y62</f>
        <v>0</v>
      </c>
      <c r="AA62" s="66"/>
    </row>
    <row r="63" spans="2:27" ht="13" customHeight="1">
      <c r="B63" s="73">
        <f>EXTEMPORANEO!B63</f>
        <v>0</v>
      </c>
      <c r="C63" s="25">
        <f>EXTEMPORANEO!C63</f>
        <v>2026091</v>
      </c>
      <c r="D63" s="226">
        <f>EXTEMPORANEO!D63</f>
        <v>0</v>
      </c>
      <c r="E63" s="138">
        <f>EXTEMPORANEO!E63</f>
        <v>0</v>
      </c>
      <c r="F63" s="139" t="e">
        <f>EXTEMPORANEO!F63</f>
        <v>#N/A</v>
      </c>
      <c r="G63" s="138" t="str">
        <f>EXTEMPORANEO!G63</f>
        <v/>
      </c>
      <c r="H63" s="139" t="e">
        <f>EXTEMPORANEO!H63</f>
        <v>#N/A</v>
      </c>
      <c r="I63" s="139" t="e">
        <f>EXTEMPORANEO!I63</f>
        <v>#N/A</v>
      </c>
      <c r="J63" s="212">
        <f>EXTEMPORANEO!J63</f>
        <v>0</v>
      </c>
      <c r="K63" s="212">
        <f>EXTEMPORANEO!K63</f>
        <v>0</v>
      </c>
      <c r="L63" s="212">
        <f>EXTEMPORANEO!L63</f>
        <v>0</v>
      </c>
      <c r="M63" s="212">
        <f>EXTEMPORANEO!M63</f>
        <v>0</v>
      </c>
      <c r="N63" s="212">
        <f>EXTEMPORANEO!N63</f>
        <v>0</v>
      </c>
      <c r="O63" s="212">
        <f>EXTEMPORANEO!O63</f>
        <v>0</v>
      </c>
      <c r="P63" s="212">
        <f>EXTEMPORANEO!P63</f>
        <v>0</v>
      </c>
      <c r="Q63" s="212">
        <f>EXTEMPORANEO!Q63</f>
        <v>0</v>
      </c>
      <c r="R63" s="174">
        <f>EXTEMPORANEO!R63</f>
        <v>0</v>
      </c>
      <c r="S63" s="174">
        <f>EXTEMPORANEO!S63</f>
        <v>0</v>
      </c>
      <c r="T63" s="141">
        <f>EXTEMPORANEO!T63</f>
        <v>0</v>
      </c>
      <c r="U63" s="84">
        <f>EXTEMPORANEO!U63</f>
        <v>0</v>
      </c>
      <c r="V63" s="13">
        <f>EXTEMPORANEO!V63</f>
        <v>0</v>
      </c>
      <c r="W63" s="13">
        <f>EXTEMPORANEO!W63</f>
        <v>0</v>
      </c>
      <c r="X63" s="113">
        <f>EXTEMPORANEO!X63</f>
        <v>0</v>
      </c>
      <c r="Y63" s="113">
        <f>EXTEMPORANEO!Y63</f>
        <v>0</v>
      </c>
      <c r="AA63" s="66"/>
    </row>
    <row r="64" spans="2:27" ht="13" customHeight="1">
      <c r="B64" s="73">
        <f>EXTEMPORANEO!B64</f>
        <v>0</v>
      </c>
      <c r="C64" s="25">
        <f>EXTEMPORANEO!C64</f>
        <v>2026091</v>
      </c>
      <c r="D64" s="226">
        <f>EXTEMPORANEO!D64</f>
        <v>0</v>
      </c>
      <c r="E64" s="138">
        <f>EXTEMPORANEO!E64</f>
        <v>0</v>
      </c>
      <c r="F64" s="139" t="e">
        <f>EXTEMPORANEO!F64</f>
        <v>#N/A</v>
      </c>
      <c r="G64" s="138" t="str">
        <f>EXTEMPORANEO!G64</f>
        <v/>
      </c>
      <c r="H64" s="139" t="e">
        <f>EXTEMPORANEO!H64</f>
        <v>#N/A</v>
      </c>
      <c r="I64" s="139" t="e">
        <f>EXTEMPORANEO!I64</f>
        <v>#N/A</v>
      </c>
      <c r="J64" s="212">
        <f>EXTEMPORANEO!J64</f>
        <v>0</v>
      </c>
      <c r="K64" s="212">
        <f>EXTEMPORANEO!K64</f>
        <v>0</v>
      </c>
      <c r="L64" s="212">
        <f>EXTEMPORANEO!L64</f>
        <v>0</v>
      </c>
      <c r="M64" s="212">
        <f>EXTEMPORANEO!M64</f>
        <v>0</v>
      </c>
      <c r="N64" s="212">
        <f>EXTEMPORANEO!N64</f>
        <v>0</v>
      </c>
      <c r="O64" s="212">
        <f>EXTEMPORANEO!O64</f>
        <v>0</v>
      </c>
      <c r="P64" s="212">
        <f>EXTEMPORANEO!P64</f>
        <v>0</v>
      </c>
      <c r="Q64" s="212">
        <f>EXTEMPORANEO!Q64</f>
        <v>0</v>
      </c>
      <c r="R64" s="174">
        <f>EXTEMPORANEO!R64</f>
        <v>0</v>
      </c>
      <c r="S64" s="174">
        <f>EXTEMPORANEO!S64</f>
        <v>0</v>
      </c>
      <c r="T64" s="141">
        <f>EXTEMPORANEO!T64</f>
        <v>0</v>
      </c>
      <c r="U64" s="84">
        <f>EXTEMPORANEO!U64</f>
        <v>0</v>
      </c>
      <c r="V64" s="13">
        <f>EXTEMPORANEO!V64</f>
        <v>0</v>
      </c>
      <c r="W64" s="13">
        <f>EXTEMPORANEO!W64</f>
        <v>0</v>
      </c>
      <c r="X64" s="113">
        <f>EXTEMPORANEO!X64</f>
        <v>0</v>
      </c>
      <c r="Y64" s="113">
        <f>EXTEMPORANEO!Y64</f>
        <v>0</v>
      </c>
      <c r="AA64" s="66"/>
    </row>
    <row r="65" spans="2:27" ht="13" customHeight="1">
      <c r="B65" s="73">
        <f>EXTEMPORANEO!B65</f>
        <v>0</v>
      </c>
      <c r="C65" s="25">
        <f>EXTEMPORANEO!C65</f>
        <v>2026091</v>
      </c>
      <c r="D65" s="226">
        <f>EXTEMPORANEO!D65</f>
        <v>0</v>
      </c>
      <c r="E65" s="138">
        <f>EXTEMPORANEO!E65</f>
        <v>0</v>
      </c>
      <c r="F65" s="139" t="e">
        <f>EXTEMPORANEO!F65</f>
        <v>#N/A</v>
      </c>
      <c r="G65" s="138" t="str">
        <f>EXTEMPORANEO!G65</f>
        <v/>
      </c>
      <c r="H65" s="139" t="e">
        <f>EXTEMPORANEO!H65</f>
        <v>#N/A</v>
      </c>
      <c r="I65" s="139" t="e">
        <f>EXTEMPORANEO!I65</f>
        <v>#N/A</v>
      </c>
      <c r="J65" s="212">
        <f>EXTEMPORANEO!J65</f>
        <v>0</v>
      </c>
      <c r="K65" s="212">
        <f>EXTEMPORANEO!K65</f>
        <v>0</v>
      </c>
      <c r="L65" s="212">
        <f>EXTEMPORANEO!L65</f>
        <v>0</v>
      </c>
      <c r="M65" s="212">
        <f>EXTEMPORANEO!M65</f>
        <v>0</v>
      </c>
      <c r="N65" s="212">
        <f>EXTEMPORANEO!N65</f>
        <v>0</v>
      </c>
      <c r="O65" s="212">
        <f>EXTEMPORANEO!O65</f>
        <v>0</v>
      </c>
      <c r="P65" s="212">
        <f>EXTEMPORANEO!P65</f>
        <v>0</v>
      </c>
      <c r="Q65" s="212">
        <f>EXTEMPORANEO!Q65</f>
        <v>0</v>
      </c>
      <c r="R65" s="174">
        <f>EXTEMPORANEO!R65</f>
        <v>0</v>
      </c>
      <c r="S65" s="174">
        <f>EXTEMPORANEO!S65</f>
        <v>0</v>
      </c>
      <c r="T65" s="141">
        <f>EXTEMPORANEO!T65</f>
        <v>0</v>
      </c>
      <c r="U65" s="84">
        <f>EXTEMPORANEO!U65</f>
        <v>0</v>
      </c>
      <c r="V65" s="13">
        <f>EXTEMPORANEO!V65</f>
        <v>0</v>
      </c>
      <c r="W65" s="13">
        <f>EXTEMPORANEO!W65</f>
        <v>0</v>
      </c>
      <c r="X65" s="113">
        <f>EXTEMPORANEO!X65</f>
        <v>0</v>
      </c>
      <c r="Y65" s="113">
        <f>EXTEMPORANEO!Y65</f>
        <v>0</v>
      </c>
      <c r="AA65" s="66"/>
    </row>
    <row r="66" spans="2:27" ht="13" customHeight="1">
      <c r="B66" s="73">
        <f>EXTEMPORANEO!B66</f>
        <v>0</v>
      </c>
      <c r="C66" s="25">
        <f>EXTEMPORANEO!C66</f>
        <v>2026091</v>
      </c>
      <c r="D66" s="226">
        <f>EXTEMPORANEO!D66</f>
        <v>0</v>
      </c>
      <c r="E66" s="138">
        <f>EXTEMPORANEO!E66</f>
        <v>0</v>
      </c>
      <c r="F66" s="139" t="e">
        <f>EXTEMPORANEO!F66</f>
        <v>#N/A</v>
      </c>
      <c r="G66" s="138" t="str">
        <f>EXTEMPORANEO!G66</f>
        <v/>
      </c>
      <c r="H66" s="139" t="e">
        <f>EXTEMPORANEO!H66</f>
        <v>#N/A</v>
      </c>
      <c r="I66" s="139" t="e">
        <f>EXTEMPORANEO!I66</f>
        <v>#N/A</v>
      </c>
      <c r="J66" s="212">
        <f>EXTEMPORANEO!J66</f>
        <v>0</v>
      </c>
      <c r="K66" s="212">
        <f>EXTEMPORANEO!K66</f>
        <v>0</v>
      </c>
      <c r="L66" s="212">
        <f>EXTEMPORANEO!L66</f>
        <v>0</v>
      </c>
      <c r="M66" s="212">
        <f>EXTEMPORANEO!M66</f>
        <v>0</v>
      </c>
      <c r="N66" s="212">
        <f>EXTEMPORANEO!N66</f>
        <v>0</v>
      </c>
      <c r="O66" s="212">
        <f>EXTEMPORANEO!O66</f>
        <v>0</v>
      </c>
      <c r="P66" s="212">
        <f>EXTEMPORANEO!P66</f>
        <v>0</v>
      </c>
      <c r="Q66" s="212">
        <f>EXTEMPORANEO!Q66</f>
        <v>0</v>
      </c>
      <c r="R66" s="174">
        <f>EXTEMPORANEO!R66</f>
        <v>0</v>
      </c>
      <c r="S66" s="174">
        <f>EXTEMPORANEO!S66</f>
        <v>0</v>
      </c>
      <c r="T66" s="141">
        <f>EXTEMPORANEO!T66</f>
        <v>0</v>
      </c>
      <c r="U66" s="84">
        <f>EXTEMPORANEO!U66</f>
        <v>0</v>
      </c>
      <c r="V66" s="13">
        <f>EXTEMPORANEO!V66</f>
        <v>0</v>
      </c>
      <c r="W66" s="13">
        <f>EXTEMPORANEO!W66</f>
        <v>0</v>
      </c>
      <c r="X66" s="113">
        <f>EXTEMPORANEO!X66</f>
        <v>0</v>
      </c>
      <c r="Y66" s="113">
        <f>EXTEMPORANEO!Y66</f>
        <v>0</v>
      </c>
      <c r="AA66" s="66"/>
    </row>
    <row r="67" spans="2:27" ht="13" customHeight="1">
      <c r="B67" s="73">
        <f>EXTEMPORANEO!B67</f>
        <v>0</v>
      </c>
      <c r="C67" s="25">
        <f>EXTEMPORANEO!C67</f>
        <v>2026091</v>
      </c>
      <c r="D67" s="226">
        <f>EXTEMPORANEO!D67</f>
        <v>0</v>
      </c>
      <c r="E67" s="138">
        <f>EXTEMPORANEO!E67</f>
        <v>0</v>
      </c>
      <c r="F67" s="139" t="e">
        <f>EXTEMPORANEO!F67</f>
        <v>#N/A</v>
      </c>
      <c r="G67" s="138" t="str">
        <f>EXTEMPORANEO!G67</f>
        <v/>
      </c>
      <c r="H67" s="139" t="e">
        <f>EXTEMPORANEO!H67</f>
        <v>#N/A</v>
      </c>
      <c r="I67" s="139" t="e">
        <f>EXTEMPORANEO!I67</f>
        <v>#N/A</v>
      </c>
      <c r="J67" s="212">
        <f>EXTEMPORANEO!J67</f>
        <v>0</v>
      </c>
      <c r="K67" s="212">
        <f>EXTEMPORANEO!K67</f>
        <v>0</v>
      </c>
      <c r="L67" s="212">
        <f>EXTEMPORANEO!L67</f>
        <v>0</v>
      </c>
      <c r="M67" s="212">
        <f>EXTEMPORANEO!M67</f>
        <v>0</v>
      </c>
      <c r="N67" s="212">
        <f>EXTEMPORANEO!N67</f>
        <v>0</v>
      </c>
      <c r="O67" s="212">
        <f>EXTEMPORANEO!O67</f>
        <v>0</v>
      </c>
      <c r="P67" s="212">
        <f>EXTEMPORANEO!P67</f>
        <v>0</v>
      </c>
      <c r="Q67" s="212">
        <f>EXTEMPORANEO!Q67</f>
        <v>0</v>
      </c>
      <c r="R67" s="174">
        <f>EXTEMPORANEO!R67</f>
        <v>0</v>
      </c>
      <c r="S67" s="174">
        <f>EXTEMPORANEO!S67</f>
        <v>0</v>
      </c>
      <c r="T67" s="141">
        <f>EXTEMPORANEO!T67</f>
        <v>0</v>
      </c>
      <c r="U67" s="84">
        <f>EXTEMPORANEO!U67</f>
        <v>0</v>
      </c>
      <c r="V67" s="13">
        <f>EXTEMPORANEO!V67</f>
        <v>0</v>
      </c>
      <c r="W67" s="13">
        <f>EXTEMPORANEO!W67</f>
        <v>0</v>
      </c>
      <c r="X67" s="113">
        <f>EXTEMPORANEO!X67</f>
        <v>0</v>
      </c>
      <c r="Y67" s="113">
        <f>EXTEMPORANEO!Y67</f>
        <v>0</v>
      </c>
      <c r="AA67" s="66"/>
    </row>
    <row r="68" spans="2:27" ht="13" customHeight="1">
      <c r="B68" s="73">
        <f>EXTEMPORANEO!B68</f>
        <v>0</v>
      </c>
      <c r="C68" s="25">
        <f>EXTEMPORANEO!C68</f>
        <v>2026091</v>
      </c>
      <c r="D68" s="226">
        <f>EXTEMPORANEO!D68</f>
        <v>0</v>
      </c>
      <c r="E68" s="138">
        <f>EXTEMPORANEO!E68</f>
        <v>0</v>
      </c>
      <c r="F68" s="139" t="e">
        <f>EXTEMPORANEO!F68</f>
        <v>#N/A</v>
      </c>
      <c r="G68" s="138" t="str">
        <f>EXTEMPORANEO!G68</f>
        <v/>
      </c>
      <c r="H68" s="139" t="e">
        <f>EXTEMPORANEO!H68</f>
        <v>#N/A</v>
      </c>
      <c r="I68" s="139" t="e">
        <f>EXTEMPORANEO!I68</f>
        <v>#N/A</v>
      </c>
      <c r="J68" s="212">
        <f>EXTEMPORANEO!J68</f>
        <v>0</v>
      </c>
      <c r="K68" s="212">
        <f>EXTEMPORANEO!K68</f>
        <v>0</v>
      </c>
      <c r="L68" s="212">
        <f>EXTEMPORANEO!L68</f>
        <v>0</v>
      </c>
      <c r="M68" s="212">
        <f>EXTEMPORANEO!M68</f>
        <v>0</v>
      </c>
      <c r="N68" s="212">
        <f>EXTEMPORANEO!N68</f>
        <v>0</v>
      </c>
      <c r="O68" s="212">
        <f>EXTEMPORANEO!O68</f>
        <v>0</v>
      </c>
      <c r="P68" s="212">
        <f>EXTEMPORANEO!P68</f>
        <v>0</v>
      </c>
      <c r="Q68" s="212">
        <f>EXTEMPORANEO!Q68</f>
        <v>0</v>
      </c>
      <c r="R68" s="174">
        <f>EXTEMPORANEO!R68</f>
        <v>0</v>
      </c>
      <c r="S68" s="174">
        <f>EXTEMPORANEO!S68</f>
        <v>0</v>
      </c>
      <c r="T68" s="141">
        <f>EXTEMPORANEO!T68</f>
        <v>0</v>
      </c>
      <c r="U68" s="84">
        <f>EXTEMPORANEO!U68</f>
        <v>0</v>
      </c>
      <c r="V68" s="13">
        <f>EXTEMPORANEO!V68</f>
        <v>0</v>
      </c>
      <c r="W68" s="13">
        <f>EXTEMPORANEO!W68</f>
        <v>0</v>
      </c>
      <c r="X68" s="113">
        <f>EXTEMPORANEO!X68</f>
        <v>0</v>
      </c>
      <c r="Y68" s="113">
        <f>EXTEMPORANEO!Y68</f>
        <v>0</v>
      </c>
      <c r="AA68" s="66"/>
    </row>
    <row r="69" spans="2:27" ht="13" customHeight="1">
      <c r="B69" s="73">
        <f>EXTEMPORANEO!B69</f>
        <v>0</v>
      </c>
      <c r="C69" s="25">
        <f>EXTEMPORANEO!C69</f>
        <v>2026091</v>
      </c>
      <c r="D69" s="226">
        <f>EXTEMPORANEO!D69</f>
        <v>0</v>
      </c>
      <c r="E69" s="138">
        <f>EXTEMPORANEO!E69</f>
        <v>0</v>
      </c>
      <c r="F69" s="139" t="e">
        <f>EXTEMPORANEO!F69</f>
        <v>#N/A</v>
      </c>
      <c r="G69" s="138" t="str">
        <f>EXTEMPORANEO!G69</f>
        <v/>
      </c>
      <c r="H69" s="139" t="e">
        <f>EXTEMPORANEO!H69</f>
        <v>#N/A</v>
      </c>
      <c r="I69" s="139" t="e">
        <f>EXTEMPORANEO!I69</f>
        <v>#N/A</v>
      </c>
      <c r="J69" s="212">
        <f>EXTEMPORANEO!J69</f>
        <v>0</v>
      </c>
      <c r="K69" s="212">
        <f>EXTEMPORANEO!K69</f>
        <v>0</v>
      </c>
      <c r="L69" s="212">
        <f>EXTEMPORANEO!L69</f>
        <v>0</v>
      </c>
      <c r="M69" s="212">
        <f>EXTEMPORANEO!M69</f>
        <v>0</v>
      </c>
      <c r="N69" s="212">
        <f>EXTEMPORANEO!N69</f>
        <v>0</v>
      </c>
      <c r="O69" s="212">
        <f>EXTEMPORANEO!O69</f>
        <v>0</v>
      </c>
      <c r="P69" s="212">
        <f>EXTEMPORANEO!P69</f>
        <v>0</v>
      </c>
      <c r="Q69" s="212">
        <f>EXTEMPORANEO!Q69</f>
        <v>0</v>
      </c>
      <c r="R69" s="174">
        <f>EXTEMPORANEO!R69</f>
        <v>0</v>
      </c>
      <c r="S69" s="174">
        <f>EXTEMPORANEO!S69</f>
        <v>0</v>
      </c>
      <c r="T69" s="141">
        <f>EXTEMPORANEO!T69</f>
        <v>0</v>
      </c>
      <c r="U69" s="84">
        <f>EXTEMPORANEO!U69</f>
        <v>0</v>
      </c>
      <c r="V69" s="13">
        <f>EXTEMPORANEO!V69</f>
        <v>0</v>
      </c>
      <c r="W69" s="13">
        <f>EXTEMPORANEO!W69</f>
        <v>0</v>
      </c>
      <c r="X69" s="113">
        <f>EXTEMPORANEO!X69</f>
        <v>0</v>
      </c>
      <c r="Y69" s="113">
        <f>EXTEMPORANEO!Y69</f>
        <v>0</v>
      </c>
      <c r="AA69" s="66"/>
    </row>
    <row r="70" spans="2:27" ht="13" customHeight="1">
      <c r="B70" s="73">
        <f>EXTEMPORANEO!B70</f>
        <v>0</v>
      </c>
      <c r="C70" s="25">
        <f>EXTEMPORANEO!C70</f>
        <v>2026091</v>
      </c>
      <c r="D70" s="226">
        <f>EXTEMPORANEO!D70</f>
        <v>0</v>
      </c>
      <c r="E70" s="138">
        <f>EXTEMPORANEO!E70</f>
        <v>0</v>
      </c>
      <c r="F70" s="139" t="e">
        <f>EXTEMPORANEO!F70</f>
        <v>#N/A</v>
      </c>
      <c r="G70" s="138" t="str">
        <f>EXTEMPORANEO!G70</f>
        <v/>
      </c>
      <c r="H70" s="139" t="e">
        <f>EXTEMPORANEO!H70</f>
        <v>#N/A</v>
      </c>
      <c r="I70" s="139" t="e">
        <f>EXTEMPORANEO!I70</f>
        <v>#N/A</v>
      </c>
      <c r="J70" s="212">
        <f>EXTEMPORANEO!J70</f>
        <v>0</v>
      </c>
      <c r="K70" s="212">
        <f>EXTEMPORANEO!K70</f>
        <v>0</v>
      </c>
      <c r="L70" s="212">
        <f>EXTEMPORANEO!L70</f>
        <v>0</v>
      </c>
      <c r="M70" s="212">
        <f>EXTEMPORANEO!M70</f>
        <v>0</v>
      </c>
      <c r="N70" s="212">
        <f>EXTEMPORANEO!N70</f>
        <v>0</v>
      </c>
      <c r="O70" s="212">
        <f>EXTEMPORANEO!O70</f>
        <v>0</v>
      </c>
      <c r="P70" s="212">
        <f>EXTEMPORANEO!P70</f>
        <v>0</v>
      </c>
      <c r="Q70" s="212">
        <f>EXTEMPORANEO!Q70</f>
        <v>0</v>
      </c>
      <c r="R70" s="174">
        <f>EXTEMPORANEO!R70</f>
        <v>0</v>
      </c>
      <c r="S70" s="174">
        <f>EXTEMPORANEO!S70</f>
        <v>0</v>
      </c>
      <c r="T70" s="141">
        <f>EXTEMPORANEO!T70</f>
        <v>0</v>
      </c>
      <c r="U70" s="84">
        <f>EXTEMPORANEO!U70</f>
        <v>0</v>
      </c>
      <c r="V70" s="13">
        <f>EXTEMPORANEO!V70</f>
        <v>0</v>
      </c>
      <c r="W70" s="13">
        <f>EXTEMPORANEO!W70</f>
        <v>0</v>
      </c>
      <c r="X70" s="113">
        <f>EXTEMPORANEO!X70</f>
        <v>0</v>
      </c>
      <c r="Y70" s="113">
        <f>EXTEMPORANEO!Y70</f>
        <v>0</v>
      </c>
      <c r="AA70" s="66"/>
    </row>
    <row r="71" spans="2:27" ht="13" customHeight="1">
      <c r="B71" s="73">
        <f>EXTEMPORANEO!B71</f>
        <v>0</v>
      </c>
      <c r="C71" s="25">
        <f>EXTEMPORANEO!C71</f>
        <v>2026091</v>
      </c>
      <c r="D71" s="226">
        <f>EXTEMPORANEO!D71</f>
        <v>0</v>
      </c>
      <c r="E71" s="138">
        <f>EXTEMPORANEO!E71</f>
        <v>0</v>
      </c>
      <c r="F71" s="139" t="e">
        <f>EXTEMPORANEO!F71</f>
        <v>#N/A</v>
      </c>
      <c r="G71" s="138" t="str">
        <f>EXTEMPORANEO!G71</f>
        <v/>
      </c>
      <c r="H71" s="139" t="e">
        <f>EXTEMPORANEO!H71</f>
        <v>#N/A</v>
      </c>
      <c r="I71" s="139" t="e">
        <f>EXTEMPORANEO!I71</f>
        <v>#N/A</v>
      </c>
      <c r="J71" s="212">
        <f>EXTEMPORANEO!J71</f>
        <v>0</v>
      </c>
      <c r="K71" s="212">
        <f>EXTEMPORANEO!K71</f>
        <v>0</v>
      </c>
      <c r="L71" s="212">
        <f>EXTEMPORANEO!L71</f>
        <v>0</v>
      </c>
      <c r="M71" s="212">
        <f>EXTEMPORANEO!M71</f>
        <v>0</v>
      </c>
      <c r="N71" s="212">
        <f>EXTEMPORANEO!N71</f>
        <v>0</v>
      </c>
      <c r="O71" s="212">
        <f>EXTEMPORANEO!O71</f>
        <v>0</v>
      </c>
      <c r="P71" s="212">
        <f>EXTEMPORANEO!P71</f>
        <v>0</v>
      </c>
      <c r="Q71" s="212">
        <f>EXTEMPORANEO!Q71</f>
        <v>0</v>
      </c>
      <c r="R71" s="174">
        <f>EXTEMPORANEO!R71</f>
        <v>0</v>
      </c>
      <c r="S71" s="174">
        <f>EXTEMPORANEO!S71</f>
        <v>0</v>
      </c>
      <c r="T71" s="141">
        <f>EXTEMPORANEO!T71</f>
        <v>0</v>
      </c>
      <c r="U71" s="84">
        <f>EXTEMPORANEO!U71</f>
        <v>0</v>
      </c>
      <c r="V71" s="13">
        <f>EXTEMPORANEO!V71</f>
        <v>0</v>
      </c>
      <c r="W71" s="13">
        <f>EXTEMPORANEO!W71</f>
        <v>0</v>
      </c>
      <c r="X71" s="113">
        <f>EXTEMPORANEO!X71</f>
        <v>0</v>
      </c>
      <c r="Y71" s="113">
        <f>EXTEMPORANEO!Y71</f>
        <v>0</v>
      </c>
      <c r="AA71" s="66"/>
    </row>
    <row r="72" spans="2:27" ht="13" customHeight="1">
      <c r="B72" s="73">
        <f>EXTEMPORANEO!B72</f>
        <v>0</v>
      </c>
      <c r="C72" s="25">
        <f>EXTEMPORANEO!C72</f>
        <v>2026091</v>
      </c>
      <c r="D72" s="226">
        <f>EXTEMPORANEO!D72</f>
        <v>0</v>
      </c>
      <c r="E72" s="138">
        <f>EXTEMPORANEO!E72</f>
        <v>0</v>
      </c>
      <c r="F72" s="139" t="e">
        <f>EXTEMPORANEO!F72</f>
        <v>#N/A</v>
      </c>
      <c r="G72" s="138" t="str">
        <f>EXTEMPORANEO!G72</f>
        <v/>
      </c>
      <c r="H72" s="139" t="e">
        <f>EXTEMPORANEO!H72</f>
        <v>#N/A</v>
      </c>
      <c r="I72" s="139" t="e">
        <f>EXTEMPORANEO!I72</f>
        <v>#N/A</v>
      </c>
      <c r="J72" s="212">
        <f>EXTEMPORANEO!J72</f>
        <v>0</v>
      </c>
      <c r="K72" s="212">
        <f>EXTEMPORANEO!K72</f>
        <v>0</v>
      </c>
      <c r="L72" s="212">
        <f>EXTEMPORANEO!L72</f>
        <v>0</v>
      </c>
      <c r="M72" s="212">
        <f>EXTEMPORANEO!M72</f>
        <v>0</v>
      </c>
      <c r="N72" s="212">
        <f>EXTEMPORANEO!N72</f>
        <v>0</v>
      </c>
      <c r="O72" s="212">
        <f>EXTEMPORANEO!O72</f>
        <v>0</v>
      </c>
      <c r="P72" s="212">
        <f>EXTEMPORANEO!P72</f>
        <v>0</v>
      </c>
      <c r="Q72" s="212">
        <f>EXTEMPORANEO!Q72</f>
        <v>0</v>
      </c>
      <c r="R72" s="174">
        <f>EXTEMPORANEO!R72</f>
        <v>0</v>
      </c>
      <c r="S72" s="174">
        <f>EXTEMPORANEO!S72</f>
        <v>0</v>
      </c>
      <c r="T72" s="141">
        <f>EXTEMPORANEO!T72</f>
        <v>0</v>
      </c>
      <c r="U72" s="84">
        <f>EXTEMPORANEO!U72</f>
        <v>0</v>
      </c>
      <c r="V72" s="13">
        <f>EXTEMPORANEO!V72</f>
        <v>0</v>
      </c>
      <c r="W72" s="13">
        <f>EXTEMPORANEO!W72</f>
        <v>0</v>
      </c>
      <c r="X72" s="113">
        <f>EXTEMPORANEO!X72</f>
        <v>0</v>
      </c>
      <c r="Y72" s="113">
        <f>EXTEMPORANEO!Y72</f>
        <v>0</v>
      </c>
      <c r="AA72" s="66"/>
    </row>
    <row r="73" spans="2:27" ht="13" customHeight="1">
      <c r="B73" s="73">
        <f>EXTEMPORANEO!B73</f>
        <v>0</v>
      </c>
      <c r="C73" s="25">
        <f>EXTEMPORANEO!C73</f>
        <v>2026091</v>
      </c>
      <c r="D73" s="226">
        <f>EXTEMPORANEO!D73</f>
        <v>0</v>
      </c>
      <c r="E73" s="138">
        <f>EXTEMPORANEO!E73</f>
        <v>0</v>
      </c>
      <c r="F73" s="139" t="e">
        <f>EXTEMPORANEO!F73</f>
        <v>#N/A</v>
      </c>
      <c r="G73" s="138" t="str">
        <f>EXTEMPORANEO!G73</f>
        <v/>
      </c>
      <c r="H73" s="139" t="e">
        <f>EXTEMPORANEO!H73</f>
        <v>#N/A</v>
      </c>
      <c r="I73" s="139" t="e">
        <f>EXTEMPORANEO!I73</f>
        <v>#N/A</v>
      </c>
      <c r="J73" s="212">
        <f>EXTEMPORANEO!J73</f>
        <v>0</v>
      </c>
      <c r="K73" s="212">
        <f>EXTEMPORANEO!K73</f>
        <v>0</v>
      </c>
      <c r="L73" s="212">
        <f>EXTEMPORANEO!L73</f>
        <v>0</v>
      </c>
      <c r="M73" s="212">
        <f>EXTEMPORANEO!M73</f>
        <v>0</v>
      </c>
      <c r="N73" s="212">
        <f>EXTEMPORANEO!N73</f>
        <v>0</v>
      </c>
      <c r="O73" s="212">
        <f>EXTEMPORANEO!O73</f>
        <v>0</v>
      </c>
      <c r="P73" s="212">
        <f>EXTEMPORANEO!P73</f>
        <v>0</v>
      </c>
      <c r="Q73" s="212">
        <f>EXTEMPORANEO!Q73</f>
        <v>0</v>
      </c>
      <c r="R73" s="174">
        <f>EXTEMPORANEO!R73</f>
        <v>0</v>
      </c>
      <c r="S73" s="174">
        <f>EXTEMPORANEO!S73</f>
        <v>0</v>
      </c>
      <c r="T73" s="141">
        <f>EXTEMPORANEO!T73</f>
        <v>0</v>
      </c>
      <c r="U73" s="84">
        <f>EXTEMPORANEO!U73</f>
        <v>0</v>
      </c>
      <c r="V73" s="13">
        <f>EXTEMPORANEO!V73</f>
        <v>0</v>
      </c>
      <c r="W73" s="13">
        <f>EXTEMPORANEO!W73</f>
        <v>0</v>
      </c>
      <c r="X73" s="113">
        <f>EXTEMPORANEO!X73</f>
        <v>0</v>
      </c>
      <c r="Y73" s="113">
        <f>EXTEMPORANEO!Y73</f>
        <v>0</v>
      </c>
      <c r="AA73" s="66"/>
    </row>
    <row r="74" spans="2:27" ht="13" customHeight="1">
      <c r="B74" s="73">
        <f>EXTEMPORANEO!B74</f>
        <v>0</v>
      </c>
      <c r="C74" s="25">
        <f>EXTEMPORANEO!C74</f>
        <v>2026091</v>
      </c>
      <c r="D74" s="226">
        <f>EXTEMPORANEO!D74</f>
        <v>0</v>
      </c>
      <c r="E74" s="138">
        <f>EXTEMPORANEO!E74</f>
        <v>0</v>
      </c>
      <c r="F74" s="139" t="e">
        <f>EXTEMPORANEO!F74</f>
        <v>#N/A</v>
      </c>
      <c r="G74" s="138" t="str">
        <f>EXTEMPORANEO!G74</f>
        <v/>
      </c>
      <c r="H74" s="139" t="e">
        <f>EXTEMPORANEO!H74</f>
        <v>#N/A</v>
      </c>
      <c r="I74" s="139" t="e">
        <f>EXTEMPORANEO!I74</f>
        <v>#N/A</v>
      </c>
      <c r="J74" s="212">
        <f>EXTEMPORANEO!J74</f>
        <v>0</v>
      </c>
      <c r="K74" s="212">
        <f>EXTEMPORANEO!K74</f>
        <v>0</v>
      </c>
      <c r="L74" s="212">
        <f>EXTEMPORANEO!L74</f>
        <v>0</v>
      </c>
      <c r="M74" s="212">
        <f>EXTEMPORANEO!M74</f>
        <v>0</v>
      </c>
      <c r="N74" s="212">
        <f>EXTEMPORANEO!N74</f>
        <v>0</v>
      </c>
      <c r="O74" s="212">
        <f>EXTEMPORANEO!O74</f>
        <v>0</v>
      </c>
      <c r="P74" s="212">
        <f>EXTEMPORANEO!P74</f>
        <v>0</v>
      </c>
      <c r="Q74" s="212">
        <f>EXTEMPORANEO!Q74</f>
        <v>0</v>
      </c>
      <c r="R74" s="174">
        <f>EXTEMPORANEO!R74</f>
        <v>0</v>
      </c>
      <c r="S74" s="174">
        <f>EXTEMPORANEO!S74</f>
        <v>0</v>
      </c>
      <c r="T74" s="141">
        <f>EXTEMPORANEO!T74</f>
        <v>0</v>
      </c>
      <c r="U74" s="84">
        <f>EXTEMPORANEO!U74</f>
        <v>0</v>
      </c>
      <c r="V74" s="13">
        <f>EXTEMPORANEO!V74</f>
        <v>0</v>
      </c>
      <c r="W74" s="13">
        <f>EXTEMPORANEO!W74</f>
        <v>0</v>
      </c>
      <c r="X74" s="113">
        <f>EXTEMPORANEO!X74</f>
        <v>0</v>
      </c>
      <c r="Y74" s="113">
        <f>EXTEMPORANEO!Y74</f>
        <v>0</v>
      </c>
      <c r="AA74" s="66"/>
    </row>
    <row r="75" spans="2:27" ht="13" customHeight="1">
      <c r="B75" s="73">
        <f>EXTEMPORANEO!B75</f>
        <v>0</v>
      </c>
      <c r="C75" s="25">
        <f>EXTEMPORANEO!C75</f>
        <v>2026091</v>
      </c>
      <c r="D75" s="226">
        <f>EXTEMPORANEO!D75</f>
        <v>0</v>
      </c>
      <c r="E75" s="138">
        <f>EXTEMPORANEO!E75</f>
        <v>0</v>
      </c>
      <c r="F75" s="139" t="e">
        <f>EXTEMPORANEO!F75</f>
        <v>#N/A</v>
      </c>
      <c r="G75" s="138" t="str">
        <f>EXTEMPORANEO!G75</f>
        <v/>
      </c>
      <c r="H75" s="139" t="e">
        <f>EXTEMPORANEO!H75</f>
        <v>#N/A</v>
      </c>
      <c r="I75" s="139" t="e">
        <f>EXTEMPORANEO!I75</f>
        <v>#N/A</v>
      </c>
      <c r="J75" s="212">
        <f>EXTEMPORANEO!J75</f>
        <v>0</v>
      </c>
      <c r="K75" s="212">
        <f>EXTEMPORANEO!K75</f>
        <v>0</v>
      </c>
      <c r="L75" s="212">
        <f>EXTEMPORANEO!L75</f>
        <v>0</v>
      </c>
      <c r="M75" s="212">
        <f>EXTEMPORANEO!M75</f>
        <v>0</v>
      </c>
      <c r="N75" s="212">
        <f>EXTEMPORANEO!N75</f>
        <v>0</v>
      </c>
      <c r="O75" s="212">
        <f>EXTEMPORANEO!O75</f>
        <v>0</v>
      </c>
      <c r="P75" s="212">
        <f>EXTEMPORANEO!P75</f>
        <v>0</v>
      </c>
      <c r="Q75" s="212">
        <f>EXTEMPORANEO!Q75</f>
        <v>0</v>
      </c>
      <c r="R75" s="174">
        <f>EXTEMPORANEO!R75</f>
        <v>0</v>
      </c>
      <c r="S75" s="174">
        <f>EXTEMPORANEO!S75</f>
        <v>0</v>
      </c>
      <c r="T75" s="141">
        <f>EXTEMPORANEO!T75</f>
        <v>0</v>
      </c>
      <c r="U75" s="84">
        <f>EXTEMPORANEO!U75</f>
        <v>0</v>
      </c>
      <c r="V75" s="13">
        <f>EXTEMPORANEO!V75</f>
        <v>0</v>
      </c>
      <c r="W75" s="13">
        <f>EXTEMPORANEO!W75</f>
        <v>0</v>
      </c>
      <c r="X75" s="113">
        <f>EXTEMPORANEO!X75</f>
        <v>0</v>
      </c>
      <c r="Y75" s="113">
        <f>EXTEMPORANEO!Y75</f>
        <v>0</v>
      </c>
      <c r="AA75" s="66"/>
    </row>
    <row r="76" spans="2:27" ht="13" customHeight="1">
      <c r="B76" s="73">
        <f>EXTEMPORANEO!B76</f>
        <v>0</v>
      </c>
      <c r="C76" s="25">
        <f>EXTEMPORANEO!C76</f>
        <v>2026091</v>
      </c>
      <c r="D76" s="226">
        <f>EXTEMPORANEO!D76</f>
        <v>0</v>
      </c>
      <c r="E76" s="138">
        <f>EXTEMPORANEO!E76</f>
        <v>0</v>
      </c>
      <c r="F76" s="139" t="e">
        <f>EXTEMPORANEO!F76</f>
        <v>#N/A</v>
      </c>
      <c r="G76" s="138" t="str">
        <f>EXTEMPORANEO!G76</f>
        <v/>
      </c>
      <c r="H76" s="139" t="e">
        <f>EXTEMPORANEO!H76</f>
        <v>#N/A</v>
      </c>
      <c r="I76" s="139" t="e">
        <f>EXTEMPORANEO!I76</f>
        <v>#N/A</v>
      </c>
      <c r="J76" s="212">
        <f>EXTEMPORANEO!J76</f>
        <v>0</v>
      </c>
      <c r="K76" s="212">
        <f>EXTEMPORANEO!K76</f>
        <v>0</v>
      </c>
      <c r="L76" s="212">
        <f>EXTEMPORANEO!L76</f>
        <v>0</v>
      </c>
      <c r="M76" s="212">
        <f>EXTEMPORANEO!M76</f>
        <v>0</v>
      </c>
      <c r="N76" s="212">
        <f>EXTEMPORANEO!N76</f>
        <v>0</v>
      </c>
      <c r="O76" s="212">
        <f>EXTEMPORANEO!O76</f>
        <v>0</v>
      </c>
      <c r="P76" s="212">
        <f>EXTEMPORANEO!P76</f>
        <v>0</v>
      </c>
      <c r="Q76" s="212">
        <f>EXTEMPORANEO!Q76</f>
        <v>0</v>
      </c>
      <c r="R76" s="174">
        <f>EXTEMPORANEO!R76</f>
        <v>0</v>
      </c>
      <c r="S76" s="174">
        <f>EXTEMPORANEO!S76</f>
        <v>0</v>
      </c>
      <c r="T76" s="141">
        <f>EXTEMPORANEO!T76</f>
        <v>0</v>
      </c>
      <c r="U76" s="84">
        <f>EXTEMPORANEO!U76</f>
        <v>0</v>
      </c>
      <c r="V76" s="13">
        <f>EXTEMPORANEO!V76</f>
        <v>0</v>
      </c>
      <c r="W76" s="13">
        <f>EXTEMPORANEO!W76</f>
        <v>0</v>
      </c>
      <c r="X76" s="113">
        <f>EXTEMPORANEO!X76</f>
        <v>0</v>
      </c>
      <c r="Y76" s="113">
        <f>EXTEMPORANEO!Y76</f>
        <v>0</v>
      </c>
      <c r="AA76" s="66"/>
    </row>
    <row r="77" spans="2:27" ht="13" customHeight="1">
      <c r="B77" s="73">
        <f>EXTEMPORANEO!B77</f>
        <v>0</v>
      </c>
      <c r="C77" s="25">
        <f>EXTEMPORANEO!C77</f>
        <v>2026091</v>
      </c>
      <c r="D77" s="226">
        <f>EXTEMPORANEO!D77</f>
        <v>0</v>
      </c>
      <c r="E77" s="138">
        <f>EXTEMPORANEO!E77</f>
        <v>0</v>
      </c>
      <c r="F77" s="139" t="e">
        <f>EXTEMPORANEO!F77</f>
        <v>#N/A</v>
      </c>
      <c r="G77" s="138" t="str">
        <f>EXTEMPORANEO!G77</f>
        <v/>
      </c>
      <c r="H77" s="139" t="e">
        <f>EXTEMPORANEO!H77</f>
        <v>#N/A</v>
      </c>
      <c r="I77" s="139" t="e">
        <f>EXTEMPORANEO!I77</f>
        <v>#N/A</v>
      </c>
      <c r="J77" s="212">
        <f>EXTEMPORANEO!J77</f>
        <v>0</v>
      </c>
      <c r="K77" s="212">
        <f>EXTEMPORANEO!K77</f>
        <v>0</v>
      </c>
      <c r="L77" s="212">
        <f>EXTEMPORANEO!L77</f>
        <v>0</v>
      </c>
      <c r="M77" s="212">
        <f>EXTEMPORANEO!M77</f>
        <v>0</v>
      </c>
      <c r="N77" s="212">
        <f>EXTEMPORANEO!N77</f>
        <v>0</v>
      </c>
      <c r="O77" s="212">
        <f>EXTEMPORANEO!O77</f>
        <v>0</v>
      </c>
      <c r="P77" s="212">
        <f>EXTEMPORANEO!P77</f>
        <v>0</v>
      </c>
      <c r="Q77" s="212">
        <f>EXTEMPORANEO!Q77</f>
        <v>0</v>
      </c>
      <c r="R77" s="174">
        <f>EXTEMPORANEO!R77</f>
        <v>0</v>
      </c>
      <c r="S77" s="174">
        <f>EXTEMPORANEO!S77</f>
        <v>0</v>
      </c>
      <c r="T77" s="141">
        <f>EXTEMPORANEO!T77</f>
        <v>0</v>
      </c>
      <c r="U77" s="84">
        <f>EXTEMPORANEO!U77</f>
        <v>0</v>
      </c>
      <c r="V77" s="13">
        <f>EXTEMPORANEO!V77</f>
        <v>0</v>
      </c>
      <c r="W77" s="13">
        <f>EXTEMPORANEO!W77</f>
        <v>0</v>
      </c>
      <c r="X77" s="113">
        <f>EXTEMPORANEO!X77</f>
        <v>0</v>
      </c>
      <c r="Y77" s="113">
        <f>EXTEMPORANEO!Y77</f>
        <v>0</v>
      </c>
      <c r="AA77" s="66"/>
    </row>
    <row r="78" spans="2:27" ht="13" customHeight="1">
      <c r="B78" s="73">
        <f>EXTEMPORANEO!B78</f>
        <v>0</v>
      </c>
      <c r="C78" s="25">
        <f>EXTEMPORANEO!C78</f>
        <v>2026091</v>
      </c>
      <c r="D78" s="226">
        <f>EXTEMPORANEO!D78</f>
        <v>0</v>
      </c>
      <c r="E78" s="138">
        <f>EXTEMPORANEO!E78</f>
        <v>0</v>
      </c>
      <c r="F78" s="139" t="e">
        <f>EXTEMPORANEO!F78</f>
        <v>#N/A</v>
      </c>
      <c r="G78" s="138" t="str">
        <f>EXTEMPORANEO!G78</f>
        <v/>
      </c>
      <c r="H78" s="139" t="e">
        <f>EXTEMPORANEO!H78</f>
        <v>#N/A</v>
      </c>
      <c r="I78" s="139" t="e">
        <f>EXTEMPORANEO!I78</f>
        <v>#N/A</v>
      </c>
      <c r="J78" s="212">
        <f>EXTEMPORANEO!J78</f>
        <v>0</v>
      </c>
      <c r="K78" s="212">
        <f>EXTEMPORANEO!K78</f>
        <v>0</v>
      </c>
      <c r="L78" s="212">
        <f>EXTEMPORANEO!L78</f>
        <v>0</v>
      </c>
      <c r="M78" s="212">
        <f>EXTEMPORANEO!M78</f>
        <v>0</v>
      </c>
      <c r="N78" s="212">
        <f>EXTEMPORANEO!N78</f>
        <v>0</v>
      </c>
      <c r="O78" s="212">
        <f>EXTEMPORANEO!O78</f>
        <v>0</v>
      </c>
      <c r="P78" s="212">
        <f>EXTEMPORANEO!P78</f>
        <v>0</v>
      </c>
      <c r="Q78" s="212">
        <f>EXTEMPORANEO!Q78</f>
        <v>0</v>
      </c>
      <c r="R78" s="174">
        <f>EXTEMPORANEO!R78</f>
        <v>0</v>
      </c>
      <c r="S78" s="174">
        <f>EXTEMPORANEO!S78</f>
        <v>0</v>
      </c>
      <c r="T78" s="141">
        <f>EXTEMPORANEO!T78</f>
        <v>0</v>
      </c>
      <c r="U78" s="84">
        <f>EXTEMPORANEO!U78</f>
        <v>0</v>
      </c>
      <c r="V78" s="13">
        <f>EXTEMPORANEO!V78</f>
        <v>0</v>
      </c>
      <c r="W78" s="13">
        <f>EXTEMPORANEO!W78</f>
        <v>0</v>
      </c>
      <c r="X78" s="113">
        <f>EXTEMPORANEO!X78</f>
        <v>0</v>
      </c>
      <c r="Y78" s="113">
        <f>EXTEMPORANEO!Y78</f>
        <v>0</v>
      </c>
      <c r="AA78" s="66"/>
    </row>
    <row r="79" spans="2:27" ht="13" customHeight="1">
      <c r="B79" s="73">
        <f>EXTEMPORANEO!B79</f>
        <v>0</v>
      </c>
      <c r="C79" s="25">
        <f>EXTEMPORANEO!C79</f>
        <v>2026091</v>
      </c>
      <c r="D79" s="226">
        <f>EXTEMPORANEO!D79</f>
        <v>0</v>
      </c>
      <c r="E79" s="138">
        <f>EXTEMPORANEO!E79</f>
        <v>0</v>
      </c>
      <c r="F79" s="139" t="e">
        <f>EXTEMPORANEO!F79</f>
        <v>#N/A</v>
      </c>
      <c r="G79" s="138" t="str">
        <f>EXTEMPORANEO!G79</f>
        <v/>
      </c>
      <c r="H79" s="139" t="e">
        <f>EXTEMPORANEO!H79</f>
        <v>#N/A</v>
      </c>
      <c r="I79" s="139" t="e">
        <f>EXTEMPORANEO!I79</f>
        <v>#N/A</v>
      </c>
      <c r="J79" s="212">
        <f>EXTEMPORANEO!J79</f>
        <v>0</v>
      </c>
      <c r="K79" s="212">
        <f>EXTEMPORANEO!K79</f>
        <v>0</v>
      </c>
      <c r="L79" s="212">
        <f>EXTEMPORANEO!L79</f>
        <v>0</v>
      </c>
      <c r="M79" s="212">
        <f>EXTEMPORANEO!M79</f>
        <v>0</v>
      </c>
      <c r="N79" s="212">
        <f>EXTEMPORANEO!N79</f>
        <v>0</v>
      </c>
      <c r="O79" s="212">
        <f>EXTEMPORANEO!O79</f>
        <v>0</v>
      </c>
      <c r="P79" s="212">
        <f>EXTEMPORANEO!P79</f>
        <v>0</v>
      </c>
      <c r="Q79" s="212">
        <f>EXTEMPORANEO!Q79</f>
        <v>0</v>
      </c>
      <c r="R79" s="174">
        <f>EXTEMPORANEO!R79</f>
        <v>0</v>
      </c>
      <c r="S79" s="174">
        <f>EXTEMPORANEO!S79</f>
        <v>0</v>
      </c>
      <c r="T79" s="141">
        <f>EXTEMPORANEO!T79</f>
        <v>0</v>
      </c>
      <c r="U79" s="84">
        <f>EXTEMPORANEO!U79</f>
        <v>0</v>
      </c>
      <c r="V79" s="13">
        <f>EXTEMPORANEO!V79</f>
        <v>0</v>
      </c>
      <c r="W79" s="13">
        <f>EXTEMPORANEO!W79</f>
        <v>0</v>
      </c>
      <c r="X79" s="113">
        <f>EXTEMPORANEO!X79</f>
        <v>0</v>
      </c>
      <c r="Y79" s="113">
        <f>EXTEMPORANEO!Y79</f>
        <v>0</v>
      </c>
      <c r="AA79" s="66"/>
    </row>
    <row r="80" spans="2:27" ht="13" customHeight="1">
      <c r="B80" s="73">
        <f>EXTEMPORANEO!B80</f>
        <v>0</v>
      </c>
      <c r="C80" s="25">
        <f>EXTEMPORANEO!C80</f>
        <v>2026091</v>
      </c>
      <c r="D80" s="226">
        <f>EXTEMPORANEO!D80</f>
        <v>0</v>
      </c>
      <c r="E80" s="138">
        <f>EXTEMPORANEO!E80</f>
        <v>0</v>
      </c>
      <c r="F80" s="139" t="e">
        <f>EXTEMPORANEO!F80</f>
        <v>#N/A</v>
      </c>
      <c r="G80" s="138" t="str">
        <f>EXTEMPORANEO!G80</f>
        <v/>
      </c>
      <c r="H80" s="139" t="e">
        <f>EXTEMPORANEO!H80</f>
        <v>#N/A</v>
      </c>
      <c r="I80" s="139" t="e">
        <f>EXTEMPORANEO!I80</f>
        <v>#N/A</v>
      </c>
      <c r="J80" s="212">
        <f>EXTEMPORANEO!J80</f>
        <v>0</v>
      </c>
      <c r="K80" s="212">
        <f>EXTEMPORANEO!K80</f>
        <v>0</v>
      </c>
      <c r="L80" s="212">
        <f>EXTEMPORANEO!L80</f>
        <v>0</v>
      </c>
      <c r="M80" s="212">
        <f>EXTEMPORANEO!M80</f>
        <v>0</v>
      </c>
      <c r="N80" s="212">
        <f>EXTEMPORANEO!N80</f>
        <v>0</v>
      </c>
      <c r="O80" s="212">
        <f>EXTEMPORANEO!O80</f>
        <v>0</v>
      </c>
      <c r="P80" s="212">
        <f>EXTEMPORANEO!P80</f>
        <v>0</v>
      </c>
      <c r="Q80" s="212">
        <f>EXTEMPORANEO!Q80</f>
        <v>0</v>
      </c>
      <c r="R80" s="174">
        <f>EXTEMPORANEO!R80</f>
        <v>0</v>
      </c>
      <c r="S80" s="174">
        <f>EXTEMPORANEO!S80</f>
        <v>0</v>
      </c>
      <c r="T80" s="141">
        <f>EXTEMPORANEO!T80</f>
        <v>0</v>
      </c>
      <c r="U80" s="84">
        <f>EXTEMPORANEO!U80</f>
        <v>0</v>
      </c>
      <c r="V80" s="13">
        <f>EXTEMPORANEO!V80</f>
        <v>0</v>
      </c>
      <c r="W80" s="13">
        <f>EXTEMPORANEO!W80</f>
        <v>0</v>
      </c>
      <c r="X80" s="113">
        <f>EXTEMPORANEO!X80</f>
        <v>0</v>
      </c>
      <c r="Y80" s="113">
        <f>EXTEMPORANEO!Y80</f>
        <v>0</v>
      </c>
      <c r="AA80" s="66"/>
    </row>
    <row r="81" spans="2:27" ht="13" customHeight="1">
      <c r="B81" s="73">
        <f>EXTEMPORANEO!B81</f>
        <v>0</v>
      </c>
      <c r="C81" s="25">
        <f>EXTEMPORANEO!C81</f>
        <v>2026091</v>
      </c>
      <c r="D81" s="226">
        <f>EXTEMPORANEO!D81</f>
        <v>0</v>
      </c>
      <c r="E81" s="138">
        <f>EXTEMPORANEO!E81</f>
        <v>0</v>
      </c>
      <c r="F81" s="139" t="e">
        <f>EXTEMPORANEO!F81</f>
        <v>#N/A</v>
      </c>
      <c r="G81" s="138" t="str">
        <f>EXTEMPORANEO!G81</f>
        <v/>
      </c>
      <c r="H81" s="139" t="e">
        <f>EXTEMPORANEO!H81</f>
        <v>#N/A</v>
      </c>
      <c r="I81" s="139" t="e">
        <f>EXTEMPORANEO!I81</f>
        <v>#N/A</v>
      </c>
      <c r="J81" s="212">
        <f>EXTEMPORANEO!J81</f>
        <v>0</v>
      </c>
      <c r="K81" s="212">
        <f>EXTEMPORANEO!K81</f>
        <v>0</v>
      </c>
      <c r="L81" s="212">
        <f>EXTEMPORANEO!L81</f>
        <v>0</v>
      </c>
      <c r="M81" s="212">
        <f>EXTEMPORANEO!M81</f>
        <v>0</v>
      </c>
      <c r="N81" s="212">
        <f>EXTEMPORANEO!N81</f>
        <v>0</v>
      </c>
      <c r="O81" s="212">
        <f>EXTEMPORANEO!O81</f>
        <v>0</v>
      </c>
      <c r="P81" s="212">
        <f>EXTEMPORANEO!P81</f>
        <v>0</v>
      </c>
      <c r="Q81" s="212">
        <f>EXTEMPORANEO!Q81</f>
        <v>0</v>
      </c>
      <c r="R81" s="174">
        <f>EXTEMPORANEO!R81</f>
        <v>0</v>
      </c>
      <c r="S81" s="174">
        <f>EXTEMPORANEO!S81</f>
        <v>0</v>
      </c>
      <c r="T81" s="141">
        <f>EXTEMPORANEO!T81</f>
        <v>0</v>
      </c>
      <c r="U81" s="84">
        <f>EXTEMPORANEO!U81</f>
        <v>0</v>
      </c>
      <c r="V81" s="13">
        <f>EXTEMPORANEO!V81</f>
        <v>0</v>
      </c>
      <c r="W81" s="13">
        <f>EXTEMPORANEO!W81</f>
        <v>0</v>
      </c>
      <c r="X81" s="113">
        <f>EXTEMPORANEO!X81</f>
        <v>0</v>
      </c>
      <c r="Y81" s="113">
        <f>EXTEMPORANEO!Y81</f>
        <v>0</v>
      </c>
      <c r="AA81" s="66"/>
    </row>
    <row r="82" spans="2:27" ht="13" customHeight="1">
      <c r="B82" s="73">
        <f>EXTEMPORANEO!B82</f>
        <v>0</v>
      </c>
      <c r="C82" s="25">
        <f>EXTEMPORANEO!C82</f>
        <v>2026091</v>
      </c>
      <c r="D82" s="226">
        <f>EXTEMPORANEO!D82</f>
        <v>0</v>
      </c>
      <c r="E82" s="138">
        <f>EXTEMPORANEO!E82</f>
        <v>0</v>
      </c>
      <c r="F82" s="139" t="e">
        <f>EXTEMPORANEO!F82</f>
        <v>#N/A</v>
      </c>
      <c r="G82" s="138" t="str">
        <f>EXTEMPORANEO!G82</f>
        <v/>
      </c>
      <c r="H82" s="139" t="e">
        <f>EXTEMPORANEO!H82</f>
        <v>#N/A</v>
      </c>
      <c r="I82" s="139" t="e">
        <f>EXTEMPORANEO!I82</f>
        <v>#N/A</v>
      </c>
      <c r="J82" s="212">
        <f>EXTEMPORANEO!J82</f>
        <v>0</v>
      </c>
      <c r="K82" s="212">
        <f>EXTEMPORANEO!K82</f>
        <v>0</v>
      </c>
      <c r="L82" s="212">
        <f>EXTEMPORANEO!L82</f>
        <v>0</v>
      </c>
      <c r="M82" s="212">
        <f>EXTEMPORANEO!M82</f>
        <v>0</v>
      </c>
      <c r="N82" s="212">
        <f>EXTEMPORANEO!N82</f>
        <v>0</v>
      </c>
      <c r="O82" s="212">
        <f>EXTEMPORANEO!O82</f>
        <v>0</v>
      </c>
      <c r="P82" s="212">
        <f>EXTEMPORANEO!P82</f>
        <v>0</v>
      </c>
      <c r="Q82" s="212">
        <f>EXTEMPORANEO!Q82</f>
        <v>0</v>
      </c>
      <c r="R82" s="174">
        <f>EXTEMPORANEO!R82</f>
        <v>0</v>
      </c>
      <c r="S82" s="174">
        <f>EXTEMPORANEO!S82</f>
        <v>0</v>
      </c>
      <c r="T82" s="141">
        <f>EXTEMPORANEO!T82</f>
        <v>0</v>
      </c>
      <c r="U82" s="84">
        <f>EXTEMPORANEO!U82</f>
        <v>0</v>
      </c>
      <c r="V82" s="13">
        <f>EXTEMPORANEO!V82</f>
        <v>0</v>
      </c>
      <c r="W82" s="13">
        <f>EXTEMPORANEO!W82</f>
        <v>0</v>
      </c>
      <c r="X82" s="113">
        <f>EXTEMPORANEO!X82</f>
        <v>0</v>
      </c>
      <c r="Y82" s="113">
        <f>EXTEMPORANEO!Y82</f>
        <v>0</v>
      </c>
      <c r="AA82" s="66"/>
    </row>
    <row r="83" spans="2:27" ht="13" customHeight="1">
      <c r="B83" s="73">
        <f>EXTEMPORANEO!B83</f>
        <v>0</v>
      </c>
      <c r="C83" s="25">
        <f>EXTEMPORANEO!C83</f>
        <v>2026091</v>
      </c>
      <c r="D83" s="226">
        <f>EXTEMPORANEO!D83</f>
        <v>0</v>
      </c>
      <c r="E83" s="138">
        <f>EXTEMPORANEO!E83</f>
        <v>0</v>
      </c>
      <c r="F83" s="139" t="e">
        <f>EXTEMPORANEO!F83</f>
        <v>#N/A</v>
      </c>
      <c r="G83" s="138" t="str">
        <f>EXTEMPORANEO!G83</f>
        <v/>
      </c>
      <c r="H83" s="139" t="e">
        <f>EXTEMPORANEO!H83</f>
        <v>#N/A</v>
      </c>
      <c r="I83" s="139" t="e">
        <f>EXTEMPORANEO!I83</f>
        <v>#N/A</v>
      </c>
      <c r="J83" s="212">
        <f>EXTEMPORANEO!J83</f>
        <v>0</v>
      </c>
      <c r="K83" s="212">
        <f>EXTEMPORANEO!K83</f>
        <v>0</v>
      </c>
      <c r="L83" s="212">
        <f>EXTEMPORANEO!L83</f>
        <v>0</v>
      </c>
      <c r="M83" s="212">
        <f>EXTEMPORANEO!M83</f>
        <v>0</v>
      </c>
      <c r="N83" s="212">
        <f>EXTEMPORANEO!N83</f>
        <v>0</v>
      </c>
      <c r="O83" s="212">
        <f>EXTEMPORANEO!O83</f>
        <v>0</v>
      </c>
      <c r="P83" s="212">
        <f>EXTEMPORANEO!P83</f>
        <v>0</v>
      </c>
      <c r="Q83" s="212">
        <f>EXTEMPORANEO!Q83</f>
        <v>0</v>
      </c>
      <c r="R83" s="174">
        <f>EXTEMPORANEO!R83</f>
        <v>0</v>
      </c>
      <c r="S83" s="174">
        <f>EXTEMPORANEO!S83</f>
        <v>0</v>
      </c>
      <c r="T83" s="141">
        <f>EXTEMPORANEO!T83</f>
        <v>0</v>
      </c>
      <c r="U83" s="84">
        <f>EXTEMPORANEO!U83</f>
        <v>0</v>
      </c>
      <c r="V83" s="13">
        <f>EXTEMPORANEO!V83</f>
        <v>0</v>
      </c>
      <c r="W83" s="13">
        <f>EXTEMPORANEO!W83</f>
        <v>0</v>
      </c>
      <c r="X83" s="113">
        <f>EXTEMPORANEO!X83</f>
        <v>0</v>
      </c>
      <c r="Y83" s="113">
        <f>EXTEMPORANEO!Y83</f>
        <v>0</v>
      </c>
      <c r="AA83" s="66"/>
    </row>
    <row r="84" spans="2:27" ht="13" customHeight="1">
      <c r="B84" s="73">
        <f>EXTEMPORANEO!B84</f>
        <v>0</v>
      </c>
      <c r="C84" s="25">
        <f>EXTEMPORANEO!C84</f>
        <v>2026091</v>
      </c>
      <c r="D84" s="226">
        <f>EXTEMPORANEO!D84</f>
        <v>0</v>
      </c>
      <c r="E84" s="138">
        <f>EXTEMPORANEO!E84</f>
        <v>0</v>
      </c>
      <c r="F84" s="139" t="e">
        <f>EXTEMPORANEO!F84</f>
        <v>#N/A</v>
      </c>
      <c r="G84" s="138" t="str">
        <f>EXTEMPORANEO!G84</f>
        <v/>
      </c>
      <c r="H84" s="139" t="e">
        <f>EXTEMPORANEO!H84</f>
        <v>#N/A</v>
      </c>
      <c r="I84" s="139" t="e">
        <f>EXTEMPORANEO!I84</f>
        <v>#N/A</v>
      </c>
      <c r="J84" s="212">
        <f>EXTEMPORANEO!J84</f>
        <v>0</v>
      </c>
      <c r="K84" s="212">
        <f>EXTEMPORANEO!K84</f>
        <v>0</v>
      </c>
      <c r="L84" s="212">
        <f>EXTEMPORANEO!L84</f>
        <v>0</v>
      </c>
      <c r="M84" s="212">
        <f>EXTEMPORANEO!M84</f>
        <v>0</v>
      </c>
      <c r="N84" s="212">
        <f>EXTEMPORANEO!N84</f>
        <v>0</v>
      </c>
      <c r="O84" s="212">
        <f>EXTEMPORANEO!O84</f>
        <v>0</v>
      </c>
      <c r="P84" s="212">
        <f>EXTEMPORANEO!P84</f>
        <v>0</v>
      </c>
      <c r="Q84" s="212">
        <f>EXTEMPORANEO!Q84</f>
        <v>0</v>
      </c>
      <c r="R84" s="174">
        <f>EXTEMPORANEO!R84</f>
        <v>0</v>
      </c>
      <c r="S84" s="174">
        <f>EXTEMPORANEO!S84</f>
        <v>0</v>
      </c>
      <c r="T84" s="141">
        <f>EXTEMPORANEO!T84</f>
        <v>0</v>
      </c>
      <c r="U84" s="84">
        <f>EXTEMPORANEO!U84</f>
        <v>0</v>
      </c>
      <c r="V84" s="13">
        <f>EXTEMPORANEO!V84</f>
        <v>0</v>
      </c>
      <c r="W84" s="13">
        <f>EXTEMPORANEO!W84</f>
        <v>0</v>
      </c>
      <c r="X84" s="113">
        <f>EXTEMPORANEO!X84</f>
        <v>0</v>
      </c>
      <c r="Y84" s="113">
        <f>EXTEMPORANEO!Y84</f>
        <v>0</v>
      </c>
      <c r="AA84" s="66"/>
    </row>
    <row r="85" spans="2:27" ht="13" customHeight="1">
      <c r="B85" s="73">
        <f>EXTEMPORANEO!B85</f>
        <v>0</v>
      </c>
      <c r="C85" s="25">
        <f>EXTEMPORANEO!C85</f>
        <v>2026091</v>
      </c>
      <c r="D85" s="226">
        <f>EXTEMPORANEO!D85</f>
        <v>0</v>
      </c>
      <c r="E85" s="138">
        <f>EXTEMPORANEO!E85</f>
        <v>0</v>
      </c>
      <c r="F85" s="139" t="e">
        <f>EXTEMPORANEO!F85</f>
        <v>#N/A</v>
      </c>
      <c r="G85" s="138" t="str">
        <f>EXTEMPORANEO!G85</f>
        <v/>
      </c>
      <c r="H85" s="139" t="e">
        <f>EXTEMPORANEO!H85</f>
        <v>#N/A</v>
      </c>
      <c r="I85" s="139" t="e">
        <f>EXTEMPORANEO!I85</f>
        <v>#N/A</v>
      </c>
      <c r="J85" s="212">
        <f>EXTEMPORANEO!J85</f>
        <v>0</v>
      </c>
      <c r="K85" s="212">
        <f>EXTEMPORANEO!K85</f>
        <v>0</v>
      </c>
      <c r="L85" s="212">
        <f>EXTEMPORANEO!L85</f>
        <v>0</v>
      </c>
      <c r="M85" s="212">
        <f>EXTEMPORANEO!M85</f>
        <v>0</v>
      </c>
      <c r="N85" s="212">
        <f>EXTEMPORANEO!N85</f>
        <v>0</v>
      </c>
      <c r="O85" s="212">
        <f>EXTEMPORANEO!O85</f>
        <v>0</v>
      </c>
      <c r="P85" s="212">
        <f>EXTEMPORANEO!P85</f>
        <v>0</v>
      </c>
      <c r="Q85" s="212">
        <f>EXTEMPORANEO!Q85</f>
        <v>0</v>
      </c>
      <c r="R85" s="174">
        <f>EXTEMPORANEO!R85</f>
        <v>0</v>
      </c>
      <c r="S85" s="174">
        <f>EXTEMPORANEO!S85</f>
        <v>0</v>
      </c>
      <c r="T85" s="141">
        <f>EXTEMPORANEO!T85</f>
        <v>0</v>
      </c>
      <c r="U85" s="84">
        <f>EXTEMPORANEO!U85</f>
        <v>0</v>
      </c>
      <c r="V85" s="13">
        <f>EXTEMPORANEO!V85</f>
        <v>0</v>
      </c>
      <c r="W85" s="13">
        <f>EXTEMPORANEO!W85</f>
        <v>0</v>
      </c>
      <c r="X85" s="113">
        <f>EXTEMPORANEO!X85</f>
        <v>0</v>
      </c>
      <c r="Y85" s="113">
        <f>EXTEMPORANEO!Y85</f>
        <v>0</v>
      </c>
      <c r="AA85" s="66"/>
    </row>
    <row r="86" spans="2:27" ht="13" customHeight="1">
      <c r="B86" s="73">
        <f>EXTEMPORANEO!B86</f>
        <v>0</v>
      </c>
      <c r="C86" s="25">
        <f>EXTEMPORANEO!C86</f>
        <v>2026091</v>
      </c>
      <c r="D86" s="226">
        <f>EXTEMPORANEO!D86</f>
        <v>0</v>
      </c>
      <c r="E86" s="138">
        <f>EXTEMPORANEO!E86</f>
        <v>0</v>
      </c>
      <c r="F86" s="139" t="e">
        <f>EXTEMPORANEO!F86</f>
        <v>#N/A</v>
      </c>
      <c r="G86" s="138" t="str">
        <f>EXTEMPORANEO!G86</f>
        <v/>
      </c>
      <c r="H86" s="139" t="e">
        <f>EXTEMPORANEO!H86</f>
        <v>#N/A</v>
      </c>
      <c r="I86" s="139" t="e">
        <f>EXTEMPORANEO!I86</f>
        <v>#N/A</v>
      </c>
      <c r="J86" s="212">
        <f>EXTEMPORANEO!J86</f>
        <v>0</v>
      </c>
      <c r="K86" s="212">
        <f>EXTEMPORANEO!K86</f>
        <v>0</v>
      </c>
      <c r="L86" s="212">
        <f>EXTEMPORANEO!L86</f>
        <v>0</v>
      </c>
      <c r="M86" s="212">
        <f>EXTEMPORANEO!M86</f>
        <v>0</v>
      </c>
      <c r="N86" s="212">
        <f>EXTEMPORANEO!N86</f>
        <v>0</v>
      </c>
      <c r="O86" s="212">
        <f>EXTEMPORANEO!O86</f>
        <v>0</v>
      </c>
      <c r="P86" s="212">
        <f>EXTEMPORANEO!P86</f>
        <v>0</v>
      </c>
      <c r="Q86" s="212">
        <f>EXTEMPORANEO!Q86</f>
        <v>0</v>
      </c>
      <c r="R86" s="174">
        <f>EXTEMPORANEO!R86</f>
        <v>0</v>
      </c>
      <c r="S86" s="174">
        <f>EXTEMPORANEO!S86</f>
        <v>0</v>
      </c>
      <c r="T86" s="141">
        <f>EXTEMPORANEO!T86</f>
        <v>0</v>
      </c>
      <c r="U86" s="84">
        <f>EXTEMPORANEO!U86</f>
        <v>0</v>
      </c>
      <c r="V86" s="13">
        <f>EXTEMPORANEO!V86</f>
        <v>0</v>
      </c>
      <c r="W86" s="13">
        <f>EXTEMPORANEO!W86</f>
        <v>0</v>
      </c>
      <c r="X86" s="113">
        <f>EXTEMPORANEO!X86</f>
        <v>0</v>
      </c>
      <c r="Y86" s="113">
        <f>EXTEMPORANEO!Y86</f>
        <v>0</v>
      </c>
      <c r="AA86" s="66"/>
    </row>
    <row r="87" spans="2:27" ht="13" customHeight="1">
      <c r="B87" s="73">
        <f>EXTEMPORANEO!B87</f>
        <v>0</v>
      </c>
      <c r="C87" s="25">
        <f>EXTEMPORANEO!C87</f>
        <v>2026091</v>
      </c>
      <c r="D87" s="226">
        <f>EXTEMPORANEO!D87</f>
        <v>0</v>
      </c>
      <c r="E87" s="138">
        <f>EXTEMPORANEO!E87</f>
        <v>0</v>
      </c>
      <c r="F87" s="139" t="e">
        <f>EXTEMPORANEO!F87</f>
        <v>#N/A</v>
      </c>
      <c r="G87" s="138" t="str">
        <f>EXTEMPORANEO!G87</f>
        <v/>
      </c>
      <c r="H87" s="139" t="e">
        <f>EXTEMPORANEO!H87</f>
        <v>#N/A</v>
      </c>
      <c r="I87" s="139" t="e">
        <f>EXTEMPORANEO!I87</f>
        <v>#N/A</v>
      </c>
      <c r="J87" s="212">
        <f>EXTEMPORANEO!J87</f>
        <v>0</v>
      </c>
      <c r="K87" s="212">
        <f>EXTEMPORANEO!K87</f>
        <v>0</v>
      </c>
      <c r="L87" s="212">
        <f>EXTEMPORANEO!L87</f>
        <v>0</v>
      </c>
      <c r="M87" s="212">
        <f>EXTEMPORANEO!M87</f>
        <v>0</v>
      </c>
      <c r="N87" s="212">
        <f>EXTEMPORANEO!N87</f>
        <v>0</v>
      </c>
      <c r="O87" s="212">
        <f>EXTEMPORANEO!O87</f>
        <v>0</v>
      </c>
      <c r="P87" s="212">
        <f>EXTEMPORANEO!P87</f>
        <v>0</v>
      </c>
      <c r="Q87" s="212">
        <f>EXTEMPORANEO!Q87</f>
        <v>0</v>
      </c>
      <c r="R87" s="174">
        <f>EXTEMPORANEO!R87</f>
        <v>0</v>
      </c>
      <c r="S87" s="174">
        <f>EXTEMPORANEO!S87</f>
        <v>0</v>
      </c>
      <c r="T87" s="141">
        <f>EXTEMPORANEO!T87</f>
        <v>0</v>
      </c>
      <c r="U87" s="84">
        <f>EXTEMPORANEO!U87</f>
        <v>0</v>
      </c>
      <c r="V87" s="13">
        <f>EXTEMPORANEO!V87</f>
        <v>0</v>
      </c>
      <c r="W87" s="13">
        <f>EXTEMPORANEO!W87</f>
        <v>0</v>
      </c>
      <c r="X87" s="113">
        <f>EXTEMPORANEO!X87</f>
        <v>0</v>
      </c>
      <c r="Y87" s="113">
        <f>EXTEMPORANEO!Y87</f>
        <v>0</v>
      </c>
      <c r="AA87" s="66"/>
    </row>
    <row r="88" spans="2:27" ht="13" customHeight="1">
      <c r="B88" s="73">
        <f>EXTEMPORANEO!B88</f>
        <v>0</v>
      </c>
      <c r="C88" s="25">
        <f>EXTEMPORANEO!C88</f>
        <v>2026091</v>
      </c>
      <c r="D88" s="226">
        <f>EXTEMPORANEO!D88</f>
        <v>0</v>
      </c>
      <c r="E88" s="138">
        <f>EXTEMPORANEO!E88</f>
        <v>0</v>
      </c>
      <c r="F88" s="139" t="e">
        <f>EXTEMPORANEO!F88</f>
        <v>#N/A</v>
      </c>
      <c r="G88" s="138" t="str">
        <f>EXTEMPORANEO!G88</f>
        <v/>
      </c>
      <c r="H88" s="139" t="e">
        <f>EXTEMPORANEO!H88</f>
        <v>#N/A</v>
      </c>
      <c r="I88" s="139" t="e">
        <f>EXTEMPORANEO!I88</f>
        <v>#N/A</v>
      </c>
      <c r="J88" s="212">
        <f>EXTEMPORANEO!J88</f>
        <v>0</v>
      </c>
      <c r="K88" s="212">
        <f>EXTEMPORANEO!K88</f>
        <v>0</v>
      </c>
      <c r="L88" s="212">
        <f>EXTEMPORANEO!L88</f>
        <v>0</v>
      </c>
      <c r="M88" s="212">
        <f>EXTEMPORANEO!M88</f>
        <v>0</v>
      </c>
      <c r="N88" s="212">
        <f>EXTEMPORANEO!N88</f>
        <v>0</v>
      </c>
      <c r="O88" s="212">
        <f>EXTEMPORANEO!O88</f>
        <v>0</v>
      </c>
      <c r="P88" s="212">
        <f>EXTEMPORANEO!P88</f>
        <v>0</v>
      </c>
      <c r="Q88" s="212">
        <f>EXTEMPORANEO!Q88</f>
        <v>0</v>
      </c>
      <c r="R88" s="174">
        <f>EXTEMPORANEO!R88</f>
        <v>0</v>
      </c>
      <c r="S88" s="174">
        <f>EXTEMPORANEO!S88</f>
        <v>0</v>
      </c>
      <c r="T88" s="141">
        <f>EXTEMPORANEO!T88</f>
        <v>0</v>
      </c>
      <c r="U88" s="84">
        <f>EXTEMPORANEO!U88</f>
        <v>0</v>
      </c>
      <c r="V88" s="13">
        <f>EXTEMPORANEO!V88</f>
        <v>0</v>
      </c>
      <c r="W88" s="13">
        <f>EXTEMPORANEO!W88</f>
        <v>0</v>
      </c>
      <c r="X88" s="113">
        <f>EXTEMPORANEO!X88</f>
        <v>0</v>
      </c>
      <c r="Y88" s="113">
        <f>EXTEMPORANEO!Y88</f>
        <v>0</v>
      </c>
      <c r="AA88" s="66"/>
    </row>
    <row r="89" spans="2:27" ht="13" customHeight="1">
      <c r="B89" s="73">
        <f>EXTEMPORANEO!B89</f>
        <v>0</v>
      </c>
      <c r="C89" s="25">
        <f>EXTEMPORANEO!C89</f>
        <v>2026091</v>
      </c>
      <c r="D89" s="226">
        <f>EXTEMPORANEO!D89</f>
        <v>0</v>
      </c>
      <c r="E89" s="138">
        <f>EXTEMPORANEO!E89</f>
        <v>0</v>
      </c>
      <c r="F89" s="139" t="e">
        <f>EXTEMPORANEO!F89</f>
        <v>#N/A</v>
      </c>
      <c r="G89" s="138" t="str">
        <f>EXTEMPORANEO!G89</f>
        <v/>
      </c>
      <c r="H89" s="139" t="e">
        <f>EXTEMPORANEO!H89</f>
        <v>#N/A</v>
      </c>
      <c r="I89" s="139" t="e">
        <f>EXTEMPORANEO!I89</f>
        <v>#N/A</v>
      </c>
      <c r="J89" s="212">
        <f>EXTEMPORANEO!J89</f>
        <v>0</v>
      </c>
      <c r="K89" s="212">
        <f>EXTEMPORANEO!K89</f>
        <v>0</v>
      </c>
      <c r="L89" s="212">
        <f>EXTEMPORANEO!L89</f>
        <v>0</v>
      </c>
      <c r="M89" s="212">
        <f>EXTEMPORANEO!M89</f>
        <v>0</v>
      </c>
      <c r="N89" s="212">
        <f>EXTEMPORANEO!N89</f>
        <v>0</v>
      </c>
      <c r="O89" s="212">
        <f>EXTEMPORANEO!O89</f>
        <v>0</v>
      </c>
      <c r="P89" s="212">
        <f>EXTEMPORANEO!P89</f>
        <v>0</v>
      </c>
      <c r="Q89" s="212">
        <f>EXTEMPORANEO!Q89</f>
        <v>0</v>
      </c>
      <c r="R89" s="174">
        <f>EXTEMPORANEO!R89</f>
        <v>0</v>
      </c>
      <c r="S89" s="174">
        <f>EXTEMPORANEO!S89</f>
        <v>0</v>
      </c>
      <c r="T89" s="141">
        <f>EXTEMPORANEO!T89</f>
        <v>0</v>
      </c>
      <c r="U89" s="84">
        <f>EXTEMPORANEO!U89</f>
        <v>0</v>
      </c>
      <c r="V89" s="13">
        <f>EXTEMPORANEO!V89</f>
        <v>0</v>
      </c>
      <c r="W89" s="13">
        <f>EXTEMPORANEO!W89</f>
        <v>0</v>
      </c>
      <c r="X89" s="113">
        <f>EXTEMPORANEO!X89</f>
        <v>0</v>
      </c>
      <c r="Y89" s="113">
        <f>EXTEMPORANEO!Y89</f>
        <v>0</v>
      </c>
      <c r="AA89" s="66"/>
    </row>
    <row r="90" spans="2:27" ht="13" customHeight="1">
      <c r="B90" s="73">
        <f>EXTEMPORANEO!B90</f>
        <v>0</v>
      </c>
      <c r="C90" s="25">
        <f>EXTEMPORANEO!C90</f>
        <v>2026091</v>
      </c>
      <c r="D90" s="226">
        <f>EXTEMPORANEO!D90</f>
        <v>0</v>
      </c>
      <c r="E90" s="138">
        <f>EXTEMPORANEO!E90</f>
        <v>0</v>
      </c>
      <c r="F90" s="139" t="e">
        <f>EXTEMPORANEO!F90</f>
        <v>#N/A</v>
      </c>
      <c r="G90" s="138" t="str">
        <f>EXTEMPORANEO!G90</f>
        <v/>
      </c>
      <c r="H90" s="139" t="e">
        <f>EXTEMPORANEO!H90</f>
        <v>#N/A</v>
      </c>
      <c r="I90" s="139" t="e">
        <f>EXTEMPORANEO!I90</f>
        <v>#N/A</v>
      </c>
      <c r="J90" s="212">
        <f>EXTEMPORANEO!J90</f>
        <v>0</v>
      </c>
      <c r="K90" s="212">
        <f>EXTEMPORANEO!K90</f>
        <v>0</v>
      </c>
      <c r="L90" s="212">
        <f>EXTEMPORANEO!L90</f>
        <v>0</v>
      </c>
      <c r="M90" s="212">
        <f>EXTEMPORANEO!M90</f>
        <v>0</v>
      </c>
      <c r="N90" s="212">
        <f>EXTEMPORANEO!N90</f>
        <v>0</v>
      </c>
      <c r="O90" s="212">
        <f>EXTEMPORANEO!O90</f>
        <v>0</v>
      </c>
      <c r="P90" s="212">
        <f>EXTEMPORANEO!P90</f>
        <v>0</v>
      </c>
      <c r="Q90" s="212">
        <f>EXTEMPORANEO!Q90</f>
        <v>0</v>
      </c>
      <c r="R90" s="174">
        <f>EXTEMPORANEO!R90</f>
        <v>0</v>
      </c>
      <c r="S90" s="174">
        <f>EXTEMPORANEO!S90</f>
        <v>0</v>
      </c>
      <c r="T90" s="141">
        <f>EXTEMPORANEO!T90</f>
        <v>0</v>
      </c>
      <c r="U90" s="84">
        <f>EXTEMPORANEO!U90</f>
        <v>0</v>
      </c>
      <c r="V90" s="13">
        <f>EXTEMPORANEO!V90</f>
        <v>0</v>
      </c>
      <c r="W90" s="13">
        <f>EXTEMPORANEO!W90</f>
        <v>0</v>
      </c>
      <c r="X90" s="113">
        <f>EXTEMPORANEO!X90</f>
        <v>0</v>
      </c>
      <c r="Y90" s="113">
        <f>EXTEMPORANEO!Y90</f>
        <v>0</v>
      </c>
      <c r="AA90" s="66"/>
    </row>
    <row r="91" spans="2:27" ht="13" customHeight="1">
      <c r="B91" s="73">
        <f>EXTEMPORANEO!B91</f>
        <v>0</v>
      </c>
      <c r="C91" s="25">
        <f>EXTEMPORANEO!C91</f>
        <v>2026091</v>
      </c>
      <c r="D91" s="226">
        <f>EXTEMPORANEO!D91</f>
        <v>0</v>
      </c>
      <c r="E91" s="138">
        <f>EXTEMPORANEO!E91</f>
        <v>0</v>
      </c>
      <c r="F91" s="139" t="e">
        <f>EXTEMPORANEO!F91</f>
        <v>#N/A</v>
      </c>
      <c r="G91" s="138" t="str">
        <f>EXTEMPORANEO!G91</f>
        <v/>
      </c>
      <c r="H91" s="139" t="e">
        <f>EXTEMPORANEO!H91</f>
        <v>#N/A</v>
      </c>
      <c r="I91" s="139" t="e">
        <f>EXTEMPORANEO!I91</f>
        <v>#N/A</v>
      </c>
      <c r="J91" s="212">
        <f>EXTEMPORANEO!J91</f>
        <v>0</v>
      </c>
      <c r="K91" s="212">
        <f>EXTEMPORANEO!K91</f>
        <v>0</v>
      </c>
      <c r="L91" s="212">
        <f>EXTEMPORANEO!L91</f>
        <v>0</v>
      </c>
      <c r="M91" s="212">
        <f>EXTEMPORANEO!M91</f>
        <v>0</v>
      </c>
      <c r="N91" s="212">
        <f>EXTEMPORANEO!N91</f>
        <v>0</v>
      </c>
      <c r="O91" s="212">
        <f>EXTEMPORANEO!O91</f>
        <v>0</v>
      </c>
      <c r="P91" s="212">
        <f>EXTEMPORANEO!P91</f>
        <v>0</v>
      </c>
      <c r="Q91" s="212">
        <f>EXTEMPORANEO!Q91</f>
        <v>0</v>
      </c>
      <c r="R91" s="174">
        <f>EXTEMPORANEO!R91</f>
        <v>0</v>
      </c>
      <c r="S91" s="174">
        <f>EXTEMPORANEO!S91</f>
        <v>0</v>
      </c>
      <c r="T91" s="141">
        <f>EXTEMPORANEO!T91</f>
        <v>0</v>
      </c>
      <c r="U91" s="84">
        <f>EXTEMPORANEO!U91</f>
        <v>0</v>
      </c>
      <c r="V91" s="13">
        <f>EXTEMPORANEO!V91</f>
        <v>0</v>
      </c>
      <c r="W91" s="13">
        <f>EXTEMPORANEO!W91</f>
        <v>0</v>
      </c>
      <c r="X91" s="113">
        <f>EXTEMPORANEO!X91</f>
        <v>0</v>
      </c>
      <c r="Y91" s="113">
        <f>EXTEMPORANEO!Y91</f>
        <v>0</v>
      </c>
      <c r="AA91" s="66"/>
    </row>
    <row r="92" spans="2:27" ht="13" customHeight="1">
      <c r="B92" s="73">
        <f>EXTEMPORANEO!B92</f>
        <v>0</v>
      </c>
      <c r="C92" s="25">
        <f>EXTEMPORANEO!C92</f>
        <v>2026091</v>
      </c>
      <c r="D92" s="226">
        <f>EXTEMPORANEO!D92</f>
        <v>0</v>
      </c>
      <c r="E92" s="138">
        <f>EXTEMPORANEO!E92</f>
        <v>0</v>
      </c>
      <c r="F92" s="139" t="e">
        <f>EXTEMPORANEO!F92</f>
        <v>#N/A</v>
      </c>
      <c r="G92" s="138" t="str">
        <f>EXTEMPORANEO!G92</f>
        <v/>
      </c>
      <c r="H92" s="139" t="e">
        <f>EXTEMPORANEO!H92</f>
        <v>#N/A</v>
      </c>
      <c r="I92" s="139" t="e">
        <f>EXTEMPORANEO!I92</f>
        <v>#N/A</v>
      </c>
      <c r="J92" s="212">
        <f>EXTEMPORANEO!J92</f>
        <v>0</v>
      </c>
      <c r="K92" s="212">
        <f>EXTEMPORANEO!K92</f>
        <v>0</v>
      </c>
      <c r="L92" s="212">
        <f>EXTEMPORANEO!L92</f>
        <v>0</v>
      </c>
      <c r="M92" s="212">
        <f>EXTEMPORANEO!M92</f>
        <v>0</v>
      </c>
      <c r="N92" s="212">
        <f>EXTEMPORANEO!N92</f>
        <v>0</v>
      </c>
      <c r="O92" s="212">
        <f>EXTEMPORANEO!O92</f>
        <v>0</v>
      </c>
      <c r="P92" s="212">
        <f>EXTEMPORANEO!P92</f>
        <v>0</v>
      </c>
      <c r="Q92" s="212">
        <f>EXTEMPORANEO!Q92</f>
        <v>0</v>
      </c>
      <c r="R92" s="174">
        <f>EXTEMPORANEO!R92</f>
        <v>0</v>
      </c>
      <c r="S92" s="174">
        <f>EXTEMPORANEO!S92</f>
        <v>0</v>
      </c>
      <c r="T92" s="141">
        <f>EXTEMPORANEO!T92</f>
        <v>0</v>
      </c>
      <c r="U92" s="84">
        <f>EXTEMPORANEO!U92</f>
        <v>0</v>
      </c>
      <c r="V92" s="13">
        <f>EXTEMPORANEO!V92</f>
        <v>0</v>
      </c>
      <c r="W92" s="13">
        <f>EXTEMPORANEO!W92</f>
        <v>0</v>
      </c>
      <c r="X92" s="113">
        <f>EXTEMPORANEO!X92</f>
        <v>0</v>
      </c>
      <c r="Y92" s="113">
        <f>EXTEMPORANEO!Y92</f>
        <v>0</v>
      </c>
      <c r="AA92" s="66"/>
    </row>
    <row r="93" spans="2:27" ht="13" customHeight="1">
      <c r="B93" s="73">
        <f>EXTEMPORANEO!B93</f>
        <v>0</v>
      </c>
      <c r="C93" s="25">
        <f>EXTEMPORANEO!C93</f>
        <v>2026091</v>
      </c>
      <c r="D93" s="226">
        <f>EXTEMPORANEO!D93</f>
        <v>0</v>
      </c>
      <c r="E93" s="138">
        <f>EXTEMPORANEO!E93</f>
        <v>0</v>
      </c>
      <c r="F93" s="139" t="e">
        <f>EXTEMPORANEO!F93</f>
        <v>#N/A</v>
      </c>
      <c r="G93" s="138" t="str">
        <f>EXTEMPORANEO!G93</f>
        <v/>
      </c>
      <c r="H93" s="139" t="e">
        <f>EXTEMPORANEO!H93</f>
        <v>#N/A</v>
      </c>
      <c r="I93" s="139" t="e">
        <f>EXTEMPORANEO!I93</f>
        <v>#N/A</v>
      </c>
      <c r="J93" s="212">
        <f>EXTEMPORANEO!J93</f>
        <v>0</v>
      </c>
      <c r="K93" s="212">
        <f>EXTEMPORANEO!K93</f>
        <v>0</v>
      </c>
      <c r="L93" s="212">
        <f>EXTEMPORANEO!L93</f>
        <v>0</v>
      </c>
      <c r="M93" s="212">
        <f>EXTEMPORANEO!M93</f>
        <v>0</v>
      </c>
      <c r="N93" s="212">
        <f>EXTEMPORANEO!N93</f>
        <v>0</v>
      </c>
      <c r="O93" s="212">
        <f>EXTEMPORANEO!O93</f>
        <v>0</v>
      </c>
      <c r="P93" s="212">
        <f>EXTEMPORANEO!P93</f>
        <v>0</v>
      </c>
      <c r="Q93" s="212">
        <f>EXTEMPORANEO!Q93</f>
        <v>0</v>
      </c>
      <c r="R93" s="174">
        <f>EXTEMPORANEO!R93</f>
        <v>0</v>
      </c>
      <c r="S93" s="174">
        <f>EXTEMPORANEO!S93</f>
        <v>0</v>
      </c>
      <c r="T93" s="141">
        <f>EXTEMPORANEO!T93</f>
        <v>0</v>
      </c>
      <c r="U93" s="84">
        <f>EXTEMPORANEO!U93</f>
        <v>0</v>
      </c>
      <c r="V93" s="13">
        <f>EXTEMPORANEO!V93</f>
        <v>0</v>
      </c>
      <c r="W93" s="13">
        <f>EXTEMPORANEO!W93</f>
        <v>0</v>
      </c>
      <c r="X93" s="113">
        <f>EXTEMPORANEO!X93</f>
        <v>0</v>
      </c>
      <c r="Y93" s="113">
        <f>EXTEMPORANEO!Y93</f>
        <v>0</v>
      </c>
      <c r="AA93" s="66"/>
    </row>
    <row r="94" spans="2:27" ht="13" customHeight="1">
      <c r="B94" s="73">
        <f>EXTEMPORANEO!B94</f>
        <v>0</v>
      </c>
      <c r="C94" s="25">
        <f>EXTEMPORANEO!C94</f>
        <v>2026091</v>
      </c>
      <c r="D94" s="226">
        <f>EXTEMPORANEO!D94</f>
        <v>0</v>
      </c>
      <c r="E94" s="138">
        <f>EXTEMPORANEO!E94</f>
        <v>0</v>
      </c>
      <c r="F94" s="139" t="e">
        <f>EXTEMPORANEO!F94</f>
        <v>#N/A</v>
      </c>
      <c r="G94" s="138" t="str">
        <f>EXTEMPORANEO!G94</f>
        <v/>
      </c>
      <c r="H94" s="139" t="e">
        <f>EXTEMPORANEO!H94</f>
        <v>#N/A</v>
      </c>
      <c r="I94" s="139" t="e">
        <f>EXTEMPORANEO!I94</f>
        <v>#N/A</v>
      </c>
      <c r="J94" s="212">
        <f>EXTEMPORANEO!J94</f>
        <v>0</v>
      </c>
      <c r="K94" s="212">
        <f>EXTEMPORANEO!K94</f>
        <v>0</v>
      </c>
      <c r="L94" s="212">
        <f>EXTEMPORANEO!L94</f>
        <v>0</v>
      </c>
      <c r="M94" s="212">
        <f>EXTEMPORANEO!M94</f>
        <v>0</v>
      </c>
      <c r="N94" s="212">
        <f>EXTEMPORANEO!N94</f>
        <v>0</v>
      </c>
      <c r="O94" s="212">
        <f>EXTEMPORANEO!O94</f>
        <v>0</v>
      </c>
      <c r="P94" s="212">
        <f>EXTEMPORANEO!P94</f>
        <v>0</v>
      </c>
      <c r="Q94" s="212">
        <f>EXTEMPORANEO!Q94</f>
        <v>0</v>
      </c>
      <c r="R94" s="174">
        <f>EXTEMPORANEO!R94</f>
        <v>0</v>
      </c>
      <c r="S94" s="174">
        <f>EXTEMPORANEO!S94</f>
        <v>0</v>
      </c>
      <c r="T94" s="141">
        <f>EXTEMPORANEO!T94</f>
        <v>0</v>
      </c>
      <c r="U94" s="84">
        <f>EXTEMPORANEO!U94</f>
        <v>0</v>
      </c>
      <c r="V94" s="13">
        <f>EXTEMPORANEO!V94</f>
        <v>0</v>
      </c>
      <c r="W94" s="13">
        <f>EXTEMPORANEO!W94</f>
        <v>0</v>
      </c>
      <c r="X94" s="113">
        <f>EXTEMPORANEO!X94</f>
        <v>0</v>
      </c>
      <c r="Y94" s="113">
        <f>EXTEMPORANEO!Y94</f>
        <v>0</v>
      </c>
      <c r="AA94" s="66"/>
    </row>
    <row r="95" spans="2:27" ht="13" customHeight="1">
      <c r="B95" s="73">
        <f>EXTEMPORANEO!B95</f>
        <v>0</v>
      </c>
      <c r="C95" s="25">
        <f>EXTEMPORANEO!C95</f>
        <v>2026091</v>
      </c>
      <c r="D95" s="226">
        <f>EXTEMPORANEO!D95</f>
        <v>0</v>
      </c>
      <c r="E95" s="138">
        <f>EXTEMPORANEO!E95</f>
        <v>0</v>
      </c>
      <c r="F95" s="139" t="e">
        <f>EXTEMPORANEO!F95</f>
        <v>#N/A</v>
      </c>
      <c r="G95" s="138" t="str">
        <f>EXTEMPORANEO!G95</f>
        <v/>
      </c>
      <c r="H95" s="139" t="e">
        <f>EXTEMPORANEO!H95</f>
        <v>#N/A</v>
      </c>
      <c r="I95" s="139" t="e">
        <f>EXTEMPORANEO!I95</f>
        <v>#N/A</v>
      </c>
      <c r="J95" s="212">
        <f>EXTEMPORANEO!J95</f>
        <v>0</v>
      </c>
      <c r="K95" s="212">
        <f>EXTEMPORANEO!K95</f>
        <v>0</v>
      </c>
      <c r="L95" s="212">
        <f>EXTEMPORANEO!L95</f>
        <v>0</v>
      </c>
      <c r="M95" s="212">
        <f>EXTEMPORANEO!M95</f>
        <v>0</v>
      </c>
      <c r="N95" s="212">
        <f>EXTEMPORANEO!N95</f>
        <v>0</v>
      </c>
      <c r="O95" s="212">
        <f>EXTEMPORANEO!O95</f>
        <v>0</v>
      </c>
      <c r="P95" s="212">
        <f>EXTEMPORANEO!P95</f>
        <v>0</v>
      </c>
      <c r="Q95" s="212">
        <f>EXTEMPORANEO!Q95</f>
        <v>0</v>
      </c>
      <c r="R95" s="174">
        <f>EXTEMPORANEO!R95</f>
        <v>0</v>
      </c>
      <c r="S95" s="174">
        <f>EXTEMPORANEO!S95</f>
        <v>0</v>
      </c>
      <c r="T95" s="141">
        <f>EXTEMPORANEO!T95</f>
        <v>0</v>
      </c>
      <c r="U95" s="84">
        <f>EXTEMPORANEO!U95</f>
        <v>0</v>
      </c>
      <c r="V95" s="13">
        <f>EXTEMPORANEO!V95</f>
        <v>0</v>
      </c>
      <c r="W95" s="13">
        <f>EXTEMPORANEO!W95</f>
        <v>0</v>
      </c>
      <c r="X95" s="113">
        <f>EXTEMPORANEO!X95</f>
        <v>0</v>
      </c>
      <c r="Y95" s="113">
        <f>EXTEMPORANEO!Y95</f>
        <v>0</v>
      </c>
      <c r="AA95" s="66"/>
    </row>
    <row r="96" spans="2:27" ht="13" customHeight="1">
      <c r="B96" s="73">
        <f>EXTEMPORANEO!B96</f>
        <v>0</v>
      </c>
      <c r="C96" s="25">
        <f>EXTEMPORANEO!C96</f>
        <v>2026091</v>
      </c>
      <c r="D96" s="226">
        <f>EXTEMPORANEO!D96</f>
        <v>0</v>
      </c>
      <c r="E96" s="138">
        <f>EXTEMPORANEO!E96</f>
        <v>0</v>
      </c>
      <c r="F96" s="139" t="e">
        <f>EXTEMPORANEO!F96</f>
        <v>#N/A</v>
      </c>
      <c r="G96" s="138" t="str">
        <f>EXTEMPORANEO!G96</f>
        <v/>
      </c>
      <c r="H96" s="139" t="e">
        <f>EXTEMPORANEO!H96</f>
        <v>#N/A</v>
      </c>
      <c r="I96" s="139" t="e">
        <f>EXTEMPORANEO!I96</f>
        <v>#N/A</v>
      </c>
      <c r="J96" s="212">
        <f>EXTEMPORANEO!J96</f>
        <v>0</v>
      </c>
      <c r="K96" s="212">
        <f>EXTEMPORANEO!K96</f>
        <v>0</v>
      </c>
      <c r="L96" s="212">
        <f>EXTEMPORANEO!L96</f>
        <v>0</v>
      </c>
      <c r="M96" s="212">
        <f>EXTEMPORANEO!M96</f>
        <v>0</v>
      </c>
      <c r="N96" s="212">
        <f>EXTEMPORANEO!N96</f>
        <v>0</v>
      </c>
      <c r="O96" s="212">
        <f>EXTEMPORANEO!O96</f>
        <v>0</v>
      </c>
      <c r="P96" s="212">
        <f>EXTEMPORANEO!P96</f>
        <v>0</v>
      </c>
      <c r="Q96" s="212">
        <f>EXTEMPORANEO!Q96</f>
        <v>0</v>
      </c>
      <c r="R96" s="174">
        <f>EXTEMPORANEO!R96</f>
        <v>0</v>
      </c>
      <c r="S96" s="174">
        <f>EXTEMPORANEO!S96</f>
        <v>0</v>
      </c>
      <c r="T96" s="141">
        <f>EXTEMPORANEO!T96</f>
        <v>0</v>
      </c>
      <c r="U96" s="84">
        <f>EXTEMPORANEO!U96</f>
        <v>0</v>
      </c>
      <c r="V96" s="13">
        <f>EXTEMPORANEO!V96</f>
        <v>0</v>
      </c>
      <c r="W96" s="13">
        <f>EXTEMPORANEO!W96</f>
        <v>0</v>
      </c>
      <c r="X96" s="113">
        <f>EXTEMPORANEO!X96</f>
        <v>0</v>
      </c>
      <c r="Y96" s="113">
        <f>EXTEMPORANEO!Y96</f>
        <v>0</v>
      </c>
      <c r="AA96" s="66"/>
    </row>
    <row r="97" spans="2:27" ht="13" customHeight="1">
      <c r="B97" s="73">
        <f>EXTEMPORANEO!B97</f>
        <v>0</v>
      </c>
      <c r="C97" s="25">
        <f>EXTEMPORANEO!C97</f>
        <v>2026091</v>
      </c>
      <c r="D97" s="226">
        <f>EXTEMPORANEO!D97</f>
        <v>0</v>
      </c>
      <c r="E97" s="138">
        <f>EXTEMPORANEO!E97</f>
        <v>0</v>
      </c>
      <c r="F97" s="139" t="e">
        <f>EXTEMPORANEO!F97</f>
        <v>#N/A</v>
      </c>
      <c r="G97" s="138" t="str">
        <f>EXTEMPORANEO!G97</f>
        <v/>
      </c>
      <c r="H97" s="139" t="e">
        <f>EXTEMPORANEO!H97</f>
        <v>#N/A</v>
      </c>
      <c r="I97" s="139" t="e">
        <f>EXTEMPORANEO!I97</f>
        <v>#N/A</v>
      </c>
      <c r="J97" s="212">
        <f>EXTEMPORANEO!J97</f>
        <v>0</v>
      </c>
      <c r="K97" s="212">
        <f>EXTEMPORANEO!K97</f>
        <v>0</v>
      </c>
      <c r="L97" s="212">
        <f>EXTEMPORANEO!L97</f>
        <v>0</v>
      </c>
      <c r="M97" s="212">
        <f>EXTEMPORANEO!M97</f>
        <v>0</v>
      </c>
      <c r="N97" s="212">
        <f>EXTEMPORANEO!N97</f>
        <v>0</v>
      </c>
      <c r="O97" s="212">
        <f>EXTEMPORANEO!O97</f>
        <v>0</v>
      </c>
      <c r="P97" s="212">
        <f>EXTEMPORANEO!P97</f>
        <v>0</v>
      </c>
      <c r="Q97" s="212">
        <f>EXTEMPORANEO!Q97</f>
        <v>0</v>
      </c>
      <c r="R97" s="174">
        <f>EXTEMPORANEO!R97</f>
        <v>0</v>
      </c>
      <c r="S97" s="174">
        <f>EXTEMPORANEO!S97</f>
        <v>0</v>
      </c>
      <c r="T97" s="141">
        <f>EXTEMPORANEO!T97</f>
        <v>0</v>
      </c>
      <c r="U97" s="84">
        <f>EXTEMPORANEO!U97</f>
        <v>0</v>
      </c>
      <c r="V97" s="13">
        <f>EXTEMPORANEO!V97</f>
        <v>0</v>
      </c>
      <c r="W97" s="13">
        <f>EXTEMPORANEO!W97</f>
        <v>0</v>
      </c>
      <c r="X97" s="113">
        <f>EXTEMPORANEO!X97</f>
        <v>0</v>
      </c>
      <c r="Y97" s="113">
        <f>EXTEMPORANEO!Y97</f>
        <v>0</v>
      </c>
      <c r="AA97" s="66"/>
    </row>
    <row r="98" spans="2:27" ht="13" customHeight="1">
      <c r="B98" s="73">
        <f>EXTEMPORANEO!B98</f>
        <v>0</v>
      </c>
      <c r="C98" s="25">
        <f>EXTEMPORANEO!C98</f>
        <v>2026091</v>
      </c>
      <c r="D98" s="226">
        <f>EXTEMPORANEO!D98</f>
        <v>0</v>
      </c>
      <c r="E98" s="138">
        <f>EXTEMPORANEO!E98</f>
        <v>0</v>
      </c>
      <c r="F98" s="139" t="e">
        <f>EXTEMPORANEO!F98</f>
        <v>#N/A</v>
      </c>
      <c r="G98" s="138" t="str">
        <f>EXTEMPORANEO!G98</f>
        <v/>
      </c>
      <c r="H98" s="139" t="e">
        <f>EXTEMPORANEO!H98</f>
        <v>#N/A</v>
      </c>
      <c r="I98" s="139" t="e">
        <f>EXTEMPORANEO!I98</f>
        <v>#N/A</v>
      </c>
      <c r="J98" s="212">
        <f>EXTEMPORANEO!J98</f>
        <v>0</v>
      </c>
      <c r="K98" s="212">
        <f>EXTEMPORANEO!K98</f>
        <v>0</v>
      </c>
      <c r="L98" s="212">
        <f>EXTEMPORANEO!L98</f>
        <v>0</v>
      </c>
      <c r="M98" s="212">
        <f>EXTEMPORANEO!M98</f>
        <v>0</v>
      </c>
      <c r="N98" s="212">
        <f>EXTEMPORANEO!N98</f>
        <v>0</v>
      </c>
      <c r="O98" s="212">
        <f>EXTEMPORANEO!O98</f>
        <v>0</v>
      </c>
      <c r="P98" s="212">
        <f>EXTEMPORANEO!P98</f>
        <v>0</v>
      </c>
      <c r="Q98" s="212">
        <f>EXTEMPORANEO!Q98</f>
        <v>0</v>
      </c>
      <c r="R98" s="174">
        <f>EXTEMPORANEO!R98</f>
        <v>0</v>
      </c>
      <c r="S98" s="174">
        <f>EXTEMPORANEO!S98</f>
        <v>0</v>
      </c>
      <c r="T98" s="141">
        <f>EXTEMPORANEO!T98</f>
        <v>0</v>
      </c>
      <c r="U98" s="84">
        <f>EXTEMPORANEO!U98</f>
        <v>0</v>
      </c>
      <c r="V98" s="13">
        <f>EXTEMPORANEO!V98</f>
        <v>0</v>
      </c>
      <c r="W98" s="13">
        <f>EXTEMPORANEO!W98</f>
        <v>0</v>
      </c>
      <c r="X98" s="113">
        <f>EXTEMPORANEO!X98</f>
        <v>0</v>
      </c>
      <c r="Y98" s="113">
        <f>EXTEMPORANEO!Y98</f>
        <v>0</v>
      </c>
      <c r="AA98" s="66"/>
    </row>
    <row r="99" spans="2:27" ht="13" customHeight="1">
      <c r="B99" s="73">
        <f>EXTEMPORANEO!B99</f>
        <v>0</v>
      </c>
      <c r="C99" s="25">
        <f>EXTEMPORANEO!C99</f>
        <v>2026091</v>
      </c>
      <c r="D99" s="226">
        <f>EXTEMPORANEO!D99</f>
        <v>0</v>
      </c>
      <c r="E99" s="138">
        <f>EXTEMPORANEO!E99</f>
        <v>0</v>
      </c>
      <c r="F99" s="139" t="e">
        <f>EXTEMPORANEO!F99</f>
        <v>#N/A</v>
      </c>
      <c r="G99" s="138" t="str">
        <f>EXTEMPORANEO!G99</f>
        <v/>
      </c>
      <c r="H99" s="139" t="e">
        <f>EXTEMPORANEO!H99</f>
        <v>#N/A</v>
      </c>
      <c r="I99" s="139" t="e">
        <f>EXTEMPORANEO!I99</f>
        <v>#N/A</v>
      </c>
      <c r="J99" s="212">
        <f>EXTEMPORANEO!J99</f>
        <v>0</v>
      </c>
      <c r="K99" s="212">
        <f>EXTEMPORANEO!K99</f>
        <v>0</v>
      </c>
      <c r="L99" s="212">
        <f>EXTEMPORANEO!L99</f>
        <v>0</v>
      </c>
      <c r="M99" s="212">
        <f>EXTEMPORANEO!M99</f>
        <v>0</v>
      </c>
      <c r="N99" s="212">
        <f>EXTEMPORANEO!N99</f>
        <v>0</v>
      </c>
      <c r="O99" s="212">
        <f>EXTEMPORANEO!O99</f>
        <v>0</v>
      </c>
      <c r="P99" s="212">
        <f>EXTEMPORANEO!P99</f>
        <v>0</v>
      </c>
      <c r="Q99" s="212">
        <f>EXTEMPORANEO!Q99</f>
        <v>0</v>
      </c>
      <c r="R99" s="174">
        <f>EXTEMPORANEO!R99</f>
        <v>0</v>
      </c>
      <c r="S99" s="174">
        <f>EXTEMPORANEO!S99</f>
        <v>0</v>
      </c>
      <c r="T99" s="141">
        <f>EXTEMPORANEO!T99</f>
        <v>0</v>
      </c>
      <c r="U99" s="84">
        <f>EXTEMPORANEO!U99</f>
        <v>0</v>
      </c>
      <c r="V99" s="13">
        <f>EXTEMPORANEO!V99</f>
        <v>0</v>
      </c>
      <c r="W99" s="13">
        <f>EXTEMPORANEO!W99</f>
        <v>0</v>
      </c>
      <c r="X99" s="113">
        <f>EXTEMPORANEO!X99</f>
        <v>0</v>
      </c>
      <c r="Y99" s="113">
        <f>EXTEMPORANEO!Y99</f>
        <v>0</v>
      </c>
      <c r="AA99" s="66"/>
    </row>
    <row r="100" spans="2:27" ht="13" customHeight="1">
      <c r="B100" s="73">
        <f>EXTEMPORANEO!B100</f>
        <v>0</v>
      </c>
      <c r="C100" s="25">
        <f>EXTEMPORANEO!C100</f>
        <v>2026091</v>
      </c>
      <c r="D100" s="226">
        <f>EXTEMPORANEO!D100</f>
        <v>0</v>
      </c>
      <c r="E100" s="138">
        <f>EXTEMPORANEO!E100</f>
        <v>0</v>
      </c>
      <c r="F100" s="139" t="e">
        <f>EXTEMPORANEO!F100</f>
        <v>#N/A</v>
      </c>
      <c r="G100" s="138" t="str">
        <f>EXTEMPORANEO!G100</f>
        <v/>
      </c>
      <c r="H100" s="139" t="e">
        <f>EXTEMPORANEO!H100</f>
        <v>#N/A</v>
      </c>
      <c r="I100" s="139" t="e">
        <f>EXTEMPORANEO!I100</f>
        <v>#N/A</v>
      </c>
      <c r="J100" s="212">
        <f>EXTEMPORANEO!J100</f>
        <v>0</v>
      </c>
      <c r="K100" s="212">
        <f>EXTEMPORANEO!K100</f>
        <v>0</v>
      </c>
      <c r="L100" s="212">
        <f>EXTEMPORANEO!L100</f>
        <v>0</v>
      </c>
      <c r="M100" s="212">
        <f>EXTEMPORANEO!M100</f>
        <v>0</v>
      </c>
      <c r="N100" s="212">
        <f>EXTEMPORANEO!N100</f>
        <v>0</v>
      </c>
      <c r="O100" s="212">
        <f>EXTEMPORANEO!O100</f>
        <v>0</v>
      </c>
      <c r="P100" s="212">
        <f>EXTEMPORANEO!P100</f>
        <v>0</v>
      </c>
      <c r="Q100" s="212">
        <f>EXTEMPORANEO!Q100</f>
        <v>0</v>
      </c>
      <c r="R100" s="174">
        <f>EXTEMPORANEO!R100</f>
        <v>0</v>
      </c>
      <c r="S100" s="174">
        <f>EXTEMPORANEO!S100</f>
        <v>0</v>
      </c>
      <c r="T100" s="141">
        <f>EXTEMPORANEO!T100</f>
        <v>0</v>
      </c>
      <c r="U100" s="84">
        <f>EXTEMPORANEO!U100</f>
        <v>0</v>
      </c>
      <c r="V100" s="13">
        <f>EXTEMPORANEO!V100</f>
        <v>0</v>
      </c>
      <c r="W100" s="13">
        <f>EXTEMPORANEO!W100</f>
        <v>0</v>
      </c>
      <c r="X100" s="113">
        <f>EXTEMPORANEO!X100</f>
        <v>0</v>
      </c>
      <c r="Y100" s="113">
        <f>EXTEMPORANEO!Y100</f>
        <v>0</v>
      </c>
      <c r="AA100" s="66"/>
    </row>
    <row r="101" spans="2:27" ht="13" customHeight="1">
      <c r="B101" s="73">
        <f>EXTEMPORANEO!B101</f>
        <v>0</v>
      </c>
      <c r="C101" s="25">
        <f>EXTEMPORANEO!C101</f>
        <v>2026091</v>
      </c>
      <c r="D101" s="226">
        <f>EXTEMPORANEO!D101</f>
        <v>0</v>
      </c>
      <c r="E101" s="138">
        <f>EXTEMPORANEO!E101</f>
        <v>0</v>
      </c>
      <c r="F101" s="139" t="e">
        <f>EXTEMPORANEO!F101</f>
        <v>#N/A</v>
      </c>
      <c r="G101" s="138" t="str">
        <f>EXTEMPORANEO!G101</f>
        <v/>
      </c>
      <c r="H101" s="139" t="e">
        <f>EXTEMPORANEO!H101</f>
        <v>#N/A</v>
      </c>
      <c r="I101" s="139" t="e">
        <f>EXTEMPORANEO!I101</f>
        <v>#N/A</v>
      </c>
      <c r="J101" s="212">
        <f>EXTEMPORANEO!J101</f>
        <v>0</v>
      </c>
      <c r="K101" s="212">
        <f>EXTEMPORANEO!K101</f>
        <v>0</v>
      </c>
      <c r="L101" s="212">
        <f>EXTEMPORANEO!L101</f>
        <v>0</v>
      </c>
      <c r="M101" s="212">
        <f>EXTEMPORANEO!M101</f>
        <v>0</v>
      </c>
      <c r="N101" s="212">
        <f>EXTEMPORANEO!N101</f>
        <v>0</v>
      </c>
      <c r="O101" s="212">
        <f>EXTEMPORANEO!O101</f>
        <v>0</v>
      </c>
      <c r="P101" s="212">
        <f>EXTEMPORANEO!P101</f>
        <v>0</v>
      </c>
      <c r="Q101" s="212">
        <f>EXTEMPORANEO!Q101</f>
        <v>0</v>
      </c>
      <c r="R101" s="174">
        <f>EXTEMPORANEO!R101</f>
        <v>0</v>
      </c>
      <c r="S101" s="174">
        <f>EXTEMPORANEO!S101</f>
        <v>0</v>
      </c>
      <c r="T101" s="141">
        <f>EXTEMPORANEO!T101</f>
        <v>0</v>
      </c>
      <c r="U101" s="84">
        <f>EXTEMPORANEO!U101</f>
        <v>0</v>
      </c>
      <c r="V101" s="13">
        <f>EXTEMPORANEO!V101</f>
        <v>0</v>
      </c>
      <c r="W101" s="13">
        <f>EXTEMPORANEO!W101</f>
        <v>0</v>
      </c>
      <c r="X101" s="113">
        <f>EXTEMPORANEO!X101</f>
        <v>0</v>
      </c>
      <c r="Y101" s="113">
        <f>EXTEMPORANEO!Y101</f>
        <v>0</v>
      </c>
      <c r="AA101" s="66"/>
    </row>
    <row r="102" spans="2:27" ht="13" customHeight="1">
      <c r="B102" s="73">
        <f>EXTEMPORANEO!B102</f>
        <v>0</v>
      </c>
      <c r="C102" s="25">
        <f>EXTEMPORANEO!C102</f>
        <v>2026091</v>
      </c>
      <c r="D102" s="226">
        <f>EXTEMPORANEO!D102</f>
        <v>0</v>
      </c>
      <c r="E102" s="138">
        <f>EXTEMPORANEO!E102</f>
        <v>0</v>
      </c>
      <c r="F102" s="139" t="e">
        <f>EXTEMPORANEO!F102</f>
        <v>#N/A</v>
      </c>
      <c r="G102" s="138" t="str">
        <f>EXTEMPORANEO!G102</f>
        <v/>
      </c>
      <c r="H102" s="139" t="e">
        <f>EXTEMPORANEO!H102</f>
        <v>#N/A</v>
      </c>
      <c r="I102" s="139" t="e">
        <f>EXTEMPORANEO!I102</f>
        <v>#N/A</v>
      </c>
      <c r="J102" s="212">
        <f>EXTEMPORANEO!J102</f>
        <v>0</v>
      </c>
      <c r="K102" s="212">
        <f>EXTEMPORANEO!K102</f>
        <v>0</v>
      </c>
      <c r="L102" s="212">
        <f>EXTEMPORANEO!L102</f>
        <v>0</v>
      </c>
      <c r="M102" s="212">
        <f>EXTEMPORANEO!M102</f>
        <v>0</v>
      </c>
      <c r="N102" s="212">
        <f>EXTEMPORANEO!N102</f>
        <v>0</v>
      </c>
      <c r="O102" s="212">
        <f>EXTEMPORANEO!O102</f>
        <v>0</v>
      </c>
      <c r="P102" s="212">
        <f>EXTEMPORANEO!P102</f>
        <v>0</v>
      </c>
      <c r="Q102" s="212">
        <f>EXTEMPORANEO!Q102</f>
        <v>0</v>
      </c>
      <c r="R102" s="174">
        <f>EXTEMPORANEO!R102</f>
        <v>0</v>
      </c>
      <c r="S102" s="174">
        <f>EXTEMPORANEO!S102</f>
        <v>0</v>
      </c>
      <c r="T102" s="141">
        <f>EXTEMPORANEO!T102</f>
        <v>0</v>
      </c>
      <c r="U102" s="84">
        <f>EXTEMPORANEO!U102</f>
        <v>0</v>
      </c>
      <c r="V102" s="13">
        <f>EXTEMPORANEO!V102</f>
        <v>0</v>
      </c>
      <c r="W102" s="13">
        <f>EXTEMPORANEO!W102</f>
        <v>0</v>
      </c>
      <c r="X102" s="113">
        <f>EXTEMPORANEO!X102</f>
        <v>0</v>
      </c>
      <c r="Y102" s="113">
        <f>EXTEMPORANEO!Y102</f>
        <v>0</v>
      </c>
      <c r="AA102" s="66"/>
    </row>
    <row r="103" spans="2:27" ht="13" customHeight="1">
      <c r="B103" s="73">
        <f>EXTEMPORANEO!B103</f>
        <v>0</v>
      </c>
      <c r="C103" s="25">
        <f>EXTEMPORANEO!C103</f>
        <v>2026091</v>
      </c>
      <c r="D103" s="226">
        <f>EXTEMPORANEO!D103</f>
        <v>0</v>
      </c>
      <c r="E103" s="138">
        <f>EXTEMPORANEO!E103</f>
        <v>0</v>
      </c>
      <c r="F103" s="139" t="e">
        <f>EXTEMPORANEO!F103</f>
        <v>#N/A</v>
      </c>
      <c r="G103" s="138" t="str">
        <f>EXTEMPORANEO!G103</f>
        <v/>
      </c>
      <c r="H103" s="139" t="e">
        <f>EXTEMPORANEO!H103</f>
        <v>#N/A</v>
      </c>
      <c r="I103" s="139" t="e">
        <f>EXTEMPORANEO!I103</f>
        <v>#N/A</v>
      </c>
      <c r="J103" s="212">
        <f>EXTEMPORANEO!J103</f>
        <v>0</v>
      </c>
      <c r="K103" s="212">
        <f>EXTEMPORANEO!K103</f>
        <v>0</v>
      </c>
      <c r="L103" s="212">
        <f>EXTEMPORANEO!L103</f>
        <v>0</v>
      </c>
      <c r="M103" s="212">
        <f>EXTEMPORANEO!M103</f>
        <v>0</v>
      </c>
      <c r="N103" s="212">
        <f>EXTEMPORANEO!N103</f>
        <v>0</v>
      </c>
      <c r="O103" s="212">
        <f>EXTEMPORANEO!O103</f>
        <v>0</v>
      </c>
      <c r="P103" s="212">
        <f>EXTEMPORANEO!P103</f>
        <v>0</v>
      </c>
      <c r="Q103" s="212">
        <f>EXTEMPORANEO!Q103</f>
        <v>0</v>
      </c>
      <c r="R103" s="174">
        <f>EXTEMPORANEO!R103</f>
        <v>0</v>
      </c>
      <c r="S103" s="174">
        <f>EXTEMPORANEO!S103</f>
        <v>0</v>
      </c>
      <c r="T103" s="141">
        <f>EXTEMPORANEO!T103</f>
        <v>0</v>
      </c>
      <c r="U103" s="84">
        <f>EXTEMPORANEO!U103</f>
        <v>0</v>
      </c>
      <c r="V103" s="13">
        <f>EXTEMPORANEO!V103</f>
        <v>0</v>
      </c>
      <c r="W103" s="13">
        <f>EXTEMPORANEO!W103</f>
        <v>0</v>
      </c>
      <c r="X103" s="113">
        <f>EXTEMPORANEO!X103</f>
        <v>0</v>
      </c>
      <c r="Y103" s="113">
        <f>EXTEMPORANEO!Y103</f>
        <v>0</v>
      </c>
      <c r="AA103" s="66"/>
    </row>
    <row r="104" spans="2:27" ht="13" customHeight="1">
      <c r="B104" s="73">
        <f>EXTEMPORANEO!B104</f>
        <v>0</v>
      </c>
      <c r="C104" s="25">
        <f>EXTEMPORANEO!C104</f>
        <v>2026091</v>
      </c>
      <c r="D104" s="226">
        <f>EXTEMPORANEO!D104</f>
        <v>0</v>
      </c>
      <c r="E104" s="138">
        <f>EXTEMPORANEO!E104</f>
        <v>0</v>
      </c>
      <c r="F104" s="139" t="e">
        <f>EXTEMPORANEO!F104</f>
        <v>#N/A</v>
      </c>
      <c r="G104" s="138" t="str">
        <f>EXTEMPORANEO!G104</f>
        <v/>
      </c>
      <c r="H104" s="139" t="e">
        <f>EXTEMPORANEO!H104</f>
        <v>#N/A</v>
      </c>
      <c r="I104" s="139" t="e">
        <f>EXTEMPORANEO!I104</f>
        <v>#N/A</v>
      </c>
      <c r="J104" s="212">
        <f>EXTEMPORANEO!J104</f>
        <v>0</v>
      </c>
      <c r="K104" s="212">
        <f>EXTEMPORANEO!K104</f>
        <v>0</v>
      </c>
      <c r="L104" s="212">
        <f>EXTEMPORANEO!L104</f>
        <v>0</v>
      </c>
      <c r="M104" s="212">
        <f>EXTEMPORANEO!M104</f>
        <v>0</v>
      </c>
      <c r="N104" s="212">
        <f>EXTEMPORANEO!N104</f>
        <v>0</v>
      </c>
      <c r="O104" s="212">
        <f>EXTEMPORANEO!O104</f>
        <v>0</v>
      </c>
      <c r="P104" s="212">
        <f>EXTEMPORANEO!P104</f>
        <v>0</v>
      </c>
      <c r="Q104" s="212">
        <f>EXTEMPORANEO!Q104</f>
        <v>0</v>
      </c>
      <c r="R104" s="174">
        <f>EXTEMPORANEO!R104</f>
        <v>0</v>
      </c>
      <c r="S104" s="174">
        <f>EXTEMPORANEO!S104</f>
        <v>0</v>
      </c>
      <c r="T104" s="141">
        <f>EXTEMPORANEO!T104</f>
        <v>0</v>
      </c>
      <c r="U104" s="84">
        <f>EXTEMPORANEO!U104</f>
        <v>0</v>
      </c>
      <c r="V104" s="13">
        <f>EXTEMPORANEO!V104</f>
        <v>0</v>
      </c>
      <c r="W104" s="13">
        <f>EXTEMPORANEO!W104</f>
        <v>0</v>
      </c>
      <c r="X104" s="113">
        <f>EXTEMPORANEO!X104</f>
        <v>0</v>
      </c>
      <c r="Y104" s="113">
        <f>EXTEMPORANEO!Y104</f>
        <v>0</v>
      </c>
      <c r="AA104" s="66"/>
    </row>
    <row r="105" spans="2:27" ht="13" customHeight="1">
      <c r="B105" s="73">
        <f>EXTEMPORANEO!B105</f>
        <v>0</v>
      </c>
      <c r="C105" s="25">
        <f>EXTEMPORANEO!C105</f>
        <v>2026091</v>
      </c>
      <c r="D105" s="226">
        <f>EXTEMPORANEO!D105</f>
        <v>0</v>
      </c>
      <c r="E105" s="138">
        <f>EXTEMPORANEO!E105</f>
        <v>0</v>
      </c>
      <c r="F105" s="139" t="e">
        <f>EXTEMPORANEO!F105</f>
        <v>#N/A</v>
      </c>
      <c r="G105" s="138" t="str">
        <f>EXTEMPORANEO!G105</f>
        <v/>
      </c>
      <c r="H105" s="139" t="e">
        <f>EXTEMPORANEO!H105</f>
        <v>#N/A</v>
      </c>
      <c r="I105" s="139" t="e">
        <f>EXTEMPORANEO!I105</f>
        <v>#N/A</v>
      </c>
      <c r="J105" s="212">
        <f>EXTEMPORANEO!J105</f>
        <v>0</v>
      </c>
      <c r="K105" s="212">
        <f>EXTEMPORANEO!K105</f>
        <v>0</v>
      </c>
      <c r="L105" s="212">
        <f>EXTEMPORANEO!L105</f>
        <v>0</v>
      </c>
      <c r="M105" s="212">
        <f>EXTEMPORANEO!M105</f>
        <v>0</v>
      </c>
      <c r="N105" s="212">
        <f>EXTEMPORANEO!N105</f>
        <v>0</v>
      </c>
      <c r="O105" s="212">
        <f>EXTEMPORANEO!O105</f>
        <v>0</v>
      </c>
      <c r="P105" s="212">
        <f>EXTEMPORANEO!P105</f>
        <v>0</v>
      </c>
      <c r="Q105" s="212">
        <f>EXTEMPORANEO!Q105</f>
        <v>0</v>
      </c>
      <c r="R105" s="174">
        <f>EXTEMPORANEO!R105</f>
        <v>0</v>
      </c>
      <c r="S105" s="174">
        <f>EXTEMPORANEO!S105</f>
        <v>0</v>
      </c>
      <c r="T105" s="141">
        <f>EXTEMPORANEO!T105</f>
        <v>0</v>
      </c>
      <c r="U105" s="84">
        <f>EXTEMPORANEO!U105</f>
        <v>0</v>
      </c>
      <c r="V105" s="13">
        <f>EXTEMPORANEO!V105</f>
        <v>0</v>
      </c>
      <c r="W105" s="13">
        <f>EXTEMPORANEO!W105</f>
        <v>0</v>
      </c>
      <c r="X105" s="113">
        <f>EXTEMPORANEO!X105</f>
        <v>0</v>
      </c>
      <c r="Y105" s="113">
        <f>EXTEMPORANEO!Y105</f>
        <v>0</v>
      </c>
      <c r="AA105" s="66"/>
    </row>
    <row r="106" spans="2:27" ht="13" customHeight="1">
      <c r="B106" s="73">
        <f>EXTEMPORANEO!B106</f>
        <v>0</v>
      </c>
      <c r="C106" s="25">
        <f>EXTEMPORANEO!C106</f>
        <v>2026091</v>
      </c>
      <c r="D106" s="226">
        <f>EXTEMPORANEO!D106</f>
        <v>0</v>
      </c>
      <c r="E106" s="138">
        <f>EXTEMPORANEO!E106</f>
        <v>0</v>
      </c>
      <c r="F106" s="139" t="e">
        <f>EXTEMPORANEO!F106</f>
        <v>#N/A</v>
      </c>
      <c r="G106" s="138" t="str">
        <f>EXTEMPORANEO!G106</f>
        <v/>
      </c>
      <c r="H106" s="139" t="e">
        <f>EXTEMPORANEO!H106</f>
        <v>#N/A</v>
      </c>
      <c r="I106" s="139" t="e">
        <f>EXTEMPORANEO!I106</f>
        <v>#N/A</v>
      </c>
      <c r="J106" s="212">
        <f>EXTEMPORANEO!J106</f>
        <v>0</v>
      </c>
      <c r="K106" s="212">
        <f>EXTEMPORANEO!K106</f>
        <v>0</v>
      </c>
      <c r="L106" s="212">
        <f>EXTEMPORANEO!L106</f>
        <v>0</v>
      </c>
      <c r="M106" s="212">
        <f>EXTEMPORANEO!M106</f>
        <v>0</v>
      </c>
      <c r="N106" s="212">
        <f>EXTEMPORANEO!N106</f>
        <v>0</v>
      </c>
      <c r="O106" s="212">
        <f>EXTEMPORANEO!O106</f>
        <v>0</v>
      </c>
      <c r="P106" s="212">
        <f>EXTEMPORANEO!P106</f>
        <v>0</v>
      </c>
      <c r="Q106" s="212">
        <f>EXTEMPORANEO!Q106</f>
        <v>0</v>
      </c>
      <c r="R106" s="174">
        <f>EXTEMPORANEO!R106</f>
        <v>0</v>
      </c>
      <c r="S106" s="174">
        <f>EXTEMPORANEO!S106</f>
        <v>0</v>
      </c>
      <c r="T106" s="141">
        <f>EXTEMPORANEO!T106</f>
        <v>0</v>
      </c>
      <c r="U106" s="84">
        <f>EXTEMPORANEO!U106</f>
        <v>0</v>
      </c>
      <c r="V106" s="13">
        <f>EXTEMPORANEO!V106</f>
        <v>0</v>
      </c>
      <c r="W106" s="13">
        <f>EXTEMPORANEO!W106</f>
        <v>0</v>
      </c>
      <c r="X106" s="113">
        <f>EXTEMPORANEO!X106</f>
        <v>0</v>
      </c>
      <c r="Y106" s="113">
        <f>EXTEMPORANEO!Y106</f>
        <v>0</v>
      </c>
      <c r="AA106" s="66"/>
    </row>
    <row r="107" spans="2:27" ht="13" customHeight="1">
      <c r="B107" s="73">
        <f>EXTEMPORANEO!B107</f>
        <v>0</v>
      </c>
      <c r="C107" s="25">
        <f>EXTEMPORANEO!C107</f>
        <v>2026091</v>
      </c>
      <c r="D107" s="226">
        <f>EXTEMPORANEO!D107</f>
        <v>0</v>
      </c>
      <c r="E107" s="138">
        <f>EXTEMPORANEO!E107</f>
        <v>0</v>
      </c>
      <c r="F107" s="139" t="e">
        <f>EXTEMPORANEO!F107</f>
        <v>#N/A</v>
      </c>
      <c r="G107" s="138" t="str">
        <f>EXTEMPORANEO!G107</f>
        <v/>
      </c>
      <c r="H107" s="139" t="e">
        <f>EXTEMPORANEO!H107</f>
        <v>#N/A</v>
      </c>
      <c r="I107" s="139" t="e">
        <f>EXTEMPORANEO!I107</f>
        <v>#N/A</v>
      </c>
      <c r="J107" s="212">
        <f>EXTEMPORANEO!J107</f>
        <v>0</v>
      </c>
      <c r="K107" s="212">
        <f>EXTEMPORANEO!K107</f>
        <v>0</v>
      </c>
      <c r="L107" s="212">
        <f>EXTEMPORANEO!L107</f>
        <v>0</v>
      </c>
      <c r="M107" s="212">
        <f>EXTEMPORANEO!M107</f>
        <v>0</v>
      </c>
      <c r="N107" s="212">
        <f>EXTEMPORANEO!N107</f>
        <v>0</v>
      </c>
      <c r="O107" s="212">
        <f>EXTEMPORANEO!O107</f>
        <v>0</v>
      </c>
      <c r="P107" s="212">
        <f>EXTEMPORANEO!P107</f>
        <v>0</v>
      </c>
      <c r="Q107" s="212">
        <f>EXTEMPORANEO!Q107</f>
        <v>0</v>
      </c>
      <c r="R107" s="174">
        <f>EXTEMPORANEO!R107</f>
        <v>0</v>
      </c>
      <c r="S107" s="174">
        <f>EXTEMPORANEO!S107</f>
        <v>0</v>
      </c>
      <c r="T107" s="141">
        <f>EXTEMPORANEO!T107</f>
        <v>0</v>
      </c>
      <c r="U107" s="84">
        <f>EXTEMPORANEO!U107</f>
        <v>0</v>
      </c>
      <c r="V107" s="13">
        <f>EXTEMPORANEO!V107</f>
        <v>0</v>
      </c>
      <c r="W107" s="13">
        <f>EXTEMPORANEO!W107</f>
        <v>0</v>
      </c>
      <c r="X107" s="113">
        <f>EXTEMPORANEO!X107</f>
        <v>0</v>
      </c>
      <c r="Y107" s="113">
        <f>EXTEMPORANEO!Y107</f>
        <v>0</v>
      </c>
      <c r="AA107" s="66"/>
    </row>
    <row r="108" spans="2:27" ht="13" customHeight="1">
      <c r="B108" s="73">
        <f>EXTEMPORANEO!B108</f>
        <v>0</v>
      </c>
      <c r="C108" s="25">
        <f>EXTEMPORANEO!C108</f>
        <v>2026091</v>
      </c>
      <c r="D108" s="226">
        <f>EXTEMPORANEO!D108</f>
        <v>0</v>
      </c>
      <c r="E108" s="138">
        <f>EXTEMPORANEO!E108</f>
        <v>0</v>
      </c>
      <c r="F108" s="139" t="e">
        <f>EXTEMPORANEO!F108</f>
        <v>#N/A</v>
      </c>
      <c r="G108" s="138" t="str">
        <f>EXTEMPORANEO!G108</f>
        <v/>
      </c>
      <c r="H108" s="139" t="e">
        <f>EXTEMPORANEO!H108</f>
        <v>#N/A</v>
      </c>
      <c r="I108" s="139" t="e">
        <f>EXTEMPORANEO!I108</f>
        <v>#N/A</v>
      </c>
      <c r="J108" s="212">
        <f>EXTEMPORANEO!J108</f>
        <v>0</v>
      </c>
      <c r="K108" s="212">
        <f>EXTEMPORANEO!K108</f>
        <v>0</v>
      </c>
      <c r="L108" s="212">
        <f>EXTEMPORANEO!L108</f>
        <v>0</v>
      </c>
      <c r="M108" s="212">
        <f>EXTEMPORANEO!M108</f>
        <v>0</v>
      </c>
      <c r="N108" s="212">
        <f>EXTEMPORANEO!N108</f>
        <v>0</v>
      </c>
      <c r="O108" s="212">
        <f>EXTEMPORANEO!O108</f>
        <v>0</v>
      </c>
      <c r="P108" s="212">
        <f>EXTEMPORANEO!P108</f>
        <v>0</v>
      </c>
      <c r="Q108" s="212">
        <f>EXTEMPORANEO!Q108</f>
        <v>0</v>
      </c>
      <c r="R108" s="174">
        <f>EXTEMPORANEO!R108</f>
        <v>0</v>
      </c>
      <c r="S108" s="174">
        <f>EXTEMPORANEO!S108</f>
        <v>0</v>
      </c>
      <c r="T108" s="141">
        <f>EXTEMPORANEO!T108</f>
        <v>0</v>
      </c>
      <c r="U108" s="84">
        <f>EXTEMPORANEO!U108</f>
        <v>0</v>
      </c>
      <c r="V108" s="13">
        <f>EXTEMPORANEO!V108</f>
        <v>0</v>
      </c>
      <c r="W108" s="13">
        <f>EXTEMPORANEO!W108</f>
        <v>0</v>
      </c>
      <c r="X108" s="113">
        <f>EXTEMPORANEO!X108</f>
        <v>0</v>
      </c>
      <c r="Y108" s="113">
        <f>EXTEMPORANEO!Y108</f>
        <v>0</v>
      </c>
      <c r="AA108" s="66"/>
    </row>
    <row r="109" spans="2:27" ht="13" customHeight="1">
      <c r="B109" s="73">
        <f>EXTEMPORANEO!B109</f>
        <v>0</v>
      </c>
      <c r="C109" s="25">
        <f>EXTEMPORANEO!C109</f>
        <v>2026091</v>
      </c>
      <c r="D109" s="226">
        <f>EXTEMPORANEO!D109</f>
        <v>0</v>
      </c>
      <c r="E109" s="138">
        <f>EXTEMPORANEO!E109</f>
        <v>0</v>
      </c>
      <c r="F109" s="139" t="e">
        <f>EXTEMPORANEO!F109</f>
        <v>#N/A</v>
      </c>
      <c r="G109" s="138" t="str">
        <f>EXTEMPORANEO!G109</f>
        <v/>
      </c>
      <c r="H109" s="139" t="e">
        <f>EXTEMPORANEO!H109</f>
        <v>#N/A</v>
      </c>
      <c r="I109" s="139" t="e">
        <f>EXTEMPORANEO!I109</f>
        <v>#N/A</v>
      </c>
      <c r="J109" s="212">
        <f>EXTEMPORANEO!J109</f>
        <v>0</v>
      </c>
      <c r="K109" s="212">
        <f>EXTEMPORANEO!K109</f>
        <v>0</v>
      </c>
      <c r="L109" s="212">
        <f>EXTEMPORANEO!L109</f>
        <v>0</v>
      </c>
      <c r="M109" s="212">
        <f>EXTEMPORANEO!M109</f>
        <v>0</v>
      </c>
      <c r="N109" s="212">
        <f>EXTEMPORANEO!N109</f>
        <v>0</v>
      </c>
      <c r="O109" s="212">
        <f>EXTEMPORANEO!O109</f>
        <v>0</v>
      </c>
      <c r="P109" s="212">
        <f>EXTEMPORANEO!P109</f>
        <v>0</v>
      </c>
      <c r="Q109" s="212">
        <f>EXTEMPORANEO!Q109</f>
        <v>0</v>
      </c>
      <c r="R109" s="174">
        <f>EXTEMPORANEO!R109</f>
        <v>0</v>
      </c>
      <c r="S109" s="174">
        <f>EXTEMPORANEO!S109</f>
        <v>0</v>
      </c>
      <c r="T109" s="141">
        <f>EXTEMPORANEO!T109</f>
        <v>0</v>
      </c>
      <c r="U109" s="84">
        <f>EXTEMPORANEO!U109</f>
        <v>0</v>
      </c>
      <c r="V109" s="13">
        <f>EXTEMPORANEO!V109</f>
        <v>0</v>
      </c>
      <c r="W109" s="13">
        <f>EXTEMPORANEO!W109</f>
        <v>0</v>
      </c>
      <c r="X109" s="113">
        <f>EXTEMPORANEO!X109</f>
        <v>0</v>
      </c>
      <c r="Y109" s="113">
        <f>EXTEMPORANEO!Y109</f>
        <v>0</v>
      </c>
      <c r="AA109" s="66"/>
    </row>
    <row r="110" spans="2:27" ht="13" customHeight="1">
      <c r="B110" s="73">
        <f>EXTEMPORANEO!B110</f>
        <v>0</v>
      </c>
      <c r="C110" s="25">
        <f>EXTEMPORANEO!C110</f>
        <v>2026091</v>
      </c>
      <c r="D110" s="226">
        <f>EXTEMPORANEO!D110</f>
        <v>0</v>
      </c>
      <c r="E110" s="138">
        <f>EXTEMPORANEO!E110</f>
        <v>0</v>
      </c>
      <c r="F110" s="139" t="e">
        <f>EXTEMPORANEO!F110</f>
        <v>#N/A</v>
      </c>
      <c r="G110" s="138" t="str">
        <f>EXTEMPORANEO!G110</f>
        <v/>
      </c>
      <c r="H110" s="139" t="e">
        <f>EXTEMPORANEO!H110</f>
        <v>#N/A</v>
      </c>
      <c r="I110" s="139" t="e">
        <f>EXTEMPORANEO!I110</f>
        <v>#N/A</v>
      </c>
      <c r="J110" s="212">
        <f>EXTEMPORANEO!J110</f>
        <v>0</v>
      </c>
      <c r="K110" s="212">
        <f>EXTEMPORANEO!K110</f>
        <v>0</v>
      </c>
      <c r="L110" s="212">
        <f>EXTEMPORANEO!L110</f>
        <v>0</v>
      </c>
      <c r="M110" s="212">
        <f>EXTEMPORANEO!M110</f>
        <v>0</v>
      </c>
      <c r="N110" s="212">
        <f>EXTEMPORANEO!N110</f>
        <v>0</v>
      </c>
      <c r="O110" s="212">
        <f>EXTEMPORANEO!O110</f>
        <v>0</v>
      </c>
      <c r="P110" s="212">
        <f>EXTEMPORANEO!P110</f>
        <v>0</v>
      </c>
      <c r="Q110" s="212">
        <f>EXTEMPORANEO!Q110</f>
        <v>0</v>
      </c>
      <c r="R110" s="174">
        <f>EXTEMPORANEO!R110</f>
        <v>0</v>
      </c>
      <c r="S110" s="174">
        <f>EXTEMPORANEO!S110</f>
        <v>0</v>
      </c>
      <c r="T110" s="141">
        <f>EXTEMPORANEO!T110</f>
        <v>0</v>
      </c>
      <c r="U110" s="84">
        <f>EXTEMPORANEO!U110</f>
        <v>0</v>
      </c>
      <c r="V110" s="13">
        <f>EXTEMPORANEO!V110</f>
        <v>0</v>
      </c>
      <c r="W110" s="13">
        <f>EXTEMPORANEO!W110</f>
        <v>0</v>
      </c>
      <c r="X110" s="113">
        <f>EXTEMPORANEO!X110</f>
        <v>0</v>
      </c>
      <c r="Y110" s="113">
        <f>EXTEMPORANEO!Y110</f>
        <v>0</v>
      </c>
      <c r="AA110" s="66"/>
    </row>
    <row r="111" spans="2:27" ht="13" customHeight="1">
      <c r="B111" s="73">
        <f>EXTEMPORANEO!B111</f>
        <v>0</v>
      </c>
      <c r="C111" s="25">
        <f>EXTEMPORANEO!C111</f>
        <v>0</v>
      </c>
      <c r="D111" s="226">
        <f>EXTEMPORANEO!D111</f>
        <v>0</v>
      </c>
      <c r="E111" s="138">
        <f>EXTEMPORANEO!E111</f>
        <v>0</v>
      </c>
      <c r="F111" s="139">
        <f>EXTEMPORANEO!F111</f>
        <v>0</v>
      </c>
      <c r="G111" s="138">
        <f>EXTEMPORANEO!G111</f>
        <v>0</v>
      </c>
      <c r="H111" s="139">
        <f>EXTEMPORANEO!H111</f>
        <v>0</v>
      </c>
      <c r="I111" s="139">
        <f>EXTEMPORANEO!I111</f>
        <v>0</v>
      </c>
      <c r="J111" s="212">
        <f>EXTEMPORANEO!J111</f>
        <v>0</v>
      </c>
      <c r="K111" s="212">
        <f>EXTEMPORANEO!K111</f>
        <v>0</v>
      </c>
      <c r="L111" s="212">
        <f>EXTEMPORANEO!L111</f>
        <v>0</v>
      </c>
      <c r="M111" s="212">
        <f>EXTEMPORANEO!M111</f>
        <v>0</v>
      </c>
      <c r="N111" s="212">
        <f>EXTEMPORANEO!N111</f>
        <v>0</v>
      </c>
      <c r="O111" s="212">
        <f>EXTEMPORANEO!O111</f>
        <v>0</v>
      </c>
      <c r="P111" s="212">
        <f>EXTEMPORANEO!P111</f>
        <v>0</v>
      </c>
      <c r="Q111" s="212">
        <f>EXTEMPORANEO!Q111</f>
        <v>0</v>
      </c>
      <c r="R111" s="174">
        <f>EXTEMPORANEO!R111</f>
        <v>0</v>
      </c>
      <c r="S111" s="174">
        <f>EXTEMPORANEO!S111</f>
        <v>0</v>
      </c>
      <c r="T111" s="141">
        <f>EXTEMPORANEO!T111</f>
        <v>0</v>
      </c>
      <c r="U111" s="84">
        <f>EXTEMPORANEO!U111</f>
        <v>0</v>
      </c>
      <c r="V111" s="13">
        <f>EXTEMPORANEO!V111</f>
        <v>0</v>
      </c>
      <c r="W111" s="13">
        <f>EXTEMPORANEO!W111</f>
        <v>0</v>
      </c>
      <c r="X111" s="113">
        <f>EXTEMPORANEO!X111</f>
        <v>0</v>
      </c>
      <c r="Y111" s="113">
        <f>EXTEMPORANEO!Y111</f>
        <v>0</v>
      </c>
      <c r="AA111" s="66"/>
    </row>
    <row r="112" spans="2:27" ht="13" customHeight="1">
      <c r="B112" s="132"/>
      <c r="C112" s="20"/>
      <c r="D112" s="227"/>
      <c r="E112" s="133"/>
      <c r="F112" s="134"/>
      <c r="G112" s="133"/>
      <c r="H112" s="134"/>
      <c r="I112" s="134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6"/>
      <c r="U112" s="135"/>
      <c r="V112" s="135"/>
      <c r="W112" s="131"/>
      <c r="X112" s="131"/>
      <c r="Y112" s="131"/>
      <c r="AA112" s="66"/>
    </row>
    <row r="113" spans="1:27 16085:16086" ht="15.75" customHeight="1">
      <c r="A113" s="72"/>
      <c r="B113" s="74"/>
      <c r="C113" s="75"/>
      <c r="D113" s="228"/>
      <c r="E113" s="76"/>
      <c r="F113" s="76"/>
      <c r="G113" s="76"/>
      <c r="H113" s="76"/>
      <c r="I113" s="77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9"/>
      <c r="X113" s="78"/>
      <c r="Y113" s="78"/>
      <c r="Z113" s="72"/>
      <c r="AA113" s="66"/>
    </row>
    <row r="114" spans="1:27 16085:16086" ht="15.75" customHeight="1" thickBot="1">
      <c r="B114" s="132"/>
      <c r="C114" s="20"/>
      <c r="D114" s="227"/>
      <c r="E114" s="133"/>
      <c r="F114" s="134"/>
      <c r="G114" s="133"/>
      <c r="H114" s="133"/>
      <c r="I114" s="137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1"/>
      <c r="X114" s="135"/>
      <c r="Y114" s="135"/>
      <c r="AA114" s="66"/>
    </row>
    <row r="115" spans="1:27 16085:16086" ht="41.25" customHeight="1" thickBot="1">
      <c r="B115" s="112" t="s">
        <v>4</v>
      </c>
      <c r="C115" s="34" t="s">
        <v>6</v>
      </c>
      <c r="D115" s="225" t="s">
        <v>7</v>
      </c>
      <c r="E115" s="34" t="s">
        <v>49</v>
      </c>
      <c r="F115" s="34" t="s">
        <v>50</v>
      </c>
      <c r="G115" s="34" t="s">
        <v>51</v>
      </c>
      <c r="H115" s="34" t="s">
        <v>52</v>
      </c>
      <c r="I115" s="34" t="s">
        <v>13</v>
      </c>
      <c r="J115" s="12" t="s">
        <v>8</v>
      </c>
      <c r="K115" s="12" t="s">
        <v>36</v>
      </c>
      <c r="L115" s="12" t="s">
        <v>9</v>
      </c>
      <c r="M115" s="12" t="s">
        <v>37</v>
      </c>
      <c r="N115" s="87" t="s">
        <v>10</v>
      </c>
      <c r="O115" s="88" t="s">
        <v>38</v>
      </c>
      <c r="P115" s="87" t="s">
        <v>11</v>
      </c>
      <c r="Q115" s="88" t="s">
        <v>39</v>
      </c>
      <c r="R115" s="87" t="s">
        <v>12</v>
      </c>
      <c r="S115" s="88" t="s">
        <v>40</v>
      </c>
      <c r="T115" s="64" t="s">
        <v>41</v>
      </c>
      <c r="U115" s="64" t="s">
        <v>42</v>
      </c>
      <c r="V115" s="35" t="s">
        <v>32</v>
      </c>
      <c r="W115" s="67" t="s">
        <v>35</v>
      </c>
      <c r="X115" s="12" t="s">
        <v>34</v>
      </c>
      <c r="Y115" s="68" t="s">
        <v>33</v>
      </c>
      <c r="AA115" s="66"/>
      <c r="WTQ115"/>
      <c r="WTR115"/>
    </row>
    <row r="116" spans="1:27 16085:16086" ht="13" customHeight="1">
      <c r="B116" s="33" t="str">
        <f>EXTEMPORANEO!B115</f>
        <v>18/09/2026</v>
      </c>
      <c r="C116" s="25">
        <f>EXTEMPORANEO!C115</f>
        <v>2026092</v>
      </c>
      <c r="D116" s="226">
        <f>EXTEMPORANEO!D115</f>
        <v>46266</v>
      </c>
      <c r="E116" s="138">
        <f>EXTEMPORANEO!E115</f>
        <v>20</v>
      </c>
      <c r="F116" s="139" t="str">
        <f>EXTEMPORANEO!F115</f>
        <v>Bancolombia ENERBIT</v>
      </c>
      <c r="G116" s="138">
        <f>EXTEMPORANEO!G115</f>
        <v>1</v>
      </c>
      <c r="H116" s="139" t="str">
        <f>EXTEMPORANEO!H115</f>
        <v>Oficinas</v>
      </c>
      <c r="I116" s="139">
        <f>EXTEMPORANEO!I115</f>
        <v>0</v>
      </c>
      <c r="J116" s="13">
        <f>EXTEMPORANEO!J115</f>
        <v>0</v>
      </c>
      <c r="K116" s="13">
        <f>EXTEMPORANEO!K115</f>
        <v>0</v>
      </c>
      <c r="L116" s="13">
        <f>EXTEMPORANEO!L115</f>
        <v>0</v>
      </c>
      <c r="M116" s="13">
        <f>EXTEMPORANEO!M115</f>
        <v>0</v>
      </c>
      <c r="N116" s="13">
        <f>EXTEMPORANEO!N115</f>
        <v>0</v>
      </c>
      <c r="O116" s="13">
        <f>EXTEMPORANEO!O115</f>
        <v>0</v>
      </c>
      <c r="P116" s="13">
        <f>EXTEMPORANEO!P115</f>
        <v>0</v>
      </c>
      <c r="Q116" s="13">
        <f>EXTEMPORANEO!Q115</f>
        <v>0</v>
      </c>
      <c r="R116" s="140">
        <f>EXTEMPORANEO!R115</f>
        <v>17</v>
      </c>
      <c r="S116" s="140">
        <f>EXTEMPORANEO!S115</f>
        <v>671920</v>
      </c>
      <c r="T116" s="141">
        <f>EXTEMPORANEO!T115</f>
        <v>17</v>
      </c>
      <c r="U116" s="84">
        <f>EXTEMPORANEO!U115</f>
        <v>671920</v>
      </c>
      <c r="V116" s="13">
        <f>EXTEMPORANEO!V115</f>
        <v>17</v>
      </c>
      <c r="W116" s="13">
        <f>EXTEMPORANEO!W115</f>
        <v>671920</v>
      </c>
      <c r="X116" s="113">
        <f>EXTEMPORANEO!X115</f>
        <v>0</v>
      </c>
      <c r="Y116" s="113">
        <f>EXTEMPORANEO!Y115</f>
        <v>0</v>
      </c>
      <c r="AA116" s="66"/>
    </row>
    <row r="117" spans="1:27 16085:16086" ht="13" customHeight="1">
      <c r="B117" s="33" t="str">
        <f>EXTEMPORANEO!B116</f>
        <v>18/09/2026</v>
      </c>
      <c r="C117" s="25">
        <f>EXTEMPORANEO!C116</f>
        <v>2026092</v>
      </c>
      <c r="D117" s="226">
        <f>EXTEMPORANEO!D116</f>
        <v>46267</v>
      </c>
      <c r="E117" s="138">
        <f>EXTEMPORANEO!E116</f>
        <v>20</v>
      </c>
      <c r="F117" s="139" t="str">
        <f>EXTEMPORANEO!F116</f>
        <v>Bancolombia ENERBIT</v>
      </c>
      <c r="G117" s="138">
        <f>EXTEMPORANEO!G116</f>
        <v>1</v>
      </c>
      <c r="H117" s="139" t="str">
        <f>EXTEMPORANEO!H116</f>
        <v>Oficinas</v>
      </c>
      <c r="I117" s="139">
        <f>EXTEMPORANEO!I116</f>
        <v>0</v>
      </c>
      <c r="J117" s="13">
        <f>EXTEMPORANEO!J116</f>
        <v>0</v>
      </c>
      <c r="K117" s="13">
        <f>EXTEMPORANEO!K116</f>
        <v>0</v>
      </c>
      <c r="L117" s="56">
        <f>EXTEMPORANEO!L116</f>
        <v>0</v>
      </c>
      <c r="M117" s="56">
        <f>EXTEMPORANEO!M116</f>
        <v>0</v>
      </c>
      <c r="N117" s="13">
        <f>EXTEMPORANEO!N116</f>
        <v>0</v>
      </c>
      <c r="O117" s="13">
        <f>EXTEMPORANEO!O116</f>
        <v>0</v>
      </c>
      <c r="P117" s="13">
        <f>EXTEMPORANEO!P116</f>
        <v>0</v>
      </c>
      <c r="Q117" s="13">
        <f>EXTEMPORANEO!Q116</f>
        <v>0</v>
      </c>
      <c r="R117" s="140">
        <f>EXTEMPORANEO!R116</f>
        <v>17</v>
      </c>
      <c r="S117" s="140">
        <f>EXTEMPORANEO!S116</f>
        <v>683150</v>
      </c>
      <c r="T117" s="141">
        <f>EXTEMPORANEO!T116</f>
        <v>17</v>
      </c>
      <c r="U117" s="84">
        <f>EXTEMPORANEO!U116</f>
        <v>683150</v>
      </c>
      <c r="V117" s="13">
        <f>EXTEMPORANEO!V116</f>
        <v>17</v>
      </c>
      <c r="W117" s="13">
        <f>EXTEMPORANEO!W116</f>
        <v>683150</v>
      </c>
      <c r="X117" s="113">
        <f>EXTEMPORANEO!X116</f>
        <v>0</v>
      </c>
      <c r="Y117" s="113">
        <f>EXTEMPORANEO!Y116</f>
        <v>0</v>
      </c>
      <c r="AA117" s="66"/>
    </row>
    <row r="118" spans="1:27 16085:16086" ht="13" customHeight="1">
      <c r="B118" s="33" t="str">
        <f>EXTEMPORANEO!B117</f>
        <v>18/09/2026</v>
      </c>
      <c r="C118" s="25">
        <f>EXTEMPORANEO!C117</f>
        <v>2026092</v>
      </c>
      <c r="D118" s="226">
        <f>EXTEMPORANEO!D117</f>
        <v>46268</v>
      </c>
      <c r="E118" s="138">
        <f>EXTEMPORANEO!E117</f>
        <v>20</v>
      </c>
      <c r="F118" s="139" t="str">
        <f>EXTEMPORANEO!F117</f>
        <v>Bancolombia ENERBIT</v>
      </c>
      <c r="G118" s="138">
        <f>EXTEMPORANEO!G117</f>
        <v>1</v>
      </c>
      <c r="H118" s="139" t="str">
        <f>EXTEMPORANEO!H117</f>
        <v>Oficinas</v>
      </c>
      <c r="I118" s="139">
        <f>EXTEMPORANEO!I117</f>
        <v>0</v>
      </c>
      <c r="J118" s="13">
        <f>EXTEMPORANEO!J117</f>
        <v>0</v>
      </c>
      <c r="K118" s="13">
        <f>EXTEMPORANEO!K117</f>
        <v>0</v>
      </c>
      <c r="L118" s="56">
        <f>EXTEMPORANEO!L117</f>
        <v>0</v>
      </c>
      <c r="M118" s="56">
        <f>EXTEMPORANEO!M117</f>
        <v>0</v>
      </c>
      <c r="N118" s="13">
        <f>EXTEMPORANEO!N117</f>
        <v>0</v>
      </c>
      <c r="O118" s="13">
        <f>EXTEMPORANEO!O117</f>
        <v>0</v>
      </c>
      <c r="P118" s="13">
        <f>EXTEMPORANEO!P117</f>
        <v>0</v>
      </c>
      <c r="Q118" s="13">
        <f>EXTEMPORANEO!Q117</f>
        <v>0</v>
      </c>
      <c r="R118" s="140">
        <f>EXTEMPORANEO!R117</f>
        <v>6</v>
      </c>
      <c r="S118" s="140">
        <f>EXTEMPORANEO!S117</f>
        <v>289600</v>
      </c>
      <c r="T118" s="141">
        <f>EXTEMPORANEO!T117</f>
        <v>6</v>
      </c>
      <c r="U118" s="84">
        <f>EXTEMPORANEO!U117</f>
        <v>289600</v>
      </c>
      <c r="V118" s="13">
        <f>EXTEMPORANEO!V117</f>
        <v>6</v>
      </c>
      <c r="W118" s="13">
        <f>EXTEMPORANEO!W117</f>
        <v>289600</v>
      </c>
      <c r="X118" s="113">
        <f>EXTEMPORANEO!X117</f>
        <v>0</v>
      </c>
      <c r="Y118" s="113">
        <f>EXTEMPORANEO!Y117</f>
        <v>0</v>
      </c>
      <c r="AA118" s="66"/>
    </row>
    <row r="119" spans="1:27 16085:16086" ht="13" customHeight="1">
      <c r="B119" s="33" t="str">
        <f>EXTEMPORANEO!B118</f>
        <v>18/09/2026</v>
      </c>
      <c r="C119" s="25">
        <f>EXTEMPORANEO!C118</f>
        <v>2026092</v>
      </c>
      <c r="D119" s="226">
        <f>EXTEMPORANEO!D118</f>
        <v>46271</v>
      </c>
      <c r="E119" s="138">
        <f>EXTEMPORANEO!E118</f>
        <v>20</v>
      </c>
      <c r="F119" s="139" t="str">
        <f>EXTEMPORANEO!F118</f>
        <v>Bancolombia ENERBIT</v>
      </c>
      <c r="G119" s="138">
        <f>EXTEMPORANEO!G118</f>
        <v>1</v>
      </c>
      <c r="H119" s="139" t="str">
        <f>EXTEMPORANEO!H118</f>
        <v>Oficinas</v>
      </c>
      <c r="I119" s="139">
        <f>EXTEMPORANEO!I118</f>
        <v>0</v>
      </c>
      <c r="J119" s="13">
        <f>EXTEMPORANEO!J118</f>
        <v>0</v>
      </c>
      <c r="K119" s="13">
        <f>EXTEMPORANEO!K118</f>
        <v>0</v>
      </c>
      <c r="L119" s="56">
        <f>EXTEMPORANEO!L118</f>
        <v>0</v>
      </c>
      <c r="M119" s="56">
        <f>EXTEMPORANEO!M118</f>
        <v>0</v>
      </c>
      <c r="N119" s="13">
        <f>EXTEMPORANEO!N118</f>
        <v>0</v>
      </c>
      <c r="O119" s="13">
        <f>EXTEMPORANEO!O118</f>
        <v>0</v>
      </c>
      <c r="P119" s="13">
        <f>EXTEMPORANEO!P118</f>
        <v>0</v>
      </c>
      <c r="Q119" s="13">
        <f>EXTEMPORANEO!Q118</f>
        <v>0</v>
      </c>
      <c r="R119" s="140">
        <f>EXTEMPORANEO!R118</f>
        <v>3</v>
      </c>
      <c r="S119" s="140">
        <f>EXTEMPORANEO!S118</f>
        <v>130990</v>
      </c>
      <c r="T119" s="141">
        <f>EXTEMPORANEO!T118</f>
        <v>3</v>
      </c>
      <c r="U119" s="84">
        <f>EXTEMPORANEO!U118</f>
        <v>130990</v>
      </c>
      <c r="V119" s="13">
        <f>EXTEMPORANEO!V118</f>
        <v>3</v>
      </c>
      <c r="W119" s="13">
        <f>EXTEMPORANEO!W118</f>
        <v>130990</v>
      </c>
      <c r="X119" s="113">
        <f>EXTEMPORANEO!X118</f>
        <v>0</v>
      </c>
      <c r="Y119" s="113">
        <f>EXTEMPORANEO!Y118</f>
        <v>0</v>
      </c>
      <c r="AA119" s="66"/>
    </row>
    <row r="120" spans="1:27 16085:16086" ht="13" customHeight="1">
      <c r="B120" s="33" t="str">
        <f>EXTEMPORANEO!B119</f>
        <v>18/09/2026</v>
      </c>
      <c r="C120" s="25">
        <f>EXTEMPORANEO!C119</f>
        <v>2026092</v>
      </c>
      <c r="D120" s="226">
        <f>EXTEMPORANEO!D119</f>
        <v>46272</v>
      </c>
      <c r="E120" s="138">
        <f>EXTEMPORANEO!E119</f>
        <v>20</v>
      </c>
      <c r="F120" s="139" t="str">
        <f>EXTEMPORANEO!F119</f>
        <v>Bancolombia ENERBIT</v>
      </c>
      <c r="G120" s="138">
        <f>EXTEMPORANEO!G119</f>
        <v>1</v>
      </c>
      <c r="H120" s="139" t="str">
        <f>EXTEMPORANEO!H119</f>
        <v>Oficinas</v>
      </c>
      <c r="I120" s="139">
        <f>EXTEMPORANEO!I119</f>
        <v>0</v>
      </c>
      <c r="J120" s="13">
        <f>EXTEMPORANEO!J119</f>
        <v>0</v>
      </c>
      <c r="K120" s="13">
        <f>EXTEMPORANEO!K119</f>
        <v>0</v>
      </c>
      <c r="L120" s="56">
        <f>EXTEMPORANEO!L119</f>
        <v>0</v>
      </c>
      <c r="M120" s="56">
        <f>EXTEMPORANEO!M119</f>
        <v>0</v>
      </c>
      <c r="N120" s="13">
        <f>EXTEMPORANEO!N119</f>
        <v>0</v>
      </c>
      <c r="O120" s="13">
        <f>EXTEMPORANEO!O119</f>
        <v>0</v>
      </c>
      <c r="P120" s="13">
        <f>EXTEMPORANEO!P119</f>
        <v>0</v>
      </c>
      <c r="Q120" s="13">
        <f>EXTEMPORANEO!Q119</f>
        <v>0</v>
      </c>
      <c r="R120" s="140">
        <f>EXTEMPORANEO!R119</f>
        <v>18</v>
      </c>
      <c r="S120" s="140">
        <f>EXTEMPORANEO!S119</f>
        <v>2462190</v>
      </c>
      <c r="T120" s="141">
        <f>EXTEMPORANEO!T119</f>
        <v>18</v>
      </c>
      <c r="U120" s="84">
        <f>EXTEMPORANEO!U119</f>
        <v>2462190</v>
      </c>
      <c r="V120" s="13">
        <f>EXTEMPORANEO!V119</f>
        <v>18</v>
      </c>
      <c r="W120" s="13">
        <f>EXTEMPORANEO!W119</f>
        <v>2462190</v>
      </c>
      <c r="X120" s="113">
        <f>EXTEMPORANEO!X119</f>
        <v>0</v>
      </c>
      <c r="Y120" s="113">
        <f>EXTEMPORANEO!Y119</f>
        <v>0</v>
      </c>
      <c r="AA120" s="66"/>
    </row>
    <row r="121" spans="1:27 16085:16086" ht="13" customHeight="1">
      <c r="B121" s="33" t="str">
        <f>EXTEMPORANEO!B120</f>
        <v>18/09/2026</v>
      </c>
      <c r="C121" s="25">
        <f>EXTEMPORANEO!C120</f>
        <v>2026092</v>
      </c>
      <c r="D121" s="226">
        <f>EXTEMPORANEO!D120</f>
        <v>46274</v>
      </c>
      <c r="E121" s="138">
        <f>EXTEMPORANEO!E120</f>
        <v>20</v>
      </c>
      <c r="F121" s="139" t="str">
        <f>EXTEMPORANEO!F120</f>
        <v>Bancolombia ENERBIT</v>
      </c>
      <c r="G121" s="138">
        <f>EXTEMPORANEO!G120</f>
        <v>1</v>
      </c>
      <c r="H121" s="139" t="str">
        <f>EXTEMPORANEO!H120</f>
        <v>Oficinas</v>
      </c>
      <c r="I121" s="139">
        <f>EXTEMPORANEO!I120</f>
        <v>0</v>
      </c>
      <c r="J121" s="13">
        <f>EXTEMPORANEO!J120</f>
        <v>0</v>
      </c>
      <c r="K121" s="13">
        <f>EXTEMPORANEO!K120</f>
        <v>0</v>
      </c>
      <c r="L121" s="36">
        <f>EXTEMPORANEO!L120</f>
        <v>0</v>
      </c>
      <c r="M121" s="36">
        <f>EXTEMPORANEO!M120</f>
        <v>0</v>
      </c>
      <c r="N121" s="13">
        <f>EXTEMPORANEO!N120</f>
        <v>0</v>
      </c>
      <c r="O121" s="13">
        <f>EXTEMPORANEO!O120</f>
        <v>0</v>
      </c>
      <c r="P121" s="13">
        <f>EXTEMPORANEO!P120</f>
        <v>0</v>
      </c>
      <c r="Q121" s="13">
        <f>EXTEMPORANEO!Q120</f>
        <v>0</v>
      </c>
      <c r="R121" s="140">
        <f>EXTEMPORANEO!R120</f>
        <v>5</v>
      </c>
      <c r="S121" s="140">
        <f>EXTEMPORANEO!S120</f>
        <v>272630</v>
      </c>
      <c r="T121" s="141">
        <f>EXTEMPORANEO!T120</f>
        <v>5</v>
      </c>
      <c r="U121" s="84">
        <f>EXTEMPORANEO!U120</f>
        <v>272630</v>
      </c>
      <c r="V121" s="13">
        <f>EXTEMPORANEO!V120</f>
        <v>5</v>
      </c>
      <c r="W121" s="13">
        <f>EXTEMPORANEO!W120</f>
        <v>272630</v>
      </c>
      <c r="X121" s="113">
        <f>EXTEMPORANEO!X120</f>
        <v>0</v>
      </c>
      <c r="Y121" s="113">
        <f>EXTEMPORANEO!Y120</f>
        <v>0</v>
      </c>
      <c r="AA121" s="66"/>
    </row>
    <row r="122" spans="1:27 16085:16086" ht="13" customHeight="1">
      <c r="B122" s="33" t="str">
        <f>EXTEMPORANEO!B121</f>
        <v>18/09/2026</v>
      </c>
      <c r="C122" s="25">
        <f>EXTEMPORANEO!C121</f>
        <v>2026092</v>
      </c>
      <c r="D122" s="226">
        <f>EXTEMPORANEO!D121</f>
        <v>46275</v>
      </c>
      <c r="E122" s="138">
        <f>EXTEMPORANEO!E121</f>
        <v>20</v>
      </c>
      <c r="F122" s="139" t="str">
        <f>EXTEMPORANEO!F121</f>
        <v>Bancolombia ENERBIT</v>
      </c>
      <c r="G122" s="138">
        <f>EXTEMPORANEO!G121</f>
        <v>1</v>
      </c>
      <c r="H122" s="139" t="str">
        <f>EXTEMPORANEO!H121</f>
        <v>Oficinas</v>
      </c>
      <c r="I122" s="139">
        <f>EXTEMPORANEO!I121</f>
        <v>0</v>
      </c>
      <c r="J122" s="13">
        <f>EXTEMPORANEO!J121</f>
        <v>0</v>
      </c>
      <c r="K122" s="13">
        <f>EXTEMPORANEO!K121</f>
        <v>0</v>
      </c>
      <c r="L122" s="36">
        <f>EXTEMPORANEO!L121</f>
        <v>0</v>
      </c>
      <c r="M122" s="36">
        <f>EXTEMPORANEO!M121</f>
        <v>0</v>
      </c>
      <c r="N122" s="13">
        <f>EXTEMPORANEO!N121</f>
        <v>0</v>
      </c>
      <c r="O122" s="13">
        <f>EXTEMPORANEO!O121</f>
        <v>0</v>
      </c>
      <c r="P122" s="13">
        <f>EXTEMPORANEO!P121</f>
        <v>0</v>
      </c>
      <c r="Q122" s="13">
        <f>EXTEMPORANEO!Q121</f>
        <v>0</v>
      </c>
      <c r="R122" s="140">
        <f>EXTEMPORANEO!R121</f>
        <v>8</v>
      </c>
      <c r="S122" s="140">
        <f>EXTEMPORANEO!S121</f>
        <v>670100</v>
      </c>
      <c r="T122" s="141">
        <f>EXTEMPORANEO!T121</f>
        <v>8</v>
      </c>
      <c r="U122" s="84">
        <f>EXTEMPORANEO!U121</f>
        <v>670100</v>
      </c>
      <c r="V122" s="13">
        <f>EXTEMPORANEO!V121</f>
        <v>8</v>
      </c>
      <c r="W122" s="13">
        <f>EXTEMPORANEO!W121</f>
        <v>670100</v>
      </c>
      <c r="X122" s="113">
        <f>EXTEMPORANEO!X121</f>
        <v>0</v>
      </c>
      <c r="Y122" s="113">
        <f>EXTEMPORANEO!Y121</f>
        <v>0</v>
      </c>
      <c r="AA122" s="66"/>
    </row>
    <row r="123" spans="1:27 16085:16086" ht="13" customHeight="1">
      <c r="B123" s="33" t="str">
        <f>EXTEMPORANEO!B122</f>
        <v>18/09/2026</v>
      </c>
      <c r="C123" s="25">
        <f>EXTEMPORANEO!C122</f>
        <v>2026092</v>
      </c>
      <c r="D123" s="226">
        <f>EXTEMPORANEO!D122</f>
        <v>46279</v>
      </c>
      <c r="E123" s="138">
        <f>EXTEMPORANEO!E122</f>
        <v>20</v>
      </c>
      <c r="F123" s="139" t="str">
        <f>EXTEMPORANEO!F122</f>
        <v>Bancolombia ENERBIT</v>
      </c>
      <c r="G123" s="138">
        <f>EXTEMPORANEO!G122</f>
        <v>1</v>
      </c>
      <c r="H123" s="139" t="str">
        <f>EXTEMPORANEO!H122</f>
        <v>Oficinas</v>
      </c>
      <c r="I123" s="139">
        <f>EXTEMPORANEO!I122</f>
        <v>0</v>
      </c>
      <c r="J123" s="13">
        <f>EXTEMPORANEO!J122</f>
        <v>0</v>
      </c>
      <c r="K123" s="13">
        <f>EXTEMPORANEO!K122</f>
        <v>0</v>
      </c>
      <c r="L123" s="36">
        <f>EXTEMPORANEO!L123</f>
        <v>0</v>
      </c>
      <c r="M123" s="36">
        <f>EXTEMPORANEO!M123</f>
        <v>0</v>
      </c>
      <c r="N123" s="13">
        <f>EXTEMPORANEO!N122</f>
        <v>0</v>
      </c>
      <c r="O123" s="13">
        <f>EXTEMPORANEO!O122</f>
        <v>0</v>
      </c>
      <c r="P123" s="13">
        <f>EXTEMPORANEO!P122</f>
        <v>0</v>
      </c>
      <c r="Q123" s="13">
        <f>EXTEMPORANEO!Q122</f>
        <v>0</v>
      </c>
      <c r="R123" s="140">
        <f>EXTEMPORANEO!R122</f>
        <v>2</v>
      </c>
      <c r="S123" s="140">
        <f>EXTEMPORANEO!S122</f>
        <v>62102</v>
      </c>
      <c r="T123" s="141">
        <f>EXTEMPORANEO!T122</f>
        <v>2</v>
      </c>
      <c r="U123" s="84">
        <f>EXTEMPORANEO!U122</f>
        <v>62102</v>
      </c>
      <c r="V123" s="13">
        <f>EXTEMPORANEO!V122</f>
        <v>2</v>
      </c>
      <c r="W123" s="13">
        <f>EXTEMPORANEO!W122</f>
        <v>62102</v>
      </c>
      <c r="X123" s="113">
        <f>EXTEMPORANEO!X122</f>
        <v>0</v>
      </c>
      <c r="Y123" s="113">
        <f>EXTEMPORANEO!Y122</f>
        <v>0</v>
      </c>
      <c r="AA123" s="66"/>
    </row>
    <row r="124" spans="1:27 16085:16086" ht="13" customHeight="1">
      <c r="B124" s="33">
        <f>EXTEMPORANEO!B123</f>
        <v>0</v>
      </c>
      <c r="C124" s="25">
        <f>EXTEMPORANEO!C123</f>
        <v>2026092</v>
      </c>
      <c r="D124" s="226">
        <f>EXTEMPORANEO!D123</f>
        <v>0</v>
      </c>
      <c r="E124" s="138">
        <f>EXTEMPORANEO!E123</f>
        <v>0</v>
      </c>
      <c r="F124" s="139" t="e">
        <f>EXTEMPORANEO!F123</f>
        <v>#N/A</v>
      </c>
      <c r="G124" s="138" t="str">
        <f>EXTEMPORANEO!G123</f>
        <v/>
      </c>
      <c r="H124" s="139" t="e">
        <f>EXTEMPORANEO!H123</f>
        <v>#N/A</v>
      </c>
      <c r="I124" s="139" t="e">
        <f>EXTEMPORANEO!I123</f>
        <v>#N/A</v>
      </c>
      <c r="J124" s="13">
        <f>EXTEMPORANEO!J123</f>
        <v>0</v>
      </c>
      <c r="K124" s="13">
        <f>EXTEMPORANEO!K123</f>
        <v>0</v>
      </c>
      <c r="L124" s="36">
        <f>EXTEMPORANEO!L124</f>
        <v>0</v>
      </c>
      <c r="M124" s="36">
        <f>EXTEMPORANEO!M124</f>
        <v>0</v>
      </c>
      <c r="N124" s="13">
        <f>EXTEMPORANEO!N123</f>
        <v>0</v>
      </c>
      <c r="O124" s="13">
        <f>EXTEMPORANEO!O123</f>
        <v>0</v>
      </c>
      <c r="P124" s="13">
        <f>EXTEMPORANEO!P123</f>
        <v>0</v>
      </c>
      <c r="Q124" s="13">
        <f>EXTEMPORANEO!Q123</f>
        <v>0</v>
      </c>
      <c r="R124" s="140">
        <f>EXTEMPORANEO!R123</f>
        <v>0</v>
      </c>
      <c r="S124" s="140">
        <f>EXTEMPORANEO!S123</f>
        <v>0</v>
      </c>
      <c r="T124" s="141">
        <f>EXTEMPORANEO!T123</f>
        <v>0</v>
      </c>
      <c r="U124" s="84">
        <f>EXTEMPORANEO!U123</f>
        <v>0</v>
      </c>
      <c r="V124" s="13">
        <f>EXTEMPORANEO!V123</f>
        <v>0</v>
      </c>
      <c r="W124" s="13">
        <f>EXTEMPORANEO!W123</f>
        <v>0</v>
      </c>
      <c r="X124" s="113">
        <f>EXTEMPORANEO!X123</f>
        <v>0</v>
      </c>
      <c r="Y124" s="113">
        <f>EXTEMPORANEO!Y123</f>
        <v>0</v>
      </c>
      <c r="AA124" s="66"/>
    </row>
    <row r="125" spans="1:27 16085:16086" ht="13" customHeight="1">
      <c r="B125" s="33">
        <f>EXTEMPORANEO!B124</f>
        <v>0</v>
      </c>
      <c r="C125" s="25">
        <f>EXTEMPORANEO!C124</f>
        <v>2026092</v>
      </c>
      <c r="D125" s="226">
        <f>EXTEMPORANEO!D124</f>
        <v>0</v>
      </c>
      <c r="E125" s="138">
        <f>EXTEMPORANEO!E124</f>
        <v>0</v>
      </c>
      <c r="F125" s="139" t="e">
        <f>EXTEMPORANEO!F124</f>
        <v>#N/A</v>
      </c>
      <c r="G125" s="138" t="str">
        <f>EXTEMPORANEO!G124</f>
        <v/>
      </c>
      <c r="H125" s="139" t="e">
        <f>EXTEMPORANEO!H124</f>
        <v>#N/A</v>
      </c>
      <c r="I125" s="139" t="e">
        <f>EXTEMPORANEO!I124</f>
        <v>#N/A</v>
      </c>
      <c r="J125" s="13">
        <f>EXTEMPORANEO!J124</f>
        <v>0</v>
      </c>
      <c r="K125" s="13">
        <f>EXTEMPORANEO!K124</f>
        <v>0</v>
      </c>
      <c r="L125" s="36">
        <f>EXTEMPORANEO!L125</f>
        <v>0</v>
      </c>
      <c r="M125" s="36">
        <f>EXTEMPORANEO!M125</f>
        <v>0</v>
      </c>
      <c r="N125" s="13">
        <f>EXTEMPORANEO!N124</f>
        <v>0</v>
      </c>
      <c r="O125" s="13">
        <f>EXTEMPORANEO!O124</f>
        <v>0</v>
      </c>
      <c r="P125" s="13">
        <f>EXTEMPORANEO!P124</f>
        <v>0</v>
      </c>
      <c r="Q125" s="13">
        <f>EXTEMPORANEO!Q124</f>
        <v>0</v>
      </c>
      <c r="R125" s="140">
        <f>EXTEMPORANEO!R124</f>
        <v>0</v>
      </c>
      <c r="S125" s="140">
        <f>EXTEMPORANEO!S124</f>
        <v>0</v>
      </c>
      <c r="T125" s="141">
        <f>EXTEMPORANEO!T124</f>
        <v>0</v>
      </c>
      <c r="U125" s="84">
        <f>EXTEMPORANEO!U124</f>
        <v>0</v>
      </c>
      <c r="V125" s="13">
        <f>EXTEMPORANEO!V124</f>
        <v>0</v>
      </c>
      <c r="W125" s="13">
        <f>EXTEMPORANEO!W124</f>
        <v>0</v>
      </c>
      <c r="X125" s="113">
        <f>EXTEMPORANEO!X124</f>
        <v>0</v>
      </c>
      <c r="Y125" s="113">
        <f>EXTEMPORANEO!Y124</f>
        <v>0</v>
      </c>
      <c r="AA125" s="66"/>
    </row>
    <row r="126" spans="1:27 16085:16086" ht="13" customHeight="1">
      <c r="B126" s="33">
        <f>EXTEMPORANEO!B125</f>
        <v>0</v>
      </c>
      <c r="C126" s="25">
        <f>EXTEMPORANEO!C125</f>
        <v>2026092</v>
      </c>
      <c r="D126" s="226">
        <f>EXTEMPORANEO!D125</f>
        <v>0</v>
      </c>
      <c r="E126" s="138">
        <f>EXTEMPORANEO!E125</f>
        <v>0</v>
      </c>
      <c r="F126" s="139" t="e">
        <f>EXTEMPORANEO!F125</f>
        <v>#N/A</v>
      </c>
      <c r="G126" s="138" t="str">
        <f>EXTEMPORANEO!G125</f>
        <v/>
      </c>
      <c r="H126" s="139" t="e">
        <f>EXTEMPORANEO!H125</f>
        <v>#N/A</v>
      </c>
      <c r="I126" s="139" t="e">
        <f>EXTEMPORANEO!I125</f>
        <v>#N/A</v>
      </c>
      <c r="J126" s="13">
        <f>EXTEMPORANEO!J125</f>
        <v>0</v>
      </c>
      <c r="K126" s="13">
        <f>EXTEMPORANEO!K125</f>
        <v>0</v>
      </c>
      <c r="L126" s="36">
        <f>EXTEMPORANEO!L126</f>
        <v>0</v>
      </c>
      <c r="M126" s="36">
        <f>EXTEMPORANEO!M126</f>
        <v>0</v>
      </c>
      <c r="N126" s="13">
        <f>EXTEMPORANEO!N125</f>
        <v>0</v>
      </c>
      <c r="O126" s="13">
        <f>EXTEMPORANEO!O125</f>
        <v>0</v>
      </c>
      <c r="P126" s="13">
        <f>EXTEMPORANEO!P125</f>
        <v>0</v>
      </c>
      <c r="Q126" s="13">
        <f>EXTEMPORANEO!Q125</f>
        <v>0</v>
      </c>
      <c r="R126" s="140">
        <f>EXTEMPORANEO!R125</f>
        <v>0</v>
      </c>
      <c r="S126" s="140">
        <f>EXTEMPORANEO!S125</f>
        <v>0</v>
      </c>
      <c r="T126" s="141">
        <f>EXTEMPORANEO!T125</f>
        <v>0</v>
      </c>
      <c r="U126" s="84">
        <f>EXTEMPORANEO!U125</f>
        <v>0</v>
      </c>
      <c r="V126" s="13">
        <f>EXTEMPORANEO!V125</f>
        <v>0</v>
      </c>
      <c r="W126" s="13">
        <f>EXTEMPORANEO!W125</f>
        <v>0</v>
      </c>
      <c r="X126" s="113">
        <f>EXTEMPORANEO!X125</f>
        <v>0</v>
      </c>
      <c r="Y126" s="113">
        <f>EXTEMPORANEO!Y125</f>
        <v>0</v>
      </c>
      <c r="AA126" s="66"/>
    </row>
    <row r="127" spans="1:27 16085:16086" ht="13" customHeight="1">
      <c r="B127" s="33">
        <f>EXTEMPORANEO!B126</f>
        <v>0</v>
      </c>
      <c r="C127" s="25">
        <f>EXTEMPORANEO!C126</f>
        <v>2026092</v>
      </c>
      <c r="D127" s="226">
        <f>EXTEMPORANEO!D126</f>
        <v>0</v>
      </c>
      <c r="E127" s="138">
        <f>EXTEMPORANEO!E126</f>
        <v>0</v>
      </c>
      <c r="F127" s="139" t="e">
        <f>EXTEMPORANEO!F126</f>
        <v>#N/A</v>
      </c>
      <c r="G127" s="138" t="str">
        <f>EXTEMPORANEO!G126</f>
        <v/>
      </c>
      <c r="H127" s="139" t="e">
        <f>EXTEMPORANEO!H126</f>
        <v>#N/A</v>
      </c>
      <c r="I127" s="139" t="e">
        <f>EXTEMPORANEO!I126</f>
        <v>#N/A</v>
      </c>
      <c r="J127" s="13">
        <f>EXTEMPORANEO!J126</f>
        <v>0</v>
      </c>
      <c r="K127" s="13">
        <f>EXTEMPORANEO!K126</f>
        <v>0</v>
      </c>
      <c r="L127" s="36">
        <f>EXTEMPORANEO!L127</f>
        <v>0</v>
      </c>
      <c r="M127" s="36">
        <f>EXTEMPORANEO!M127</f>
        <v>0</v>
      </c>
      <c r="N127" s="13">
        <f>EXTEMPORANEO!N126</f>
        <v>0</v>
      </c>
      <c r="O127" s="13">
        <f>EXTEMPORANEO!O126</f>
        <v>0</v>
      </c>
      <c r="P127" s="13">
        <f>EXTEMPORANEO!P126</f>
        <v>0</v>
      </c>
      <c r="Q127" s="13">
        <f>EXTEMPORANEO!Q126</f>
        <v>0</v>
      </c>
      <c r="R127" s="140">
        <f>EXTEMPORANEO!R126</f>
        <v>0</v>
      </c>
      <c r="S127" s="140">
        <f>EXTEMPORANEO!S126</f>
        <v>0</v>
      </c>
      <c r="T127" s="141">
        <f>EXTEMPORANEO!T126</f>
        <v>0</v>
      </c>
      <c r="U127" s="84">
        <f>EXTEMPORANEO!U126</f>
        <v>0</v>
      </c>
      <c r="V127" s="13">
        <f>EXTEMPORANEO!V126</f>
        <v>0</v>
      </c>
      <c r="W127" s="13">
        <f>EXTEMPORANEO!W126</f>
        <v>0</v>
      </c>
      <c r="X127" s="113">
        <f>EXTEMPORANEO!X126</f>
        <v>0</v>
      </c>
      <c r="Y127" s="113">
        <f>EXTEMPORANEO!Y126</f>
        <v>0</v>
      </c>
      <c r="AA127" s="66"/>
    </row>
    <row r="128" spans="1:27 16085:16086" ht="13" customHeight="1">
      <c r="B128" s="33">
        <f>EXTEMPORANEO!B127</f>
        <v>0</v>
      </c>
      <c r="C128" s="25">
        <f>EXTEMPORANEO!C127</f>
        <v>2026092</v>
      </c>
      <c r="D128" s="226">
        <f>EXTEMPORANEO!D127</f>
        <v>0</v>
      </c>
      <c r="E128" s="138">
        <f>EXTEMPORANEO!E127</f>
        <v>0</v>
      </c>
      <c r="F128" s="139" t="e">
        <f>EXTEMPORANEO!F127</f>
        <v>#N/A</v>
      </c>
      <c r="G128" s="138" t="str">
        <f>EXTEMPORANEO!G127</f>
        <v/>
      </c>
      <c r="H128" s="139" t="e">
        <f>EXTEMPORANEO!H127</f>
        <v>#N/A</v>
      </c>
      <c r="I128" s="139" t="e">
        <f>EXTEMPORANEO!I127</f>
        <v>#N/A</v>
      </c>
      <c r="J128" s="13">
        <f>EXTEMPORANEO!J127</f>
        <v>0</v>
      </c>
      <c r="K128" s="13">
        <f>EXTEMPORANEO!K127</f>
        <v>0</v>
      </c>
      <c r="L128" s="36">
        <f>EXTEMPORANEO!L128</f>
        <v>0</v>
      </c>
      <c r="M128" s="36">
        <f>EXTEMPORANEO!M128</f>
        <v>0</v>
      </c>
      <c r="N128" s="13">
        <f>EXTEMPORANEO!N127</f>
        <v>0</v>
      </c>
      <c r="O128" s="13">
        <f>EXTEMPORANEO!O127</f>
        <v>0</v>
      </c>
      <c r="P128" s="13">
        <f>EXTEMPORANEO!P127</f>
        <v>0</v>
      </c>
      <c r="Q128" s="13">
        <f>EXTEMPORANEO!Q127</f>
        <v>0</v>
      </c>
      <c r="R128" s="140">
        <f>EXTEMPORANEO!R127</f>
        <v>0</v>
      </c>
      <c r="S128" s="140">
        <f>EXTEMPORANEO!S127</f>
        <v>0</v>
      </c>
      <c r="T128" s="141">
        <f>EXTEMPORANEO!T127</f>
        <v>0</v>
      </c>
      <c r="U128" s="84">
        <f>EXTEMPORANEO!U127</f>
        <v>0</v>
      </c>
      <c r="V128" s="13">
        <f>EXTEMPORANEO!V127</f>
        <v>0</v>
      </c>
      <c r="W128" s="13">
        <f>EXTEMPORANEO!W127</f>
        <v>0</v>
      </c>
      <c r="X128" s="113">
        <f>EXTEMPORANEO!X127</f>
        <v>0</v>
      </c>
      <c r="Y128" s="113">
        <f>EXTEMPORANEO!Y127</f>
        <v>0</v>
      </c>
      <c r="AA128" s="66"/>
    </row>
    <row r="129" spans="2:27" ht="13" customHeight="1">
      <c r="B129" s="33">
        <f>EXTEMPORANEO!B128</f>
        <v>0</v>
      </c>
      <c r="C129" s="25">
        <f>EXTEMPORANEO!C128</f>
        <v>2026092</v>
      </c>
      <c r="D129" s="226">
        <f>EXTEMPORANEO!D128</f>
        <v>0</v>
      </c>
      <c r="E129" s="138">
        <f>EXTEMPORANEO!E128</f>
        <v>0</v>
      </c>
      <c r="F129" s="139" t="e">
        <f>EXTEMPORANEO!F128</f>
        <v>#N/A</v>
      </c>
      <c r="G129" s="138" t="str">
        <f>EXTEMPORANEO!G128</f>
        <v/>
      </c>
      <c r="H129" s="139" t="e">
        <f>EXTEMPORANEO!H128</f>
        <v>#N/A</v>
      </c>
      <c r="I129" s="139" t="e">
        <f>EXTEMPORANEO!I128</f>
        <v>#N/A</v>
      </c>
      <c r="J129" s="13">
        <f>EXTEMPORANEO!J128</f>
        <v>0</v>
      </c>
      <c r="K129" s="13">
        <f>EXTEMPORANEO!K128</f>
        <v>0</v>
      </c>
      <c r="L129" s="7">
        <f>EXTEMPORANEO!L129</f>
        <v>0</v>
      </c>
      <c r="M129" s="7">
        <f>EXTEMPORANEO!M129</f>
        <v>0</v>
      </c>
      <c r="N129" s="13">
        <f>EXTEMPORANEO!N128</f>
        <v>0</v>
      </c>
      <c r="O129" s="13">
        <f>EXTEMPORANEO!O128</f>
        <v>0</v>
      </c>
      <c r="P129" s="13">
        <f>EXTEMPORANEO!P128</f>
        <v>0</v>
      </c>
      <c r="Q129" s="13">
        <f>EXTEMPORANEO!Q128</f>
        <v>0</v>
      </c>
      <c r="R129" s="140">
        <f>EXTEMPORANEO!R128</f>
        <v>0</v>
      </c>
      <c r="S129" s="140">
        <f>EXTEMPORANEO!S128</f>
        <v>0</v>
      </c>
      <c r="T129" s="141">
        <f>EXTEMPORANEO!T128</f>
        <v>0</v>
      </c>
      <c r="U129" s="84">
        <f>EXTEMPORANEO!U128</f>
        <v>0</v>
      </c>
      <c r="V129" s="13">
        <f>EXTEMPORANEO!V128</f>
        <v>0</v>
      </c>
      <c r="W129" s="13">
        <f>EXTEMPORANEO!W128</f>
        <v>0</v>
      </c>
      <c r="X129" s="113">
        <f>EXTEMPORANEO!X128</f>
        <v>0</v>
      </c>
      <c r="Y129" s="113">
        <f>EXTEMPORANEO!Y128</f>
        <v>0</v>
      </c>
      <c r="AA129" s="66"/>
    </row>
    <row r="130" spans="2:27" ht="13" customHeight="1">
      <c r="B130" s="33">
        <f>EXTEMPORANEO!B129</f>
        <v>0</v>
      </c>
      <c r="C130" s="25">
        <f>EXTEMPORANEO!C129</f>
        <v>2026092</v>
      </c>
      <c r="D130" s="226">
        <f>EXTEMPORANEO!D129</f>
        <v>0</v>
      </c>
      <c r="E130" s="138">
        <f>EXTEMPORANEO!E129</f>
        <v>0</v>
      </c>
      <c r="F130" s="139" t="e">
        <f>EXTEMPORANEO!F129</f>
        <v>#N/A</v>
      </c>
      <c r="G130" s="138" t="str">
        <f>EXTEMPORANEO!G129</f>
        <v/>
      </c>
      <c r="H130" s="139" t="e">
        <f>EXTEMPORANEO!H129</f>
        <v>#N/A</v>
      </c>
      <c r="I130" s="139" t="e">
        <f>EXTEMPORANEO!I129</f>
        <v>#N/A</v>
      </c>
      <c r="J130" s="13">
        <f>EXTEMPORANEO!J129</f>
        <v>0</v>
      </c>
      <c r="K130" s="13">
        <f>EXTEMPORANEO!K129</f>
        <v>0</v>
      </c>
      <c r="L130" s="7">
        <f>EXTEMPORANEO!L130</f>
        <v>0</v>
      </c>
      <c r="M130" s="7">
        <f>EXTEMPORANEO!M130</f>
        <v>0</v>
      </c>
      <c r="N130" s="13">
        <f>EXTEMPORANEO!N129</f>
        <v>0</v>
      </c>
      <c r="O130" s="13">
        <f>EXTEMPORANEO!O129</f>
        <v>0</v>
      </c>
      <c r="P130" s="13">
        <f>EXTEMPORANEO!P129</f>
        <v>0</v>
      </c>
      <c r="Q130" s="13">
        <f>EXTEMPORANEO!Q129</f>
        <v>0</v>
      </c>
      <c r="R130" s="140">
        <f>EXTEMPORANEO!R129</f>
        <v>0</v>
      </c>
      <c r="S130" s="140">
        <f>EXTEMPORANEO!S129</f>
        <v>0</v>
      </c>
      <c r="T130" s="141">
        <f>EXTEMPORANEO!T129</f>
        <v>0</v>
      </c>
      <c r="U130" s="84">
        <f>EXTEMPORANEO!U129</f>
        <v>0</v>
      </c>
      <c r="V130" s="13">
        <f>EXTEMPORANEO!V129</f>
        <v>0</v>
      </c>
      <c r="W130" s="13">
        <f>EXTEMPORANEO!W129</f>
        <v>0</v>
      </c>
      <c r="X130" s="113">
        <f>EXTEMPORANEO!X129</f>
        <v>0</v>
      </c>
      <c r="Y130" s="113">
        <f>EXTEMPORANEO!Y129</f>
        <v>0</v>
      </c>
      <c r="AA130" s="66"/>
    </row>
    <row r="131" spans="2:27" ht="13" customHeight="1">
      <c r="B131" s="33">
        <f>EXTEMPORANEO!B130</f>
        <v>0</v>
      </c>
      <c r="C131" s="25">
        <f>EXTEMPORANEO!C130</f>
        <v>2026092</v>
      </c>
      <c r="D131" s="226">
        <f>EXTEMPORANEO!D130</f>
        <v>0</v>
      </c>
      <c r="E131" s="138">
        <f>EXTEMPORANEO!E130</f>
        <v>0</v>
      </c>
      <c r="F131" s="139" t="e">
        <f>EXTEMPORANEO!F130</f>
        <v>#N/A</v>
      </c>
      <c r="G131" s="138" t="str">
        <f>EXTEMPORANEO!G130</f>
        <v/>
      </c>
      <c r="H131" s="139" t="e">
        <f>EXTEMPORANEO!H130</f>
        <v>#N/A</v>
      </c>
      <c r="I131" s="139" t="e">
        <f>EXTEMPORANEO!I130</f>
        <v>#N/A</v>
      </c>
      <c r="J131" s="13">
        <f>EXTEMPORANEO!J130</f>
        <v>0</v>
      </c>
      <c r="K131" s="13">
        <f>EXTEMPORANEO!K130</f>
        <v>0</v>
      </c>
      <c r="L131" s="7">
        <f>EXTEMPORANEO!L131</f>
        <v>0</v>
      </c>
      <c r="M131" s="7">
        <f>EXTEMPORANEO!M131</f>
        <v>0</v>
      </c>
      <c r="N131" s="13">
        <f>EXTEMPORANEO!N130</f>
        <v>0</v>
      </c>
      <c r="O131" s="13">
        <f>EXTEMPORANEO!O130</f>
        <v>0</v>
      </c>
      <c r="P131" s="13">
        <f>EXTEMPORANEO!P130</f>
        <v>0</v>
      </c>
      <c r="Q131" s="13">
        <f>EXTEMPORANEO!Q130</f>
        <v>0</v>
      </c>
      <c r="R131" s="140">
        <f>EXTEMPORANEO!R130</f>
        <v>0</v>
      </c>
      <c r="S131" s="140">
        <f>EXTEMPORANEO!S130</f>
        <v>0</v>
      </c>
      <c r="T131" s="141">
        <f>EXTEMPORANEO!T130</f>
        <v>0</v>
      </c>
      <c r="U131" s="84">
        <f>EXTEMPORANEO!U130</f>
        <v>0</v>
      </c>
      <c r="V131" s="13">
        <f>EXTEMPORANEO!V130</f>
        <v>0</v>
      </c>
      <c r="W131" s="13">
        <f>EXTEMPORANEO!W130</f>
        <v>0</v>
      </c>
      <c r="X131" s="113">
        <f>EXTEMPORANEO!X130</f>
        <v>0</v>
      </c>
      <c r="Y131" s="113">
        <f>EXTEMPORANEO!Y130</f>
        <v>0</v>
      </c>
      <c r="AA131" s="66"/>
    </row>
    <row r="132" spans="2:27" ht="13" customHeight="1">
      <c r="B132" s="33">
        <f>EXTEMPORANEO!B131</f>
        <v>0</v>
      </c>
      <c r="C132" s="25">
        <f>EXTEMPORANEO!C131</f>
        <v>2026092</v>
      </c>
      <c r="D132" s="226">
        <f>EXTEMPORANEO!D131</f>
        <v>0</v>
      </c>
      <c r="E132" s="138">
        <f>EXTEMPORANEO!E131</f>
        <v>0</v>
      </c>
      <c r="F132" s="139" t="e">
        <f>EXTEMPORANEO!F131</f>
        <v>#N/A</v>
      </c>
      <c r="G132" s="138" t="str">
        <f>EXTEMPORANEO!G131</f>
        <v/>
      </c>
      <c r="H132" s="139" t="e">
        <f>EXTEMPORANEO!H131</f>
        <v>#N/A</v>
      </c>
      <c r="I132" s="139" t="e">
        <f>EXTEMPORANEO!I131</f>
        <v>#N/A</v>
      </c>
      <c r="J132" s="13">
        <f>EXTEMPORANEO!J131</f>
        <v>0</v>
      </c>
      <c r="K132" s="13">
        <f>EXTEMPORANEO!K131</f>
        <v>0</v>
      </c>
      <c r="L132" s="7">
        <f>EXTEMPORANEO!L132</f>
        <v>0</v>
      </c>
      <c r="M132" s="7">
        <f>EXTEMPORANEO!M132</f>
        <v>0</v>
      </c>
      <c r="N132" s="13">
        <f>EXTEMPORANEO!N131</f>
        <v>0</v>
      </c>
      <c r="O132" s="13">
        <f>EXTEMPORANEO!O131</f>
        <v>0</v>
      </c>
      <c r="P132" s="13">
        <f>EXTEMPORANEO!P131</f>
        <v>0</v>
      </c>
      <c r="Q132" s="13">
        <f>EXTEMPORANEO!Q131</f>
        <v>0</v>
      </c>
      <c r="R132" s="140">
        <f>EXTEMPORANEO!R131</f>
        <v>0</v>
      </c>
      <c r="S132" s="140">
        <f>EXTEMPORANEO!S131</f>
        <v>0</v>
      </c>
      <c r="T132" s="141">
        <f>EXTEMPORANEO!T131</f>
        <v>0</v>
      </c>
      <c r="U132" s="84">
        <f>EXTEMPORANEO!U131</f>
        <v>0</v>
      </c>
      <c r="V132" s="13">
        <f>EXTEMPORANEO!V131</f>
        <v>0</v>
      </c>
      <c r="W132" s="13">
        <f>EXTEMPORANEO!W131</f>
        <v>0</v>
      </c>
      <c r="X132" s="113">
        <f>EXTEMPORANEO!X131</f>
        <v>0</v>
      </c>
      <c r="Y132" s="113">
        <f>EXTEMPORANEO!Y131</f>
        <v>0</v>
      </c>
      <c r="AA132" s="66"/>
    </row>
    <row r="133" spans="2:27" ht="13" customHeight="1">
      <c r="B133" s="33">
        <f>EXTEMPORANEO!B132</f>
        <v>0</v>
      </c>
      <c r="C133" s="25">
        <f>EXTEMPORANEO!C132</f>
        <v>2026092</v>
      </c>
      <c r="D133" s="226">
        <f>EXTEMPORANEO!D132</f>
        <v>0</v>
      </c>
      <c r="E133" s="138">
        <f>EXTEMPORANEO!E132</f>
        <v>0</v>
      </c>
      <c r="F133" s="139" t="e">
        <f>EXTEMPORANEO!F132</f>
        <v>#N/A</v>
      </c>
      <c r="G133" s="138" t="str">
        <f>EXTEMPORANEO!G132</f>
        <v/>
      </c>
      <c r="H133" s="139" t="e">
        <f>EXTEMPORANEO!H132</f>
        <v>#N/A</v>
      </c>
      <c r="I133" s="139" t="e">
        <f>EXTEMPORANEO!I132</f>
        <v>#N/A</v>
      </c>
      <c r="J133" s="13">
        <f>EXTEMPORANEO!J132</f>
        <v>0</v>
      </c>
      <c r="K133" s="13">
        <f>EXTEMPORANEO!K132</f>
        <v>0</v>
      </c>
      <c r="L133" s="7">
        <f>EXTEMPORANEO!L133</f>
        <v>0</v>
      </c>
      <c r="M133" s="7">
        <f>EXTEMPORANEO!M133</f>
        <v>0</v>
      </c>
      <c r="N133" s="13">
        <f>EXTEMPORANEO!N132</f>
        <v>0</v>
      </c>
      <c r="O133" s="13">
        <f>EXTEMPORANEO!O132</f>
        <v>0</v>
      </c>
      <c r="P133" s="13">
        <f>EXTEMPORANEO!P132</f>
        <v>0</v>
      </c>
      <c r="Q133" s="13">
        <f>EXTEMPORANEO!Q132</f>
        <v>0</v>
      </c>
      <c r="R133" s="140">
        <f>EXTEMPORANEO!R132</f>
        <v>0</v>
      </c>
      <c r="S133" s="140">
        <f>EXTEMPORANEO!S132</f>
        <v>0</v>
      </c>
      <c r="T133" s="141">
        <f>EXTEMPORANEO!T132</f>
        <v>0</v>
      </c>
      <c r="U133" s="84">
        <f>EXTEMPORANEO!U132</f>
        <v>0</v>
      </c>
      <c r="V133" s="13">
        <f>EXTEMPORANEO!V132</f>
        <v>0</v>
      </c>
      <c r="W133" s="13">
        <f>EXTEMPORANEO!W132</f>
        <v>0</v>
      </c>
      <c r="X133" s="113">
        <f>EXTEMPORANEO!X132</f>
        <v>0</v>
      </c>
      <c r="Y133" s="113">
        <f>EXTEMPORANEO!Y132</f>
        <v>0</v>
      </c>
      <c r="AA133" s="66"/>
    </row>
    <row r="134" spans="2:27" ht="13" customHeight="1">
      <c r="B134" s="33">
        <f>EXTEMPORANEO!B133</f>
        <v>0</v>
      </c>
      <c r="C134" s="25">
        <f>EXTEMPORANEO!C133</f>
        <v>2026092</v>
      </c>
      <c r="D134" s="226">
        <f>EXTEMPORANEO!D133</f>
        <v>0</v>
      </c>
      <c r="E134" s="138">
        <f>EXTEMPORANEO!E133</f>
        <v>0</v>
      </c>
      <c r="F134" s="139" t="e">
        <f>EXTEMPORANEO!F133</f>
        <v>#N/A</v>
      </c>
      <c r="G134" s="138" t="str">
        <f>EXTEMPORANEO!G133</f>
        <v/>
      </c>
      <c r="H134" s="139" t="e">
        <f>EXTEMPORANEO!H133</f>
        <v>#N/A</v>
      </c>
      <c r="I134" s="139" t="e">
        <f>EXTEMPORANEO!I133</f>
        <v>#N/A</v>
      </c>
      <c r="J134" s="13">
        <f>EXTEMPORANEO!J133</f>
        <v>0</v>
      </c>
      <c r="K134" s="13">
        <f>EXTEMPORANEO!K133</f>
        <v>0</v>
      </c>
      <c r="L134" s="7">
        <f>EXTEMPORANEO!L135</f>
        <v>0</v>
      </c>
      <c r="M134" s="7">
        <f>EXTEMPORANEO!M135</f>
        <v>0</v>
      </c>
      <c r="N134" s="13">
        <f>EXTEMPORANEO!N133</f>
        <v>0</v>
      </c>
      <c r="O134" s="13">
        <f>EXTEMPORANEO!O133</f>
        <v>0</v>
      </c>
      <c r="P134" s="13">
        <f>EXTEMPORANEO!P133</f>
        <v>0</v>
      </c>
      <c r="Q134" s="13">
        <f>EXTEMPORANEO!Q133</f>
        <v>0</v>
      </c>
      <c r="R134" s="140">
        <f>EXTEMPORANEO!R133</f>
        <v>0</v>
      </c>
      <c r="S134" s="140">
        <f>EXTEMPORANEO!S133</f>
        <v>0</v>
      </c>
      <c r="T134" s="141">
        <f>EXTEMPORANEO!T133</f>
        <v>0</v>
      </c>
      <c r="U134" s="84">
        <f>EXTEMPORANEO!U133</f>
        <v>0</v>
      </c>
      <c r="V134" s="13">
        <f>EXTEMPORANEO!V133</f>
        <v>0</v>
      </c>
      <c r="W134" s="13">
        <f>EXTEMPORANEO!W133</f>
        <v>0</v>
      </c>
      <c r="X134" s="113">
        <f>EXTEMPORANEO!X133</f>
        <v>0</v>
      </c>
      <c r="Y134" s="113">
        <f>EXTEMPORANEO!Y133</f>
        <v>0</v>
      </c>
      <c r="AA134" s="66"/>
    </row>
    <row r="135" spans="2:27" ht="13" customHeight="1">
      <c r="B135" s="33">
        <f>EXTEMPORANEO!B134</f>
        <v>0</v>
      </c>
      <c r="C135" s="25">
        <f>EXTEMPORANEO!C134</f>
        <v>2026092</v>
      </c>
      <c r="D135" s="226">
        <f>EXTEMPORANEO!D134</f>
        <v>0</v>
      </c>
      <c r="E135" s="138">
        <f>EXTEMPORANEO!E134</f>
        <v>0</v>
      </c>
      <c r="F135" s="139" t="e">
        <f>EXTEMPORANEO!F134</f>
        <v>#N/A</v>
      </c>
      <c r="G135" s="138" t="str">
        <f>EXTEMPORANEO!G134</f>
        <v/>
      </c>
      <c r="H135" s="139" t="e">
        <f>EXTEMPORANEO!H134</f>
        <v>#N/A</v>
      </c>
      <c r="I135" s="139" t="e">
        <f>EXTEMPORANEO!I134</f>
        <v>#N/A</v>
      </c>
      <c r="J135" s="13">
        <f>EXTEMPORANEO!J134</f>
        <v>0</v>
      </c>
      <c r="K135" s="13">
        <f>EXTEMPORANEO!K134</f>
        <v>0</v>
      </c>
      <c r="L135" s="7">
        <f>EXTEMPORANEO!L136</f>
        <v>0</v>
      </c>
      <c r="M135" s="7">
        <f>EXTEMPORANEO!M136</f>
        <v>0</v>
      </c>
      <c r="N135" s="13">
        <f>EXTEMPORANEO!N134</f>
        <v>0</v>
      </c>
      <c r="O135" s="13">
        <f>EXTEMPORANEO!O134</f>
        <v>0</v>
      </c>
      <c r="P135" s="13">
        <f>EXTEMPORANEO!P134</f>
        <v>0</v>
      </c>
      <c r="Q135" s="13">
        <f>EXTEMPORANEO!Q134</f>
        <v>0</v>
      </c>
      <c r="R135" s="140">
        <f>EXTEMPORANEO!R134</f>
        <v>0</v>
      </c>
      <c r="S135" s="140">
        <f>EXTEMPORANEO!S134</f>
        <v>0</v>
      </c>
      <c r="T135" s="141">
        <f>EXTEMPORANEO!T134</f>
        <v>0</v>
      </c>
      <c r="U135" s="84">
        <f>EXTEMPORANEO!U134</f>
        <v>0</v>
      </c>
      <c r="V135" s="13">
        <f>EXTEMPORANEO!V134</f>
        <v>0</v>
      </c>
      <c r="W135" s="13">
        <f>EXTEMPORANEO!W134</f>
        <v>0</v>
      </c>
      <c r="X135" s="113">
        <f>EXTEMPORANEO!X134</f>
        <v>0</v>
      </c>
      <c r="Y135" s="113">
        <f>EXTEMPORANEO!Y134</f>
        <v>0</v>
      </c>
      <c r="AA135" s="66"/>
    </row>
    <row r="136" spans="2:27" ht="13" customHeight="1">
      <c r="B136" s="33">
        <f>EXTEMPORANEO!B135</f>
        <v>0</v>
      </c>
      <c r="C136" s="25">
        <f>EXTEMPORANEO!C135</f>
        <v>2026092</v>
      </c>
      <c r="D136" s="226">
        <f>EXTEMPORANEO!D135</f>
        <v>0</v>
      </c>
      <c r="E136" s="138">
        <f>EXTEMPORANEO!E135</f>
        <v>0</v>
      </c>
      <c r="F136" s="139" t="e">
        <f>EXTEMPORANEO!F135</f>
        <v>#N/A</v>
      </c>
      <c r="G136" s="138" t="str">
        <f>EXTEMPORANEO!G135</f>
        <v/>
      </c>
      <c r="H136" s="139" t="e">
        <f>EXTEMPORANEO!H135</f>
        <v>#N/A</v>
      </c>
      <c r="I136" s="139" t="e">
        <f>EXTEMPORANEO!I135</f>
        <v>#N/A</v>
      </c>
      <c r="J136" s="13">
        <f>EXTEMPORANEO!J135</f>
        <v>0</v>
      </c>
      <c r="K136" s="13">
        <f>EXTEMPORANEO!K135</f>
        <v>0</v>
      </c>
      <c r="L136" s="7">
        <f>EXTEMPORANEO!L137</f>
        <v>0</v>
      </c>
      <c r="M136" s="7">
        <f>EXTEMPORANEO!M137</f>
        <v>0</v>
      </c>
      <c r="N136" s="13">
        <f>EXTEMPORANEO!N135</f>
        <v>0</v>
      </c>
      <c r="O136" s="13">
        <f>EXTEMPORANEO!O135</f>
        <v>0</v>
      </c>
      <c r="P136" s="13">
        <f>EXTEMPORANEO!P135</f>
        <v>0</v>
      </c>
      <c r="Q136" s="13">
        <f>EXTEMPORANEO!Q135</f>
        <v>0</v>
      </c>
      <c r="R136" s="140">
        <f>EXTEMPORANEO!R135</f>
        <v>0</v>
      </c>
      <c r="S136" s="140">
        <f>EXTEMPORANEO!S135</f>
        <v>0</v>
      </c>
      <c r="T136" s="141">
        <f>EXTEMPORANEO!T135</f>
        <v>0</v>
      </c>
      <c r="U136" s="84">
        <f>EXTEMPORANEO!U135</f>
        <v>0</v>
      </c>
      <c r="V136" s="13">
        <f>EXTEMPORANEO!V135</f>
        <v>0</v>
      </c>
      <c r="W136" s="13">
        <f>EXTEMPORANEO!W135</f>
        <v>0</v>
      </c>
      <c r="X136" s="113">
        <f>EXTEMPORANEO!X135</f>
        <v>0</v>
      </c>
      <c r="Y136" s="113">
        <f>EXTEMPORANEO!Y135</f>
        <v>0</v>
      </c>
      <c r="AA136" s="66"/>
    </row>
    <row r="137" spans="2:27" ht="13" customHeight="1">
      <c r="B137" s="33">
        <f>EXTEMPORANEO!B136</f>
        <v>0</v>
      </c>
      <c r="C137" s="25">
        <f>EXTEMPORANEO!C136</f>
        <v>2026092</v>
      </c>
      <c r="D137" s="226">
        <f>EXTEMPORANEO!D136</f>
        <v>0</v>
      </c>
      <c r="E137" s="138">
        <f>EXTEMPORANEO!E136</f>
        <v>0</v>
      </c>
      <c r="F137" s="139" t="e">
        <f>EXTEMPORANEO!F136</f>
        <v>#N/A</v>
      </c>
      <c r="G137" s="138" t="str">
        <f>EXTEMPORANEO!G136</f>
        <v/>
      </c>
      <c r="H137" s="139" t="e">
        <f>EXTEMPORANEO!H136</f>
        <v>#N/A</v>
      </c>
      <c r="I137" s="139" t="e">
        <f>EXTEMPORANEO!I136</f>
        <v>#N/A</v>
      </c>
      <c r="J137" s="13">
        <f>EXTEMPORANEO!J136</f>
        <v>0</v>
      </c>
      <c r="K137" s="13">
        <f>EXTEMPORANEO!K136</f>
        <v>0</v>
      </c>
      <c r="L137" s="7">
        <f>EXTEMPORANEO!L138</f>
        <v>0</v>
      </c>
      <c r="M137" s="7">
        <f>EXTEMPORANEO!M138</f>
        <v>0</v>
      </c>
      <c r="N137" s="13">
        <f>EXTEMPORANEO!N136</f>
        <v>0</v>
      </c>
      <c r="O137" s="13">
        <f>EXTEMPORANEO!O136</f>
        <v>0</v>
      </c>
      <c r="P137" s="13">
        <f>EXTEMPORANEO!P136</f>
        <v>0</v>
      </c>
      <c r="Q137" s="13">
        <f>EXTEMPORANEO!Q136</f>
        <v>0</v>
      </c>
      <c r="R137" s="140">
        <f>EXTEMPORANEO!R136</f>
        <v>0</v>
      </c>
      <c r="S137" s="140">
        <f>EXTEMPORANEO!S136</f>
        <v>0</v>
      </c>
      <c r="T137" s="141">
        <f>EXTEMPORANEO!T136</f>
        <v>0</v>
      </c>
      <c r="U137" s="84">
        <f>EXTEMPORANEO!U136</f>
        <v>0</v>
      </c>
      <c r="V137" s="13">
        <f>EXTEMPORANEO!V136</f>
        <v>0</v>
      </c>
      <c r="W137" s="13">
        <f>EXTEMPORANEO!W136</f>
        <v>0</v>
      </c>
      <c r="X137" s="113">
        <f>EXTEMPORANEO!X136</f>
        <v>0</v>
      </c>
      <c r="Y137" s="113">
        <f>EXTEMPORANEO!Y136</f>
        <v>0</v>
      </c>
      <c r="AA137" s="66"/>
    </row>
    <row r="138" spans="2:27" ht="13" customHeight="1">
      <c r="B138" s="33">
        <f>EXTEMPORANEO!B137</f>
        <v>0</v>
      </c>
      <c r="C138" s="25">
        <f>EXTEMPORANEO!C137</f>
        <v>2026092</v>
      </c>
      <c r="D138" s="226">
        <f>EXTEMPORANEO!D137</f>
        <v>0</v>
      </c>
      <c r="E138" s="138">
        <f>EXTEMPORANEO!E137</f>
        <v>0</v>
      </c>
      <c r="F138" s="139" t="e">
        <f>EXTEMPORANEO!F137</f>
        <v>#N/A</v>
      </c>
      <c r="G138" s="138" t="str">
        <f>EXTEMPORANEO!G137</f>
        <v/>
      </c>
      <c r="H138" s="139" t="e">
        <f>EXTEMPORANEO!H137</f>
        <v>#N/A</v>
      </c>
      <c r="I138" s="139" t="e">
        <f>EXTEMPORANEO!I137</f>
        <v>#N/A</v>
      </c>
      <c r="J138" s="13">
        <f>EXTEMPORANEO!J137</f>
        <v>0</v>
      </c>
      <c r="K138" s="13">
        <f>EXTEMPORANEO!K137</f>
        <v>0</v>
      </c>
      <c r="L138" s="7">
        <f>EXTEMPORANEO!L139</f>
        <v>0</v>
      </c>
      <c r="M138" s="7">
        <f>EXTEMPORANEO!M139</f>
        <v>0</v>
      </c>
      <c r="N138" s="13">
        <f>EXTEMPORANEO!N137</f>
        <v>0</v>
      </c>
      <c r="O138" s="13">
        <f>EXTEMPORANEO!O137</f>
        <v>0</v>
      </c>
      <c r="P138" s="13">
        <f>EXTEMPORANEO!P137</f>
        <v>0</v>
      </c>
      <c r="Q138" s="13">
        <f>EXTEMPORANEO!Q137</f>
        <v>0</v>
      </c>
      <c r="R138" s="140">
        <f>EXTEMPORANEO!R137</f>
        <v>0</v>
      </c>
      <c r="S138" s="140">
        <f>EXTEMPORANEO!S137</f>
        <v>0</v>
      </c>
      <c r="T138" s="141">
        <f>EXTEMPORANEO!T137</f>
        <v>0</v>
      </c>
      <c r="U138" s="84">
        <f>EXTEMPORANEO!U137</f>
        <v>0</v>
      </c>
      <c r="V138" s="13">
        <f>EXTEMPORANEO!V137</f>
        <v>0</v>
      </c>
      <c r="W138" s="13">
        <f>EXTEMPORANEO!W137</f>
        <v>0</v>
      </c>
      <c r="X138" s="113">
        <f>EXTEMPORANEO!X137</f>
        <v>0</v>
      </c>
      <c r="Y138" s="113">
        <f>EXTEMPORANEO!Y137</f>
        <v>0</v>
      </c>
      <c r="AA138" s="66"/>
    </row>
    <row r="139" spans="2:27" ht="13" customHeight="1">
      <c r="B139" s="33">
        <f>EXTEMPORANEO!B138</f>
        <v>0</v>
      </c>
      <c r="C139" s="25">
        <f>EXTEMPORANEO!C138</f>
        <v>2026092</v>
      </c>
      <c r="D139" s="226">
        <f>EXTEMPORANEO!D138</f>
        <v>0</v>
      </c>
      <c r="E139" s="138">
        <f>EXTEMPORANEO!E138</f>
        <v>0</v>
      </c>
      <c r="F139" s="139" t="e">
        <f>EXTEMPORANEO!F138</f>
        <v>#N/A</v>
      </c>
      <c r="G139" s="138" t="str">
        <f>EXTEMPORANEO!G138</f>
        <v/>
      </c>
      <c r="H139" s="139" t="e">
        <f>EXTEMPORANEO!H138</f>
        <v>#N/A</v>
      </c>
      <c r="I139" s="139" t="e">
        <f>EXTEMPORANEO!I138</f>
        <v>#N/A</v>
      </c>
      <c r="J139" s="13">
        <f>EXTEMPORANEO!J138</f>
        <v>0</v>
      </c>
      <c r="K139" s="13">
        <f>EXTEMPORANEO!K138</f>
        <v>0</v>
      </c>
      <c r="L139" s="7">
        <f>EXTEMPORANEO!L140</f>
        <v>0</v>
      </c>
      <c r="M139" s="7">
        <f>EXTEMPORANEO!M140</f>
        <v>0</v>
      </c>
      <c r="N139" s="13">
        <f>EXTEMPORANEO!N138</f>
        <v>0</v>
      </c>
      <c r="O139" s="13">
        <f>EXTEMPORANEO!O138</f>
        <v>0</v>
      </c>
      <c r="P139" s="13">
        <f>EXTEMPORANEO!P138</f>
        <v>0</v>
      </c>
      <c r="Q139" s="13">
        <f>EXTEMPORANEO!Q138</f>
        <v>0</v>
      </c>
      <c r="R139" s="140">
        <f>EXTEMPORANEO!R138</f>
        <v>0</v>
      </c>
      <c r="S139" s="140">
        <f>EXTEMPORANEO!S138</f>
        <v>0</v>
      </c>
      <c r="T139" s="141">
        <f>EXTEMPORANEO!T138</f>
        <v>0</v>
      </c>
      <c r="U139" s="84">
        <f>EXTEMPORANEO!U138</f>
        <v>0</v>
      </c>
      <c r="V139" s="13">
        <f>EXTEMPORANEO!V138</f>
        <v>0</v>
      </c>
      <c r="W139" s="13">
        <f>EXTEMPORANEO!W138</f>
        <v>0</v>
      </c>
      <c r="X139" s="113">
        <f>EXTEMPORANEO!X138</f>
        <v>0</v>
      </c>
      <c r="Y139" s="113">
        <f>EXTEMPORANEO!Y138</f>
        <v>0</v>
      </c>
      <c r="AA139" s="66"/>
    </row>
    <row r="140" spans="2:27" ht="13" customHeight="1">
      <c r="B140" s="33">
        <f>EXTEMPORANEO!B139</f>
        <v>0</v>
      </c>
      <c r="C140" s="25">
        <f>EXTEMPORANEO!C139</f>
        <v>2026092</v>
      </c>
      <c r="D140" s="226">
        <f>EXTEMPORANEO!D139</f>
        <v>0</v>
      </c>
      <c r="E140" s="138">
        <f>EXTEMPORANEO!E139</f>
        <v>0</v>
      </c>
      <c r="F140" s="139" t="e">
        <f>EXTEMPORANEO!F139</f>
        <v>#N/A</v>
      </c>
      <c r="G140" s="138" t="str">
        <f>EXTEMPORANEO!G139</f>
        <v/>
      </c>
      <c r="H140" s="139" t="e">
        <f>EXTEMPORANEO!H139</f>
        <v>#N/A</v>
      </c>
      <c r="I140" s="139" t="e">
        <f>EXTEMPORANEO!I139</f>
        <v>#N/A</v>
      </c>
      <c r="J140" s="13">
        <f>EXTEMPORANEO!J139</f>
        <v>0</v>
      </c>
      <c r="K140" s="13">
        <f>EXTEMPORANEO!K139</f>
        <v>0</v>
      </c>
      <c r="L140" s="7">
        <f>EXTEMPORANEO!L141</f>
        <v>0</v>
      </c>
      <c r="M140" s="7">
        <f>EXTEMPORANEO!M141</f>
        <v>0</v>
      </c>
      <c r="N140" s="13">
        <f>EXTEMPORANEO!N139</f>
        <v>0</v>
      </c>
      <c r="O140" s="13">
        <f>EXTEMPORANEO!O139</f>
        <v>0</v>
      </c>
      <c r="P140" s="13">
        <f>EXTEMPORANEO!P139</f>
        <v>0</v>
      </c>
      <c r="Q140" s="13">
        <f>EXTEMPORANEO!Q139</f>
        <v>0</v>
      </c>
      <c r="R140" s="140">
        <f>EXTEMPORANEO!R139</f>
        <v>0</v>
      </c>
      <c r="S140" s="140">
        <f>EXTEMPORANEO!S139</f>
        <v>0</v>
      </c>
      <c r="T140" s="141">
        <f>EXTEMPORANEO!T139</f>
        <v>0</v>
      </c>
      <c r="U140" s="84">
        <f>EXTEMPORANEO!U139</f>
        <v>0</v>
      </c>
      <c r="V140" s="13">
        <f>EXTEMPORANEO!V139</f>
        <v>0</v>
      </c>
      <c r="W140" s="13">
        <f>EXTEMPORANEO!W139</f>
        <v>0</v>
      </c>
      <c r="X140" s="113">
        <f>EXTEMPORANEO!X139</f>
        <v>0</v>
      </c>
      <c r="Y140" s="113">
        <f>EXTEMPORANEO!Y139</f>
        <v>0</v>
      </c>
      <c r="AA140" s="66"/>
    </row>
    <row r="141" spans="2:27" ht="13" customHeight="1">
      <c r="B141" s="33">
        <f>EXTEMPORANEO!B140</f>
        <v>0</v>
      </c>
      <c r="C141" s="25">
        <f>EXTEMPORANEO!C140</f>
        <v>2026092</v>
      </c>
      <c r="D141" s="226">
        <f>EXTEMPORANEO!D140</f>
        <v>0</v>
      </c>
      <c r="E141" s="138">
        <f>EXTEMPORANEO!E140</f>
        <v>0</v>
      </c>
      <c r="F141" s="139" t="e">
        <f>EXTEMPORANEO!F140</f>
        <v>#N/A</v>
      </c>
      <c r="G141" s="138" t="str">
        <f>EXTEMPORANEO!G140</f>
        <v/>
      </c>
      <c r="H141" s="139" t="e">
        <f>EXTEMPORANEO!H140</f>
        <v>#N/A</v>
      </c>
      <c r="I141" s="139" t="e">
        <f>EXTEMPORANEO!I140</f>
        <v>#N/A</v>
      </c>
      <c r="J141" s="13">
        <f>EXTEMPORANEO!J140</f>
        <v>0</v>
      </c>
      <c r="K141" s="13">
        <f>EXTEMPORANEO!K140</f>
        <v>0</v>
      </c>
      <c r="L141" s="7">
        <f>EXTEMPORANEO!L142</f>
        <v>0</v>
      </c>
      <c r="M141" s="7">
        <f>EXTEMPORANEO!M142</f>
        <v>0</v>
      </c>
      <c r="N141" s="13">
        <f>EXTEMPORANEO!N140</f>
        <v>0</v>
      </c>
      <c r="O141" s="13">
        <f>EXTEMPORANEO!O140</f>
        <v>0</v>
      </c>
      <c r="P141" s="13">
        <f>EXTEMPORANEO!P140</f>
        <v>0</v>
      </c>
      <c r="Q141" s="13">
        <f>EXTEMPORANEO!Q140</f>
        <v>0</v>
      </c>
      <c r="R141" s="140">
        <f>EXTEMPORANEO!R140</f>
        <v>0</v>
      </c>
      <c r="S141" s="140">
        <f>EXTEMPORANEO!S140</f>
        <v>0</v>
      </c>
      <c r="T141" s="141">
        <f>EXTEMPORANEO!T140</f>
        <v>0</v>
      </c>
      <c r="U141" s="84">
        <f>EXTEMPORANEO!U140</f>
        <v>0</v>
      </c>
      <c r="V141" s="13">
        <f>EXTEMPORANEO!V140</f>
        <v>0</v>
      </c>
      <c r="W141" s="13">
        <f>EXTEMPORANEO!W140</f>
        <v>0</v>
      </c>
      <c r="X141" s="113">
        <f>EXTEMPORANEO!X140</f>
        <v>0</v>
      </c>
      <c r="Y141" s="113">
        <f>EXTEMPORANEO!Y140</f>
        <v>0</v>
      </c>
      <c r="AA141" s="66"/>
    </row>
    <row r="142" spans="2:27" ht="13" customHeight="1">
      <c r="B142" s="33">
        <f>EXTEMPORANEO!B141</f>
        <v>0</v>
      </c>
      <c r="C142" s="25">
        <f>EXTEMPORANEO!C141</f>
        <v>2026092</v>
      </c>
      <c r="D142" s="226">
        <f>EXTEMPORANEO!D141</f>
        <v>0</v>
      </c>
      <c r="E142" s="138">
        <f>EXTEMPORANEO!E141</f>
        <v>0</v>
      </c>
      <c r="F142" s="139" t="e">
        <f>EXTEMPORANEO!F141</f>
        <v>#N/A</v>
      </c>
      <c r="G142" s="138" t="str">
        <f>EXTEMPORANEO!G141</f>
        <v/>
      </c>
      <c r="H142" s="139" t="e">
        <f>EXTEMPORANEO!H141</f>
        <v>#N/A</v>
      </c>
      <c r="I142" s="139" t="e">
        <f>EXTEMPORANEO!I141</f>
        <v>#N/A</v>
      </c>
      <c r="J142" s="13">
        <f>EXTEMPORANEO!J141</f>
        <v>0</v>
      </c>
      <c r="K142" s="13">
        <f>EXTEMPORANEO!K141</f>
        <v>0</v>
      </c>
      <c r="L142" s="7">
        <f>EXTEMPORANEO!L143</f>
        <v>0</v>
      </c>
      <c r="M142" s="7">
        <f>EXTEMPORANEO!M143</f>
        <v>0</v>
      </c>
      <c r="N142" s="13">
        <f>EXTEMPORANEO!N141</f>
        <v>0</v>
      </c>
      <c r="O142" s="13">
        <f>EXTEMPORANEO!O141</f>
        <v>0</v>
      </c>
      <c r="P142" s="13">
        <f>EXTEMPORANEO!P141</f>
        <v>0</v>
      </c>
      <c r="Q142" s="13">
        <f>EXTEMPORANEO!Q141</f>
        <v>0</v>
      </c>
      <c r="R142" s="140">
        <f>EXTEMPORANEO!R141</f>
        <v>0</v>
      </c>
      <c r="S142" s="140">
        <f>EXTEMPORANEO!S141</f>
        <v>0</v>
      </c>
      <c r="T142" s="141">
        <f>EXTEMPORANEO!T141</f>
        <v>0</v>
      </c>
      <c r="U142" s="84">
        <f>EXTEMPORANEO!U141</f>
        <v>0</v>
      </c>
      <c r="V142" s="13">
        <f>EXTEMPORANEO!V141</f>
        <v>0</v>
      </c>
      <c r="W142" s="13">
        <f>EXTEMPORANEO!W141</f>
        <v>0</v>
      </c>
      <c r="X142" s="113">
        <f>EXTEMPORANEO!X141</f>
        <v>0</v>
      </c>
      <c r="Y142" s="113">
        <f>EXTEMPORANEO!Y141</f>
        <v>0</v>
      </c>
      <c r="AA142" s="66"/>
    </row>
    <row r="143" spans="2:27" ht="13" customHeight="1">
      <c r="B143" s="33">
        <f>EXTEMPORANEO!B142</f>
        <v>0</v>
      </c>
      <c r="C143" s="25">
        <f>EXTEMPORANEO!C142</f>
        <v>2026092</v>
      </c>
      <c r="D143" s="226">
        <f>EXTEMPORANEO!D142</f>
        <v>0</v>
      </c>
      <c r="E143" s="138">
        <f>EXTEMPORANEO!E142</f>
        <v>0</v>
      </c>
      <c r="F143" s="139" t="e">
        <f>EXTEMPORANEO!F142</f>
        <v>#N/A</v>
      </c>
      <c r="G143" s="138" t="str">
        <f>EXTEMPORANEO!G142</f>
        <v/>
      </c>
      <c r="H143" s="139" t="e">
        <f>EXTEMPORANEO!H142</f>
        <v>#N/A</v>
      </c>
      <c r="I143" s="139" t="e">
        <f>EXTEMPORANEO!I142</f>
        <v>#N/A</v>
      </c>
      <c r="J143" s="13">
        <f>EXTEMPORANEO!J142</f>
        <v>0</v>
      </c>
      <c r="K143" s="13">
        <f>EXTEMPORANEO!K142</f>
        <v>0</v>
      </c>
      <c r="L143" s="7">
        <f>EXTEMPORANEO!L144</f>
        <v>0</v>
      </c>
      <c r="M143" s="7">
        <f>EXTEMPORANEO!M144</f>
        <v>0</v>
      </c>
      <c r="N143" s="13">
        <f>EXTEMPORANEO!N142</f>
        <v>0</v>
      </c>
      <c r="O143" s="13">
        <f>EXTEMPORANEO!O142</f>
        <v>0</v>
      </c>
      <c r="P143" s="13">
        <f>EXTEMPORANEO!P142</f>
        <v>0</v>
      </c>
      <c r="Q143" s="13">
        <f>EXTEMPORANEO!Q142</f>
        <v>0</v>
      </c>
      <c r="R143" s="140">
        <f>EXTEMPORANEO!R142</f>
        <v>0</v>
      </c>
      <c r="S143" s="140">
        <f>EXTEMPORANEO!S142</f>
        <v>0</v>
      </c>
      <c r="T143" s="141">
        <f>EXTEMPORANEO!T142</f>
        <v>0</v>
      </c>
      <c r="U143" s="84">
        <f>EXTEMPORANEO!U142</f>
        <v>0</v>
      </c>
      <c r="V143" s="13">
        <f>EXTEMPORANEO!V142</f>
        <v>0</v>
      </c>
      <c r="W143" s="13">
        <f>EXTEMPORANEO!W142</f>
        <v>0</v>
      </c>
      <c r="X143" s="113">
        <f>EXTEMPORANEO!X142</f>
        <v>0</v>
      </c>
      <c r="Y143" s="113">
        <f>EXTEMPORANEO!Y142</f>
        <v>0</v>
      </c>
      <c r="AA143" s="66"/>
    </row>
    <row r="144" spans="2:27" ht="13" customHeight="1">
      <c r="B144" s="33">
        <f>EXTEMPORANEO!B143</f>
        <v>0</v>
      </c>
      <c r="C144" s="25">
        <f>EXTEMPORANEO!C143</f>
        <v>2026092</v>
      </c>
      <c r="D144" s="226">
        <f>EXTEMPORANEO!D143</f>
        <v>0</v>
      </c>
      <c r="E144" s="138">
        <f>EXTEMPORANEO!E143</f>
        <v>0</v>
      </c>
      <c r="F144" s="139" t="e">
        <f>EXTEMPORANEO!F143</f>
        <v>#N/A</v>
      </c>
      <c r="G144" s="138" t="str">
        <f>EXTEMPORANEO!G143</f>
        <v/>
      </c>
      <c r="H144" s="139" t="e">
        <f>EXTEMPORANEO!H143</f>
        <v>#N/A</v>
      </c>
      <c r="I144" s="139" t="e">
        <f>EXTEMPORANEO!I143</f>
        <v>#N/A</v>
      </c>
      <c r="J144" s="13">
        <f>EXTEMPORANEO!J143</f>
        <v>0</v>
      </c>
      <c r="K144" s="13">
        <f>EXTEMPORANEO!K143</f>
        <v>0</v>
      </c>
      <c r="L144" s="7">
        <f>EXTEMPORANEO!L145</f>
        <v>0</v>
      </c>
      <c r="M144" s="7">
        <f>EXTEMPORANEO!M145</f>
        <v>0</v>
      </c>
      <c r="N144" s="13">
        <f>EXTEMPORANEO!N143</f>
        <v>0</v>
      </c>
      <c r="O144" s="13">
        <f>EXTEMPORANEO!O143</f>
        <v>0</v>
      </c>
      <c r="P144" s="13">
        <f>EXTEMPORANEO!P143</f>
        <v>0</v>
      </c>
      <c r="Q144" s="13">
        <f>EXTEMPORANEO!Q143</f>
        <v>0</v>
      </c>
      <c r="R144" s="140">
        <f>EXTEMPORANEO!R143</f>
        <v>0</v>
      </c>
      <c r="S144" s="140">
        <f>EXTEMPORANEO!S143</f>
        <v>0</v>
      </c>
      <c r="T144" s="141">
        <f>EXTEMPORANEO!T143</f>
        <v>0</v>
      </c>
      <c r="U144" s="84">
        <f>EXTEMPORANEO!U143</f>
        <v>0</v>
      </c>
      <c r="V144" s="13">
        <f>EXTEMPORANEO!V143</f>
        <v>0</v>
      </c>
      <c r="W144" s="13">
        <f>EXTEMPORANEO!W143</f>
        <v>0</v>
      </c>
      <c r="X144" s="113">
        <f>EXTEMPORANEO!X143</f>
        <v>0</v>
      </c>
      <c r="Y144" s="113">
        <f>EXTEMPORANEO!Y143</f>
        <v>0</v>
      </c>
      <c r="AA144" s="66"/>
    </row>
    <row r="145" spans="2:27" ht="13" customHeight="1">
      <c r="B145" s="33">
        <f>EXTEMPORANEO!B144</f>
        <v>0</v>
      </c>
      <c r="C145" s="25">
        <f>EXTEMPORANEO!C144</f>
        <v>2026092</v>
      </c>
      <c r="D145" s="226">
        <f>EXTEMPORANEO!D144</f>
        <v>0</v>
      </c>
      <c r="E145" s="138">
        <f>EXTEMPORANEO!E144</f>
        <v>0</v>
      </c>
      <c r="F145" s="139" t="e">
        <f>EXTEMPORANEO!F144</f>
        <v>#N/A</v>
      </c>
      <c r="G145" s="138" t="str">
        <f>EXTEMPORANEO!G144</f>
        <v/>
      </c>
      <c r="H145" s="139" t="e">
        <f>EXTEMPORANEO!H144</f>
        <v>#N/A</v>
      </c>
      <c r="I145" s="139" t="e">
        <f>EXTEMPORANEO!I144</f>
        <v>#N/A</v>
      </c>
      <c r="J145" s="13">
        <f>EXTEMPORANEO!J144</f>
        <v>0</v>
      </c>
      <c r="K145" s="13">
        <f>EXTEMPORANEO!K144</f>
        <v>0</v>
      </c>
      <c r="L145" s="7">
        <f>EXTEMPORANEO!L146</f>
        <v>0</v>
      </c>
      <c r="M145" s="7">
        <f>EXTEMPORANEO!M146</f>
        <v>0</v>
      </c>
      <c r="N145" s="13">
        <f>EXTEMPORANEO!N144</f>
        <v>0</v>
      </c>
      <c r="O145" s="13">
        <f>EXTEMPORANEO!O144</f>
        <v>0</v>
      </c>
      <c r="P145" s="13">
        <f>EXTEMPORANEO!P144</f>
        <v>0</v>
      </c>
      <c r="Q145" s="13">
        <f>EXTEMPORANEO!Q144</f>
        <v>0</v>
      </c>
      <c r="R145" s="140">
        <f>EXTEMPORANEO!R144</f>
        <v>0</v>
      </c>
      <c r="S145" s="140">
        <f>EXTEMPORANEO!S144</f>
        <v>0</v>
      </c>
      <c r="T145" s="141">
        <f>EXTEMPORANEO!T144</f>
        <v>0</v>
      </c>
      <c r="U145" s="84">
        <f>EXTEMPORANEO!U144</f>
        <v>0</v>
      </c>
      <c r="V145" s="13">
        <f>EXTEMPORANEO!V144</f>
        <v>0</v>
      </c>
      <c r="W145" s="13">
        <f>EXTEMPORANEO!W144</f>
        <v>0</v>
      </c>
      <c r="X145" s="113">
        <f>EXTEMPORANEO!X144</f>
        <v>0</v>
      </c>
      <c r="Y145" s="113">
        <f>EXTEMPORANEO!Y144</f>
        <v>0</v>
      </c>
      <c r="AA145" s="66"/>
    </row>
    <row r="146" spans="2:27" ht="13" customHeight="1">
      <c r="B146" s="33">
        <f>EXTEMPORANEO!B145</f>
        <v>0</v>
      </c>
      <c r="C146" s="25">
        <f>EXTEMPORANEO!C145</f>
        <v>2026092</v>
      </c>
      <c r="D146" s="226">
        <f>EXTEMPORANEO!D145</f>
        <v>0</v>
      </c>
      <c r="E146" s="138">
        <f>EXTEMPORANEO!E145</f>
        <v>0</v>
      </c>
      <c r="F146" s="139" t="e">
        <f>EXTEMPORANEO!F145</f>
        <v>#N/A</v>
      </c>
      <c r="G146" s="138" t="str">
        <f>EXTEMPORANEO!G145</f>
        <v/>
      </c>
      <c r="H146" s="139" t="e">
        <f>EXTEMPORANEO!H145</f>
        <v>#N/A</v>
      </c>
      <c r="I146" s="139" t="e">
        <f>EXTEMPORANEO!I145</f>
        <v>#N/A</v>
      </c>
      <c r="J146" s="13">
        <f>EXTEMPORANEO!J145</f>
        <v>0</v>
      </c>
      <c r="K146" s="13">
        <f>EXTEMPORANEO!K145</f>
        <v>0</v>
      </c>
      <c r="L146" s="7">
        <f>EXTEMPORANEO!L147</f>
        <v>0</v>
      </c>
      <c r="M146" s="7">
        <f>EXTEMPORANEO!M147</f>
        <v>0</v>
      </c>
      <c r="N146" s="13">
        <f>EXTEMPORANEO!N145</f>
        <v>0</v>
      </c>
      <c r="O146" s="13">
        <f>EXTEMPORANEO!O145</f>
        <v>0</v>
      </c>
      <c r="P146" s="13">
        <f>EXTEMPORANEO!P145</f>
        <v>0</v>
      </c>
      <c r="Q146" s="13">
        <f>EXTEMPORANEO!Q145</f>
        <v>0</v>
      </c>
      <c r="R146" s="140">
        <f>EXTEMPORANEO!R145</f>
        <v>0</v>
      </c>
      <c r="S146" s="140">
        <f>EXTEMPORANEO!S145</f>
        <v>0</v>
      </c>
      <c r="T146" s="141">
        <f>EXTEMPORANEO!T145</f>
        <v>0</v>
      </c>
      <c r="U146" s="84">
        <f>EXTEMPORANEO!U145</f>
        <v>0</v>
      </c>
      <c r="V146" s="13">
        <f>EXTEMPORANEO!V145</f>
        <v>0</v>
      </c>
      <c r="W146" s="13">
        <f>EXTEMPORANEO!W145</f>
        <v>0</v>
      </c>
      <c r="X146" s="113">
        <f>EXTEMPORANEO!X145</f>
        <v>0</v>
      </c>
      <c r="Y146" s="113">
        <f>EXTEMPORANEO!Y145</f>
        <v>0</v>
      </c>
      <c r="AA146" s="66"/>
    </row>
    <row r="147" spans="2:27" ht="13" customHeight="1">
      <c r="B147" s="33">
        <f>EXTEMPORANEO!B146</f>
        <v>0</v>
      </c>
      <c r="C147" s="25">
        <f>EXTEMPORANEO!C146</f>
        <v>2026092</v>
      </c>
      <c r="D147" s="226">
        <f>EXTEMPORANEO!D146</f>
        <v>0</v>
      </c>
      <c r="E147" s="138">
        <f>EXTEMPORANEO!E146</f>
        <v>0</v>
      </c>
      <c r="F147" s="139" t="e">
        <f>EXTEMPORANEO!F146</f>
        <v>#N/A</v>
      </c>
      <c r="G147" s="138" t="str">
        <f>EXTEMPORANEO!G146</f>
        <v/>
      </c>
      <c r="H147" s="139" t="e">
        <f>EXTEMPORANEO!H146</f>
        <v>#N/A</v>
      </c>
      <c r="I147" s="139" t="e">
        <f>EXTEMPORANEO!I146</f>
        <v>#N/A</v>
      </c>
      <c r="J147" s="13">
        <f>EXTEMPORANEO!J146</f>
        <v>0</v>
      </c>
      <c r="K147" s="13">
        <f>EXTEMPORANEO!K146</f>
        <v>0</v>
      </c>
      <c r="L147" s="7">
        <f>EXTEMPORANEO!L148</f>
        <v>0</v>
      </c>
      <c r="M147" s="7">
        <f>EXTEMPORANEO!M148</f>
        <v>0</v>
      </c>
      <c r="N147" s="13">
        <f>EXTEMPORANEO!N146</f>
        <v>0</v>
      </c>
      <c r="O147" s="13">
        <f>EXTEMPORANEO!O146</f>
        <v>0</v>
      </c>
      <c r="P147" s="13">
        <f>EXTEMPORANEO!P146</f>
        <v>0</v>
      </c>
      <c r="Q147" s="13">
        <f>EXTEMPORANEO!Q146</f>
        <v>0</v>
      </c>
      <c r="R147" s="140">
        <f>EXTEMPORANEO!R146</f>
        <v>0</v>
      </c>
      <c r="S147" s="140">
        <f>EXTEMPORANEO!S146</f>
        <v>0</v>
      </c>
      <c r="T147" s="141">
        <f>EXTEMPORANEO!T146</f>
        <v>0</v>
      </c>
      <c r="U147" s="84">
        <f>EXTEMPORANEO!U146</f>
        <v>0</v>
      </c>
      <c r="V147" s="13">
        <f>EXTEMPORANEO!V146</f>
        <v>0</v>
      </c>
      <c r="W147" s="13">
        <f>EXTEMPORANEO!W146</f>
        <v>0</v>
      </c>
      <c r="X147" s="113">
        <f>EXTEMPORANEO!X146</f>
        <v>0</v>
      </c>
      <c r="Y147" s="113">
        <f>EXTEMPORANEO!Y146</f>
        <v>0</v>
      </c>
      <c r="AA147" s="66"/>
    </row>
    <row r="148" spans="2:27" ht="13" customHeight="1">
      <c r="B148" s="33">
        <f>EXTEMPORANEO!B147</f>
        <v>0</v>
      </c>
      <c r="C148" s="25">
        <f>EXTEMPORANEO!C147</f>
        <v>2026092</v>
      </c>
      <c r="D148" s="226">
        <f>EXTEMPORANEO!D147</f>
        <v>0</v>
      </c>
      <c r="E148" s="138">
        <f>EXTEMPORANEO!E147</f>
        <v>0</v>
      </c>
      <c r="F148" s="139" t="e">
        <f>EXTEMPORANEO!F147</f>
        <v>#N/A</v>
      </c>
      <c r="G148" s="138" t="str">
        <f>EXTEMPORANEO!G147</f>
        <v/>
      </c>
      <c r="H148" s="139" t="e">
        <f>EXTEMPORANEO!H147</f>
        <v>#N/A</v>
      </c>
      <c r="I148" s="139" t="e">
        <f>EXTEMPORANEO!I147</f>
        <v>#N/A</v>
      </c>
      <c r="J148" s="13">
        <f>EXTEMPORANEO!J147</f>
        <v>0</v>
      </c>
      <c r="K148" s="13">
        <f>EXTEMPORANEO!K147</f>
        <v>0</v>
      </c>
      <c r="L148" s="7">
        <f>EXTEMPORANEO!L149</f>
        <v>0</v>
      </c>
      <c r="M148" s="7">
        <f>EXTEMPORANEO!M149</f>
        <v>0</v>
      </c>
      <c r="N148" s="13">
        <f>EXTEMPORANEO!N147</f>
        <v>0</v>
      </c>
      <c r="O148" s="13">
        <f>EXTEMPORANEO!O147</f>
        <v>0</v>
      </c>
      <c r="P148" s="13">
        <f>EXTEMPORANEO!P147</f>
        <v>0</v>
      </c>
      <c r="Q148" s="13">
        <f>EXTEMPORANEO!Q147</f>
        <v>0</v>
      </c>
      <c r="R148" s="140">
        <f>EXTEMPORANEO!R147</f>
        <v>0</v>
      </c>
      <c r="S148" s="140">
        <f>EXTEMPORANEO!S147</f>
        <v>0</v>
      </c>
      <c r="T148" s="141">
        <f>EXTEMPORANEO!T147</f>
        <v>0</v>
      </c>
      <c r="U148" s="84">
        <f>EXTEMPORANEO!U147</f>
        <v>0</v>
      </c>
      <c r="V148" s="13">
        <f>EXTEMPORANEO!V147</f>
        <v>0</v>
      </c>
      <c r="W148" s="13">
        <f>EXTEMPORANEO!W147</f>
        <v>0</v>
      </c>
      <c r="X148" s="113">
        <f>EXTEMPORANEO!X147</f>
        <v>0</v>
      </c>
      <c r="Y148" s="113">
        <f>EXTEMPORANEO!Y147</f>
        <v>0</v>
      </c>
      <c r="AA148" s="66"/>
    </row>
    <row r="149" spans="2:27" ht="13" customHeight="1">
      <c r="B149" s="33">
        <f>EXTEMPORANEO!B148</f>
        <v>0</v>
      </c>
      <c r="C149" s="25">
        <f>EXTEMPORANEO!C148</f>
        <v>2026092</v>
      </c>
      <c r="D149" s="226">
        <f>EXTEMPORANEO!D148</f>
        <v>0</v>
      </c>
      <c r="E149" s="138">
        <f>EXTEMPORANEO!E148</f>
        <v>0</v>
      </c>
      <c r="F149" s="139" t="e">
        <f>EXTEMPORANEO!F148</f>
        <v>#N/A</v>
      </c>
      <c r="G149" s="138" t="str">
        <f>EXTEMPORANEO!G148</f>
        <v/>
      </c>
      <c r="H149" s="139" t="e">
        <f>EXTEMPORANEO!H148</f>
        <v>#N/A</v>
      </c>
      <c r="I149" s="139" t="e">
        <f>EXTEMPORANEO!I148</f>
        <v>#N/A</v>
      </c>
      <c r="J149" s="13">
        <f>EXTEMPORANEO!J148</f>
        <v>0</v>
      </c>
      <c r="K149" s="13">
        <f>EXTEMPORANEO!K148</f>
        <v>0</v>
      </c>
      <c r="L149" s="36">
        <f>EXTEMPORANEO!L150</f>
        <v>0</v>
      </c>
      <c r="M149" s="36">
        <f>EXTEMPORANEO!M150</f>
        <v>0</v>
      </c>
      <c r="N149" s="13">
        <f>EXTEMPORANEO!N148</f>
        <v>0</v>
      </c>
      <c r="O149" s="13">
        <f>EXTEMPORANEO!O148</f>
        <v>0</v>
      </c>
      <c r="P149" s="13">
        <f>EXTEMPORANEO!P148</f>
        <v>0</v>
      </c>
      <c r="Q149" s="13">
        <f>EXTEMPORANEO!Q148</f>
        <v>0</v>
      </c>
      <c r="R149" s="140">
        <f>EXTEMPORANEO!R148</f>
        <v>0</v>
      </c>
      <c r="S149" s="140">
        <f>EXTEMPORANEO!S148</f>
        <v>0</v>
      </c>
      <c r="T149" s="141">
        <f>EXTEMPORANEO!T148</f>
        <v>0</v>
      </c>
      <c r="U149" s="84">
        <f>EXTEMPORANEO!U148</f>
        <v>0</v>
      </c>
      <c r="V149" s="13">
        <f>EXTEMPORANEO!V148</f>
        <v>0</v>
      </c>
      <c r="W149" s="13">
        <f>EXTEMPORANEO!W148</f>
        <v>0</v>
      </c>
      <c r="X149" s="113">
        <f>EXTEMPORANEO!X148</f>
        <v>0</v>
      </c>
      <c r="Y149" s="113">
        <f>EXTEMPORANEO!Y148</f>
        <v>0</v>
      </c>
      <c r="AA149" s="66"/>
    </row>
    <row r="150" spans="2:27" ht="13" customHeight="1">
      <c r="B150" s="33">
        <f>EXTEMPORANEO!B149</f>
        <v>0</v>
      </c>
      <c r="C150" s="25">
        <f>EXTEMPORANEO!C149</f>
        <v>2026092</v>
      </c>
      <c r="D150" s="226">
        <f>EXTEMPORANEO!D149</f>
        <v>0</v>
      </c>
      <c r="E150" s="138">
        <f>EXTEMPORANEO!E149</f>
        <v>0</v>
      </c>
      <c r="F150" s="139" t="e">
        <f>EXTEMPORANEO!F149</f>
        <v>#N/A</v>
      </c>
      <c r="G150" s="138" t="str">
        <f>EXTEMPORANEO!G149</f>
        <v/>
      </c>
      <c r="H150" s="139" t="e">
        <f>EXTEMPORANEO!H149</f>
        <v>#N/A</v>
      </c>
      <c r="I150" s="139" t="e">
        <f>EXTEMPORANEO!I149</f>
        <v>#N/A</v>
      </c>
      <c r="J150" s="13">
        <f>EXTEMPORANEO!J149</f>
        <v>0</v>
      </c>
      <c r="K150" s="13">
        <f>EXTEMPORANEO!K149</f>
        <v>0</v>
      </c>
      <c r="L150" s="36">
        <f>EXTEMPORANEO!L151</f>
        <v>0</v>
      </c>
      <c r="M150" s="36">
        <f>EXTEMPORANEO!M151</f>
        <v>0</v>
      </c>
      <c r="N150" s="13">
        <f>EXTEMPORANEO!N149</f>
        <v>0</v>
      </c>
      <c r="O150" s="13">
        <f>EXTEMPORANEO!O149</f>
        <v>0</v>
      </c>
      <c r="P150" s="13">
        <f>EXTEMPORANEO!P149</f>
        <v>0</v>
      </c>
      <c r="Q150" s="13">
        <f>EXTEMPORANEO!Q149</f>
        <v>0</v>
      </c>
      <c r="R150" s="140">
        <f>EXTEMPORANEO!R149</f>
        <v>0</v>
      </c>
      <c r="S150" s="140">
        <f>EXTEMPORANEO!S149</f>
        <v>0</v>
      </c>
      <c r="T150" s="141">
        <f>EXTEMPORANEO!T149</f>
        <v>0</v>
      </c>
      <c r="U150" s="84">
        <f>EXTEMPORANEO!U149</f>
        <v>0</v>
      </c>
      <c r="V150" s="13">
        <f>EXTEMPORANEO!V149</f>
        <v>0</v>
      </c>
      <c r="W150" s="13">
        <f>EXTEMPORANEO!W149</f>
        <v>0</v>
      </c>
      <c r="X150" s="113">
        <f>EXTEMPORANEO!X149</f>
        <v>0</v>
      </c>
      <c r="Y150" s="113">
        <f>EXTEMPORANEO!Y149</f>
        <v>0</v>
      </c>
      <c r="AA150" s="66"/>
    </row>
    <row r="151" spans="2:27" ht="13" customHeight="1">
      <c r="B151" s="33">
        <f>EXTEMPORANEO!B150</f>
        <v>0</v>
      </c>
      <c r="C151" s="25">
        <f>EXTEMPORANEO!C150</f>
        <v>2026092</v>
      </c>
      <c r="D151" s="226">
        <f>EXTEMPORANEO!D150</f>
        <v>0</v>
      </c>
      <c r="E151" s="138">
        <f>EXTEMPORANEO!E150</f>
        <v>0</v>
      </c>
      <c r="F151" s="139" t="e">
        <f>EXTEMPORANEO!F150</f>
        <v>#N/A</v>
      </c>
      <c r="G151" s="138" t="str">
        <f>EXTEMPORANEO!G150</f>
        <v/>
      </c>
      <c r="H151" s="139" t="e">
        <f>EXTEMPORANEO!H150</f>
        <v>#N/A</v>
      </c>
      <c r="I151" s="139" t="e">
        <f>EXTEMPORANEO!I150</f>
        <v>#N/A</v>
      </c>
      <c r="J151" s="13">
        <f>EXTEMPORANEO!J150</f>
        <v>0</v>
      </c>
      <c r="K151" s="13">
        <f>EXTEMPORANEO!K150</f>
        <v>0</v>
      </c>
      <c r="L151" s="36">
        <f>EXTEMPORANEO!L152</f>
        <v>0</v>
      </c>
      <c r="M151" s="36">
        <f>EXTEMPORANEO!M152</f>
        <v>0</v>
      </c>
      <c r="N151" s="13">
        <f>EXTEMPORANEO!N150</f>
        <v>0</v>
      </c>
      <c r="O151" s="13">
        <f>EXTEMPORANEO!O150</f>
        <v>0</v>
      </c>
      <c r="P151" s="13">
        <f>EXTEMPORANEO!P150</f>
        <v>0</v>
      </c>
      <c r="Q151" s="13">
        <f>EXTEMPORANEO!Q150</f>
        <v>0</v>
      </c>
      <c r="R151" s="140">
        <f>EXTEMPORANEO!R150</f>
        <v>0</v>
      </c>
      <c r="S151" s="140">
        <f>EXTEMPORANEO!S150</f>
        <v>0</v>
      </c>
      <c r="T151" s="141">
        <f>EXTEMPORANEO!T150</f>
        <v>0</v>
      </c>
      <c r="U151" s="84">
        <f>EXTEMPORANEO!U150</f>
        <v>0</v>
      </c>
      <c r="V151" s="13">
        <f>EXTEMPORANEO!V150</f>
        <v>0</v>
      </c>
      <c r="W151" s="13">
        <f>EXTEMPORANEO!W150</f>
        <v>0</v>
      </c>
      <c r="X151" s="113">
        <f>EXTEMPORANEO!X150</f>
        <v>0</v>
      </c>
      <c r="Y151" s="113">
        <f>EXTEMPORANEO!Y150</f>
        <v>0</v>
      </c>
      <c r="AA151" s="66"/>
    </row>
    <row r="152" spans="2:27" ht="13" customHeight="1">
      <c r="B152" s="33">
        <f>EXTEMPORANEO!B151</f>
        <v>0</v>
      </c>
      <c r="C152" s="25">
        <f>EXTEMPORANEO!C151</f>
        <v>2026092</v>
      </c>
      <c r="D152" s="226">
        <f>EXTEMPORANEO!D151</f>
        <v>0</v>
      </c>
      <c r="E152" s="138">
        <f>EXTEMPORANEO!E151</f>
        <v>0</v>
      </c>
      <c r="F152" s="139" t="e">
        <f>EXTEMPORANEO!F151</f>
        <v>#N/A</v>
      </c>
      <c r="G152" s="138" t="str">
        <f>EXTEMPORANEO!G151</f>
        <v/>
      </c>
      <c r="H152" s="139" t="e">
        <f>EXTEMPORANEO!H151</f>
        <v>#N/A</v>
      </c>
      <c r="I152" s="139" t="e">
        <f>EXTEMPORANEO!I151</f>
        <v>#N/A</v>
      </c>
      <c r="J152" s="13">
        <f>EXTEMPORANEO!J151</f>
        <v>0</v>
      </c>
      <c r="K152" s="13">
        <f>EXTEMPORANEO!K151</f>
        <v>0</v>
      </c>
      <c r="L152" s="36">
        <f>EXTEMPORANEO!L153</f>
        <v>0</v>
      </c>
      <c r="M152" s="36">
        <f>EXTEMPORANEO!M153</f>
        <v>0</v>
      </c>
      <c r="N152" s="13">
        <f>EXTEMPORANEO!N151</f>
        <v>0</v>
      </c>
      <c r="O152" s="13">
        <f>EXTEMPORANEO!O151</f>
        <v>0</v>
      </c>
      <c r="P152" s="13">
        <f>EXTEMPORANEO!P151</f>
        <v>0</v>
      </c>
      <c r="Q152" s="13">
        <f>EXTEMPORANEO!Q151</f>
        <v>0</v>
      </c>
      <c r="R152" s="140">
        <f>EXTEMPORANEO!R151</f>
        <v>0</v>
      </c>
      <c r="S152" s="140">
        <f>EXTEMPORANEO!S151</f>
        <v>0</v>
      </c>
      <c r="T152" s="141">
        <f>EXTEMPORANEO!T151</f>
        <v>0</v>
      </c>
      <c r="U152" s="84">
        <f>EXTEMPORANEO!U151</f>
        <v>0</v>
      </c>
      <c r="V152" s="13">
        <f>EXTEMPORANEO!V151</f>
        <v>0</v>
      </c>
      <c r="W152" s="13">
        <f>EXTEMPORANEO!W151</f>
        <v>0</v>
      </c>
      <c r="X152" s="113">
        <f>EXTEMPORANEO!X151</f>
        <v>0</v>
      </c>
      <c r="Y152" s="113">
        <f>EXTEMPORANEO!Y151</f>
        <v>0</v>
      </c>
      <c r="AA152" s="66"/>
    </row>
    <row r="153" spans="2:27" ht="13" customHeight="1">
      <c r="B153" s="33">
        <f>EXTEMPORANEO!B152</f>
        <v>0</v>
      </c>
      <c r="C153" s="25">
        <f>EXTEMPORANEO!C152</f>
        <v>2026092</v>
      </c>
      <c r="D153" s="226">
        <f>EXTEMPORANEO!D152</f>
        <v>0</v>
      </c>
      <c r="E153" s="138">
        <f>EXTEMPORANEO!E152</f>
        <v>0</v>
      </c>
      <c r="F153" s="139" t="e">
        <f>EXTEMPORANEO!F152</f>
        <v>#N/A</v>
      </c>
      <c r="G153" s="138" t="str">
        <f>EXTEMPORANEO!G152</f>
        <v/>
      </c>
      <c r="H153" s="139" t="e">
        <f>EXTEMPORANEO!H152</f>
        <v>#N/A</v>
      </c>
      <c r="I153" s="139" t="e">
        <f>EXTEMPORANEO!I152</f>
        <v>#N/A</v>
      </c>
      <c r="J153" s="13">
        <f>EXTEMPORANEO!J152</f>
        <v>0</v>
      </c>
      <c r="K153" s="13">
        <f>EXTEMPORANEO!K152</f>
        <v>0</v>
      </c>
      <c r="L153" s="36">
        <f>EXTEMPORANEO!L154</f>
        <v>0</v>
      </c>
      <c r="M153" s="36">
        <f>EXTEMPORANEO!M154</f>
        <v>0</v>
      </c>
      <c r="N153" s="13">
        <f>EXTEMPORANEO!N152</f>
        <v>0</v>
      </c>
      <c r="O153" s="13">
        <f>EXTEMPORANEO!O152</f>
        <v>0</v>
      </c>
      <c r="P153" s="13">
        <f>EXTEMPORANEO!P152</f>
        <v>0</v>
      </c>
      <c r="Q153" s="13">
        <f>EXTEMPORANEO!Q152</f>
        <v>0</v>
      </c>
      <c r="R153" s="140">
        <f>EXTEMPORANEO!R152</f>
        <v>0</v>
      </c>
      <c r="S153" s="140">
        <f>EXTEMPORANEO!S152</f>
        <v>0</v>
      </c>
      <c r="T153" s="141">
        <f>EXTEMPORANEO!T152</f>
        <v>0</v>
      </c>
      <c r="U153" s="84">
        <f>EXTEMPORANEO!U152</f>
        <v>0</v>
      </c>
      <c r="V153" s="13">
        <f>EXTEMPORANEO!V152</f>
        <v>0</v>
      </c>
      <c r="W153" s="13">
        <f>EXTEMPORANEO!W152</f>
        <v>0</v>
      </c>
      <c r="X153" s="113">
        <f>EXTEMPORANEO!X152</f>
        <v>0</v>
      </c>
      <c r="Y153" s="113">
        <f>EXTEMPORANEO!Y152</f>
        <v>0</v>
      </c>
      <c r="AA153" s="66"/>
    </row>
    <row r="154" spans="2:27" ht="13" customHeight="1">
      <c r="B154" s="33">
        <f>EXTEMPORANEO!B153</f>
        <v>0</v>
      </c>
      <c r="C154" s="25">
        <f>EXTEMPORANEO!C153</f>
        <v>2026092</v>
      </c>
      <c r="D154" s="226">
        <f>EXTEMPORANEO!D153</f>
        <v>0</v>
      </c>
      <c r="E154" s="138">
        <f>EXTEMPORANEO!E153</f>
        <v>0</v>
      </c>
      <c r="F154" s="139" t="e">
        <f>EXTEMPORANEO!F153</f>
        <v>#N/A</v>
      </c>
      <c r="G154" s="138" t="str">
        <f>EXTEMPORANEO!G153</f>
        <v/>
      </c>
      <c r="H154" s="139" t="e">
        <f>EXTEMPORANEO!H153</f>
        <v>#N/A</v>
      </c>
      <c r="I154" s="139" t="e">
        <f>EXTEMPORANEO!I153</f>
        <v>#N/A</v>
      </c>
      <c r="J154" s="13">
        <f>EXTEMPORANEO!J153</f>
        <v>0</v>
      </c>
      <c r="K154" s="13">
        <f>EXTEMPORANEO!K153</f>
        <v>0</v>
      </c>
      <c r="L154" s="36">
        <f>EXTEMPORANEO!L155</f>
        <v>0</v>
      </c>
      <c r="M154" s="36">
        <f>EXTEMPORANEO!M155</f>
        <v>0</v>
      </c>
      <c r="N154" s="13">
        <f>EXTEMPORANEO!N153</f>
        <v>0</v>
      </c>
      <c r="O154" s="13">
        <f>EXTEMPORANEO!O153</f>
        <v>0</v>
      </c>
      <c r="P154" s="13">
        <f>EXTEMPORANEO!P153</f>
        <v>0</v>
      </c>
      <c r="Q154" s="13">
        <f>EXTEMPORANEO!Q153</f>
        <v>0</v>
      </c>
      <c r="R154" s="140">
        <f>EXTEMPORANEO!R153</f>
        <v>0</v>
      </c>
      <c r="S154" s="140">
        <f>EXTEMPORANEO!S153</f>
        <v>0</v>
      </c>
      <c r="T154" s="141">
        <f>EXTEMPORANEO!T153</f>
        <v>0</v>
      </c>
      <c r="U154" s="84">
        <f>EXTEMPORANEO!U153</f>
        <v>0</v>
      </c>
      <c r="V154" s="13">
        <f>EXTEMPORANEO!V153</f>
        <v>0</v>
      </c>
      <c r="W154" s="13">
        <f>EXTEMPORANEO!W153</f>
        <v>0</v>
      </c>
      <c r="X154" s="113">
        <f>EXTEMPORANEO!X153</f>
        <v>0</v>
      </c>
      <c r="Y154" s="113">
        <f>EXTEMPORANEO!Y153</f>
        <v>0</v>
      </c>
      <c r="AA154" s="66"/>
    </row>
    <row r="155" spans="2:27" ht="13" customHeight="1">
      <c r="B155" s="33">
        <f>EXTEMPORANEO!B154</f>
        <v>0</v>
      </c>
      <c r="C155" s="25">
        <f>EXTEMPORANEO!C154</f>
        <v>2026092</v>
      </c>
      <c r="D155" s="226">
        <f>EXTEMPORANEO!D154</f>
        <v>0</v>
      </c>
      <c r="E155" s="138">
        <f>EXTEMPORANEO!E154</f>
        <v>0</v>
      </c>
      <c r="F155" s="139" t="e">
        <f>EXTEMPORANEO!F154</f>
        <v>#N/A</v>
      </c>
      <c r="G155" s="138" t="str">
        <f>EXTEMPORANEO!G154</f>
        <v/>
      </c>
      <c r="H155" s="139" t="e">
        <f>EXTEMPORANEO!H154</f>
        <v>#N/A</v>
      </c>
      <c r="I155" s="139" t="e">
        <f>EXTEMPORANEO!I154</f>
        <v>#N/A</v>
      </c>
      <c r="J155" s="13">
        <f>EXTEMPORANEO!J154</f>
        <v>0</v>
      </c>
      <c r="K155" s="13">
        <f>EXTEMPORANEO!K154</f>
        <v>0</v>
      </c>
      <c r="L155" s="36">
        <f>EXTEMPORANEO!L156</f>
        <v>0</v>
      </c>
      <c r="M155" s="36">
        <f>EXTEMPORANEO!M156</f>
        <v>0</v>
      </c>
      <c r="N155" s="13">
        <f>EXTEMPORANEO!N154</f>
        <v>0</v>
      </c>
      <c r="O155" s="13">
        <f>EXTEMPORANEO!O154</f>
        <v>0</v>
      </c>
      <c r="P155" s="13">
        <f>EXTEMPORANEO!P154</f>
        <v>0</v>
      </c>
      <c r="Q155" s="13">
        <f>EXTEMPORANEO!Q154</f>
        <v>0</v>
      </c>
      <c r="R155" s="140">
        <f>EXTEMPORANEO!R154</f>
        <v>0</v>
      </c>
      <c r="S155" s="140">
        <f>EXTEMPORANEO!S154</f>
        <v>0</v>
      </c>
      <c r="T155" s="141">
        <f>EXTEMPORANEO!T154</f>
        <v>0</v>
      </c>
      <c r="U155" s="84">
        <f>EXTEMPORANEO!U154</f>
        <v>0</v>
      </c>
      <c r="V155" s="13">
        <f>EXTEMPORANEO!V154</f>
        <v>0</v>
      </c>
      <c r="W155" s="13">
        <f>EXTEMPORANEO!W154</f>
        <v>0</v>
      </c>
      <c r="X155" s="113">
        <f>EXTEMPORANEO!X154</f>
        <v>0</v>
      </c>
      <c r="Y155" s="113">
        <f>EXTEMPORANEO!Y154</f>
        <v>0</v>
      </c>
      <c r="AA155" s="66"/>
    </row>
    <row r="156" spans="2:27" ht="13" customHeight="1">
      <c r="B156" s="33">
        <f>EXTEMPORANEO!B155</f>
        <v>0</v>
      </c>
      <c r="C156" s="25">
        <f>EXTEMPORANEO!C155</f>
        <v>2026092</v>
      </c>
      <c r="D156" s="226">
        <f>EXTEMPORANEO!D155</f>
        <v>0</v>
      </c>
      <c r="E156" s="138">
        <f>EXTEMPORANEO!E155</f>
        <v>0</v>
      </c>
      <c r="F156" s="139" t="e">
        <f>EXTEMPORANEO!F155</f>
        <v>#N/A</v>
      </c>
      <c r="G156" s="138" t="str">
        <f>EXTEMPORANEO!G155</f>
        <v/>
      </c>
      <c r="H156" s="139" t="e">
        <f>EXTEMPORANEO!H155</f>
        <v>#N/A</v>
      </c>
      <c r="I156" s="139" t="e">
        <f>EXTEMPORANEO!I155</f>
        <v>#N/A</v>
      </c>
      <c r="J156" s="13">
        <f>EXTEMPORANEO!J155</f>
        <v>0</v>
      </c>
      <c r="K156" s="13">
        <f>EXTEMPORANEO!K155</f>
        <v>0</v>
      </c>
      <c r="L156" s="36">
        <f>EXTEMPORANEO!L157</f>
        <v>0</v>
      </c>
      <c r="M156" s="36">
        <f>EXTEMPORANEO!M157</f>
        <v>0</v>
      </c>
      <c r="N156" s="13">
        <f>EXTEMPORANEO!N155</f>
        <v>0</v>
      </c>
      <c r="O156" s="13">
        <f>EXTEMPORANEO!O155</f>
        <v>0</v>
      </c>
      <c r="P156" s="13">
        <f>EXTEMPORANEO!P155</f>
        <v>0</v>
      </c>
      <c r="Q156" s="13">
        <f>EXTEMPORANEO!Q155</f>
        <v>0</v>
      </c>
      <c r="R156" s="140">
        <f>EXTEMPORANEO!R155</f>
        <v>0</v>
      </c>
      <c r="S156" s="140">
        <f>EXTEMPORANEO!S155</f>
        <v>0</v>
      </c>
      <c r="T156" s="141">
        <f>EXTEMPORANEO!T155</f>
        <v>0</v>
      </c>
      <c r="U156" s="84">
        <f>EXTEMPORANEO!U155</f>
        <v>0</v>
      </c>
      <c r="V156" s="13">
        <f>EXTEMPORANEO!V155</f>
        <v>0</v>
      </c>
      <c r="W156" s="13">
        <f>EXTEMPORANEO!W155</f>
        <v>0</v>
      </c>
      <c r="X156" s="113">
        <f>EXTEMPORANEO!X155</f>
        <v>0</v>
      </c>
      <c r="Y156" s="113">
        <f>EXTEMPORANEO!Y155</f>
        <v>0</v>
      </c>
      <c r="AA156" s="66"/>
    </row>
    <row r="157" spans="2:27" ht="13" customHeight="1">
      <c r="B157" s="33">
        <f>EXTEMPORANEO!B156</f>
        <v>0</v>
      </c>
      <c r="C157" s="25">
        <f>EXTEMPORANEO!C156</f>
        <v>2026092</v>
      </c>
      <c r="D157" s="226">
        <f>EXTEMPORANEO!D156</f>
        <v>0</v>
      </c>
      <c r="E157" s="138">
        <f>EXTEMPORANEO!E156</f>
        <v>0</v>
      </c>
      <c r="F157" s="139" t="e">
        <f>EXTEMPORANEO!F156</f>
        <v>#N/A</v>
      </c>
      <c r="G157" s="138" t="str">
        <f>EXTEMPORANEO!G156</f>
        <v/>
      </c>
      <c r="H157" s="139" t="e">
        <f>EXTEMPORANEO!H156</f>
        <v>#N/A</v>
      </c>
      <c r="I157" s="139" t="e">
        <f>EXTEMPORANEO!I156</f>
        <v>#N/A</v>
      </c>
      <c r="J157" s="13">
        <f>EXTEMPORANEO!J156</f>
        <v>0</v>
      </c>
      <c r="K157" s="13">
        <f>EXTEMPORANEO!K156</f>
        <v>0</v>
      </c>
      <c r="L157" s="36">
        <f>EXTEMPORANEO!L158</f>
        <v>0</v>
      </c>
      <c r="M157" s="36">
        <f>EXTEMPORANEO!M158</f>
        <v>0</v>
      </c>
      <c r="N157" s="13">
        <f>EXTEMPORANEO!N156</f>
        <v>0</v>
      </c>
      <c r="O157" s="13">
        <f>EXTEMPORANEO!O156</f>
        <v>0</v>
      </c>
      <c r="P157" s="13">
        <f>EXTEMPORANEO!P156</f>
        <v>0</v>
      </c>
      <c r="Q157" s="13">
        <f>EXTEMPORANEO!Q156</f>
        <v>0</v>
      </c>
      <c r="R157" s="140">
        <f>EXTEMPORANEO!R156</f>
        <v>0</v>
      </c>
      <c r="S157" s="140">
        <f>EXTEMPORANEO!S156</f>
        <v>0</v>
      </c>
      <c r="T157" s="141">
        <f>EXTEMPORANEO!T156</f>
        <v>0</v>
      </c>
      <c r="U157" s="84">
        <f>EXTEMPORANEO!U156</f>
        <v>0</v>
      </c>
      <c r="V157" s="13">
        <f>EXTEMPORANEO!V156</f>
        <v>0</v>
      </c>
      <c r="W157" s="13">
        <f>EXTEMPORANEO!W156</f>
        <v>0</v>
      </c>
      <c r="X157" s="113">
        <f>EXTEMPORANEO!X156</f>
        <v>0</v>
      </c>
      <c r="Y157" s="113">
        <f>EXTEMPORANEO!Y156</f>
        <v>0</v>
      </c>
      <c r="AA157" s="66"/>
    </row>
    <row r="158" spans="2:27" ht="13" customHeight="1">
      <c r="B158" s="33">
        <f>EXTEMPORANEO!B157</f>
        <v>0</v>
      </c>
      <c r="C158" s="25">
        <f>EXTEMPORANEO!C157</f>
        <v>2026092</v>
      </c>
      <c r="D158" s="226">
        <f>EXTEMPORANEO!D157</f>
        <v>0</v>
      </c>
      <c r="E158" s="138">
        <f>EXTEMPORANEO!E157</f>
        <v>0</v>
      </c>
      <c r="F158" s="139" t="e">
        <f>EXTEMPORANEO!F157</f>
        <v>#N/A</v>
      </c>
      <c r="G158" s="138" t="str">
        <f>EXTEMPORANEO!G157</f>
        <v/>
      </c>
      <c r="H158" s="139" t="e">
        <f>EXTEMPORANEO!H157</f>
        <v>#N/A</v>
      </c>
      <c r="I158" s="139" t="e">
        <f>EXTEMPORANEO!I157</f>
        <v>#N/A</v>
      </c>
      <c r="J158" s="13">
        <f>EXTEMPORANEO!J157</f>
        <v>0</v>
      </c>
      <c r="K158" s="13">
        <f>EXTEMPORANEO!K157</f>
        <v>0</v>
      </c>
      <c r="L158" s="36">
        <f>EXTEMPORANEO!L159</f>
        <v>0</v>
      </c>
      <c r="M158" s="36">
        <f>EXTEMPORANEO!M159</f>
        <v>0</v>
      </c>
      <c r="N158" s="13">
        <f>EXTEMPORANEO!N157</f>
        <v>0</v>
      </c>
      <c r="O158" s="13">
        <f>EXTEMPORANEO!O157</f>
        <v>0</v>
      </c>
      <c r="P158" s="13">
        <f>EXTEMPORANEO!P157</f>
        <v>0</v>
      </c>
      <c r="Q158" s="13">
        <f>EXTEMPORANEO!Q157</f>
        <v>0</v>
      </c>
      <c r="R158" s="140">
        <f>EXTEMPORANEO!R157</f>
        <v>0</v>
      </c>
      <c r="S158" s="140">
        <f>EXTEMPORANEO!S157</f>
        <v>0</v>
      </c>
      <c r="T158" s="141">
        <f>EXTEMPORANEO!T157</f>
        <v>0</v>
      </c>
      <c r="U158" s="84">
        <f>EXTEMPORANEO!U157</f>
        <v>0</v>
      </c>
      <c r="V158" s="13">
        <f>EXTEMPORANEO!V157</f>
        <v>0</v>
      </c>
      <c r="W158" s="13">
        <f>EXTEMPORANEO!W157</f>
        <v>0</v>
      </c>
      <c r="X158" s="113">
        <f>EXTEMPORANEO!X157</f>
        <v>0</v>
      </c>
      <c r="Y158" s="113">
        <f>EXTEMPORANEO!Y157</f>
        <v>0</v>
      </c>
      <c r="AA158" s="66"/>
    </row>
    <row r="159" spans="2:27" ht="13" customHeight="1">
      <c r="B159" s="33">
        <f>EXTEMPORANEO!B158</f>
        <v>0</v>
      </c>
      <c r="C159" s="25">
        <f>EXTEMPORANEO!C158</f>
        <v>2026092</v>
      </c>
      <c r="D159" s="226">
        <f>EXTEMPORANEO!D158</f>
        <v>0</v>
      </c>
      <c r="E159" s="138">
        <f>EXTEMPORANEO!E158</f>
        <v>0</v>
      </c>
      <c r="F159" s="139" t="e">
        <f>EXTEMPORANEO!F158</f>
        <v>#N/A</v>
      </c>
      <c r="G159" s="138" t="str">
        <f>EXTEMPORANEO!G158</f>
        <v/>
      </c>
      <c r="H159" s="139" t="e">
        <f>EXTEMPORANEO!H158</f>
        <v>#N/A</v>
      </c>
      <c r="I159" s="139" t="e">
        <f>EXTEMPORANEO!I158</f>
        <v>#N/A</v>
      </c>
      <c r="J159" s="13">
        <f>EXTEMPORANEO!J158</f>
        <v>0</v>
      </c>
      <c r="K159" s="13">
        <f>EXTEMPORANEO!K158</f>
        <v>0</v>
      </c>
      <c r="L159" s="36">
        <f>EXTEMPORANEO!L161</f>
        <v>0</v>
      </c>
      <c r="M159" s="36">
        <f>EXTEMPORANEO!M161</f>
        <v>0</v>
      </c>
      <c r="N159" s="13">
        <f>EXTEMPORANEO!N158</f>
        <v>0</v>
      </c>
      <c r="O159" s="13">
        <f>EXTEMPORANEO!O158</f>
        <v>0</v>
      </c>
      <c r="P159" s="13">
        <f>EXTEMPORANEO!P158</f>
        <v>0</v>
      </c>
      <c r="Q159" s="13">
        <f>EXTEMPORANEO!Q158</f>
        <v>0</v>
      </c>
      <c r="R159" s="140">
        <f>EXTEMPORANEO!R158</f>
        <v>0</v>
      </c>
      <c r="S159" s="140">
        <f>EXTEMPORANEO!S158</f>
        <v>0</v>
      </c>
      <c r="T159" s="141">
        <f>EXTEMPORANEO!T158</f>
        <v>0</v>
      </c>
      <c r="U159" s="84">
        <f>EXTEMPORANEO!U158</f>
        <v>0</v>
      </c>
      <c r="V159" s="13">
        <f>EXTEMPORANEO!V158</f>
        <v>0</v>
      </c>
      <c r="W159" s="13">
        <f>EXTEMPORANEO!W158</f>
        <v>0</v>
      </c>
      <c r="X159" s="113">
        <f>EXTEMPORANEO!X158</f>
        <v>0</v>
      </c>
      <c r="Y159" s="113">
        <f>EXTEMPORANEO!Y158</f>
        <v>0</v>
      </c>
      <c r="AA159" s="66"/>
    </row>
    <row r="160" spans="2:27" ht="13" customHeight="1">
      <c r="B160" s="33">
        <f>EXTEMPORANEO!B159</f>
        <v>0</v>
      </c>
      <c r="C160" s="25">
        <f>EXTEMPORANEO!C159</f>
        <v>2026092</v>
      </c>
      <c r="D160" s="226">
        <f>EXTEMPORANEO!D159</f>
        <v>0</v>
      </c>
      <c r="E160" s="138">
        <f>EXTEMPORANEO!E159</f>
        <v>0</v>
      </c>
      <c r="F160" s="139" t="e">
        <f>EXTEMPORANEO!F159</f>
        <v>#N/A</v>
      </c>
      <c r="G160" s="138" t="str">
        <f>EXTEMPORANEO!G159</f>
        <v/>
      </c>
      <c r="H160" s="139" t="e">
        <f>EXTEMPORANEO!H159</f>
        <v>#N/A</v>
      </c>
      <c r="I160" s="139" t="e">
        <f>EXTEMPORANEO!I159</f>
        <v>#N/A</v>
      </c>
      <c r="J160" s="13">
        <f>EXTEMPORANEO!J159</f>
        <v>0</v>
      </c>
      <c r="K160" s="13">
        <f>EXTEMPORANEO!K159</f>
        <v>0</v>
      </c>
      <c r="L160" s="36">
        <f>EXTEMPORANEO!L162</f>
        <v>0</v>
      </c>
      <c r="M160" s="36">
        <f>EXTEMPORANEO!M162</f>
        <v>0</v>
      </c>
      <c r="N160" s="13">
        <f>EXTEMPORANEO!N159</f>
        <v>0</v>
      </c>
      <c r="O160" s="13">
        <f>EXTEMPORANEO!O159</f>
        <v>0</v>
      </c>
      <c r="P160" s="13">
        <f>EXTEMPORANEO!P159</f>
        <v>0</v>
      </c>
      <c r="Q160" s="13">
        <f>EXTEMPORANEO!Q159</f>
        <v>0</v>
      </c>
      <c r="R160" s="140">
        <f>EXTEMPORANEO!R159</f>
        <v>0</v>
      </c>
      <c r="S160" s="140">
        <f>EXTEMPORANEO!S159</f>
        <v>0</v>
      </c>
      <c r="T160" s="141">
        <f>EXTEMPORANEO!T159</f>
        <v>0</v>
      </c>
      <c r="U160" s="84">
        <f>EXTEMPORANEO!U159</f>
        <v>0</v>
      </c>
      <c r="V160" s="13">
        <f>EXTEMPORANEO!V159</f>
        <v>0</v>
      </c>
      <c r="W160" s="13">
        <f>EXTEMPORANEO!W159</f>
        <v>0</v>
      </c>
      <c r="X160" s="113">
        <f>EXTEMPORANEO!X159</f>
        <v>0</v>
      </c>
      <c r="Y160" s="113">
        <f>EXTEMPORANEO!Y159</f>
        <v>0</v>
      </c>
      <c r="AA160" s="66"/>
    </row>
    <row r="161" spans="2:27" ht="13" customHeight="1">
      <c r="B161" s="33">
        <f>EXTEMPORANEO!B160</f>
        <v>0</v>
      </c>
      <c r="C161" s="25">
        <f>EXTEMPORANEO!C160</f>
        <v>2026092</v>
      </c>
      <c r="D161" s="226">
        <f>EXTEMPORANEO!D160</f>
        <v>0</v>
      </c>
      <c r="E161" s="138">
        <f>EXTEMPORANEO!E160</f>
        <v>0</v>
      </c>
      <c r="F161" s="139" t="e">
        <f>EXTEMPORANEO!F160</f>
        <v>#N/A</v>
      </c>
      <c r="G161" s="138" t="str">
        <f>EXTEMPORANEO!G160</f>
        <v/>
      </c>
      <c r="H161" s="139" t="e">
        <f>EXTEMPORANEO!H160</f>
        <v>#N/A</v>
      </c>
      <c r="I161" s="139" t="e">
        <f>EXTEMPORANEO!I160</f>
        <v>#N/A</v>
      </c>
      <c r="J161" s="13">
        <f>EXTEMPORANEO!J160</f>
        <v>0</v>
      </c>
      <c r="K161" s="13">
        <f>EXTEMPORANEO!K160</f>
        <v>0</v>
      </c>
      <c r="L161" s="36">
        <f>EXTEMPORANEO!L163</f>
        <v>0</v>
      </c>
      <c r="M161" s="36">
        <f>EXTEMPORANEO!M163</f>
        <v>0</v>
      </c>
      <c r="N161" s="13">
        <f>EXTEMPORANEO!N160</f>
        <v>0</v>
      </c>
      <c r="O161" s="13">
        <f>EXTEMPORANEO!O160</f>
        <v>0</v>
      </c>
      <c r="P161" s="13">
        <f>EXTEMPORANEO!P160</f>
        <v>0</v>
      </c>
      <c r="Q161" s="13">
        <f>EXTEMPORANEO!Q160</f>
        <v>0</v>
      </c>
      <c r="R161" s="140">
        <f>EXTEMPORANEO!R160</f>
        <v>0</v>
      </c>
      <c r="S161" s="140">
        <f>EXTEMPORANEO!S160</f>
        <v>0</v>
      </c>
      <c r="T161" s="141">
        <f>EXTEMPORANEO!T160</f>
        <v>0</v>
      </c>
      <c r="U161" s="84">
        <f>EXTEMPORANEO!U160</f>
        <v>0</v>
      </c>
      <c r="V161" s="13">
        <f>EXTEMPORANEO!V160</f>
        <v>0</v>
      </c>
      <c r="W161" s="13">
        <f>EXTEMPORANEO!W160</f>
        <v>0</v>
      </c>
      <c r="X161" s="113">
        <f>EXTEMPORANEO!X160</f>
        <v>0</v>
      </c>
      <c r="Y161" s="113">
        <f>EXTEMPORANEO!Y160</f>
        <v>0</v>
      </c>
      <c r="AA161" s="66"/>
    </row>
    <row r="162" spans="2:27" ht="13" customHeight="1">
      <c r="B162" s="33">
        <f>EXTEMPORANEO!B161</f>
        <v>0</v>
      </c>
      <c r="C162" s="25">
        <f>EXTEMPORANEO!C161</f>
        <v>2026092</v>
      </c>
      <c r="D162" s="226">
        <f>EXTEMPORANEO!D161</f>
        <v>0</v>
      </c>
      <c r="E162" s="138">
        <f>EXTEMPORANEO!E161</f>
        <v>0</v>
      </c>
      <c r="F162" s="139" t="e">
        <f>EXTEMPORANEO!F161</f>
        <v>#N/A</v>
      </c>
      <c r="G162" s="138" t="str">
        <f>EXTEMPORANEO!G161</f>
        <v/>
      </c>
      <c r="H162" s="139" t="e">
        <f>EXTEMPORANEO!H161</f>
        <v>#N/A</v>
      </c>
      <c r="I162" s="139" t="e">
        <f>EXTEMPORANEO!I161</f>
        <v>#N/A</v>
      </c>
      <c r="J162" s="13">
        <f>EXTEMPORANEO!J161</f>
        <v>0</v>
      </c>
      <c r="K162" s="13">
        <f>EXTEMPORANEO!K161</f>
        <v>0</v>
      </c>
      <c r="L162" s="36">
        <f>EXTEMPORANEO!L164</f>
        <v>0</v>
      </c>
      <c r="M162" s="36">
        <f>EXTEMPORANEO!M164</f>
        <v>0</v>
      </c>
      <c r="N162" s="13">
        <f>EXTEMPORANEO!N161</f>
        <v>0</v>
      </c>
      <c r="O162" s="13">
        <f>EXTEMPORANEO!O161</f>
        <v>0</v>
      </c>
      <c r="P162" s="13">
        <f>EXTEMPORANEO!P161</f>
        <v>0</v>
      </c>
      <c r="Q162" s="13">
        <f>EXTEMPORANEO!Q161</f>
        <v>0</v>
      </c>
      <c r="R162" s="140">
        <f>EXTEMPORANEO!R161</f>
        <v>0</v>
      </c>
      <c r="S162" s="140">
        <f>EXTEMPORANEO!S161</f>
        <v>0</v>
      </c>
      <c r="T162" s="141">
        <f>EXTEMPORANEO!T161</f>
        <v>0</v>
      </c>
      <c r="U162" s="84">
        <f>EXTEMPORANEO!U161</f>
        <v>0</v>
      </c>
      <c r="V162" s="13">
        <f>EXTEMPORANEO!V161</f>
        <v>0</v>
      </c>
      <c r="W162" s="13">
        <f>EXTEMPORANEO!W161</f>
        <v>0</v>
      </c>
      <c r="X162" s="113">
        <f>EXTEMPORANEO!X161</f>
        <v>0</v>
      </c>
      <c r="Y162" s="113">
        <f>EXTEMPORANEO!Y161</f>
        <v>0</v>
      </c>
      <c r="AA162" s="66"/>
    </row>
    <row r="163" spans="2:27" ht="13" customHeight="1">
      <c r="B163" s="33">
        <f>EXTEMPORANEO!B162</f>
        <v>0</v>
      </c>
      <c r="C163" s="25">
        <f>EXTEMPORANEO!C162</f>
        <v>2026092</v>
      </c>
      <c r="D163" s="226">
        <f>EXTEMPORANEO!D162</f>
        <v>0</v>
      </c>
      <c r="E163" s="138">
        <f>EXTEMPORANEO!E162</f>
        <v>0</v>
      </c>
      <c r="F163" s="139" t="e">
        <f>EXTEMPORANEO!F162</f>
        <v>#N/A</v>
      </c>
      <c r="G163" s="138" t="str">
        <f>EXTEMPORANEO!G162</f>
        <v/>
      </c>
      <c r="H163" s="139" t="e">
        <f>EXTEMPORANEO!H162</f>
        <v>#N/A</v>
      </c>
      <c r="I163" s="139" t="e">
        <f>EXTEMPORANEO!I162</f>
        <v>#N/A</v>
      </c>
      <c r="J163" s="13">
        <f>EXTEMPORANEO!J162</f>
        <v>0</v>
      </c>
      <c r="K163" s="13">
        <f>EXTEMPORANEO!K162</f>
        <v>0</v>
      </c>
      <c r="L163" s="36">
        <f>EXTEMPORANEO!L165</f>
        <v>0</v>
      </c>
      <c r="M163" s="36">
        <f>EXTEMPORANEO!M165</f>
        <v>0</v>
      </c>
      <c r="N163" s="13">
        <f>EXTEMPORANEO!N162</f>
        <v>0</v>
      </c>
      <c r="O163" s="13">
        <f>EXTEMPORANEO!O162</f>
        <v>0</v>
      </c>
      <c r="P163" s="13">
        <f>EXTEMPORANEO!P162</f>
        <v>0</v>
      </c>
      <c r="Q163" s="13">
        <f>EXTEMPORANEO!Q162</f>
        <v>0</v>
      </c>
      <c r="R163" s="140">
        <f>EXTEMPORANEO!R162</f>
        <v>0</v>
      </c>
      <c r="S163" s="140">
        <f>EXTEMPORANEO!S162</f>
        <v>0</v>
      </c>
      <c r="T163" s="141">
        <f>EXTEMPORANEO!T162</f>
        <v>0</v>
      </c>
      <c r="U163" s="84">
        <f>EXTEMPORANEO!U162</f>
        <v>0</v>
      </c>
      <c r="V163" s="13">
        <f>EXTEMPORANEO!V162</f>
        <v>0</v>
      </c>
      <c r="W163" s="13">
        <f>EXTEMPORANEO!W162</f>
        <v>0</v>
      </c>
      <c r="X163" s="113">
        <f>EXTEMPORANEO!X162</f>
        <v>0</v>
      </c>
      <c r="Y163" s="113">
        <f>EXTEMPORANEO!Y162</f>
        <v>0</v>
      </c>
      <c r="AA163" s="66"/>
    </row>
    <row r="164" spans="2:27" ht="13" customHeight="1">
      <c r="B164" s="33">
        <f>EXTEMPORANEO!B163</f>
        <v>0</v>
      </c>
      <c r="C164" s="25">
        <f>EXTEMPORANEO!C163</f>
        <v>2026092</v>
      </c>
      <c r="D164" s="226">
        <f>EXTEMPORANEO!D163</f>
        <v>0</v>
      </c>
      <c r="E164" s="138">
        <f>EXTEMPORANEO!E163</f>
        <v>0</v>
      </c>
      <c r="F164" s="139" t="e">
        <f>EXTEMPORANEO!F163</f>
        <v>#N/A</v>
      </c>
      <c r="G164" s="138" t="str">
        <f>EXTEMPORANEO!G163</f>
        <v/>
      </c>
      <c r="H164" s="139" t="e">
        <f>EXTEMPORANEO!H163</f>
        <v>#N/A</v>
      </c>
      <c r="I164" s="139" t="e">
        <f>EXTEMPORANEO!I163</f>
        <v>#N/A</v>
      </c>
      <c r="J164" s="13">
        <f>EXTEMPORANEO!J163</f>
        <v>0</v>
      </c>
      <c r="K164" s="13">
        <f>EXTEMPORANEO!K163</f>
        <v>0</v>
      </c>
      <c r="L164" s="36">
        <f>EXTEMPORANEO!L166</f>
        <v>0</v>
      </c>
      <c r="M164" s="36">
        <f>EXTEMPORANEO!M166</f>
        <v>0</v>
      </c>
      <c r="N164" s="13">
        <f>EXTEMPORANEO!N163</f>
        <v>0</v>
      </c>
      <c r="O164" s="13">
        <f>EXTEMPORANEO!O163</f>
        <v>0</v>
      </c>
      <c r="P164" s="13">
        <f>EXTEMPORANEO!P163</f>
        <v>0</v>
      </c>
      <c r="Q164" s="13">
        <f>EXTEMPORANEO!Q163</f>
        <v>0</v>
      </c>
      <c r="R164" s="140">
        <f>EXTEMPORANEO!R163</f>
        <v>0</v>
      </c>
      <c r="S164" s="140">
        <f>EXTEMPORANEO!S163</f>
        <v>0</v>
      </c>
      <c r="T164" s="141">
        <f>EXTEMPORANEO!T163</f>
        <v>0</v>
      </c>
      <c r="U164" s="84">
        <f>EXTEMPORANEO!U163</f>
        <v>0</v>
      </c>
      <c r="V164" s="13">
        <f>EXTEMPORANEO!V163</f>
        <v>0</v>
      </c>
      <c r="W164" s="13">
        <f>EXTEMPORANEO!W163</f>
        <v>0</v>
      </c>
      <c r="X164" s="113">
        <f>EXTEMPORANEO!X163</f>
        <v>0</v>
      </c>
      <c r="Y164" s="113">
        <f>EXTEMPORANEO!Y163</f>
        <v>0</v>
      </c>
      <c r="AA164" s="66"/>
    </row>
    <row r="165" spans="2:27" ht="13" customHeight="1">
      <c r="B165" s="33">
        <f>EXTEMPORANEO!B164</f>
        <v>0</v>
      </c>
      <c r="C165" s="25">
        <f>EXTEMPORANEO!C164</f>
        <v>2026092</v>
      </c>
      <c r="D165" s="226">
        <f>EXTEMPORANEO!D164</f>
        <v>0</v>
      </c>
      <c r="E165" s="138">
        <f>EXTEMPORANEO!E164</f>
        <v>0</v>
      </c>
      <c r="F165" s="139" t="e">
        <f>EXTEMPORANEO!F164</f>
        <v>#N/A</v>
      </c>
      <c r="G165" s="138" t="str">
        <f>EXTEMPORANEO!G164</f>
        <v/>
      </c>
      <c r="H165" s="139" t="e">
        <f>EXTEMPORANEO!H164</f>
        <v>#N/A</v>
      </c>
      <c r="I165" s="139" t="e">
        <f>EXTEMPORANEO!I164</f>
        <v>#N/A</v>
      </c>
      <c r="J165" s="13">
        <f>EXTEMPORANEO!J164</f>
        <v>0</v>
      </c>
      <c r="K165" s="13">
        <f>EXTEMPORANEO!K164</f>
        <v>0</v>
      </c>
      <c r="L165" s="36">
        <f>EXTEMPORANEO!L167</f>
        <v>0</v>
      </c>
      <c r="M165" s="36">
        <f>EXTEMPORANEO!M167</f>
        <v>0</v>
      </c>
      <c r="N165" s="13">
        <f>EXTEMPORANEO!N164</f>
        <v>0</v>
      </c>
      <c r="O165" s="13">
        <f>EXTEMPORANEO!O164</f>
        <v>0</v>
      </c>
      <c r="P165" s="13">
        <f>EXTEMPORANEO!P164</f>
        <v>0</v>
      </c>
      <c r="Q165" s="13">
        <f>EXTEMPORANEO!Q164</f>
        <v>0</v>
      </c>
      <c r="R165" s="140">
        <f>EXTEMPORANEO!R164</f>
        <v>0</v>
      </c>
      <c r="S165" s="140">
        <f>EXTEMPORANEO!S164</f>
        <v>0</v>
      </c>
      <c r="T165" s="141">
        <f>EXTEMPORANEO!T164</f>
        <v>0</v>
      </c>
      <c r="U165" s="84">
        <f>EXTEMPORANEO!U164</f>
        <v>0</v>
      </c>
      <c r="V165" s="13">
        <f>EXTEMPORANEO!V164</f>
        <v>0</v>
      </c>
      <c r="W165" s="13">
        <f>EXTEMPORANEO!W164</f>
        <v>0</v>
      </c>
      <c r="X165" s="113">
        <f>EXTEMPORANEO!X164</f>
        <v>0</v>
      </c>
      <c r="Y165" s="113">
        <f>EXTEMPORANEO!Y164</f>
        <v>0</v>
      </c>
      <c r="AA165" s="66"/>
    </row>
    <row r="166" spans="2:27" ht="13" customHeight="1">
      <c r="B166" s="33">
        <f>EXTEMPORANEO!B165</f>
        <v>0</v>
      </c>
      <c r="C166" s="25">
        <f>EXTEMPORANEO!C165</f>
        <v>2026092</v>
      </c>
      <c r="D166" s="226">
        <f>EXTEMPORANEO!D165</f>
        <v>0</v>
      </c>
      <c r="E166" s="138">
        <f>EXTEMPORANEO!E165</f>
        <v>0</v>
      </c>
      <c r="F166" s="139" t="e">
        <f>EXTEMPORANEO!F165</f>
        <v>#N/A</v>
      </c>
      <c r="G166" s="138" t="str">
        <f>EXTEMPORANEO!G165</f>
        <v/>
      </c>
      <c r="H166" s="139" t="e">
        <f>EXTEMPORANEO!H165</f>
        <v>#N/A</v>
      </c>
      <c r="I166" s="139" t="e">
        <f>EXTEMPORANEO!I165</f>
        <v>#N/A</v>
      </c>
      <c r="J166" s="13">
        <f>EXTEMPORANEO!J165</f>
        <v>0</v>
      </c>
      <c r="K166" s="13">
        <f>EXTEMPORANEO!K165</f>
        <v>0</v>
      </c>
      <c r="L166" s="36">
        <f>EXTEMPORANEO!L168</f>
        <v>0</v>
      </c>
      <c r="M166" s="36">
        <f>EXTEMPORANEO!M168</f>
        <v>0</v>
      </c>
      <c r="N166" s="13">
        <f>EXTEMPORANEO!N165</f>
        <v>0</v>
      </c>
      <c r="O166" s="13">
        <f>EXTEMPORANEO!O165</f>
        <v>0</v>
      </c>
      <c r="P166" s="13">
        <f>EXTEMPORANEO!P165</f>
        <v>0</v>
      </c>
      <c r="Q166" s="13">
        <f>EXTEMPORANEO!Q165</f>
        <v>0</v>
      </c>
      <c r="R166" s="140">
        <f>EXTEMPORANEO!R165</f>
        <v>0</v>
      </c>
      <c r="S166" s="140">
        <f>EXTEMPORANEO!S165</f>
        <v>0</v>
      </c>
      <c r="T166" s="141">
        <f>EXTEMPORANEO!T165</f>
        <v>0</v>
      </c>
      <c r="U166" s="84">
        <f>EXTEMPORANEO!U165</f>
        <v>0</v>
      </c>
      <c r="V166" s="13">
        <f>EXTEMPORANEO!V165</f>
        <v>0</v>
      </c>
      <c r="W166" s="13">
        <f>EXTEMPORANEO!W165</f>
        <v>0</v>
      </c>
      <c r="X166" s="113">
        <f>EXTEMPORANEO!X165</f>
        <v>0</v>
      </c>
      <c r="Y166" s="113">
        <f>EXTEMPORANEO!Y165</f>
        <v>0</v>
      </c>
      <c r="AA166" s="66"/>
    </row>
    <row r="167" spans="2:27" ht="13" customHeight="1">
      <c r="B167" s="33">
        <f>EXTEMPORANEO!B166</f>
        <v>0</v>
      </c>
      <c r="C167" s="25">
        <f>EXTEMPORANEO!C166</f>
        <v>2026092</v>
      </c>
      <c r="D167" s="226">
        <f>EXTEMPORANEO!D166</f>
        <v>0</v>
      </c>
      <c r="E167" s="138">
        <f>EXTEMPORANEO!E166</f>
        <v>0</v>
      </c>
      <c r="F167" s="139" t="e">
        <f>EXTEMPORANEO!F166</f>
        <v>#N/A</v>
      </c>
      <c r="G167" s="138" t="str">
        <f>EXTEMPORANEO!G166</f>
        <v/>
      </c>
      <c r="H167" s="139" t="e">
        <f>EXTEMPORANEO!H166</f>
        <v>#N/A</v>
      </c>
      <c r="I167" s="139" t="e">
        <f>EXTEMPORANEO!I166</f>
        <v>#N/A</v>
      </c>
      <c r="J167" s="13">
        <f>EXTEMPORANEO!J166</f>
        <v>0</v>
      </c>
      <c r="K167" s="13">
        <f>EXTEMPORANEO!K166</f>
        <v>0</v>
      </c>
      <c r="L167" s="36">
        <f>EXTEMPORANEO!L169</f>
        <v>0</v>
      </c>
      <c r="M167" s="36">
        <f>EXTEMPORANEO!M169</f>
        <v>0</v>
      </c>
      <c r="N167" s="13">
        <f>EXTEMPORANEO!N166</f>
        <v>0</v>
      </c>
      <c r="O167" s="13">
        <f>EXTEMPORANEO!O166</f>
        <v>0</v>
      </c>
      <c r="P167" s="13">
        <f>EXTEMPORANEO!P166</f>
        <v>0</v>
      </c>
      <c r="Q167" s="13">
        <f>EXTEMPORANEO!Q166</f>
        <v>0</v>
      </c>
      <c r="R167" s="140">
        <f>EXTEMPORANEO!R166</f>
        <v>0</v>
      </c>
      <c r="S167" s="140">
        <f>EXTEMPORANEO!S166</f>
        <v>0</v>
      </c>
      <c r="T167" s="141">
        <f>EXTEMPORANEO!T166</f>
        <v>0</v>
      </c>
      <c r="U167" s="84">
        <f>EXTEMPORANEO!U166</f>
        <v>0</v>
      </c>
      <c r="V167" s="13">
        <f>EXTEMPORANEO!V166</f>
        <v>0</v>
      </c>
      <c r="W167" s="13">
        <f>EXTEMPORANEO!W166</f>
        <v>0</v>
      </c>
      <c r="X167" s="113">
        <f>EXTEMPORANEO!X166</f>
        <v>0</v>
      </c>
      <c r="Y167" s="113">
        <f>EXTEMPORANEO!Y166</f>
        <v>0</v>
      </c>
      <c r="AA167" s="66"/>
    </row>
    <row r="168" spans="2:27" ht="13" customHeight="1">
      <c r="B168" s="33">
        <f>EXTEMPORANEO!B167</f>
        <v>0</v>
      </c>
      <c r="C168" s="25">
        <f>EXTEMPORANEO!C167</f>
        <v>2026092</v>
      </c>
      <c r="D168" s="226">
        <f>EXTEMPORANEO!D167</f>
        <v>0</v>
      </c>
      <c r="E168" s="138">
        <f>EXTEMPORANEO!E167</f>
        <v>0</v>
      </c>
      <c r="F168" s="139" t="e">
        <f>EXTEMPORANEO!F167</f>
        <v>#N/A</v>
      </c>
      <c r="G168" s="138" t="str">
        <f>EXTEMPORANEO!G167</f>
        <v/>
      </c>
      <c r="H168" s="139" t="e">
        <f>EXTEMPORANEO!H167</f>
        <v>#N/A</v>
      </c>
      <c r="I168" s="139" t="e">
        <f>EXTEMPORANEO!I167</f>
        <v>#N/A</v>
      </c>
      <c r="J168" s="13">
        <f>EXTEMPORANEO!J167</f>
        <v>0</v>
      </c>
      <c r="K168" s="13">
        <f>EXTEMPORANEO!K167</f>
        <v>0</v>
      </c>
      <c r="L168" s="36">
        <f>EXTEMPORANEO!L170</f>
        <v>0</v>
      </c>
      <c r="M168" s="36">
        <f>EXTEMPORANEO!M170</f>
        <v>0</v>
      </c>
      <c r="N168" s="13">
        <f>EXTEMPORANEO!N167</f>
        <v>0</v>
      </c>
      <c r="O168" s="13">
        <f>EXTEMPORANEO!O167</f>
        <v>0</v>
      </c>
      <c r="P168" s="13">
        <f>EXTEMPORANEO!P167</f>
        <v>0</v>
      </c>
      <c r="Q168" s="13">
        <f>EXTEMPORANEO!Q167</f>
        <v>0</v>
      </c>
      <c r="R168" s="140">
        <f>EXTEMPORANEO!R167</f>
        <v>0</v>
      </c>
      <c r="S168" s="140">
        <f>EXTEMPORANEO!S167</f>
        <v>0</v>
      </c>
      <c r="T168" s="141">
        <f>EXTEMPORANEO!T167</f>
        <v>0</v>
      </c>
      <c r="U168" s="84">
        <f>EXTEMPORANEO!U167</f>
        <v>0</v>
      </c>
      <c r="V168" s="13">
        <f>EXTEMPORANEO!V167</f>
        <v>0</v>
      </c>
      <c r="W168" s="13">
        <f>EXTEMPORANEO!W167</f>
        <v>0</v>
      </c>
      <c r="X168" s="113">
        <f>EXTEMPORANEO!X167</f>
        <v>0</v>
      </c>
      <c r="Y168" s="113">
        <f>EXTEMPORANEO!Y167</f>
        <v>0</v>
      </c>
      <c r="AA168" s="66"/>
    </row>
    <row r="169" spans="2:27" ht="13" customHeight="1">
      <c r="B169" s="33">
        <f>EXTEMPORANEO!B168</f>
        <v>0</v>
      </c>
      <c r="C169" s="25">
        <f>EXTEMPORANEO!C168</f>
        <v>2026092</v>
      </c>
      <c r="D169" s="226">
        <f>EXTEMPORANEO!D168</f>
        <v>0</v>
      </c>
      <c r="E169" s="138">
        <f>EXTEMPORANEO!E168</f>
        <v>0</v>
      </c>
      <c r="F169" s="139" t="e">
        <f>EXTEMPORANEO!F168</f>
        <v>#N/A</v>
      </c>
      <c r="G169" s="138" t="str">
        <f>EXTEMPORANEO!G168</f>
        <v/>
      </c>
      <c r="H169" s="139" t="e">
        <f>EXTEMPORANEO!H168</f>
        <v>#N/A</v>
      </c>
      <c r="I169" s="139" t="e">
        <f>EXTEMPORANEO!I168</f>
        <v>#N/A</v>
      </c>
      <c r="J169" s="13">
        <f>EXTEMPORANEO!J168</f>
        <v>0</v>
      </c>
      <c r="K169" s="13">
        <f>EXTEMPORANEO!K168</f>
        <v>0</v>
      </c>
      <c r="L169" s="36">
        <f>EXTEMPORANEO!L171</f>
        <v>0</v>
      </c>
      <c r="M169" s="36">
        <f>EXTEMPORANEO!M171</f>
        <v>0</v>
      </c>
      <c r="N169" s="13">
        <f>EXTEMPORANEO!N168</f>
        <v>0</v>
      </c>
      <c r="O169" s="13">
        <f>EXTEMPORANEO!O168</f>
        <v>0</v>
      </c>
      <c r="P169" s="13">
        <f>EXTEMPORANEO!P168</f>
        <v>0</v>
      </c>
      <c r="Q169" s="13">
        <f>EXTEMPORANEO!Q168</f>
        <v>0</v>
      </c>
      <c r="R169" s="140">
        <f>EXTEMPORANEO!R168</f>
        <v>0</v>
      </c>
      <c r="S169" s="140">
        <f>EXTEMPORANEO!S168</f>
        <v>0</v>
      </c>
      <c r="T169" s="141">
        <f>EXTEMPORANEO!T168</f>
        <v>0</v>
      </c>
      <c r="U169" s="84">
        <f>EXTEMPORANEO!U168</f>
        <v>0</v>
      </c>
      <c r="V169" s="13">
        <f>EXTEMPORANEO!V168</f>
        <v>0</v>
      </c>
      <c r="W169" s="13">
        <f>EXTEMPORANEO!W168</f>
        <v>0</v>
      </c>
      <c r="X169" s="113">
        <f>EXTEMPORANEO!X168</f>
        <v>0</v>
      </c>
      <c r="Y169" s="113">
        <f>EXTEMPORANEO!Y168</f>
        <v>0</v>
      </c>
      <c r="AA169" s="66"/>
    </row>
    <row r="170" spans="2:27" ht="13" customHeight="1">
      <c r="B170" s="33">
        <f>EXTEMPORANEO!B169</f>
        <v>0</v>
      </c>
      <c r="C170" s="25">
        <f>EXTEMPORANEO!C169</f>
        <v>2026092</v>
      </c>
      <c r="D170" s="226">
        <f>EXTEMPORANEO!D169</f>
        <v>0</v>
      </c>
      <c r="E170" s="138">
        <f>EXTEMPORANEO!E169</f>
        <v>0</v>
      </c>
      <c r="F170" s="139" t="e">
        <f>EXTEMPORANEO!F169</f>
        <v>#N/A</v>
      </c>
      <c r="G170" s="138" t="str">
        <f>EXTEMPORANEO!G169</f>
        <v/>
      </c>
      <c r="H170" s="139" t="e">
        <f>EXTEMPORANEO!H169</f>
        <v>#N/A</v>
      </c>
      <c r="I170" s="139" t="e">
        <f>EXTEMPORANEO!I169</f>
        <v>#N/A</v>
      </c>
      <c r="J170" s="13">
        <f>EXTEMPORANEO!J169</f>
        <v>0</v>
      </c>
      <c r="K170" s="13">
        <f>EXTEMPORANEO!K169</f>
        <v>0</v>
      </c>
      <c r="L170" s="36">
        <f>EXTEMPORANEO!L172</f>
        <v>0</v>
      </c>
      <c r="M170" s="36">
        <f>EXTEMPORANEO!M172</f>
        <v>0</v>
      </c>
      <c r="N170" s="13">
        <f>EXTEMPORANEO!N169</f>
        <v>0</v>
      </c>
      <c r="O170" s="13">
        <f>EXTEMPORANEO!O169</f>
        <v>0</v>
      </c>
      <c r="P170" s="13">
        <f>EXTEMPORANEO!P169</f>
        <v>0</v>
      </c>
      <c r="Q170" s="13">
        <f>EXTEMPORANEO!Q169</f>
        <v>0</v>
      </c>
      <c r="R170" s="140">
        <f>EXTEMPORANEO!R169</f>
        <v>0</v>
      </c>
      <c r="S170" s="140">
        <f>EXTEMPORANEO!S169</f>
        <v>0</v>
      </c>
      <c r="T170" s="141">
        <f>EXTEMPORANEO!T169</f>
        <v>0</v>
      </c>
      <c r="U170" s="84">
        <f>EXTEMPORANEO!U169</f>
        <v>0</v>
      </c>
      <c r="V170" s="13">
        <f>EXTEMPORANEO!V169</f>
        <v>0</v>
      </c>
      <c r="W170" s="13">
        <f>EXTEMPORANEO!W169</f>
        <v>0</v>
      </c>
      <c r="X170" s="113">
        <f>EXTEMPORANEO!X169</f>
        <v>0</v>
      </c>
      <c r="Y170" s="113">
        <f>EXTEMPORANEO!Y169</f>
        <v>0</v>
      </c>
      <c r="AA170" s="66"/>
    </row>
    <row r="171" spans="2:27" ht="13" customHeight="1">
      <c r="B171" s="33">
        <f>EXTEMPORANEO!B170</f>
        <v>0</v>
      </c>
      <c r="C171" s="25">
        <f>EXTEMPORANEO!C170</f>
        <v>2026092</v>
      </c>
      <c r="D171" s="226">
        <f>EXTEMPORANEO!D170</f>
        <v>0</v>
      </c>
      <c r="E171" s="138">
        <f>EXTEMPORANEO!E170</f>
        <v>0</v>
      </c>
      <c r="F171" s="139" t="e">
        <f>EXTEMPORANEO!F170</f>
        <v>#N/A</v>
      </c>
      <c r="G171" s="138" t="str">
        <f>EXTEMPORANEO!G170</f>
        <v/>
      </c>
      <c r="H171" s="139" t="e">
        <f>EXTEMPORANEO!H170</f>
        <v>#N/A</v>
      </c>
      <c r="I171" s="139" t="e">
        <f>EXTEMPORANEO!I170</f>
        <v>#N/A</v>
      </c>
      <c r="J171" s="13">
        <f>EXTEMPORANEO!J170</f>
        <v>0</v>
      </c>
      <c r="K171" s="13">
        <f>EXTEMPORANEO!K170</f>
        <v>0</v>
      </c>
      <c r="L171" s="36">
        <f>EXTEMPORANEO!L173</f>
        <v>0</v>
      </c>
      <c r="M171" s="36">
        <f>EXTEMPORANEO!M173</f>
        <v>0</v>
      </c>
      <c r="N171" s="13">
        <f>EXTEMPORANEO!N170</f>
        <v>0</v>
      </c>
      <c r="O171" s="13">
        <f>EXTEMPORANEO!O170</f>
        <v>0</v>
      </c>
      <c r="P171" s="13">
        <f>EXTEMPORANEO!P170</f>
        <v>0</v>
      </c>
      <c r="Q171" s="13">
        <f>EXTEMPORANEO!Q170</f>
        <v>0</v>
      </c>
      <c r="R171" s="140">
        <f>EXTEMPORANEO!R170</f>
        <v>0</v>
      </c>
      <c r="S171" s="140">
        <f>EXTEMPORANEO!S170</f>
        <v>0</v>
      </c>
      <c r="T171" s="141">
        <f>EXTEMPORANEO!T170</f>
        <v>0</v>
      </c>
      <c r="U171" s="84">
        <f>EXTEMPORANEO!U170</f>
        <v>0</v>
      </c>
      <c r="V171" s="13">
        <f>EXTEMPORANEO!V170</f>
        <v>0</v>
      </c>
      <c r="W171" s="13">
        <f>EXTEMPORANEO!W170</f>
        <v>0</v>
      </c>
      <c r="X171" s="113">
        <f>EXTEMPORANEO!X170</f>
        <v>0</v>
      </c>
      <c r="Y171" s="113">
        <f>EXTEMPORANEO!Y170</f>
        <v>0</v>
      </c>
      <c r="AA171" s="66"/>
    </row>
    <row r="172" spans="2:27" ht="13" customHeight="1">
      <c r="B172" s="33">
        <f>EXTEMPORANEO!B171</f>
        <v>0</v>
      </c>
      <c r="C172" s="25">
        <f>EXTEMPORANEO!C171</f>
        <v>2026092</v>
      </c>
      <c r="D172" s="226">
        <f>EXTEMPORANEO!D171</f>
        <v>0</v>
      </c>
      <c r="E172" s="138">
        <f>EXTEMPORANEO!E171</f>
        <v>0</v>
      </c>
      <c r="F172" s="139" t="e">
        <f>EXTEMPORANEO!F171</f>
        <v>#N/A</v>
      </c>
      <c r="G172" s="138" t="str">
        <f>EXTEMPORANEO!G171</f>
        <v/>
      </c>
      <c r="H172" s="139" t="e">
        <f>EXTEMPORANEO!H171</f>
        <v>#N/A</v>
      </c>
      <c r="I172" s="139" t="e">
        <f>EXTEMPORANEO!I171</f>
        <v>#N/A</v>
      </c>
      <c r="J172" s="13">
        <f>EXTEMPORANEO!J171</f>
        <v>0</v>
      </c>
      <c r="K172" s="13">
        <f>EXTEMPORANEO!K171</f>
        <v>0</v>
      </c>
      <c r="L172" s="36">
        <f>EXTEMPORANEO!L174</f>
        <v>0</v>
      </c>
      <c r="M172" s="36">
        <f>EXTEMPORANEO!M174</f>
        <v>0</v>
      </c>
      <c r="N172" s="13">
        <f>EXTEMPORANEO!N171</f>
        <v>0</v>
      </c>
      <c r="O172" s="13">
        <f>EXTEMPORANEO!O171</f>
        <v>0</v>
      </c>
      <c r="P172" s="13">
        <f>EXTEMPORANEO!P171</f>
        <v>0</v>
      </c>
      <c r="Q172" s="13">
        <f>EXTEMPORANEO!Q171</f>
        <v>0</v>
      </c>
      <c r="R172" s="140">
        <f>EXTEMPORANEO!R171</f>
        <v>0</v>
      </c>
      <c r="S172" s="140">
        <f>EXTEMPORANEO!S171</f>
        <v>0</v>
      </c>
      <c r="T172" s="141">
        <f>EXTEMPORANEO!T171</f>
        <v>0</v>
      </c>
      <c r="U172" s="84">
        <f>EXTEMPORANEO!U171</f>
        <v>0</v>
      </c>
      <c r="V172" s="13">
        <f>EXTEMPORANEO!V171</f>
        <v>0</v>
      </c>
      <c r="W172" s="13">
        <f>EXTEMPORANEO!W171</f>
        <v>0</v>
      </c>
      <c r="X172" s="113">
        <f>EXTEMPORANEO!X171</f>
        <v>0</v>
      </c>
      <c r="Y172" s="113">
        <f>EXTEMPORANEO!Y171</f>
        <v>0</v>
      </c>
      <c r="AA172" s="66"/>
    </row>
    <row r="173" spans="2:27" ht="13" customHeight="1">
      <c r="B173" s="33">
        <f>EXTEMPORANEO!B172</f>
        <v>0</v>
      </c>
      <c r="C173" s="25">
        <f>EXTEMPORANEO!C172</f>
        <v>2026092</v>
      </c>
      <c r="D173" s="226">
        <f>EXTEMPORANEO!D172</f>
        <v>0</v>
      </c>
      <c r="E173" s="138">
        <f>EXTEMPORANEO!E172</f>
        <v>0</v>
      </c>
      <c r="F173" s="139" t="e">
        <f>EXTEMPORANEO!F172</f>
        <v>#N/A</v>
      </c>
      <c r="G173" s="138" t="str">
        <f>EXTEMPORANEO!G172</f>
        <v/>
      </c>
      <c r="H173" s="139" t="e">
        <f>EXTEMPORANEO!H172</f>
        <v>#N/A</v>
      </c>
      <c r="I173" s="139" t="e">
        <f>EXTEMPORANEO!I172</f>
        <v>#N/A</v>
      </c>
      <c r="J173" s="13">
        <f>EXTEMPORANEO!J172</f>
        <v>0</v>
      </c>
      <c r="K173" s="13">
        <f>EXTEMPORANEO!K172</f>
        <v>0</v>
      </c>
      <c r="L173" s="36">
        <f>EXTEMPORANEO!L175</f>
        <v>0</v>
      </c>
      <c r="M173" s="36">
        <f>EXTEMPORANEO!M175</f>
        <v>0</v>
      </c>
      <c r="N173" s="13">
        <f>EXTEMPORANEO!N172</f>
        <v>0</v>
      </c>
      <c r="O173" s="13">
        <f>EXTEMPORANEO!O172</f>
        <v>0</v>
      </c>
      <c r="P173" s="13">
        <f>EXTEMPORANEO!P172</f>
        <v>0</v>
      </c>
      <c r="Q173" s="13">
        <f>EXTEMPORANEO!Q172</f>
        <v>0</v>
      </c>
      <c r="R173" s="140">
        <f>EXTEMPORANEO!R172</f>
        <v>0</v>
      </c>
      <c r="S173" s="140">
        <f>EXTEMPORANEO!S172</f>
        <v>0</v>
      </c>
      <c r="T173" s="141">
        <f>EXTEMPORANEO!T172</f>
        <v>0</v>
      </c>
      <c r="U173" s="84">
        <f>EXTEMPORANEO!U172</f>
        <v>0</v>
      </c>
      <c r="V173" s="13">
        <f>EXTEMPORANEO!V172</f>
        <v>0</v>
      </c>
      <c r="W173" s="13">
        <f>EXTEMPORANEO!W172</f>
        <v>0</v>
      </c>
      <c r="X173" s="113">
        <f>EXTEMPORANEO!X172</f>
        <v>0</v>
      </c>
      <c r="Y173" s="113">
        <f>EXTEMPORANEO!Y172</f>
        <v>0</v>
      </c>
      <c r="AA173" s="66"/>
    </row>
    <row r="174" spans="2:27" ht="13" customHeight="1">
      <c r="B174" s="33">
        <f>EXTEMPORANEO!B173</f>
        <v>0</v>
      </c>
      <c r="C174" s="25">
        <f>EXTEMPORANEO!C173</f>
        <v>2026092</v>
      </c>
      <c r="D174" s="226">
        <f>EXTEMPORANEO!D173</f>
        <v>0</v>
      </c>
      <c r="E174" s="138">
        <f>EXTEMPORANEO!E173</f>
        <v>0</v>
      </c>
      <c r="F174" s="139" t="e">
        <f>EXTEMPORANEO!F173</f>
        <v>#N/A</v>
      </c>
      <c r="G174" s="138" t="str">
        <f>EXTEMPORANEO!G173</f>
        <v/>
      </c>
      <c r="H174" s="139" t="e">
        <f>EXTEMPORANEO!H173</f>
        <v>#N/A</v>
      </c>
      <c r="I174" s="139" t="e">
        <f>EXTEMPORANEO!I173</f>
        <v>#N/A</v>
      </c>
      <c r="J174" s="13">
        <f>EXTEMPORANEO!J173</f>
        <v>0</v>
      </c>
      <c r="K174" s="13">
        <f>EXTEMPORANEO!K173</f>
        <v>0</v>
      </c>
      <c r="L174" s="36">
        <f>EXTEMPORANEO!L176</f>
        <v>0</v>
      </c>
      <c r="M174" s="36">
        <f>EXTEMPORANEO!M176</f>
        <v>0</v>
      </c>
      <c r="N174" s="13">
        <f>EXTEMPORANEO!N173</f>
        <v>0</v>
      </c>
      <c r="O174" s="13">
        <f>EXTEMPORANEO!O173</f>
        <v>0</v>
      </c>
      <c r="P174" s="13">
        <f>EXTEMPORANEO!P173</f>
        <v>0</v>
      </c>
      <c r="Q174" s="13">
        <f>EXTEMPORANEO!Q173</f>
        <v>0</v>
      </c>
      <c r="R174" s="140">
        <f>EXTEMPORANEO!R173</f>
        <v>0</v>
      </c>
      <c r="S174" s="140">
        <f>EXTEMPORANEO!S173</f>
        <v>0</v>
      </c>
      <c r="T174" s="141">
        <f>EXTEMPORANEO!T173</f>
        <v>0</v>
      </c>
      <c r="U174" s="84">
        <f>EXTEMPORANEO!U173</f>
        <v>0</v>
      </c>
      <c r="V174" s="13">
        <f>EXTEMPORANEO!V173</f>
        <v>0</v>
      </c>
      <c r="W174" s="13">
        <f>EXTEMPORANEO!W173</f>
        <v>0</v>
      </c>
      <c r="X174" s="113">
        <f>EXTEMPORANEO!X173</f>
        <v>0</v>
      </c>
      <c r="Y174" s="113">
        <f>EXTEMPORANEO!Y173</f>
        <v>0</v>
      </c>
      <c r="AA174" s="66"/>
    </row>
    <row r="175" spans="2:27" ht="13" customHeight="1">
      <c r="B175" s="33">
        <f>EXTEMPORANEO!B174</f>
        <v>0</v>
      </c>
      <c r="C175" s="25">
        <f>EXTEMPORANEO!C174</f>
        <v>2026092</v>
      </c>
      <c r="D175" s="226">
        <f>EXTEMPORANEO!D174</f>
        <v>0</v>
      </c>
      <c r="E175" s="138">
        <f>EXTEMPORANEO!E174</f>
        <v>0</v>
      </c>
      <c r="F175" s="139" t="e">
        <f>EXTEMPORANEO!F174</f>
        <v>#N/A</v>
      </c>
      <c r="G175" s="138" t="str">
        <f>EXTEMPORANEO!G174</f>
        <v/>
      </c>
      <c r="H175" s="139" t="e">
        <f>EXTEMPORANEO!H174</f>
        <v>#N/A</v>
      </c>
      <c r="I175" s="139" t="e">
        <f>EXTEMPORANEO!I174</f>
        <v>#N/A</v>
      </c>
      <c r="J175" s="13">
        <f>EXTEMPORANEO!J174</f>
        <v>0</v>
      </c>
      <c r="K175" s="13">
        <f>EXTEMPORANEO!K174</f>
        <v>0</v>
      </c>
      <c r="L175" s="36">
        <f>EXTEMPORANEO!L177</f>
        <v>0</v>
      </c>
      <c r="M175" s="36">
        <f>EXTEMPORANEO!M177</f>
        <v>0</v>
      </c>
      <c r="N175" s="13">
        <f>EXTEMPORANEO!N174</f>
        <v>0</v>
      </c>
      <c r="O175" s="13">
        <f>EXTEMPORANEO!O174</f>
        <v>0</v>
      </c>
      <c r="P175" s="13">
        <f>EXTEMPORANEO!P174</f>
        <v>0</v>
      </c>
      <c r="Q175" s="13">
        <f>EXTEMPORANEO!Q174</f>
        <v>0</v>
      </c>
      <c r="R175" s="140">
        <f>EXTEMPORANEO!R174</f>
        <v>0</v>
      </c>
      <c r="S175" s="140">
        <f>EXTEMPORANEO!S174</f>
        <v>0</v>
      </c>
      <c r="T175" s="141">
        <f>EXTEMPORANEO!T174</f>
        <v>0</v>
      </c>
      <c r="U175" s="84">
        <f>EXTEMPORANEO!U174</f>
        <v>0</v>
      </c>
      <c r="V175" s="13">
        <f>EXTEMPORANEO!V174</f>
        <v>0</v>
      </c>
      <c r="W175" s="13">
        <f>EXTEMPORANEO!W174</f>
        <v>0</v>
      </c>
      <c r="X175" s="113">
        <f>EXTEMPORANEO!X174</f>
        <v>0</v>
      </c>
      <c r="Y175" s="113">
        <f>EXTEMPORANEO!Y174</f>
        <v>0</v>
      </c>
      <c r="AA175" s="66"/>
    </row>
    <row r="176" spans="2:27" ht="13" customHeight="1">
      <c r="B176" s="33">
        <f>EXTEMPORANEO!B175</f>
        <v>0</v>
      </c>
      <c r="C176" s="25">
        <f>EXTEMPORANEO!C175</f>
        <v>2026092</v>
      </c>
      <c r="D176" s="226">
        <f>EXTEMPORANEO!D175</f>
        <v>0</v>
      </c>
      <c r="E176" s="138">
        <f>EXTEMPORANEO!E175</f>
        <v>0</v>
      </c>
      <c r="F176" s="139" t="e">
        <f>EXTEMPORANEO!F175</f>
        <v>#N/A</v>
      </c>
      <c r="G176" s="138" t="str">
        <f>EXTEMPORANEO!G175</f>
        <v/>
      </c>
      <c r="H176" s="139" t="e">
        <f>EXTEMPORANEO!H175</f>
        <v>#N/A</v>
      </c>
      <c r="I176" s="139" t="e">
        <f>EXTEMPORANEO!I175</f>
        <v>#N/A</v>
      </c>
      <c r="J176" s="13">
        <f>EXTEMPORANEO!J175</f>
        <v>0</v>
      </c>
      <c r="K176" s="13">
        <f>EXTEMPORANEO!K175</f>
        <v>0</v>
      </c>
      <c r="L176" s="36">
        <f>EXTEMPORANEO!L178</f>
        <v>0</v>
      </c>
      <c r="M176" s="36">
        <f>EXTEMPORANEO!M178</f>
        <v>0</v>
      </c>
      <c r="N176" s="13">
        <f>EXTEMPORANEO!N175</f>
        <v>0</v>
      </c>
      <c r="O176" s="13">
        <f>EXTEMPORANEO!O175</f>
        <v>0</v>
      </c>
      <c r="P176" s="13">
        <f>EXTEMPORANEO!P175</f>
        <v>0</v>
      </c>
      <c r="Q176" s="13">
        <f>EXTEMPORANEO!Q175</f>
        <v>0</v>
      </c>
      <c r="R176" s="140">
        <f>EXTEMPORANEO!R175</f>
        <v>0</v>
      </c>
      <c r="S176" s="140">
        <f>EXTEMPORANEO!S175</f>
        <v>0</v>
      </c>
      <c r="T176" s="141">
        <f>EXTEMPORANEO!T175</f>
        <v>0</v>
      </c>
      <c r="U176" s="84">
        <f>EXTEMPORANEO!U175</f>
        <v>0</v>
      </c>
      <c r="V176" s="13">
        <f>EXTEMPORANEO!V175</f>
        <v>0</v>
      </c>
      <c r="W176" s="13">
        <f>EXTEMPORANEO!W175</f>
        <v>0</v>
      </c>
      <c r="X176" s="113">
        <f>EXTEMPORANEO!X175</f>
        <v>0</v>
      </c>
      <c r="Y176" s="113">
        <f>EXTEMPORANEO!Y175</f>
        <v>0</v>
      </c>
      <c r="AA176" s="66"/>
    </row>
    <row r="177" spans="2:27" ht="13" customHeight="1">
      <c r="B177" s="33">
        <f>EXTEMPORANEO!B176</f>
        <v>0</v>
      </c>
      <c r="C177" s="25">
        <f>EXTEMPORANEO!C176</f>
        <v>2026092</v>
      </c>
      <c r="D177" s="226">
        <f>EXTEMPORANEO!D176</f>
        <v>0</v>
      </c>
      <c r="E177" s="138">
        <f>EXTEMPORANEO!E176</f>
        <v>0</v>
      </c>
      <c r="F177" s="139" t="e">
        <f>EXTEMPORANEO!F176</f>
        <v>#N/A</v>
      </c>
      <c r="G177" s="138" t="str">
        <f>EXTEMPORANEO!G176</f>
        <v/>
      </c>
      <c r="H177" s="139" t="e">
        <f>EXTEMPORANEO!H176</f>
        <v>#N/A</v>
      </c>
      <c r="I177" s="139" t="e">
        <f>EXTEMPORANEO!I176</f>
        <v>#N/A</v>
      </c>
      <c r="J177" s="13">
        <f>EXTEMPORANEO!J176</f>
        <v>0</v>
      </c>
      <c r="K177" s="13">
        <f>EXTEMPORANEO!K176</f>
        <v>0</v>
      </c>
      <c r="L177" s="36">
        <f>EXTEMPORANEO!L179</f>
        <v>0</v>
      </c>
      <c r="M177" s="36">
        <f>EXTEMPORANEO!M179</f>
        <v>0</v>
      </c>
      <c r="N177" s="13">
        <f>EXTEMPORANEO!N176</f>
        <v>0</v>
      </c>
      <c r="O177" s="13">
        <f>EXTEMPORANEO!O176</f>
        <v>0</v>
      </c>
      <c r="P177" s="13">
        <f>EXTEMPORANEO!P176</f>
        <v>0</v>
      </c>
      <c r="Q177" s="13">
        <f>EXTEMPORANEO!Q176</f>
        <v>0</v>
      </c>
      <c r="R177" s="140">
        <f>EXTEMPORANEO!R176</f>
        <v>0</v>
      </c>
      <c r="S177" s="140">
        <f>EXTEMPORANEO!S176</f>
        <v>0</v>
      </c>
      <c r="T177" s="141">
        <f>EXTEMPORANEO!T176</f>
        <v>0</v>
      </c>
      <c r="U177" s="84">
        <f>EXTEMPORANEO!U176</f>
        <v>0</v>
      </c>
      <c r="V177" s="13">
        <f>EXTEMPORANEO!V176</f>
        <v>0</v>
      </c>
      <c r="W177" s="13">
        <f>EXTEMPORANEO!W176</f>
        <v>0</v>
      </c>
      <c r="X177" s="113">
        <f>EXTEMPORANEO!X176</f>
        <v>0</v>
      </c>
      <c r="Y177" s="113">
        <f>EXTEMPORANEO!Y176</f>
        <v>0</v>
      </c>
      <c r="AA177" s="66"/>
    </row>
    <row r="178" spans="2:27" ht="13" customHeight="1">
      <c r="B178" s="33">
        <f>EXTEMPORANEO!B177</f>
        <v>0</v>
      </c>
      <c r="C178" s="25">
        <f>EXTEMPORANEO!C177</f>
        <v>2026092</v>
      </c>
      <c r="D178" s="226">
        <f>EXTEMPORANEO!D177</f>
        <v>0</v>
      </c>
      <c r="E178" s="138">
        <f>EXTEMPORANEO!E177</f>
        <v>0</v>
      </c>
      <c r="F178" s="139" t="e">
        <f>EXTEMPORANEO!F177</f>
        <v>#N/A</v>
      </c>
      <c r="G178" s="138" t="str">
        <f>EXTEMPORANEO!G177</f>
        <v/>
      </c>
      <c r="H178" s="139" t="e">
        <f>EXTEMPORANEO!H177</f>
        <v>#N/A</v>
      </c>
      <c r="I178" s="139" t="e">
        <f>EXTEMPORANEO!I177</f>
        <v>#N/A</v>
      </c>
      <c r="J178" s="13">
        <f>EXTEMPORANEO!J177</f>
        <v>0</v>
      </c>
      <c r="K178" s="13">
        <f>EXTEMPORANEO!K177</f>
        <v>0</v>
      </c>
      <c r="L178" s="36">
        <f>EXTEMPORANEO!L180</f>
        <v>0</v>
      </c>
      <c r="M178" s="36">
        <f>EXTEMPORANEO!M180</f>
        <v>0</v>
      </c>
      <c r="N178" s="13">
        <f>EXTEMPORANEO!N177</f>
        <v>0</v>
      </c>
      <c r="O178" s="13">
        <f>EXTEMPORANEO!O177</f>
        <v>0</v>
      </c>
      <c r="P178" s="13">
        <f>EXTEMPORANEO!P177</f>
        <v>0</v>
      </c>
      <c r="Q178" s="13">
        <f>EXTEMPORANEO!Q177</f>
        <v>0</v>
      </c>
      <c r="R178" s="140">
        <f>EXTEMPORANEO!R177</f>
        <v>0</v>
      </c>
      <c r="S178" s="140">
        <f>EXTEMPORANEO!S177</f>
        <v>0</v>
      </c>
      <c r="T178" s="141">
        <f>EXTEMPORANEO!T177</f>
        <v>0</v>
      </c>
      <c r="U178" s="84">
        <f>EXTEMPORANEO!U177</f>
        <v>0</v>
      </c>
      <c r="V178" s="13">
        <f>EXTEMPORANEO!V177</f>
        <v>0</v>
      </c>
      <c r="W178" s="13">
        <f>EXTEMPORANEO!W177</f>
        <v>0</v>
      </c>
      <c r="X178" s="113">
        <f>EXTEMPORANEO!X177</f>
        <v>0</v>
      </c>
      <c r="Y178" s="113">
        <f>EXTEMPORANEO!Y177</f>
        <v>0</v>
      </c>
      <c r="AA178" s="66"/>
    </row>
    <row r="179" spans="2:27" ht="13" customHeight="1">
      <c r="B179" s="33">
        <f>EXTEMPORANEO!B178</f>
        <v>0</v>
      </c>
      <c r="C179" s="25">
        <f>EXTEMPORANEO!C178</f>
        <v>2026092</v>
      </c>
      <c r="D179" s="226">
        <f>EXTEMPORANEO!D178</f>
        <v>0</v>
      </c>
      <c r="E179" s="138">
        <f>EXTEMPORANEO!E178</f>
        <v>0</v>
      </c>
      <c r="F179" s="139" t="e">
        <f>EXTEMPORANEO!F178</f>
        <v>#N/A</v>
      </c>
      <c r="G179" s="138" t="str">
        <f>EXTEMPORANEO!G178</f>
        <v/>
      </c>
      <c r="H179" s="139" t="e">
        <f>EXTEMPORANEO!H178</f>
        <v>#N/A</v>
      </c>
      <c r="I179" s="139" t="e">
        <f>EXTEMPORANEO!I178</f>
        <v>#N/A</v>
      </c>
      <c r="J179" s="13">
        <f>EXTEMPORANEO!J178</f>
        <v>0</v>
      </c>
      <c r="K179" s="13">
        <f>EXTEMPORANEO!K178</f>
        <v>0</v>
      </c>
      <c r="L179" s="36">
        <f>EXTEMPORANEO!L181</f>
        <v>0</v>
      </c>
      <c r="M179" s="36">
        <f>EXTEMPORANEO!M181</f>
        <v>0</v>
      </c>
      <c r="N179" s="13">
        <f>EXTEMPORANEO!N178</f>
        <v>0</v>
      </c>
      <c r="O179" s="13">
        <f>EXTEMPORANEO!O178</f>
        <v>0</v>
      </c>
      <c r="P179" s="13">
        <f>EXTEMPORANEO!P178</f>
        <v>0</v>
      </c>
      <c r="Q179" s="13">
        <f>EXTEMPORANEO!Q178</f>
        <v>0</v>
      </c>
      <c r="R179" s="140">
        <f>EXTEMPORANEO!R178</f>
        <v>0</v>
      </c>
      <c r="S179" s="140">
        <f>EXTEMPORANEO!S178</f>
        <v>0</v>
      </c>
      <c r="T179" s="141">
        <f>EXTEMPORANEO!T178</f>
        <v>0</v>
      </c>
      <c r="U179" s="84">
        <f>EXTEMPORANEO!U178</f>
        <v>0</v>
      </c>
      <c r="V179" s="13">
        <f>EXTEMPORANEO!V178</f>
        <v>0</v>
      </c>
      <c r="W179" s="13">
        <f>EXTEMPORANEO!W178</f>
        <v>0</v>
      </c>
      <c r="X179" s="113">
        <f>EXTEMPORANEO!X178</f>
        <v>0</v>
      </c>
      <c r="Y179" s="113">
        <f>EXTEMPORANEO!Y178</f>
        <v>0</v>
      </c>
      <c r="AA179" s="66"/>
    </row>
    <row r="180" spans="2:27" ht="13" customHeight="1">
      <c r="B180" s="33">
        <f>EXTEMPORANEO!B179</f>
        <v>0</v>
      </c>
      <c r="C180" s="25">
        <f>EXTEMPORANEO!C179</f>
        <v>2026092</v>
      </c>
      <c r="D180" s="226">
        <f>EXTEMPORANEO!D179</f>
        <v>0</v>
      </c>
      <c r="E180" s="138">
        <f>EXTEMPORANEO!E179</f>
        <v>0</v>
      </c>
      <c r="F180" s="139" t="e">
        <f>EXTEMPORANEO!F179</f>
        <v>#N/A</v>
      </c>
      <c r="G180" s="138" t="str">
        <f>EXTEMPORANEO!G179</f>
        <v/>
      </c>
      <c r="H180" s="139" t="e">
        <f>EXTEMPORANEO!H179</f>
        <v>#N/A</v>
      </c>
      <c r="I180" s="139" t="e">
        <f>EXTEMPORANEO!I179</f>
        <v>#N/A</v>
      </c>
      <c r="J180" s="13">
        <f>EXTEMPORANEO!J179</f>
        <v>0</v>
      </c>
      <c r="K180" s="13">
        <f>EXTEMPORANEO!K179</f>
        <v>0</v>
      </c>
      <c r="L180" s="36">
        <f>EXTEMPORANEO!L182</f>
        <v>0</v>
      </c>
      <c r="M180" s="36">
        <f>EXTEMPORANEO!M182</f>
        <v>0</v>
      </c>
      <c r="N180" s="13">
        <f>EXTEMPORANEO!N179</f>
        <v>0</v>
      </c>
      <c r="O180" s="13">
        <f>EXTEMPORANEO!O179</f>
        <v>0</v>
      </c>
      <c r="P180" s="13">
        <f>EXTEMPORANEO!P179</f>
        <v>0</v>
      </c>
      <c r="Q180" s="13">
        <f>EXTEMPORANEO!Q179</f>
        <v>0</v>
      </c>
      <c r="R180" s="140">
        <f>EXTEMPORANEO!R179</f>
        <v>0</v>
      </c>
      <c r="S180" s="140">
        <f>EXTEMPORANEO!S179</f>
        <v>0</v>
      </c>
      <c r="T180" s="141">
        <f>EXTEMPORANEO!T179</f>
        <v>0</v>
      </c>
      <c r="U180" s="84">
        <f>EXTEMPORANEO!U179</f>
        <v>0</v>
      </c>
      <c r="V180" s="13">
        <f>EXTEMPORANEO!V179</f>
        <v>0</v>
      </c>
      <c r="W180" s="13">
        <f>EXTEMPORANEO!W179</f>
        <v>0</v>
      </c>
      <c r="X180" s="113">
        <f>EXTEMPORANEO!X179</f>
        <v>0</v>
      </c>
      <c r="Y180" s="113">
        <f>EXTEMPORANEO!Y179</f>
        <v>0</v>
      </c>
      <c r="AA180" s="66"/>
    </row>
    <row r="181" spans="2:27" ht="13" customHeight="1">
      <c r="B181" s="33">
        <f>EXTEMPORANEO!B180</f>
        <v>0</v>
      </c>
      <c r="C181" s="25">
        <f>EXTEMPORANEO!C180</f>
        <v>2026092</v>
      </c>
      <c r="D181" s="226">
        <f>EXTEMPORANEO!D180</f>
        <v>0</v>
      </c>
      <c r="E181" s="138">
        <f>EXTEMPORANEO!E180</f>
        <v>0</v>
      </c>
      <c r="F181" s="139" t="e">
        <f>EXTEMPORANEO!F180</f>
        <v>#N/A</v>
      </c>
      <c r="G181" s="138" t="str">
        <f>EXTEMPORANEO!G180</f>
        <v/>
      </c>
      <c r="H181" s="139" t="e">
        <f>EXTEMPORANEO!H180</f>
        <v>#N/A</v>
      </c>
      <c r="I181" s="139" t="e">
        <f>EXTEMPORANEO!I180</f>
        <v>#N/A</v>
      </c>
      <c r="J181" s="13">
        <f>EXTEMPORANEO!J180</f>
        <v>0</v>
      </c>
      <c r="K181" s="13">
        <f>EXTEMPORANEO!K180</f>
        <v>0</v>
      </c>
      <c r="L181" s="36">
        <f>EXTEMPORANEO!L183</f>
        <v>0</v>
      </c>
      <c r="M181" s="36">
        <f>EXTEMPORANEO!M183</f>
        <v>0</v>
      </c>
      <c r="N181" s="13">
        <f>EXTEMPORANEO!N180</f>
        <v>0</v>
      </c>
      <c r="O181" s="13">
        <f>EXTEMPORANEO!O180</f>
        <v>0</v>
      </c>
      <c r="P181" s="13">
        <f>EXTEMPORANEO!P180</f>
        <v>0</v>
      </c>
      <c r="Q181" s="13">
        <f>EXTEMPORANEO!Q180</f>
        <v>0</v>
      </c>
      <c r="R181" s="140">
        <f>EXTEMPORANEO!R180</f>
        <v>0</v>
      </c>
      <c r="S181" s="140">
        <f>EXTEMPORANEO!S180</f>
        <v>0</v>
      </c>
      <c r="T181" s="141">
        <f>EXTEMPORANEO!T180</f>
        <v>0</v>
      </c>
      <c r="U181" s="84">
        <f>EXTEMPORANEO!U180</f>
        <v>0</v>
      </c>
      <c r="V181" s="13">
        <f>EXTEMPORANEO!V180</f>
        <v>0</v>
      </c>
      <c r="W181" s="13">
        <f>EXTEMPORANEO!W180</f>
        <v>0</v>
      </c>
      <c r="X181" s="113">
        <f>EXTEMPORANEO!X180</f>
        <v>0</v>
      </c>
      <c r="Y181" s="113">
        <f>EXTEMPORANEO!Y180</f>
        <v>0</v>
      </c>
      <c r="AA181" s="66"/>
    </row>
    <row r="182" spans="2:27" ht="13" customHeight="1">
      <c r="B182" s="33">
        <f>EXTEMPORANEO!B181</f>
        <v>0</v>
      </c>
      <c r="C182" s="25">
        <f>EXTEMPORANEO!C181</f>
        <v>2026092</v>
      </c>
      <c r="D182" s="226">
        <f>EXTEMPORANEO!D181</f>
        <v>0</v>
      </c>
      <c r="E182" s="138">
        <f>EXTEMPORANEO!E181</f>
        <v>0</v>
      </c>
      <c r="F182" s="139" t="e">
        <f>EXTEMPORANEO!F181</f>
        <v>#N/A</v>
      </c>
      <c r="G182" s="138" t="str">
        <f>EXTEMPORANEO!G181</f>
        <v/>
      </c>
      <c r="H182" s="139" t="e">
        <f>EXTEMPORANEO!H181</f>
        <v>#N/A</v>
      </c>
      <c r="I182" s="139" t="e">
        <f>EXTEMPORANEO!I181</f>
        <v>#N/A</v>
      </c>
      <c r="J182" s="13">
        <f>EXTEMPORANEO!J181</f>
        <v>0</v>
      </c>
      <c r="K182" s="13">
        <f>EXTEMPORANEO!K181</f>
        <v>0</v>
      </c>
      <c r="L182" s="36">
        <f>EXTEMPORANEO!L184</f>
        <v>0</v>
      </c>
      <c r="M182" s="36">
        <f>EXTEMPORANEO!M184</f>
        <v>0</v>
      </c>
      <c r="N182" s="13">
        <f>EXTEMPORANEO!N181</f>
        <v>0</v>
      </c>
      <c r="O182" s="13">
        <f>EXTEMPORANEO!O181</f>
        <v>0</v>
      </c>
      <c r="P182" s="13">
        <f>EXTEMPORANEO!P181</f>
        <v>0</v>
      </c>
      <c r="Q182" s="13">
        <f>EXTEMPORANEO!Q181</f>
        <v>0</v>
      </c>
      <c r="R182" s="140">
        <f>EXTEMPORANEO!R181</f>
        <v>0</v>
      </c>
      <c r="S182" s="140">
        <f>EXTEMPORANEO!S181</f>
        <v>0</v>
      </c>
      <c r="T182" s="141">
        <f>EXTEMPORANEO!T181</f>
        <v>0</v>
      </c>
      <c r="U182" s="84">
        <f>EXTEMPORANEO!U181</f>
        <v>0</v>
      </c>
      <c r="V182" s="13">
        <f>EXTEMPORANEO!V181</f>
        <v>0</v>
      </c>
      <c r="W182" s="13">
        <f>EXTEMPORANEO!W181</f>
        <v>0</v>
      </c>
      <c r="X182" s="113">
        <f>EXTEMPORANEO!X181</f>
        <v>0</v>
      </c>
      <c r="Y182" s="113">
        <f>EXTEMPORANEO!Y181</f>
        <v>0</v>
      </c>
      <c r="AA182" s="66"/>
    </row>
    <row r="183" spans="2:27" ht="13" customHeight="1">
      <c r="B183" s="33">
        <f>EXTEMPORANEO!B182</f>
        <v>0</v>
      </c>
      <c r="C183" s="25">
        <f>EXTEMPORANEO!C182</f>
        <v>2026092</v>
      </c>
      <c r="D183" s="226">
        <f>EXTEMPORANEO!D182</f>
        <v>0</v>
      </c>
      <c r="E183" s="138">
        <f>EXTEMPORANEO!E182</f>
        <v>0</v>
      </c>
      <c r="F183" s="139" t="e">
        <f>EXTEMPORANEO!F182</f>
        <v>#N/A</v>
      </c>
      <c r="G183" s="138" t="str">
        <f>EXTEMPORANEO!G182</f>
        <v/>
      </c>
      <c r="H183" s="139" t="e">
        <f>EXTEMPORANEO!H182</f>
        <v>#N/A</v>
      </c>
      <c r="I183" s="139" t="e">
        <f>EXTEMPORANEO!I182</f>
        <v>#N/A</v>
      </c>
      <c r="J183" s="13">
        <f>EXTEMPORANEO!J182</f>
        <v>0</v>
      </c>
      <c r="K183" s="13">
        <f>EXTEMPORANEO!K182</f>
        <v>0</v>
      </c>
      <c r="L183" s="36">
        <f>EXTEMPORANEO!L185</f>
        <v>0</v>
      </c>
      <c r="M183" s="36">
        <f>EXTEMPORANEO!M185</f>
        <v>0</v>
      </c>
      <c r="N183" s="13">
        <f>EXTEMPORANEO!N182</f>
        <v>0</v>
      </c>
      <c r="O183" s="13">
        <f>EXTEMPORANEO!O182</f>
        <v>0</v>
      </c>
      <c r="P183" s="13">
        <f>EXTEMPORANEO!P182</f>
        <v>0</v>
      </c>
      <c r="Q183" s="13">
        <f>EXTEMPORANEO!Q182</f>
        <v>0</v>
      </c>
      <c r="R183" s="140">
        <f>EXTEMPORANEO!R182</f>
        <v>0</v>
      </c>
      <c r="S183" s="140">
        <f>EXTEMPORANEO!S182</f>
        <v>0</v>
      </c>
      <c r="T183" s="141">
        <f>EXTEMPORANEO!T182</f>
        <v>0</v>
      </c>
      <c r="U183" s="84">
        <f>EXTEMPORANEO!U182</f>
        <v>0</v>
      </c>
      <c r="V183" s="13">
        <f>EXTEMPORANEO!V182</f>
        <v>0</v>
      </c>
      <c r="W183" s="13">
        <f>EXTEMPORANEO!W182</f>
        <v>0</v>
      </c>
      <c r="X183" s="113">
        <f>EXTEMPORANEO!X182</f>
        <v>0</v>
      </c>
      <c r="Y183" s="113">
        <f>EXTEMPORANEO!Y182</f>
        <v>0</v>
      </c>
      <c r="AA183" s="66"/>
    </row>
    <row r="184" spans="2:27" ht="13" customHeight="1">
      <c r="B184" s="33">
        <f>EXTEMPORANEO!B183</f>
        <v>0</v>
      </c>
      <c r="C184" s="25">
        <f>EXTEMPORANEO!C183</f>
        <v>2026092</v>
      </c>
      <c r="D184" s="226">
        <f>EXTEMPORANEO!D183</f>
        <v>0</v>
      </c>
      <c r="E184" s="138">
        <f>EXTEMPORANEO!E183</f>
        <v>0</v>
      </c>
      <c r="F184" s="139" t="e">
        <f>EXTEMPORANEO!F183</f>
        <v>#N/A</v>
      </c>
      <c r="G184" s="138" t="str">
        <f>EXTEMPORANEO!G183</f>
        <v/>
      </c>
      <c r="H184" s="139" t="e">
        <f>EXTEMPORANEO!H183</f>
        <v>#N/A</v>
      </c>
      <c r="I184" s="139" t="e">
        <f>EXTEMPORANEO!I183</f>
        <v>#N/A</v>
      </c>
      <c r="J184" s="13">
        <f>EXTEMPORANEO!J183</f>
        <v>0</v>
      </c>
      <c r="K184" s="13">
        <f>EXTEMPORANEO!K183</f>
        <v>0</v>
      </c>
      <c r="L184" s="36">
        <f>EXTEMPORANEO!L186</f>
        <v>0</v>
      </c>
      <c r="M184" s="36">
        <f>EXTEMPORANEO!M186</f>
        <v>0</v>
      </c>
      <c r="N184" s="13">
        <f>EXTEMPORANEO!N183</f>
        <v>0</v>
      </c>
      <c r="O184" s="13">
        <f>EXTEMPORANEO!O183</f>
        <v>0</v>
      </c>
      <c r="P184" s="13">
        <f>EXTEMPORANEO!P183</f>
        <v>0</v>
      </c>
      <c r="Q184" s="13">
        <f>EXTEMPORANEO!Q183</f>
        <v>0</v>
      </c>
      <c r="R184" s="140">
        <f>EXTEMPORANEO!R183</f>
        <v>0</v>
      </c>
      <c r="S184" s="140">
        <f>EXTEMPORANEO!S183</f>
        <v>0</v>
      </c>
      <c r="T184" s="141">
        <f>EXTEMPORANEO!T183</f>
        <v>0</v>
      </c>
      <c r="U184" s="84">
        <f>EXTEMPORANEO!U183</f>
        <v>0</v>
      </c>
      <c r="V184" s="13">
        <f>EXTEMPORANEO!V183</f>
        <v>0</v>
      </c>
      <c r="W184" s="13">
        <f>EXTEMPORANEO!W183</f>
        <v>0</v>
      </c>
      <c r="X184" s="113">
        <f>EXTEMPORANEO!X183</f>
        <v>0</v>
      </c>
      <c r="Y184" s="113">
        <f>EXTEMPORANEO!Y183</f>
        <v>0</v>
      </c>
      <c r="AA184" s="66"/>
    </row>
    <row r="185" spans="2:27" ht="13" customHeight="1">
      <c r="B185" s="33">
        <f>EXTEMPORANEO!B184</f>
        <v>0</v>
      </c>
      <c r="C185" s="25">
        <f>EXTEMPORANEO!C184</f>
        <v>2026092</v>
      </c>
      <c r="D185" s="226">
        <f>EXTEMPORANEO!D184</f>
        <v>0</v>
      </c>
      <c r="E185" s="138">
        <f>EXTEMPORANEO!E184</f>
        <v>0</v>
      </c>
      <c r="F185" s="139" t="e">
        <f>EXTEMPORANEO!F184</f>
        <v>#N/A</v>
      </c>
      <c r="G185" s="138" t="str">
        <f>EXTEMPORANEO!G184</f>
        <v/>
      </c>
      <c r="H185" s="139" t="e">
        <f>EXTEMPORANEO!H184</f>
        <v>#N/A</v>
      </c>
      <c r="I185" s="139" t="e">
        <f>EXTEMPORANEO!I184</f>
        <v>#N/A</v>
      </c>
      <c r="J185" s="13">
        <f>EXTEMPORANEO!J184</f>
        <v>0</v>
      </c>
      <c r="K185" s="13">
        <f>EXTEMPORANEO!K184</f>
        <v>0</v>
      </c>
      <c r="L185" s="36">
        <f>EXTEMPORANEO!L187</f>
        <v>0</v>
      </c>
      <c r="M185" s="36">
        <f>EXTEMPORANEO!M187</f>
        <v>0</v>
      </c>
      <c r="N185" s="13">
        <f>EXTEMPORANEO!N184</f>
        <v>0</v>
      </c>
      <c r="O185" s="13">
        <f>EXTEMPORANEO!O184</f>
        <v>0</v>
      </c>
      <c r="P185" s="13">
        <f>EXTEMPORANEO!P184</f>
        <v>0</v>
      </c>
      <c r="Q185" s="13">
        <f>EXTEMPORANEO!Q184</f>
        <v>0</v>
      </c>
      <c r="R185" s="140">
        <f>EXTEMPORANEO!R184</f>
        <v>0</v>
      </c>
      <c r="S185" s="140">
        <f>EXTEMPORANEO!S184</f>
        <v>0</v>
      </c>
      <c r="T185" s="141">
        <f>EXTEMPORANEO!T184</f>
        <v>0</v>
      </c>
      <c r="U185" s="84">
        <f>EXTEMPORANEO!U184</f>
        <v>0</v>
      </c>
      <c r="V185" s="13">
        <f>EXTEMPORANEO!V184</f>
        <v>0</v>
      </c>
      <c r="W185" s="13">
        <f>EXTEMPORANEO!W184</f>
        <v>0</v>
      </c>
      <c r="X185" s="113">
        <f>EXTEMPORANEO!X184</f>
        <v>0</v>
      </c>
      <c r="Y185" s="113">
        <f>EXTEMPORANEO!Y184</f>
        <v>0</v>
      </c>
      <c r="AA185" s="66"/>
    </row>
    <row r="186" spans="2:27" ht="13" customHeight="1">
      <c r="B186" s="33">
        <f>EXTEMPORANEO!B185</f>
        <v>0</v>
      </c>
      <c r="C186" s="25">
        <f>EXTEMPORANEO!C185</f>
        <v>2026092</v>
      </c>
      <c r="D186" s="226">
        <f>EXTEMPORANEO!D185</f>
        <v>0</v>
      </c>
      <c r="E186" s="138">
        <f>EXTEMPORANEO!E185</f>
        <v>0</v>
      </c>
      <c r="F186" s="139" t="e">
        <f>EXTEMPORANEO!F185</f>
        <v>#N/A</v>
      </c>
      <c r="G186" s="138" t="str">
        <f>EXTEMPORANEO!G185</f>
        <v/>
      </c>
      <c r="H186" s="139" t="e">
        <f>EXTEMPORANEO!H185</f>
        <v>#N/A</v>
      </c>
      <c r="I186" s="139" t="e">
        <f>EXTEMPORANEO!I185</f>
        <v>#N/A</v>
      </c>
      <c r="J186" s="13">
        <f>EXTEMPORANEO!J185</f>
        <v>0</v>
      </c>
      <c r="K186" s="13">
        <f>EXTEMPORANEO!K185</f>
        <v>0</v>
      </c>
      <c r="L186" s="36">
        <f>EXTEMPORANEO!L188</f>
        <v>0</v>
      </c>
      <c r="M186" s="36">
        <f>EXTEMPORANEO!M188</f>
        <v>0</v>
      </c>
      <c r="N186" s="13">
        <f>EXTEMPORANEO!N185</f>
        <v>0</v>
      </c>
      <c r="O186" s="13">
        <f>EXTEMPORANEO!O185</f>
        <v>0</v>
      </c>
      <c r="P186" s="13">
        <f>EXTEMPORANEO!P185</f>
        <v>0</v>
      </c>
      <c r="Q186" s="13">
        <f>EXTEMPORANEO!Q185</f>
        <v>0</v>
      </c>
      <c r="R186" s="140">
        <f>EXTEMPORANEO!R185</f>
        <v>0</v>
      </c>
      <c r="S186" s="140">
        <f>EXTEMPORANEO!S185</f>
        <v>0</v>
      </c>
      <c r="T186" s="141">
        <f>EXTEMPORANEO!T185</f>
        <v>0</v>
      </c>
      <c r="U186" s="84">
        <f>EXTEMPORANEO!U185</f>
        <v>0</v>
      </c>
      <c r="V186" s="13">
        <f>EXTEMPORANEO!V185</f>
        <v>0</v>
      </c>
      <c r="W186" s="13">
        <f>EXTEMPORANEO!W185</f>
        <v>0</v>
      </c>
      <c r="X186" s="113">
        <f>EXTEMPORANEO!X185</f>
        <v>0</v>
      </c>
      <c r="Y186" s="113">
        <f>EXTEMPORANEO!Y185</f>
        <v>0</v>
      </c>
      <c r="AA186" s="66"/>
    </row>
    <row r="187" spans="2:27" ht="13" customHeight="1">
      <c r="B187" s="33">
        <f>EXTEMPORANEO!B186</f>
        <v>0</v>
      </c>
      <c r="C187" s="25">
        <f>EXTEMPORANEO!C186</f>
        <v>2026092</v>
      </c>
      <c r="D187" s="226">
        <f>EXTEMPORANEO!D186</f>
        <v>0</v>
      </c>
      <c r="E187" s="138">
        <f>EXTEMPORANEO!E186</f>
        <v>0</v>
      </c>
      <c r="F187" s="139" t="e">
        <f>EXTEMPORANEO!F186</f>
        <v>#N/A</v>
      </c>
      <c r="G187" s="138" t="str">
        <f>EXTEMPORANEO!G186</f>
        <v/>
      </c>
      <c r="H187" s="139" t="e">
        <f>EXTEMPORANEO!H186</f>
        <v>#N/A</v>
      </c>
      <c r="I187" s="139" t="e">
        <f>EXTEMPORANEO!I186</f>
        <v>#N/A</v>
      </c>
      <c r="J187" s="13">
        <f>EXTEMPORANEO!J186</f>
        <v>0</v>
      </c>
      <c r="K187" s="13">
        <f>EXTEMPORANEO!K186</f>
        <v>0</v>
      </c>
      <c r="L187" s="36">
        <f>EXTEMPORANEO!L189</f>
        <v>0</v>
      </c>
      <c r="M187" s="36">
        <f>EXTEMPORANEO!M189</f>
        <v>0</v>
      </c>
      <c r="N187" s="13">
        <f>EXTEMPORANEO!N186</f>
        <v>0</v>
      </c>
      <c r="O187" s="13">
        <f>EXTEMPORANEO!O186</f>
        <v>0</v>
      </c>
      <c r="P187" s="13">
        <f>EXTEMPORANEO!P186</f>
        <v>0</v>
      </c>
      <c r="Q187" s="13">
        <f>EXTEMPORANEO!Q186</f>
        <v>0</v>
      </c>
      <c r="R187" s="140">
        <f>EXTEMPORANEO!R186</f>
        <v>0</v>
      </c>
      <c r="S187" s="140">
        <f>EXTEMPORANEO!S186</f>
        <v>0</v>
      </c>
      <c r="T187" s="141">
        <f>EXTEMPORANEO!T186</f>
        <v>0</v>
      </c>
      <c r="U187" s="84">
        <f>EXTEMPORANEO!U186</f>
        <v>0</v>
      </c>
      <c r="V187" s="13">
        <f>EXTEMPORANEO!V186</f>
        <v>0</v>
      </c>
      <c r="W187" s="13">
        <f>EXTEMPORANEO!W186</f>
        <v>0</v>
      </c>
      <c r="X187" s="113">
        <f>EXTEMPORANEO!X186</f>
        <v>0</v>
      </c>
      <c r="Y187" s="113">
        <f>EXTEMPORANEO!Y186</f>
        <v>0</v>
      </c>
      <c r="AA187" s="66"/>
    </row>
    <row r="188" spans="2:27" ht="13" customHeight="1">
      <c r="B188" s="33">
        <f>EXTEMPORANEO!B187</f>
        <v>0</v>
      </c>
      <c r="C188" s="25">
        <f>EXTEMPORANEO!C187</f>
        <v>2026092</v>
      </c>
      <c r="D188" s="226">
        <f>EXTEMPORANEO!D187</f>
        <v>0</v>
      </c>
      <c r="E188" s="138">
        <f>EXTEMPORANEO!E187</f>
        <v>0</v>
      </c>
      <c r="F188" s="139" t="e">
        <f>EXTEMPORANEO!F187</f>
        <v>#N/A</v>
      </c>
      <c r="G188" s="138" t="str">
        <f>EXTEMPORANEO!G187</f>
        <v/>
      </c>
      <c r="H188" s="139" t="e">
        <f>EXTEMPORANEO!H187</f>
        <v>#N/A</v>
      </c>
      <c r="I188" s="139" t="e">
        <f>EXTEMPORANEO!I187</f>
        <v>#N/A</v>
      </c>
      <c r="J188" s="13">
        <f>EXTEMPORANEO!J187</f>
        <v>0</v>
      </c>
      <c r="K188" s="13">
        <f>EXTEMPORANEO!K187</f>
        <v>0</v>
      </c>
      <c r="L188" s="36">
        <f>EXTEMPORANEO!L190</f>
        <v>0</v>
      </c>
      <c r="M188" s="36">
        <f>EXTEMPORANEO!M190</f>
        <v>0</v>
      </c>
      <c r="N188" s="13">
        <f>EXTEMPORANEO!N187</f>
        <v>0</v>
      </c>
      <c r="O188" s="13">
        <f>EXTEMPORANEO!O187</f>
        <v>0</v>
      </c>
      <c r="P188" s="13">
        <f>EXTEMPORANEO!P187</f>
        <v>0</v>
      </c>
      <c r="Q188" s="13">
        <f>EXTEMPORANEO!Q187</f>
        <v>0</v>
      </c>
      <c r="R188" s="140">
        <f>EXTEMPORANEO!R187</f>
        <v>0</v>
      </c>
      <c r="S188" s="140">
        <f>EXTEMPORANEO!S187</f>
        <v>0</v>
      </c>
      <c r="T188" s="141">
        <f>EXTEMPORANEO!T187</f>
        <v>0</v>
      </c>
      <c r="U188" s="84">
        <f>EXTEMPORANEO!U187</f>
        <v>0</v>
      </c>
      <c r="V188" s="13">
        <f>EXTEMPORANEO!V187</f>
        <v>0</v>
      </c>
      <c r="W188" s="13">
        <f>EXTEMPORANEO!W187</f>
        <v>0</v>
      </c>
      <c r="X188" s="113">
        <f>EXTEMPORANEO!X187</f>
        <v>0</v>
      </c>
      <c r="Y188" s="113">
        <f>EXTEMPORANEO!Y187</f>
        <v>0</v>
      </c>
      <c r="AA188" s="66"/>
    </row>
    <row r="189" spans="2:27" ht="13" customHeight="1">
      <c r="B189" s="33">
        <f>EXTEMPORANEO!B188</f>
        <v>0</v>
      </c>
      <c r="C189" s="25">
        <f>EXTEMPORANEO!C188</f>
        <v>2026092</v>
      </c>
      <c r="D189" s="226">
        <f>EXTEMPORANEO!D188</f>
        <v>0</v>
      </c>
      <c r="E189" s="138">
        <f>EXTEMPORANEO!E188</f>
        <v>0</v>
      </c>
      <c r="F189" s="139" t="e">
        <f>EXTEMPORANEO!F188</f>
        <v>#N/A</v>
      </c>
      <c r="G189" s="138" t="str">
        <f>EXTEMPORANEO!G188</f>
        <v/>
      </c>
      <c r="H189" s="139" t="e">
        <f>EXTEMPORANEO!H188</f>
        <v>#N/A</v>
      </c>
      <c r="I189" s="139" t="e">
        <f>EXTEMPORANEO!I188</f>
        <v>#N/A</v>
      </c>
      <c r="J189" s="13">
        <f>EXTEMPORANEO!J188</f>
        <v>0</v>
      </c>
      <c r="K189" s="13">
        <f>EXTEMPORANEO!K188</f>
        <v>0</v>
      </c>
      <c r="L189" s="36">
        <f>EXTEMPORANEO!L191</f>
        <v>0</v>
      </c>
      <c r="M189" s="36">
        <f>EXTEMPORANEO!M191</f>
        <v>0</v>
      </c>
      <c r="N189" s="13">
        <f>EXTEMPORANEO!N188</f>
        <v>0</v>
      </c>
      <c r="O189" s="13">
        <f>EXTEMPORANEO!O188</f>
        <v>0</v>
      </c>
      <c r="P189" s="13">
        <f>EXTEMPORANEO!P188</f>
        <v>0</v>
      </c>
      <c r="Q189" s="13">
        <f>EXTEMPORANEO!Q188</f>
        <v>0</v>
      </c>
      <c r="R189" s="140">
        <f>EXTEMPORANEO!R188</f>
        <v>0</v>
      </c>
      <c r="S189" s="140">
        <f>EXTEMPORANEO!S188</f>
        <v>0</v>
      </c>
      <c r="T189" s="141">
        <f>EXTEMPORANEO!T188</f>
        <v>0</v>
      </c>
      <c r="U189" s="84">
        <f>EXTEMPORANEO!U188</f>
        <v>0</v>
      </c>
      <c r="V189" s="13">
        <f>EXTEMPORANEO!V188</f>
        <v>0</v>
      </c>
      <c r="W189" s="13">
        <f>EXTEMPORANEO!W188</f>
        <v>0</v>
      </c>
      <c r="X189" s="113">
        <f>EXTEMPORANEO!X188</f>
        <v>0</v>
      </c>
      <c r="Y189" s="113">
        <f>EXTEMPORANEO!Y188</f>
        <v>0</v>
      </c>
      <c r="AA189" s="66"/>
    </row>
    <row r="190" spans="2:27" ht="13" customHeight="1">
      <c r="B190" s="33">
        <f>EXTEMPORANEO!B189</f>
        <v>0</v>
      </c>
      <c r="C190" s="25">
        <f>EXTEMPORANEO!C189</f>
        <v>2026092</v>
      </c>
      <c r="D190" s="226">
        <f>EXTEMPORANEO!D189</f>
        <v>0</v>
      </c>
      <c r="E190" s="138">
        <f>EXTEMPORANEO!E189</f>
        <v>0</v>
      </c>
      <c r="F190" s="139" t="e">
        <f>EXTEMPORANEO!F189</f>
        <v>#N/A</v>
      </c>
      <c r="G190" s="138" t="str">
        <f>EXTEMPORANEO!G189</f>
        <v/>
      </c>
      <c r="H190" s="139" t="e">
        <f>EXTEMPORANEO!H189</f>
        <v>#N/A</v>
      </c>
      <c r="I190" s="139" t="e">
        <f>EXTEMPORANEO!I189</f>
        <v>#N/A</v>
      </c>
      <c r="J190" s="13">
        <f>EXTEMPORANEO!J189</f>
        <v>0</v>
      </c>
      <c r="K190" s="13">
        <f>EXTEMPORANEO!K189</f>
        <v>0</v>
      </c>
      <c r="L190" s="36">
        <f>EXTEMPORANEO!L192</f>
        <v>0</v>
      </c>
      <c r="M190" s="36">
        <f>EXTEMPORANEO!M192</f>
        <v>0</v>
      </c>
      <c r="N190" s="13">
        <f>EXTEMPORANEO!N189</f>
        <v>0</v>
      </c>
      <c r="O190" s="13">
        <f>EXTEMPORANEO!O189</f>
        <v>0</v>
      </c>
      <c r="P190" s="13">
        <f>EXTEMPORANEO!P189</f>
        <v>0</v>
      </c>
      <c r="Q190" s="13">
        <f>EXTEMPORANEO!Q189</f>
        <v>0</v>
      </c>
      <c r="R190" s="140">
        <f>EXTEMPORANEO!R189</f>
        <v>0</v>
      </c>
      <c r="S190" s="140">
        <f>EXTEMPORANEO!S189</f>
        <v>0</v>
      </c>
      <c r="T190" s="141">
        <f>EXTEMPORANEO!T189</f>
        <v>0</v>
      </c>
      <c r="U190" s="84">
        <f>EXTEMPORANEO!U189</f>
        <v>0</v>
      </c>
      <c r="V190" s="13">
        <f>EXTEMPORANEO!V189</f>
        <v>0</v>
      </c>
      <c r="W190" s="13">
        <f>EXTEMPORANEO!W189</f>
        <v>0</v>
      </c>
      <c r="X190" s="113">
        <f>EXTEMPORANEO!X189</f>
        <v>0</v>
      </c>
      <c r="Y190" s="113">
        <f>EXTEMPORANEO!Y189</f>
        <v>0</v>
      </c>
      <c r="AA190" s="66"/>
    </row>
    <row r="191" spans="2:27" ht="13" customHeight="1">
      <c r="B191" s="33">
        <f>EXTEMPORANEO!B190</f>
        <v>0</v>
      </c>
      <c r="C191" s="25">
        <f>EXTEMPORANEO!C190</f>
        <v>2026092</v>
      </c>
      <c r="D191" s="226">
        <f>EXTEMPORANEO!D190</f>
        <v>0</v>
      </c>
      <c r="E191" s="138">
        <f>EXTEMPORANEO!E190</f>
        <v>0</v>
      </c>
      <c r="F191" s="139" t="e">
        <f>EXTEMPORANEO!F190</f>
        <v>#N/A</v>
      </c>
      <c r="G191" s="138" t="str">
        <f>EXTEMPORANEO!G190</f>
        <v/>
      </c>
      <c r="H191" s="139" t="e">
        <f>EXTEMPORANEO!H190</f>
        <v>#N/A</v>
      </c>
      <c r="I191" s="139" t="e">
        <f>EXTEMPORANEO!I190</f>
        <v>#N/A</v>
      </c>
      <c r="J191" s="13">
        <f>EXTEMPORANEO!J190</f>
        <v>0</v>
      </c>
      <c r="K191" s="13">
        <f>EXTEMPORANEO!K190</f>
        <v>0</v>
      </c>
      <c r="L191" s="36">
        <f>EXTEMPORANEO!L193</f>
        <v>0</v>
      </c>
      <c r="M191" s="36">
        <f>EXTEMPORANEO!M193</f>
        <v>0</v>
      </c>
      <c r="N191" s="13">
        <f>EXTEMPORANEO!N190</f>
        <v>0</v>
      </c>
      <c r="O191" s="13">
        <f>EXTEMPORANEO!O190</f>
        <v>0</v>
      </c>
      <c r="P191" s="13">
        <f>EXTEMPORANEO!P190</f>
        <v>0</v>
      </c>
      <c r="Q191" s="13">
        <f>EXTEMPORANEO!Q190</f>
        <v>0</v>
      </c>
      <c r="R191" s="140">
        <f>EXTEMPORANEO!R190</f>
        <v>0</v>
      </c>
      <c r="S191" s="140">
        <f>EXTEMPORANEO!S190</f>
        <v>0</v>
      </c>
      <c r="T191" s="141">
        <f>EXTEMPORANEO!T190</f>
        <v>0</v>
      </c>
      <c r="U191" s="84">
        <f>EXTEMPORANEO!U190</f>
        <v>0</v>
      </c>
      <c r="V191" s="13">
        <f>EXTEMPORANEO!V190</f>
        <v>0</v>
      </c>
      <c r="W191" s="13">
        <f>EXTEMPORANEO!W190</f>
        <v>0</v>
      </c>
      <c r="X191" s="113">
        <f>EXTEMPORANEO!X190</f>
        <v>0</v>
      </c>
      <c r="Y191" s="113">
        <f>EXTEMPORANEO!Y190</f>
        <v>0</v>
      </c>
      <c r="AA191" s="66"/>
    </row>
    <row r="192" spans="2:27" ht="13" customHeight="1">
      <c r="B192" s="33">
        <f>EXTEMPORANEO!B191</f>
        <v>0</v>
      </c>
      <c r="C192" s="25">
        <f>EXTEMPORANEO!C191</f>
        <v>2026092</v>
      </c>
      <c r="D192" s="226">
        <f>EXTEMPORANEO!D191</f>
        <v>0</v>
      </c>
      <c r="E192" s="138">
        <f>EXTEMPORANEO!E191</f>
        <v>0</v>
      </c>
      <c r="F192" s="139" t="e">
        <f>EXTEMPORANEO!F191</f>
        <v>#N/A</v>
      </c>
      <c r="G192" s="138" t="str">
        <f>EXTEMPORANEO!G191</f>
        <v/>
      </c>
      <c r="H192" s="139" t="e">
        <f>EXTEMPORANEO!H191</f>
        <v>#N/A</v>
      </c>
      <c r="I192" s="139" t="e">
        <f>EXTEMPORANEO!I191</f>
        <v>#N/A</v>
      </c>
      <c r="J192" s="13">
        <f>EXTEMPORANEO!J191</f>
        <v>0</v>
      </c>
      <c r="K192" s="13">
        <f>EXTEMPORANEO!K191</f>
        <v>0</v>
      </c>
      <c r="L192" s="36">
        <f>EXTEMPORANEO!L194</f>
        <v>0</v>
      </c>
      <c r="M192" s="36">
        <f>EXTEMPORANEO!M194</f>
        <v>0</v>
      </c>
      <c r="N192" s="13">
        <f>EXTEMPORANEO!N191</f>
        <v>0</v>
      </c>
      <c r="O192" s="13">
        <f>EXTEMPORANEO!O191</f>
        <v>0</v>
      </c>
      <c r="P192" s="13">
        <f>EXTEMPORANEO!P191</f>
        <v>0</v>
      </c>
      <c r="Q192" s="13">
        <f>EXTEMPORANEO!Q191</f>
        <v>0</v>
      </c>
      <c r="R192" s="140">
        <f>EXTEMPORANEO!R191</f>
        <v>0</v>
      </c>
      <c r="S192" s="140">
        <f>EXTEMPORANEO!S191</f>
        <v>0</v>
      </c>
      <c r="T192" s="141">
        <f>EXTEMPORANEO!T191</f>
        <v>0</v>
      </c>
      <c r="U192" s="84">
        <f>EXTEMPORANEO!U191</f>
        <v>0</v>
      </c>
      <c r="V192" s="13">
        <f>EXTEMPORANEO!V191</f>
        <v>0</v>
      </c>
      <c r="W192" s="13">
        <f>EXTEMPORANEO!W191</f>
        <v>0</v>
      </c>
      <c r="X192" s="113">
        <f>EXTEMPORANEO!X191</f>
        <v>0</v>
      </c>
      <c r="Y192" s="113">
        <f>EXTEMPORANEO!Y191</f>
        <v>0</v>
      </c>
      <c r="AA192" s="66"/>
    </row>
    <row r="193" spans="2:27" ht="13" customHeight="1">
      <c r="B193" s="33">
        <f>EXTEMPORANEO!B192</f>
        <v>0</v>
      </c>
      <c r="C193" s="25">
        <f>EXTEMPORANEO!C192</f>
        <v>2026092</v>
      </c>
      <c r="D193" s="226">
        <f>EXTEMPORANEO!D192</f>
        <v>0</v>
      </c>
      <c r="E193" s="138">
        <f>EXTEMPORANEO!E192</f>
        <v>0</v>
      </c>
      <c r="F193" s="139" t="e">
        <f>EXTEMPORANEO!F192</f>
        <v>#N/A</v>
      </c>
      <c r="G193" s="138" t="str">
        <f>EXTEMPORANEO!G192</f>
        <v/>
      </c>
      <c r="H193" s="139" t="e">
        <f>EXTEMPORANEO!H192</f>
        <v>#N/A</v>
      </c>
      <c r="I193" s="139" t="e">
        <f>EXTEMPORANEO!I192</f>
        <v>#N/A</v>
      </c>
      <c r="J193" s="13">
        <f>EXTEMPORANEO!J192</f>
        <v>0</v>
      </c>
      <c r="K193" s="13">
        <f>EXTEMPORANEO!K192</f>
        <v>0</v>
      </c>
      <c r="L193" s="36">
        <f>EXTEMPORANEO!L195</f>
        <v>0</v>
      </c>
      <c r="M193" s="36">
        <f>EXTEMPORANEO!M195</f>
        <v>0</v>
      </c>
      <c r="N193" s="13">
        <f>EXTEMPORANEO!N192</f>
        <v>0</v>
      </c>
      <c r="O193" s="13">
        <f>EXTEMPORANEO!O192</f>
        <v>0</v>
      </c>
      <c r="P193" s="13">
        <f>EXTEMPORANEO!P192</f>
        <v>0</v>
      </c>
      <c r="Q193" s="13">
        <f>EXTEMPORANEO!Q192</f>
        <v>0</v>
      </c>
      <c r="R193" s="140">
        <f>EXTEMPORANEO!R192</f>
        <v>0</v>
      </c>
      <c r="S193" s="140">
        <f>EXTEMPORANEO!S192</f>
        <v>0</v>
      </c>
      <c r="T193" s="141">
        <f>EXTEMPORANEO!T192</f>
        <v>0</v>
      </c>
      <c r="U193" s="84">
        <f>EXTEMPORANEO!U192</f>
        <v>0</v>
      </c>
      <c r="V193" s="13">
        <f>EXTEMPORANEO!V192</f>
        <v>0</v>
      </c>
      <c r="W193" s="13">
        <f>EXTEMPORANEO!W192</f>
        <v>0</v>
      </c>
      <c r="X193" s="113">
        <f>EXTEMPORANEO!X192</f>
        <v>0</v>
      </c>
      <c r="Y193" s="113">
        <f>EXTEMPORANEO!Y192</f>
        <v>0</v>
      </c>
      <c r="AA193" s="66"/>
    </row>
    <row r="194" spans="2:27" ht="13" customHeight="1">
      <c r="B194" s="33">
        <f>EXTEMPORANEO!B193</f>
        <v>0</v>
      </c>
      <c r="C194" s="25">
        <f>EXTEMPORANEO!C193</f>
        <v>2026092</v>
      </c>
      <c r="D194" s="226">
        <f>EXTEMPORANEO!D193</f>
        <v>0</v>
      </c>
      <c r="E194" s="138">
        <f>EXTEMPORANEO!E193</f>
        <v>0</v>
      </c>
      <c r="F194" s="139" t="e">
        <f>EXTEMPORANEO!F193</f>
        <v>#N/A</v>
      </c>
      <c r="G194" s="138" t="str">
        <f>EXTEMPORANEO!G193</f>
        <v/>
      </c>
      <c r="H194" s="139" t="e">
        <f>EXTEMPORANEO!H193</f>
        <v>#N/A</v>
      </c>
      <c r="I194" s="139" t="e">
        <f>EXTEMPORANEO!I193</f>
        <v>#N/A</v>
      </c>
      <c r="J194" s="13">
        <f>EXTEMPORANEO!J193</f>
        <v>0</v>
      </c>
      <c r="K194" s="13">
        <f>EXTEMPORANEO!K193</f>
        <v>0</v>
      </c>
      <c r="L194" s="36">
        <f>EXTEMPORANEO!L196</f>
        <v>0</v>
      </c>
      <c r="M194" s="36">
        <f>EXTEMPORANEO!M196</f>
        <v>0</v>
      </c>
      <c r="N194" s="13">
        <f>EXTEMPORANEO!N193</f>
        <v>0</v>
      </c>
      <c r="O194" s="13">
        <f>EXTEMPORANEO!O193</f>
        <v>0</v>
      </c>
      <c r="P194" s="13">
        <f>EXTEMPORANEO!P193</f>
        <v>0</v>
      </c>
      <c r="Q194" s="13">
        <f>EXTEMPORANEO!Q193</f>
        <v>0</v>
      </c>
      <c r="R194" s="140">
        <f>EXTEMPORANEO!R193</f>
        <v>0</v>
      </c>
      <c r="S194" s="140">
        <f>EXTEMPORANEO!S193</f>
        <v>0</v>
      </c>
      <c r="T194" s="141">
        <f>EXTEMPORANEO!T193</f>
        <v>0</v>
      </c>
      <c r="U194" s="84">
        <f>EXTEMPORANEO!U193</f>
        <v>0</v>
      </c>
      <c r="V194" s="13">
        <f>EXTEMPORANEO!V193</f>
        <v>0</v>
      </c>
      <c r="W194" s="13">
        <f>EXTEMPORANEO!W193</f>
        <v>0</v>
      </c>
      <c r="X194" s="113">
        <f>EXTEMPORANEO!X193</f>
        <v>0</v>
      </c>
      <c r="Y194" s="113">
        <f>EXTEMPORANEO!Y193</f>
        <v>0</v>
      </c>
      <c r="AA194" s="66"/>
    </row>
    <row r="195" spans="2:27" ht="13" customHeight="1">
      <c r="B195" s="33">
        <f>EXTEMPORANEO!B194</f>
        <v>0</v>
      </c>
      <c r="C195" s="25">
        <f>EXTEMPORANEO!C194</f>
        <v>2026092</v>
      </c>
      <c r="D195" s="226">
        <f>EXTEMPORANEO!D194</f>
        <v>0</v>
      </c>
      <c r="E195" s="138">
        <f>EXTEMPORANEO!E194</f>
        <v>0</v>
      </c>
      <c r="F195" s="139" t="e">
        <f>EXTEMPORANEO!F194</f>
        <v>#N/A</v>
      </c>
      <c r="G195" s="138" t="str">
        <f>EXTEMPORANEO!G194</f>
        <v/>
      </c>
      <c r="H195" s="139" t="e">
        <f>EXTEMPORANEO!H194</f>
        <v>#N/A</v>
      </c>
      <c r="I195" s="139" t="e">
        <f>EXTEMPORANEO!I194</f>
        <v>#N/A</v>
      </c>
      <c r="J195" s="13">
        <f>EXTEMPORANEO!J194</f>
        <v>0</v>
      </c>
      <c r="K195" s="13">
        <f>EXTEMPORANEO!K194</f>
        <v>0</v>
      </c>
      <c r="L195" s="36">
        <f>EXTEMPORANEO!L197</f>
        <v>0</v>
      </c>
      <c r="M195" s="36">
        <f>EXTEMPORANEO!M197</f>
        <v>0</v>
      </c>
      <c r="N195" s="13">
        <f>EXTEMPORANEO!N194</f>
        <v>0</v>
      </c>
      <c r="O195" s="13">
        <f>EXTEMPORANEO!O194</f>
        <v>0</v>
      </c>
      <c r="P195" s="13">
        <f>EXTEMPORANEO!P194</f>
        <v>0</v>
      </c>
      <c r="Q195" s="13">
        <f>EXTEMPORANEO!Q194</f>
        <v>0</v>
      </c>
      <c r="R195" s="140">
        <f>EXTEMPORANEO!R194</f>
        <v>0</v>
      </c>
      <c r="S195" s="140">
        <f>EXTEMPORANEO!S194</f>
        <v>0</v>
      </c>
      <c r="T195" s="141">
        <f>EXTEMPORANEO!T194</f>
        <v>0</v>
      </c>
      <c r="U195" s="84">
        <f>EXTEMPORANEO!U194</f>
        <v>0</v>
      </c>
      <c r="V195" s="13">
        <f>EXTEMPORANEO!V194</f>
        <v>0</v>
      </c>
      <c r="W195" s="13">
        <f>EXTEMPORANEO!W194</f>
        <v>0</v>
      </c>
      <c r="X195" s="113">
        <f>EXTEMPORANEO!X194</f>
        <v>0</v>
      </c>
      <c r="Y195" s="113">
        <f>EXTEMPORANEO!Y194</f>
        <v>0</v>
      </c>
      <c r="AA195" s="66"/>
    </row>
    <row r="196" spans="2:27" ht="13" customHeight="1">
      <c r="B196" s="33">
        <f>EXTEMPORANEO!B195</f>
        <v>0</v>
      </c>
      <c r="C196" s="25">
        <f>EXTEMPORANEO!C195</f>
        <v>2026092</v>
      </c>
      <c r="D196" s="226">
        <f>EXTEMPORANEO!D195</f>
        <v>0</v>
      </c>
      <c r="E196" s="138">
        <f>EXTEMPORANEO!E195</f>
        <v>0</v>
      </c>
      <c r="F196" s="139" t="e">
        <f>EXTEMPORANEO!F195</f>
        <v>#N/A</v>
      </c>
      <c r="G196" s="138" t="str">
        <f>EXTEMPORANEO!G195</f>
        <v/>
      </c>
      <c r="H196" s="139" t="e">
        <f>EXTEMPORANEO!H195</f>
        <v>#N/A</v>
      </c>
      <c r="I196" s="139" t="e">
        <f>EXTEMPORANEO!I195</f>
        <v>#N/A</v>
      </c>
      <c r="J196" s="13">
        <f>EXTEMPORANEO!J195</f>
        <v>0</v>
      </c>
      <c r="K196" s="13">
        <f>EXTEMPORANEO!K195</f>
        <v>0</v>
      </c>
      <c r="L196" s="36">
        <f>EXTEMPORANEO!L198</f>
        <v>0</v>
      </c>
      <c r="M196" s="36">
        <f>EXTEMPORANEO!M198</f>
        <v>0</v>
      </c>
      <c r="N196" s="13">
        <f>EXTEMPORANEO!N195</f>
        <v>0</v>
      </c>
      <c r="O196" s="13">
        <f>EXTEMPORANEO!O195</f>
        <v>0</v>
      </c>
      <c r="P196" s="13">
        <f>EXTEMPORANEO!P195</f>
        <v>0</v>
      </c>
      <c r="Q196" s="13">
        <f>EXTEMPORANEO!Q195</f>
        <v>0</v>
      </c>
      <c r="R196" s="140">
        <f>EXTEMPORANEO!R195</f>
        <v>0</v>
      </c>
      <c r="S196" s="140">
        <f>EXTEMPORANEO!S195</f>
        <v>0</v>
      </c>
      <c r="T196" s="141">
        <f>EXTEMPORANEO!T195</f>
        <v>0</v>
      </c>
      <c r="U196" s="84">
        <f>EXTEMPORANEO!U195</f>
        <v>0</v>
      </c>
      <c r="V196" s="13">
        <f>EXTEMPORANEO!V195</f>
        <v>0</v>
      </c>
      <c r="W196" s="13">
        <f>EXTEMPORANEO!W195</f>
        <v>0</v>
      </c>
      <c r="X196" s="113">
        <f>EXTEMPORANEO!X195</f>
        <v>0</v>
      </c>
      <c r="Y196" s="113">
        <f>EXTEMPORANEO!Y195</f>
        <v>0</v>
      </c>
      <c r="AA196" s="66"/>
    </row>
    <row r="197" spans="2:27" ht="13" customHeight="1">
      <c r="B197" s="33">
        <f>EXTEMPORANEO!B196</f>
        <v>0</v>
      </c>
      <c r="C197" s="25">
        <f>EXTEMPORANEO!C196</f>
        <v>2026092</v>
      </c>
      <c r="D197" s="226">
        <f>EXTEMPORANEO!D196</f>
        <v>0</v>
      </c>
      <c r="E197" s="138">
        <f>EXTEMPORANEO!E196</f>
        <v>0</v>
      </c>
      <c r="F197" s="139" t="e">
        <f>EXTEMPORANEO!F196</f>
        <v>#N/A</v>
      </c>
      <c r="G197" s="138" t="str">
        <f>EXTEMPORANEO!G196</f>
        <v/>
      </c>
      <c r="H197" s="139" t="e">
        <f>EXTEMPORANEO!H196</f>
        <v>#N/A</v>
      </c>
      <c r="I197" s="139" t="e">
        <f>EXTEMPORANEO!I196</f>
        <v>#N/A</v>
      </c>
      <c r="J197" s="13">
        <f>EXTEMPORANEO!J196</f>
        <v>0</v>
      </c>
      <c r="K197" s="13">
        <f>EXTEMPORANEO!K196</f>
        <v>0</v>
      </c>
      <c r="L197" s="36">
        <f>EXTEMPORANEO!L199</f>
        <v>0</v>
      </c>
      <c r="M197" s="36">
        <f>EXTEMPORANEO!M199</f>
        <v>0</v>
      </c>
      <c r="N197" s="13">
        <f>EXTEMPORANEO!N196</f>
        <v>0</v>
      </c>
      <c r="O197" s="13">
        <f>EXTEMPORANEO!O196</f>
        <v>0</v>
      </c>
      <c r="P197" s="13">
        <f>EXTEMPORANEO!P196</f>
        <v>0</v>
      </c>
      <c r="Q197" s="13">
        <f>EXTEMPORANEO!Q196</f>
        <v>0</v>
      </c>
      <c r="R197" s="140">
        <f>EXTEMPORANEO!R196</f>
        <v>0</v>
      </c>
      <c r="S197" s="140">
        <f>EXTEMPORANEO!S196</f>
        <v>0</v>
      </c>
      <c r="T197" s="141">
        <f>EXTEMPORANEO!T196</f>
        <v>0</v>
      </c>
      <c r="U197" s="84">
        <f>EXTEMPORANEO!U196</f>
        <v>0</v>
      </c>
      <c r="V197" s="13">
        <f>EXTEMPORANEO!V196</f>
        <v>0</v>
      </c>
      <c r="W197" s="13">
        <f>EXTEMPORANEO!W196</f>
        <v>0</v>
      </c>
      <c r="X197" s="113">
        <f>EXTEMPORANEO!X196</f>
        <v>0</v>
      </c>
      <c r="Y197" s="113">
        <f>EXTEMPORANEO!Y196</f>
        <v>0</v>
      </c>
      <c r="AA197" s="66"/>
    </row>
    <row r="198" spans="2:27" ht="13" customHeight="1">
      <c r="B198" s="33">
        <f>EXTEMPORANEO!B197</f>
        <v>0</v>
      </c>
      <c r="C198" s="25">
        <f>EXTEMPORANEO!C197</f>
        <v>2026092</v>
      </c>
      <c r="D198" s="226">
        <f>EXTEMPORANEO!D197</f>
        <v>0</v>
      </c>
      <c r="E198" s="138">
        <f>EXTEMPORANEO!E197</f>
        <v>0</v>
      </c>
      <c r="F198" s="139" t="e">
        <f>EXTEMPORANEO!F197</f>
        <v>#N/A</v>
      </c>
      <c r="G198" s="138" t="str">
        <f>EXTEMPORANEO!G197</f>
        <v/>
      </c>
      <c r="H198" s="139" t="e">
        <f>EXTEMPORANEO!H197</f>
        <v>#N/A</v>
      </c>
      <c r="I198" s="139" t="e">
        <f>EXTEMPORANEO!I197</f>
        <v>#N/A</v>
      </c>
      <c r="J198" s="13">
        <f>EXTEMPORANEO!J197</f>
        <v>0</v>
      </c>
      <c r="K198" s="13">
        <f>EXTEMPORANEO!K197</f>
        <v>0</v>
      </c>
      <c r="L198" s="36">
        <f>EXTEMPORANEO!L200</f>
        <v>0</v>
      </c>
      <c r="M198" s="36">
        <f>EXTEMPORANEO!M200</f>
        <v>0</v>
      </c>
      <c r="N198" s="13">
        <f>EXTEMPORANEO!N197</f>
        <v>0</v>
      </c>
      <c r="O198" s="13">
        <f>EXTEMPORANEO!O197</f>
        <v>0</v>
      </c>
      <c r="P198" s="13">
        <f>EXTEMPORANEO!P197</f>
        <v>0</v>
      </c>
      <c r="Q198" s="13">
        <f>EXTEMPORANEO!Q197</f>
        <v>0</v>
      </c>
      <c r="R198" s="140">
        <f>EXTEMPORANEO!R197</f>
        <v>0</v>
      </c>
      <c r="S198" s="140">
        <f>EXTEMPORANEO!S197</f>
        <v>0</v>
      </c>
      <c r="T198" s="141">
        <f>EXTEMPORANEO!T197</f>
        <v>0</v>
      </c>
      <c r="U198" s="84">
        <f>EXTEMPORANEO!U197</f>
        <v>0</v>
      </c>
      <c r="V198" s="13">
        <f>EXTEMPORANEO!V197</f>
        <v>0</v>
      </c>
      <c r="W198" s="13">
        <f>EXTEMPORANEO!W197</f>
        <v>0</v>
      </c>
      <c r="X198" s="113">
        <f>EXTEMPORANEO!X197</f>
        <v>0</v>
      </c>
      <c r="Y198" s="113">
        <f>EXTEMPORANEO!Y197</f>
        <v>0</v>
      </c>
      <c r="AA198" s="66"/>
    </row>
    <row r="199" spans="2:27" ht="13" customHeight="1">
      <c r="B199" s="33">
        <f>EXTEMPORANEO!B198</f>
        <v>0</v>
      </c>
      <c r="C199" s="25">
        <f>EXTEMPORANEO!C198</f>
        <v>2026092</v>
      </c>
      <c r="D199" s="226">
        <f>EXTEMPORANEO!D198</f>
        <v>0</v>
      </c>
      <c r="E199" s="138">
        <f>EXTEMPORANEO!E198</f>
        <v>0</v>
      </c>
      <c r="F199" s="139" t="e">
        <f>EXTEMPORANEO!F198</f>
        <v>#N/A</v>
      </c>
      <c r="G199" s="138" t="str">
        <f>EXTEMPORANEO!G198</f>
        <v/>
      </c>
      <c r="H199" s="139" t="e">
        <f>EXTEMPORANEO!H198</f>
        <v>#N/A</v>
      </c>
      <c r="I199" s="139" t="e">
        <f>EXTEMPORANEO!I198</f>
        <v>#N/A</v>
      </c>
      <c r="J199" s="13">
        <f>EXTEMPORANEO!J198</f>
        <v>0</v>
      </c>
      <c r="K199" s="13">
        <f>EXTEMPORANEO!K198</f>
        <v>0</v>
      </c>
      <c r="L199" s="36">
        <f>EXTEMPORANEO!L201</f>
        <v>0</v>
      </c>
      <c r="M199" s="36">
        <f>EXTEMPORANEO!M201</f>
        <v>0</v>
      </c>
      <c r="N199" s="13">
        <f>EXTEMPORANEO!N198</f>
        <v>0</v>
      </c>
      <c r="O199" s="13">
        <f>EXTEMPORANEO!O198</f>
        <v>0</v>
      </c>
      <c r="P199" s="13">
        <f>EXTEMPORANEO!P198</f>
        <v>0</v>
      </c>
      <c r="Q199" s="13">
        <f>EXTEMPORANEO!Q198</f>
        <v>0</v>
      </c>
      <c r="R199" s="140">
        <f>EXTEMPORANEO!R198</f>
        <v>0</v>
      </c>
      <c r="S199" s="140">
        <f>EXTEMPORANEO!S198</f>
        <v>0</v>
      </c>
      <c r="T199" s="141">
        <f>EXTEMPORANEO!T198</f>
        <v>0</v>
      </c>
      <c r="U199" s="84">
        <f>EXTEMPORANEO!U198</f>
        <v>0</v>
      </c>
      <c r="V199" s="13">
        <f>EXTEMPORANEO!V198</f>
        <v>0</v>
      </c>
      <c r="W199" s="13">
        <f>EXTEMPORANEO!W198</f>
        <v>0</v>
      </c>
      <c r="X199" s="113">
        <f>EXTEMPORANEO!X198</f>
        <v>0</v>
      </c>
      <c r="Y199" s="113">
        <f>EXTEMPORANEO!Y198</f>
        <v>0</v>
      </c>
      <c r="AA199" s="66"/>
    </row>
    <row r="200" spans="2:27" ht="13" customHeight="1">
      <c r="B200" s="33">
        <f>EXTEMPORANEO!B199</f>
        <v>0</v>
      </c>
      <c r="C200" s="25">
        <f>EXTEMPORANEO!C199</f>
        <v>2026092</v>
      </c>
      <c r="D200" s="226">
        <f>EXTEMPORANEO!D199</f>
        <v>0</v>
      </c>
      <c r="E200" s="138">
        <f>EXTEMPORANEO!E199</f>
        <v>0</v>
      </c>
      <c r="F200" s="139" t="e">
        <f>EXTEMPORANEO!F199</f>
        <v>#N/A</v>
      </c>
      <c r="G200" s="138" t="str">
        <f>EXTEMPORANEO!G199</f>
        <v/>
      </c>
      <c r="H200" s="139" t="e">
        <f>EXTEMPORANEO!H199</f>
        <v>#N/A</v>
      </c>
      <c r="I200" s="139" t="e">
        <f>EXTEMPORANEO!I199</f>
        <v>#N/A</v>
      </c>
      <c r="J200" s="13">
        <f>EXTEMPORANEO!J199</f>
        <v>0</v>
      </c>
      <c r="K200" s="13">
        <f>EXTEMPORANEO!K199</f>
        <v>0</v>
      </c>
      <c r="L200" s="36">
        <f>EXTEMPORANEO!L202</f>
        <v>0</v>
      </c>
      <c r="M200" s="36">
        <f>EXTEMPORANEO!M202</f>
        <v>0</v>
      </c>
      <c r="N200" s="13">
        <f>EXTEMPORANEO!N199</f>
        <v>0</v>
      </c>
      <c r="O200" s="13">
        <f>EXTEMPORANEO!O199</f>
        <v>0</v>
      </c>
      <c r="P200" s="13">
        <f>EXTEMPORANEO!P199</f>
        <v>0</v>
      </c>
      <c r="Q200" s="13">
        <f>EXTEMPORANEO!Q199</f>
        <v>0</v>
      </c>
      <c r="R200" s="140">
        <f>EXTEMPORANEO!R199</f>
        <v>0</v>
      </c>
      <c r="S200" s="140">
        <f>EXTEMPORANEO!S199</f>
        <v>0</v>
      </c>
      <c r="T200" s="141">
        <f>EXTEMPORANEO!T199</f>
        <v>0</v>
      </c>
      <c r="U200" s="84">
        <f>EXTEMPORANEO!U199</f>
        <v>0</v>
      </c>
      <c r="V200" s="13">
        <f>EXTEMPORANEO!V199</f>
        <v>0</v>
      </c>
      <c r="W200" s="13">
        <f>EXTEMPORANEO!W199</f>
        <v>0</v>
      </c>
      <c r="X200" s="113">
        <f>EXTEMPORANEO!X199</f>
        <v>0</v>
      </c>
      <c r="Y200" s="113">
        <f>EXTEMPORANEO!Y199</f>
        <v>0</v>
      </c>
      <c r="AA200" s="66"/>
    </row>
    <row r="201" spans="2:27" ht="13" customHeight="1">
      <c r="B201" s="33">
        <f>EXTEMPORANEO!B200</f>
        <v>0</v>
      </c>
      <c r="C201" s="25">
        <f>EXTEMPORANEO!C200</f>
        <v>2026092</v>
      </c>
      <c r="D201" s="226">
        <f>EXTEMPORANEO!D200</f>
        <v>0</v>
      </c>
      <c r="E201" s="138">
        <f>EXTEMPORANEO!E200</f>
        <v>0</v>
      </c>
      <c r="F201" s="139" t="e">
        <f>EXTEMPORANEO!F200</f>
        <v>#N/A</v>
      </c>
      <c r="G201" s="138" t="str">
        <f>EXTEMPORANEO!G200</f>
        <v/>
      </c>
      <c r="H201" s="139" t="e">
        <f>EXTEMPORANEO!H200</f>
        <v>#N/A</v>
      </c>
      <c r="I201" s="139" t="e">
        <f>EXTEMPORANEO!I200</f>
        <v>#N/A</v>
      </c>
      <c r="J201" s="13">
        <f>EXTEMPORANEO!J200</f>
        <v>0</v>
      </c>
      <c r="K201" s="13">
        <f>EXTEMPORANEO!K200</f>
        <v>0</v>
      </c>
      <c r="L201" s="36">
        <f>EXTEMPORANEO!L203</f>
        <v>0</v>
      </c>
      <c r="M201" s="36">
        <f>EXTEMPORANEO!M203</f>
        <v>0</v>
      </c>
      <c r="N201" s="13">
        <f>EXTEMPORANEO!N200</f>
        <v>0</v>
      </c>
      <c r="O201" s="13">
        <f>EXTEMPORANEO!O200</f>
        <v>0</v>
      </c>
      <c r="P201" s="13">
        <f>EXTEMPORANEO!P200</f>
        <v>0</v>
      </c>
      <c r="Q201" s="13">
        <f>EXTEMPORANEO!Q200</f>
        <v>0</v>
      </c>
      <c r="R201" s="140">
        <f>EXTEMPORANEO!R200</f>
        <v>0</v>
      </c>
      <c r="S201" s="140">
        <f>EXTEMPORANEO!S200</f>
        <v>0</v>
      </c>
      <c r="T201" s="141">
        <f>EXTEMPORANEO!T200</f>
        <v>0</v>
      </c>
      <c r="U201" s="84">
        <f>EXTEMPORANEO!U200</f>
        <v>0</v>
      </c>
      <c r="V201" s="13">
        <f>EXTEMPORANEO!V200</f>
        <v>0</v>
      </c>
      <c r="W201" s="13">
        <f>EXTEMPORANEO!W200</f>
        <v>0</v>
      </c>
      <c r="X201" s="113">
        <f>EXTEMPORANEO!X200</f>
        <v>0</v>
      </c>
      <c r="Y201" s="113">
        <f>EXTEMPORANEO!Y200</f>
        <v>0</v>
      </c>
      <c r="AA201" s="66"/>
    </row>
    <row r="202" spans="2:27" ht="13" customHeight="1">
      <c r="B202" s="33">
        <f>EXTEMPORANEO!B201</f>
        <v>0</v>
      </c>
      <c r="C202" s="25">
        <f>EXTEMPORANEO!C201</f>
        <v>2026092</v>
      </c>
      <c r="D202" s="226">
        <f>EXTEMPORANEO!D201</f>
        <v>0</v>
      </c>
      <c r="E202" s="138">
        <f>EXTEMPORANEO!E201</f>
        <v>0</v>
      </c>
      <c r="F202" s="139" t="e">
        <f>EXTEMPORANEO!F201</f>
        <v>#N/A</v>
      </c>
      <c r="G202" s="138" t="str">
        <f>EXTEMPORANEO!G201</f>
        <v/>
      </c>
      <c r="H202" s="139" t="e">
        <f>EXTEMPORANEO!H201</f>
        <v>#N/A</v>
      </c>
      <c r="I202" s="139" t="e">
        <f>EXTEMPORANEO!I201</f>
        <v>#N/A</v>
      </c>
      <c r="J202" s="13">
        <f>EXTEMPORANEO!J201</f>
        <v>0</v>
      </c>
      <c r="K202" s="13">
        <f>EXTEMPORANEO!K201</f>
        <v>0</v>
      </c>
      <c r="L202" s="36">
        <f>EXTEMPORANEO!L204</f>
        <v>0</v>
      </c>
      <c r="M202" s="36">
        <f>EXTEMPORANEO!M204</f>
        <v>0</v>
      </c>
      <c r="N202" s="13">
        <f>EXTEMPORANEO!N201</f>
        <v>0</v>
      </c>
      <c r="O202" s="13">
        <f>EXTEMPORANEO!O201</f>
        <v>0</v>
      </c>
      <c r="P202" s="13">
        <f>EXTEMPORANEO!P201</f>
        <v>0</v>
      </c>
      <c r="Q202" s="13">
        <f>EXTEMPORANEO!Q201</f>
        <v>0</v>
      </c>
      <c r="R202" s="140">
        <f>EXTEMPORANEO!R201</f>
        <v>0</v>
      </c>
      <c r="S202" s="140">
        <f>EXTEMPORANEO!S201</f>
        <v>0</v>
      </c>
      <c r="T202" s="141">
        <f>EXTEMPORANEO!T201</f>
        <v>0</v>
      </c>
      <c r="U202" s="84">
        <f>EXTEMPORANEO!U201</f>
        <v>0</v>
      </c>
      <c r="V202" s="13">
        <f>EXTEMPORANEO!V201</f>
        <v>0</v>
      </c>
      <c r="W202" s="13">
        <f>EXTEMPORANEO!W201</f>
        <v>0</v>
      </c>
      <c r="X202" s="113">
        <f>EXTEMPORANEO!X201</f>
        <v>0</v>
      </c>
      <c r="Y202" s="113">
        <f>EXTEMPORANEO!Y201</f>
        <v>0</v>
      </c>
      <c r="AA202" s="66"/>
    </row>
    <row r="203" spans="2:27" ht="13" customHeight="1">
      <c r="B203" s="33">
        <f>EXTEMPORANEO!B202</f>
        <v>0</v>
      </c>
      <c r="C203" s="25">
        <f>EXTEMPORANEO!C202</f>
        <v>2026092</v>
      </c>
      <c r="D203" s="226">
        <f>EXTEMPORANEO!D202</f>
        <v>0</v>
      </c>
      <c r="E203" s="138">
        <f>EXTEMPORANEO!E202</f>
        <v>0</v>
      </c>
      <c r="F203" s="139" t="e">
        <f>EXTEMPORANEO!F202</f>
        <v>#N/A</v>
      </c>
      <c r="G203" s="138" t="str">
        <f>EXTEMPORANEO!G202</f>
        <v/>
      </c>
      <c r="H203" s="139" t="e">
        <f>EXTEMPORANEO!H202</f>
        <v>#N/A</v>
      </c>
      <c r="I203" s="139" t="e">
        <f>EXTEMPORANEO!I202</f>
        <v>#N/A</v>
      </c>
      <c r="J203" s="13">
        <f>EXTEMPORANEO!J202</f>
        <v>0</v>
      </c>
      <c r="K203" s="13">
        <f>EXTEMPORANEO!K202</f>
        <v>0</v>
      </c>
      <c r="L203" s="36">
        <f>EXTEMPORANEO!L205</f>
        <v>0</v>
      </c>
      <c r="M203" s="36">
        <f>EXTEMPORANEO!M205</f>
        <v>0</v>
      </c>
      <c r="N203" s="13">
        <f>EXTEMPORANEO!N202</f>
        <v>0</v>
      </c>
      <c r="O203" s="13">
        <f>EXTEMPORANEO!O202</f>
        <v>0</v>
      </c>
      <c r="P203" s="13">
        <f>EXTEMPORANEO!P202</f>
        <v>0</v>
      </c>
      <c r="Q203" s="13">
        <f>EXTEMPORANEO!Q202</f>
        <v>0</v>
      </c>
      <c r="R203" s="140">
        <f>EXTEMPORANEO!R202</f>
        <v>0</v>
      </c>
      <c r="S203" s="140">
        <f>EXTEMPORANEO!S202</f>
        <v>0</v>
      </c>
      <c r="T203" s="141">
        <f>EXTEMPORANEO!T202</f>
        <v>0</v>
      </c>
      <c r="U203" s="84">
        <f>EXTEMPORANEO!U202</f>
        <v>0</v>
      </c>
      <c r="V203" s="13">
        <f>EXTEMPORANEO!V202</f>
        <v>0</v>
      </c>
      <c r="W203" s="13">
        <f>EXTEMPORANEO!W202</f>
        <v>0</v>
      </c>
      <c r="X203" s="113">
        <f>EXTEMPORANEO!X202</f>
        <v>0</v>
      </c>
      <c r="Y203" s="113">
        <f>EXTEMPORANEO!Y202</f>
        <v>0</v>
      </c>
      <c r="AA203" s="66"/>
    </row>
    <row r="204" spans="2:27" ht="13" customHeight="1">
      <c r="B204" s="33">
        <f>EXTEMPORANEO!B203</f>
        <v>0</v>
      </c>
      <c r="C204" s="25">
        <f>EXTEMPORANEO!C203</f>
        <v>2026092</v>
      </c>
      <c r="D204" s="226">
        <f>EXTEMPORANEO!D203</f>
        <v>0</v>
      </c>
      <c r="E204" s="138">
        <f>EXTEMPORANEO!E203</f>
        <v>0</v>
      </c>
      <c r="F204" s="139" t="e">
        <f>EXTEMPORANEO!F203</f>
        <v>#N/A</v>
      </c>
      <c r="G204" s="138" t="str">
        <f>EXTEMPORANEO!G203</f>
        <v/>
      </c>
      <c r="H204" s="139" t="e">
        <f>EXTEMPORANEO!H203</f>
        <v>#N/A</v>
      </c>
      <c r="I204" s="139" t="e">
        <f>EXTEMPORANEO!I203</f>
        <v>#N/A</v>
      </c>
      <c r="J204" s="13">
        <f>EXTEMPORANEO!J203</f>
        <v>0</v>
      </c>
      <c r="K204" s="13">
        <f>EXTEMPORANEO!K203</f>
        <v>0</v>
      </c>
      <c r="L204" s="36">
        <f>EXTEMPORANEO!L206</f>
        <v>0</v>
      </c>
      <c r="M204" s="36">
        <f>EXTEMPORANEO!M206</f>
        <v>0</v>
      </c>
      <c r="N204" s="13">
        <f>EXTEMPORANEO!N203</f>
        <v>0</v>
      </c>
      <c r="O204" s="13">
        <f>EXTEMPORANEO!O203</f>
        <v>0</v>
      </c>
      <c r="P204" s="13">
        <f>EXTEMPORANEO!P203</f>
        <v>0</v>
      </c>
      <c r="Q204" s="13">
        <f>EXTEMPORANEO!Q203</f>
        <v>0</v>
      </c>
      <c r="R204" s="140">
        <f>EXTEMPORANEO!R203</f>
        <v>0</v>
      </c>
      <c r="S204" s="140">
        <f>EXTEMPORANEO!S203</f>
        <v>0</v>
      </c>
      <c r="T204" s="141">
        <f>EXTEMPORANEO!T203</f>
        <v>0</v>
      </c>
      <c r="U204" s="84">
        <f>EXTEMPORANEO!U203</f>
        <v>0</v>
      </c>
      <c r="V204" s="13">
        <f>EXTEMPORANEO!V203</f>
        <v>0</v>
      </c>
      <c r="W204" s="13">
        <f>EXTEMPORANEO!W203</f>
        <v>0</v>
      </c>
      <c r="X204" s="113">
        <f>EXTEMPORANEO!X203</f>
        <v>0</v>
      </c>
      <c r="Y204" s="113">
        <f>EXTEMPORANEO!Y203</f>
        <v>0</v>
      </c>
      <c r="AA204" s="66"/>
    </row>
    <row r="205" spans="2:27" ht="13" customHeight="1">
      <c r="B205" s="33">
        <f>EXTEMPORANEO!B204</f>
        <v>0</v>
      </c>
      <c r="C205" s="25">
        <f>EXTEMPORANEO!C204</f>
        <v>2026092</v>
      </c>
      <c r="D205" s="226">
        <f>EXTEMPORANEO!D204</f>
        <v>0</v>
      </c>
      <c r="E205" s="138">
        <f>EXTEMPORANEO!E204</f>
        <v>0</v>
      </c>
      <c r="F205" s="139" t="e">
        <f>EXTEMPORANEO!F204</f>
        <v>#N/A</v>
      </c>
      <c r="G205" s="138" t="str">
        <f>EXTEMPORANEO!G204</f>
        <v/>
      </c>
      <c r="H205" s="139" t="e">
        <f>EXTEMPORANEO!H204</f>
        <v>#N/A</v>
      </c>
      <c r="I205" s="139" t="e">
        <f>EXTEMPORANEO!I204</f>
        <v>#N/A</v>
      </c>
      <c r="J205" s="13">
        <f>EXTEMPORANEO!J204</f>
        <v>0</v>
      </c>
      <c r="K205" s="13">
        <f>EXTEMPORANEO!K204</f>
        <v>0</v>
      </c>
      <c r="L205" s="36">
        <f>EXTEMPORANEO!L207</f>
        <v>0</v>
      </c>
      <c r="M205" s="36">
        <f>EXTEMPORANEO!M207</f>
        <v>0</v>
      </c>
      <c r="N205" s="13">
        <f>EXTEMPORANEO!N204</f>
        <v>0</v>
      </c>
      <c r="O205" s="13">
        <f>EXTEMPORANEO!O204</f>
        <v>0</v>
      </c>
      <c r="P205" s="13">
        <f>EXTEMPORANEO!P204</f>
        <v>0</v>
      </c>
      <c r="Q205" s="13">
        <f>EXTEMPORANEO!Q204</f>
        <v>0</v>
      </c>
      <c r="R205" s="140">
        <f>EXTEMPORANEO!R204</f>
        <v>0</v>
      </c>
      <c r="S205" s="140">
        <f>EXTEMPORANEO!S204</f>
        <v>0</v>
      </c>
      <c r="T205" s="141">
        <f>EXTEMPORANEO!T204</f>
        <v>0</v>
      </c>
      <c r="U205" s="84">
        <f>EXTEMPORANEO!U204</f>
        <v>0</v>
      </c>
      <c r="V205" s="13">
        <f>EXTEMPORANEO!V204</f>
        <v>0</v>
      </c>
      <c r="W205" s="13">
        <f>EXTEMPORANEO!W204</f>
        <v>0</v>
      </c>
      <c r="X205" s="113">
        <f>EXTEMPORANEO!X204</f>
        <v>0</v>
      </c>
      <c r="Y205" s="113">
        <f>EXTEMPORANEO!Y204</f>
        <v>0</v>
      </c>
      <c r="AA205" s="66"/>
    </row>
    <row r="206" spans="2:27" ht="13" customHeight="1">
      <c r="B206" s="33">
        <f>EXTEMPORANEO!B205</f>
        <v>0</v>
      </c>
      <c r="C206" s="25">
        <f>EXTEMPORANEO!C205</f>
        <v>2026092</v>
      </c>
      <c r="D206" s="226">
        <f>EXTEMPORANEO!D205</f>
        <v>0</v>
      </c>
      <c r="E206" s="138">
        <f>EXTEMPORANEO!E205</f>
        <v>0</v>
      </c>
      <c r="F206" s="139" t="e">
        <f>EXTEMPORANEO!F205</f>
        <v>#N/A</v>
      </c>
      <c r="G206" s="138" t="str">
        <f>EXTEMPORANEO!G205</f>
        <v/>
      </c>
      <c r="H206" s="139" t="e">
        <f>EXTEMPORANEO!H205</f>
        <v>#N/A</v>
      </c>
      <c r="I206" s="139" t="e">
        <f>EXTEMPORANEO!I205</f>
        <v>#N/A</v>
      </c>
      <c r="J206" s="13">
        <f>EXTEMPORANEO!J205</f>
        <v>0</v>
      </c>
      <c r="K206" s="13">
        <f>EXTEMPORANEO!K205</f>
        <v>0</v>
      </c>
      <c r="L206" s="36">
        <f>EXTEMPORANEO!L208</f>
        <v>0</v>
      </c>
      <c r="M206" s="36">
        <f>EXTEMPORANEO!M208</f>
        <v>0</v>
      </c>
      <c r="N206" s="13">
        <f>EXTEMPORANEO!N205</f>
        <v>0</v>
      </c>
      <c r="O206" s="13">
        <f>EXTEMPORANEO!O205</f>
        <v>0</v>
      </c>
      <c r="P206" s="13">
        <f>EXTEMPORANEO!P205</f>
        <v>0</v>
      </c>
      <c r="Q206" s="13">
        <f>EXTEMPORANEO!Q205</f>
        <v>0</v>
      </c>
      <c r="R206" s="140">
        <f>EXTEMPORANEO!R205</f>
        <v>0</v>
      </c>
      <c r="S206" s="140">
        <f>EXTEMPORANEO!S205</f>
        <v>0</v>
      </c>
      <c r="T206" s="141">
        <f>EXTEMPORANEO!T205</f>
        <v>0</v>
      </c>
      <c r="U206" s="84">
        <f>EXTEMPORANEO!U205</f>
        <v>0</v>
      </c>
      <c r="V206" s="13">
        <f>EXTEMPORANEO!V205</f>
        <v>0</v>
      </c>
      <c r="W206" s="13">
        <f>EXTEMPORANEO!W205</f>
        <v>0</v>
      </c>
      <c r="X206" s="113">
        <f>EXTEMPORANEO!X205</f>
        <v>0</v>
      </c>
      <c r="Y206" s="113">
        <f>EXTEMPORANEO!Y205</f>
        <v>0</v>
      </c>
      <c r="AA206" s="66"/>
    </row>
    <row r="207" spans="2:27" ht="13" customHeight="1">
      <c r="B207" s="33">
        <f>EXTEMPORANEO!B206</f>
        <v>0</v>
      </c>
      <c r="C207" s="25">
        <f>EXTEMPORANEO!C206</f>
        <v>2026092</v>
      </c>
      <c r="D207" s="226">
        <f>EXTEMPORANEO!D206</f>
        <v>0</v>
      </c>
      <c r="E207" s="138">
        <f>EXTEMPORANEO!E206</f>
        <v>0</v>
      </c>
      <c r="F207" s="139" t="e">
        <f>EXTEMPORANEO!F206</f>
        <v>#N/A</v>
      </c>
      <c r="G207" s="138" t="str">
        <f>EXTEMPORANEO!G206</f>
        <v/>
      </c>
      <c r="H207" s="139" t="e">
        <f>EXTEMPORANEO!H206</f>
        <v>#N/A</v>
      </c>
      <c r="I207" s="139" t="e">
        <f>EXTEMPORANEO!I206</f>
        <v>#N/A</v>
      </c>
      <c r="J207" s="13">
        <f>EXTEMPORANEO!J206</f>
        <v>0</v>
      </c>
      <c r="K207" s="13">
        <f>EXTEMPORANEO!K206</f>
        <v>0</v>
      </c>
      <c r="L207" s="36">
        <f>EXTEMPORANEO!L209</f>
        <v>0</v>
      </c>
      <c r="M207" s="36">
        <f>EXTEMPORANEO!M209</f>
        <v>0</v>
      </c>
      <c r="N207" s="13">
        <f>EXTEMPORANEO!N206</f>
        <v>0</v>
      </c>
      <c r="O207" s="13">
        <f>EXTEMPORANEO!O206</f>
        <v>0</v>
      </c>
      <c r="P207" s="13">
        <f>EXTEMPORANEO!P206</f>
        <v>0</v>
      </c>
      <c r="Q207" s="13">
        <f>EXTEMPORANEO!Q206</f>
        <v>0</v>
      </c>
      <c r="R207" s="140">
        <f>EXTEMPORANEO!R206</f>
        <v>0</v>
      </c>
      <c r="S207" s="140">
        <f>EXTEMPORANEO!S206</f>
        <v>0</v>
      </c>
      <c r="T207" s="141">
        <f>EXTEMPORANEO!T206</f>
        <v>0</v>
      </c>
      <c r="U207" s="84">
        <f>EXTEMPORANEO!U206</f>
        <v>0</v>
      </c>
      <c r="V207" s="13">
        <f>EXTEMPORANEO!V206</f>
        <v>0</v>
      </c>
      <c r="W207" s="13">
        <f>EXTEMPORANEO!W206</f>
        <v>0</v>
      </c>
      <c r="X207" s="113">
        <f>EXTEMPORANEO!X206</f>
        <v>0</v>
      </c>
      <c r="Y207" s="113">
        <f>EXTEMPORANEO!Y206</f>
        <v>0</v>
      </c>
      <c r="AA207" s="66"/>
    </row>
    <row r="208" spans="2:27" ht="13" customHeight="1">
      <c r="B208" s="33">
        <f>EXTEMPORANEO!B207</f>
        <v>0</v>
      </c>
      <c r="C208" s="25">
        <f>EXTEMPORANEO!C207</f>
        <v>2026092</v>
      </c>
      <c r="D208" s="226">
        <f>EXTEMPORANEO!D207</f>
        <v>0</v>
      </c>
      <c r="E208" s="138">
        <f>EXTEMPORANEO!E207</f>
        <v>0</v>
      </c>
      <c r="F208" s="139" t="e">
        <f>EXTEMPORANEO!F207</f>
        <v>#N/A</v>
      </c>
      <c r="G208" s="138" t="str">
        <f>EXTEMPORANEO!G207</f>
        <v/>
      </c>
      <c r="H208" s="139" t="e">
        <f>EXTEMPORANEO!H207</f>
        <v>#N/A</v>
      </c>
      <c r="I208" s="139" t="e">
        <f>EXTEMPORANEO!I207</f>
        <v>#N/A</v>
      </c>
      <c r="J208" s="13">
        <f>EXTEMPORANEO!J207</f>
        <v>0</v>
      </c>
      <c r="K208" s="13">
        <f>EXTEMPORANEO!K207</f>
        <v>0</v>
      </c>
      <c r="L208" s="36">
        <f>EXTEMPORANEO!L210</f>
        <v>0</v>
      </c>
      <c r="M208" s="36">
        <f>EXTEMPORANEO!M210</f>
        <v>0</v>
      </c>
      <c r="N208" s="13">
        <f>EXTEMPORANEO!N207</f>
        <v>0</v>
      </c>
      <c r="O208" s="13">
        <f>EXTEMPORANEO!O207</f>
        <v>0</v>
      </c>
      <c r="P208" s="13">
        <f>EXTEMPORANEO!P207</f>
        <v>0</v>
      </c>
      <c r="Q208" s="13">
        <f>EXTEMPORANEO!Q207</f>
        <v>0</v>
      </c>
      <c r="R208" s="140">
        <f>EXTEMPORANEO!R207</f>
        <v>0</v>
      </c>
      <c r="S208" s="140">
        <f>EXTEMPORANEO!S207</f>
        <v>0</v>
      </c>
      <c r="T208" s="141">
        <f>EXTEMPORANEO!T207</f>
        <v>0</v>
      </c>
      <c r="U208" s="84">
        <f>EXTEMPORANEO!U207</f>
        <v>0</v>
      </c>
      <c r="V208" s="13">
        <f>EXTEMPORANEO!V207</f>
        <v>0</v>
      </c>
      <c r="W208" s="13">
        <f>EXTEMPORANEO!W207</f>
        <v>0</v>
      </c>
      <c r="X208" s="113">
        <f>EXTEMPORANEO!X207</f>
        <v>0</v>
      </c>
      <c r="Y208" s="113">
        <f>EXTEMPORANEO!Y207</f>
        <v>0</v>
      </c>
      <c r="AA208" s="66"/>
    </row>
    <row r="209" spans="1:27" ht="13" customHeight="1">
      <c r="B209" s="33">
        <f>EXTEMPORANEO!B208</f>
        <v>0</v>
      </c>
      <c r="C209" s="25">
        <f>EXTEMPORANEO!C208</f>
        <v>2026092</v>
      </c>
      <c r="D209" s="226">
        <f>EXTEMPORANEO!D208</f>
        <v>0</v>
      </c>
      <c r="E209" s="138">
        <f>EXTEMPORANEO!E208</f>
        <v>0</v>
      </c>
      <c r="F209" s="139" t="e">
        <f>EXTEMPORANEO!F208</f>
        <v>#N/A</v>
      </c>
      <c r="G209" s="138" t="str">
        <f>EXTEMPORANEO!G208</f>
        <v/>
      </c>
      <c r="H209" s="139" t="e">
        <f>EXTEMPORANEO!H208</f>
        <v>#N/A</v>
      </c>
      <c r="I209" s="139" t="e">
        <f>EXTEMPORANEO!I208</f>
        <v>#N/A</v>
      </c>
      <c r="J209" s="13">
        <f>EXTEMPORANEO!J208</f>
        <v>0</v>
      </c>
      <c r="K209" s="13">
        <f>EXTEMPORANEO!K208</f>
        <v>0</v>
      </c>
      <c r="L209" s="36">
        <f>EXTEMPORANEO!L211</f>
        <v>0</v>
      </c>
      <c r="M209" s="36">
        <f>EXTEMPORANEO!M211</f>
        <v>0</v>
      </c>
      <c r="N209" s="13">
        <f>EXTEMPORANEO!N208</f>
        <v>0</v>
      </c>
      <c r="O209" s="13">
        <f>EXTEMPORANEO!O208</f>
        <v>0</v>
      </c>
      <c r="P209" s="13">
        <f>EXTEMPORANEO!P208</f>
        <v>0</v>
      </c>
      <c r="Q209" s="13">
        <f>EXTEMPORANEO!Q208</f>
        <v>0</v>
      </c>
      <c r="R209" s="140">
        <f>EXTEMPORANEO!R208</f>
        <v>0</v>
      </c>
      <c r="S209" s="140">
        <f>EXTEMPORANEO!S208</f>
        <v>0</v>
      </c>
      <c r="T209" s="141">
        <f>EXTEMPORANEO!T208</f>
        <v>0</v>
      </c>
      <c r="U209" s="84">
        <f>EXTEMPORANEO!U208</f>
        <v>0</v>
      </c>
      <c r="V209" s="13">
        <f>EXTEMPORANEO!V208</f>
        <v>0</v>
      </c>
      <c r="W209" s="13">
        <f>EXTEMPORANEO!W208</f>
        <v>0</v>
      </c>
      <c r="X209" s="113">
        <f>EXTEMPORANEO!X208</f>
        <v>0</v>
      </c>
      <c r="Y209" s="113">
        <f>EXTEMPORANEO!Y208</f>
        <v>0</v>
      </c>
      <c r="AA209" s="66"/>
    </row>
    <row r="210" spans="1:27" ht="13" customHeight="1">
      <c r="B210" s="33">
        <f>EXTEMPORANEO!B209</f>
        <v>0</v>
      </c>
      <c r="C210" s="25">
        <f>EXTEMPORANEO!C209</f>
        <v>2026092</v>
      </c>
      <c r="D210" s="226">
        <f>EXTEMPORANEO!D209</f>
        <v>0</v>
      </c>
      <c r="E210" s="138">
        <f>EXTEMPORANEO!E209</f>
        <v>0</v>
      </c>
      <c r="F210" s="139" t="e">
        <f>EXTEMPORANEO!F209</f>
        <v>#N/A</v>
      </c>
      <c r="G210" s="138" t="str">
        <f>EXTEMPORANEO!G209</f>
        <v/>
      </c>
      <c r="H210" s="139" t="e">
        <f>EXTEMPORANEO!H209</f>
        <v>#N/A</v>
      </c>
      <c r="I210" s="139" t="e">
        <f>EXTEMPORANEO!I209</f>
        <v>#N/A</v>
      </c>
      <c r="J210" s="13">
        <f>EXTEMPORANEO!J209</f>
        <v>0</v>
      </c>
      <c r="K210" s="13">
        <f>EXTEMPORANEO!K209</f>
        <v>0</v>
      </c>
      <c r="L210" s="36">
        <f>EXTEMPORANEO!L212</f>
        <v>0</v>
      </c>
      <c r="M210" s="36">
        <f>EXTEMPORANEO!M212</f>
        <v>0</v>
      </c>
      <c r="N210" s="13">
        <f>EXTEMPORANEO!N209</f>
        <v>0</v>
      </c>
      <c r="O210" s="13">
        <f>EXTEMPORANEO!O209</f>
        <v>0</v>
      </c>
      <c r="P210" s="13">
        <f>EXTEMPORANEO!P209</f>
        <v>0</v>
      </c>
      <c r="Q210" s="13">
        <f>EXTEMPORANEO!Q209</f>
        <v>0</v>
      </c>
      <c r="R210" s="140">
        <f>EXTEMPORANEO!R209</f>
        <v>0</v>
      </c>
      <c r="S210" s="140">
        <f>EXTEMPORANEO!S209</f>
        <v>0</v>
      </c>
      <c r="T210" s="141">
        <f>EXTEMPORANEO!T209</f>
        <v>0</v>
      </c>
      <c r="U210" s="84">
        <f>EXTEMPORANEO!U209</f>
        <v>0</v>
      </c>
      <c r="V210" s="13">
        <f>EXTEMPORANEO!V209</f>
        <v>0</v>
      </c>
      <c r="W210" s="13">
        <f>EXTEMPORANEO!W209</f>
        <v>0</v>
      </c>
      <c r="X210" s="113">
        <f>EXTEMPORANEO!X209</f>
        <v>0</v>
      </c>
      <c r="Y210" s="113">
        <f>EXTEMPORANEO!Y209</f>
        <v>0</v>
      </c>
      <c r="AA210" s="66"/>
    </row>
    <row r="211" spans="1:27" ht="13" customHeight="1">
      <c r="B211" s="33">
        <f>EXTEMPORANEO!B210</f>
        <v>0</v>
      </c>
      <c r="C211" s="25">
        <f>EXTEMPORANEO!C210</f>
        <v>2026092</v>
      </c>
      <c r="D211" s="226">
        <f>EXTEMPORANEO!D210</f>
        <v>0</v>
      </c>
      <c r="E211" s="138">
        <f>EXTEMPORANEO!E210</f>
        <v>0</v>
      </c>
      <c r="F211" s="139" t="e">
        <f>EXTEMPORANEO!F210</f>
        <v>#N/A</v>
      </c>
      <c r="G211" s="138" t="str">
        <f>EXTEMPORANEO!G210</f>
        <v/>
      </c>
      <c r="H211" s="139" t="e">
        <f>EXTEMPORANEO!H210</f>
        <v>#N/A</v>
      </c>
      <c r="I211" s="139" t="e">
        <f>EXTEMPORANEO!I210</f>
        <v>#N/A</v>
      </c>
      <c r="J211" s="13">
        <f>EXTEMPORANEO!J210</f>
        <v>0</v>
      </c>
      <c r="K211" s="13">
        <f>EXTEMPORANEO!K210</f>
        <v>0</v>
      </c>
      <c r="L211" s="36">
        <f>EXTEMPORANEO!L213</f>
        <v>0</v>
      </c>
      <c r="M211" s="36">
        <f>EXTEMPORANEO!M213</f>
        <v>0</v>
      </c>
      <c r="N211" s="13">
        <f>EXTEMPORANEO!N210</f>
        <v>0</v>
      </c>
      <c r="O211" s="13">
        <f>EXTEMPORANEO!O210</f>
        <v>0</v>
      </c>
      <c r="P211" s="13">
        <f>EXTEMPORANEO!P210</f>
        <v>0</v>
      </c>
      <c r="Q211" s="13">
        <f>EXTEMPORANEO!Q210</f>
        <v>0</v>
      </c>
      <c r="R211" s="140">
        <f>EXTEMPORANEO!R210</f>
        <v>0</v>
      </c>
      <c r="S211" s="140">
        <f>EXTEMPORANEO!S210</f>
        <v>0</v>
      </c>
      <c r="T211" s="141">
        <f>EXTEMPORANEO!T210</f>
        <v>0</v>
      </c>
      <c r="U211" s="84">
        <f>EXTEMPORANEO!U210</f>
        <v>0</v>
      </c>
      <c r="V211" s="13">
        <f>EXTEMPORANEO!V210</f>
        <v>0</v>
      </c>
      <c r="W211" s="13">
        <f>EXTEMPORANEO!W210</f>
        <v>0</v>
      </c>
      <c r="X211" s="113">
        <f>EXTEMPORANEO!X210</f>
        <v>0</v>
      </c>
      <c r="Y211" s="113">
        <f>EXTEMPORANEO!Y210</f>
        <v>0</v>
      </c>
      <c r="AA211" s="66"/>
    </row>
    <row r="212" spans="1:27" ht="13" customHeight="1">
      <c r="B212" s="33">
        <f>EXTEMPORANEO!B211</f>
        <v>0</v>
      </c>
      <c r="C212" s="25">
        <f>EXTEMPORANEO!C211</f>
        <v>2026092</v>
      </c>
      <c r="D212" s="226">
        <f>EXTEMPORANEO!D211</f>
        <v>0</v>
      </c>
      <c r="E212" s="138">
        <f>EXTEMPORANEO!E211</f>
        <v>0</v>
      </c>
      <c r="F212" s="139" t="e">
        <f>EXTEMPORANEO!F211</f>
        <v>#N/A</v>
      </c>
      <c r="G212" s="138" t="str">
        <f>EXTEMPORANEO!G211</f>
        <v/>
      </c>
      <c r="H212" s="139" t="e">
        <f>EXTEMPORANEO!H211</f>
        <v>#N/A</v>
      </c>
      <c r="I212" s="139" t="e">
        <f>EXTEMPORANEO!I211</f>
        <v>#N/A</v>
      </c>
      <c r="J212" s="13">
        <f>EXTEMPORANEO!J211</f>
        <v>0</v>
      </c>
      <c r="K212" s="13">
        <f>EXTEMPORANEO!K211</f>
        <v>0</v>
      </c>
      <c r="L212" s="36">
        <f>EXTEMPORANEO!L214</f>
        <v>0</v>
      </c>
      <c r="M212" s="36">
        <f>EXTEMPORANEO!M214</f>
        <v>0</v>
      </c>
      <c r="N212" s="13">
        <f>EXTEMPORANEO!N211</f>
        <v>0</v>
      </c>
      <c r="O212" s="13">
        <f>EXTEMPORANEO!O211</f>
        <v>0</v>
      </c>
      <c r="P212" s="13">
        <f>EXTEMPORANEO!P211</f>
        <v>0</v>
      </c>
      <c r="Q212" s="13">
        <f>EXTEMPORANEO!Q211</f>
        <v>0</v>
      </c>
      <c r="R212" s="140">
        <f>EXTEMPORANEO!R211</f>
        <v>0</v>
      </c>
      <c r="S212" s="140">
        <f>EXTEMPORANEO!S211</f>
        <v>0</v>
      </c>
      <c r="T212" s="141">
        <f>EXTEMPORANEO!T211</f>
        <v>0</v>
      </c>
      <c r="U212" s="84">
        <f>EXTEMPORANEO!U211</f>
        <v>0</v>
      </c>
      <c r="V212" s="13">
        <f>EXTEMPORANEO!V211</f>
        <v>0</v>
      </c>
      <c r="W212" s="13">
        <f>EXTEMPORANEO!W211</f>
        <v>0</v>
      </c>
      <c r="X212" s="113">
        <f>EXTEMPORANEO!X211</f>
        <v>0</v>
      </c>
      <c r="Y212" s="113">
        <f>EXTEMPORANEO!Y211</f>
        <v>0</v>
      </c>
      <c r="AA212" s="66"/>
    </row>
    <row r="213" spans="1:27" ht="13" customHeight="1">
      <c r="B213" s="33">
        <f>EXTEMPORANEO!B212</f>
        <v>0</v>
      </c>
      <c r="C213" s="25">
        <f>EXTEMPORANEO!C212</f>
        <v>2026092</v>
      </c>
      <c r="D213" s="226">
        <f>EXTEMPORANEO!D212</f>
        <v>0</v>
      </c>
      <c r="E213" s="138">
        <f>EXTEMPORANEO!E212</f>
        <v>0</v>
      </c>
      <c r="F213" s="139" t="e">
        <f>EXTEMPORANEO!F212</f>
        <v>#N/A</v>
      </c>
      <c r="G213" s="138" t="str">
        <f>EXTEMPORANEO!G212</f>
        <v/>
      </c>
      <c r="H213" s="139" t="e">
        <f>EXTEMPORANEO!H212</f>
        <v>#N/A</v>
      </c>
      <c r="I213" s="139" t="e">
        <f>EXTEMPORANEO!I212</f>
        <v>#N/A</v>
      </c>
      <c r="J213" s="13">
        <f>EXTEMPORANEO!J212</f>
        <v>0</v>
      </c>
      <c r="K213" s="13">
        <f>EXTEMPORANEO!K212</f>
        <v>0</v>
      </c>
      <c r="L213" s="36">
        <f>EXTEMPORANEO!L215</f>
        <v>0</v>
      </c>
      <c r="M213" s="36">
        <f>EXTEMPORANEO!M215</f>
        <v>0</v>
      </c>
      <c r="N213" s="13">
        <f>EXTEMPORANEO!N212</f>
        <v>0</v>
      </c>
      <c r="O213" s="13">
        <f>EXTEMPORANEO!O212</f>
        <v>0</v>
      </c>
      <c r="P213" s="13">
        <f>EXTEMPORANEO!P212</f>
        <v>0</v>
      </c>
      <c r="Q213" s="13">
        <f>EXTEMPORANEO!Q212</f>
        <v>0</v>
      </c>
      <c r="R213" s="140">
        <f>EXTEMPORANEO!R212</f>
        <v>0</v>
      </c>
      <c r="S213" s="140">
        <f>EXTEMPORANEO!S212</f>
        <v>0</v>
      </c>
      <c r="T213" s="141">
        <f>EXTEMPORANEO!T212</f>
        <v>0</v>
      </c>
      <c r="U213" s="84">
        <f>EXTEMPORANEO!U212</f>
        <v>0</v>
      </c>
      <c r="V213" s="13">
        <f>EXTEMPORANEO!V212</f>
        <v>0</v>
      </c>
      <c r="W213" s="13">
        <f>EXTEMPORANEO!W212</f>
        <v>0</v>
      </c>
      <c r="X213" s="113">
        <f>EXTEMPORANEO!X212</f>
        <v>0</v>
      </c>
      <c r="Y213" s="113">
        <f>EXTEMPORANEO!Y212</f>
        <v>0</v>
      </c>
      <c r="AA213" s="66"/>
    </row>
    <row r="214" spans="1:27" ht="13" customHeight="1">
      <c r="B214" s="33">
        <f>EXTEMPORANEO!B213</f>
        <v>0</v>
      </c>
      <c r="C214" s="25">
        <f>EXTEMPORANEO!C213</f>
        <v>2026092</v>
      </c>
      <c r="D214" s="226">
        <f>EXTEMPORANEO!D213</f>
        <v>0</v>
      </c>
      <c r="E214" s="138">
        <f>EXTEMPORANEO!E213</f>
        <v>0</v>
      </c>
      <c r="F214" s="139" t="e">
        <f>EXTEMPORANEO!F213</f>
        <v>#N/A</v>
      </c>
      <c r="G214" s="138" t="str">
        <f>EXTEMPORANEO!G213</f>
        <v/>
      </c>
      <c r="H214" s="139" t="e">
        <f>EXTEMPORANEO!H213</f>
        <v>#N/A</v>
      </c>
      <c r="I214" s="139" t="e">
        <f>EXTEMPORANEO!I213</f>
        <v>#N/A</v>
      </c>
      <c r="J214" s="13">
        <f>EXTEMPORANEO!J213</f>
        <v>0</v>
      </c>
      <c r="K214" s="13">
        <f>EXTEMPORANEO!K213</f>
        <v>0</v>
      </c>
      <c r="L214" s="36">
        <f>EXTEMPORANEO!L216</f>
        <v>0</v>
      </c>
      <c r="M214" s="36">
        <f>EXTEMPORANEO!M216</f>
        <v>0</v>
      </c>
      <c r="N214" s="13">
        <f>EXTEMPORANEO!N213</f>
        <v>0</v>
      </c>
      <c r="O214" s="13">
        <f>EXTEMPORANEO!O213</f>
        <v>0</v>
      </c>
      <c r="P214" s="13">
        <f>EXTEMPORANEO!P213</f>
        <v>0</v>
      </c>
      <c r="Q214" s="13">
        <f>EXTEMPORANEO!Q213</f>
        <v>0</v>
      </c>
      <c r="R214" s="140">
        <f>EXTEMPORANEO!R213</f>
        <v>0</v>
      </c>
      <c r="S214" s="140">
        <f>EXTEMPORANEO!S213</f>
        <v>0</v>
      </c>
      <c r="T214" s="141">
        <f>EXTEMPORANEO!T213</f>
        <v>0</v>
      </c>
      <c r="U214" s="84">
        <f>EXTEMPORANEO!U213</f>
        <v>0</v>
      </c>
      <c r="V214" s="13">
        <f>EXTEMPORANEO!V213</f>
        <v>0</v>
      </c>
      <c r="W214" s="13">
        <f>EXTEMPORANEO!W213</f>
        <v>0</v>
      </c>
      <c r="X214" s="113">
        <f>EXTEMPORANEO!X213</f>
        <v>0</v>
      </c>
      <c r="Y214" s="113">
        <f>EXTEMPORANEO!Y213</f>
        <v>0</v>
      </c>
      <c r="AA214" s="66"/>
    </row>
    <row r="215" spans="1:27" ht="13" customHeight="1">
      <c r="B215" s="33">
        <f>EXTEMPORANEO!B214</f>
        <v>0</v>
      </c>
      <c r="C215" s="25">
        <f>EXTEMPORANEO!C214</f>
        <v>2026092</v>
      </c>
      <c r="D215" s="226">
        <f>EXTEMPORANEO!D214</f>
        <v>0</v>
      </c>
      <c r="E215" s="138">
        <f>EXTEMPORANEO!E214</f>
        <v>0</v>
      </c>
      <c r="F215" s="139" t="e">
        <f>EXTEMPORANEO!F214</f>
        <v>#N/A</v>
      </c>
      <c r="G215" s="138" t="str">
        <f>EXTEMPORANEO!G214</f>
        <v/>
      </c>
      <c r="H215" s="139" t="e">
        <f>EXTEMPORANEO!H214</f>
        <v>#N/A</v>
      </c>
      <c r="I215" s="139" t="e">
        <f>EXTEMPORANEO!I214</f>
        <v>#N/A</v>
      </c>
      <c r="J215" s="13">
        <f>EXTEMPORANEO!J214</f>
        <v>0</v>
      </c>
      <c r="K215" s="13">
        <f>EXTEMPORANEO!K214</f>
        <v>0</v>
      </c>
      <c r="L215" s="36">
        <f>EXTEMPORANEO!L217</f>
        <v>0</v>
      </c>
      <c r="M215" s="36">
        <f>EXTEMPORANEO!M217</f>
        <v>0</v>
      </c>
      <c r="N215" s="13">
        <f>EXTEMPORANEO!N214</f>
        <v>0</v>
      </c>
      <c r="O215" s="13">
        <f>EXTEMPORANEO!O214</f>
        <v>0</v>
      </c>
      <c r="P215" s="13">
        <f>EXTEMPORANEO!P214</f>
        <v>0</v>
      </c>
      <c r="Q215" s="13">
        <f>EXTEMPORANEO!Q214</f>
        <v>0</v>
      </c>
      <c r="R215" s="140">
        <f>EXTEMPORANEO!R214</f>
        <v>0</v>
      </c>
      <c r="S215" s="140">
        <f>EXTEMPORANEO!S214</f>
        <v>0</v>
      </c>
      <c r="T215" s="141">
        <f>EXTEMPORANEO!T214</f>
        <v>0</v>
      </c>
      <c r="U215" s="84">
        <f>EXTEMPORANEO!U214</f>
        <v>0</v>
      </c>
      <c r="V215" s="13">
        <f>EXTEMPORANEO!V214</f>
        <v>0</v>
      </c>
      <c r="W215" s="13">
        <f>EXTEMPORANEO!W214</f>
        <v>0</v>
      </c>
      <c r="X215" s="113">
        <f>EXTEMPORANEO!X214</f>
        <v>0</v>
      </c>
      <c r="Y215" s="113">
        <f>EXTEMPORANEO!Y214</f>
        <v>0</v>
      </c>
      <c r="AA215" s="66"/>
    </row>
    <row r="216" spans="1:27" ht="13" customHeight="1">
      <c r="B216" s="132"/>
      <c r="C216" s="20"/>
      <c r="D216" s="227"/>
      <c r="E216" s="133"/>
      <c r="F216" s="134"/>
      <c r="G216" s="133"/>
      <c r="H216" s="134"/>
      <c r="I216" s="134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6"/>
      <c r="U216" s="135"/>
      <c r="V216" s="135"/>
      <c r="W216" s="131"/>
      <c r="X216" s="131"/>
      <c r="Y216" s="131"/>
      <c r="AA216" s="66"/>
    </row>
    <row r="217" spans="1:27">
      <c r="A217" s="66"/>
      <c r="B217" s="66"/>
      <c r="C217" s="66"/>
      <c r="D217" s="229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</sheetData>
  <conditionalFormatting sqref="AC1:AY3">
    <cfRule type="cellIs" dxfId="0" priority="1" operator="not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Oportuno</vt:lpstr>
      <vt:lpstr>EXTEMPORANEO</vt:lpstr>
      <vt:lpstr>RESUMEN MES</vt:lpstr>
      <vt:lpstr>Códigos bancos</vt:lpstr>
      <vt:lpstr>Reversiones</vt:lpstr>
      <vt:lpstr>1_Oportuno ENERBIT</vt:lpstr>
      <vt:lpstr>2_Extemporaneo ENERBIT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Baracaldo Torres Nancy</cp:lastModifiedBy>
  <cp:lastPrinted>2019-11-14T14:12:53Z</cp:lastPrinted>
  <dcterms:created xsi:type="dcterms:W3CDTF">2003-01-13T14:55:35Z</dcterms:created>
  <dcterms:modified xsi:type="dcterms:W3CDTF">2026-10-06T15:50:57Z</dcterms:modified>
</cp:coreProperties>
</file>