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09-SEPTIEMBRE- 2026\CONJUNTA\"/>
    </mc:Choice>
  </mc:AlternateContent>
  <xr:revisionPtr revIDLastSave="0" documentId="13_ncr:1_{35C7CAF5-3F70-426D-B8A4-5257209A6F72}" xr6:coauthVersionLast="47" xr6:coauthVersionMax="47" xr10:uidLastSave="{00000000-0000-0000-0000-000000000000}"/>
  <bookViews>
    <workbookView xWindow="28680" yWindow="-120" windowWidth="29040" windowHeight="15720" tabRatio="909" activeTab="1" xr2:uid="{00000000-000D-0000-FFFF-FFFF00000000}"/>
  </bookViews>
  <sheets>
    <sheet name="Oportuno" sheetId="22" r:id="rId1"/>
    <sheet name="RESUMEN MES" sheetId="25" r:id="rId2"/>
    <sheet name="RESUMEN" sheetId="23" state="hidden" r:id="rId3"/>
    <sheet name="Códigos bancos" sheetId="24" r:id="rId4"/>
    <sheet name="1_Oportuno Otros EAAB y CIU LIM" sheetId="26" r:id="rId5"/>
  </sheets>
  <externalReferences>
    <externalReference r:id="rId6"/>
  </externalReferences>
  <definedNames>
    <definedName name="Bancos">[1]Fx!$C$1:$C$23</definedName>
    <definedName name="Ref." localSheetId="3">#REF!</definedName>
    <definedName name="Ref." localSheetId="1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2" l="1"/>
  <c r="D38" i="26" s="1"/>
  <c r="AI3" i="26"/>
  <c r="AH3" i="26"/>
  <c r="AG3" i="26"/>
  <c r="AF3" i="26"/>
  <c r="AE3" i="26"/>
  <c r="AD3" i="26"/>
  <c r="AI2" i="26"/>
  <c r="AH2" i="26"/>
  <c r="AG2" i="26"/>
  <c r="AF2" i="26"/>
  <c r="AE2" i="26"/>
  <c r="AD2" i="26"/>
  <c r="AI1" i="26"/>
  <c r="AH1" i="26"/>
  <c r="AG1" i="26"/>
  <c r="AF1" i="26"/>
  <c r="AE1" i="26"/>
  <c r="AD1" i="26"/>
  <c r="B16" i="26"/>
  <c r="B15" i="26"/>
  <c r="B14" i="26"/>
  <c r="W44" i="26"/>
  <c r="V44" i="26"/>
  <c r="S44" i="26"/>
  <c r="R44" i="26"/>
  <c r="Q44" i="26"/>
  <c r="P44" i="26"/>
  <c r="O44" i="26"/>
  <c r="N44" i="26"/>
  <c r="M44" i="26"/>
  <c r="L44" i="26"/>
  <c r="K44" i="26"/>
  <c r="J44" i="26"/>
  <c r="I44" i="26"/>
  <c r="G44" i="26"/>
  <c r="E44" i="26"/>
  <c r="W43" i="26"/>
  <c r="V43" i="26"/>
  <c r="S43" i="26"/>
  <c r="R43" i="26"/>
  <c r="Q43" i="26"/>
  <c r="P43" i="26"/>
  <c r="O43" i="26"/>
  <c r="N43" i="26"/>
  <c r="M43" i="26"/>
  <c r="L43" i="26"/>
  <c r="K43" i="26"/>
  <c r="J43" i="26"/>
  <c r="I43" i="26"/>
  <c r="G43" i="26"/>
  <c r="E43" i="26"/>
  <c r="W42" i="26"/>
  <c r="V42" i="26"/>
  <c r="S42" i="26"/>
  <c r="R42" i="26"/>
  <c r="Q42" i="26"/>
  <c r="P42" i="26"/>
  <c r="O42" i="26"/>
  <c r="N42" i="26"/>
  <c r="M42" i="26"/>
  <c r="L42" i="26"/>
  <c r="K42" i="26"/>
  <c r="J42" i="26"/>
  <c r="I42" i="26"/>
  <c r="G42" i="26"/>
  <c r="E42" i="26"/>
  <c r="W41" i="26"/>
  <c r="V41" i="26"/>
  <c r="S41" i="26"/>
  <c r="R41" i="26"/>
  <c r="Q41" i="26"/>
  <c r="P41" i="26"/>
  <c r="O41" i="26"/>
  <c r="N41" i="26"/>
  <c r="M41" i="26"/>
  <c r="L41" i="26"/>
  <c r="K41" i="26"/>
  <c r="J41" i="26"/>
  <c r="I41" i="26"/>
  <c r="G41" i="26"/>
  <c r="E41" i="26"/>
  <c r="W40" i="26"/>
  <c r="V40" i="26"/>
  <c r="S40" i="26"/>
  <c r="R40" i="26"/>
  <c r="Q40" i="26"/>
  <c r="P40" i="26"/>
  <c r="O40" i="26"/>
  <c r="N40" i="26"/>
  <c r="M40" i="26"/>
  <c r="L40" i="26"/>
  <c r="K40" i="26"/>
  <c r="J40" i="26"/>
  <c r="I40" i="26"/>
  <c r="G40" i="26"/>
  <c r="E40" i="26"/>
  <c r="W39" i="26"/>
  <c r="V39" i="26"/>
  <c r="S39" i="26"/>
  <c r="R39" i="26"/>
  <c r="Q39" i="26"/>
  <c r="P39" i="26"/>
  <c r="O39" i="26"/>
  <c r="N39" i="26"/>
  <c r="M39" i="26"/>
  <c r="L39" i="26"/>
  <c r="K39" i="26"/>
  <c r="J39" i="26"/>
  <c r="I39" i="26"/>
  <c r="G39" i="26"/>
  <c r="E39" i="26"/>
  <c r="W38" i="26"/>
  <c r="V38" i="26"/>
  <c r="S38" i="26"/>
  <c r="R38" i="26"/>
  <c r="Q38" i="26"/>
  <c r="P38" i="26"/>
  <c r="O38" i="26"/>
  <c r="N38" i="26"/>
  <c r="M38" i="26"/>
  <c r="L38" i="26"/>
  <c r="K38" i="26"/>
  <c r="J38" i="26"/>
  <c r="I38" i="26"/>
  <c r="G38" i="26"/>
  <c r="E38" i="26"/>
  <c r="W37" i="26"/>
  <c r="V37" i="26"/>
  <c r="S37" i="26"/>
  <c r="R37" i="26"/>
  <c r="Q37" i="26"/>
  <c r="P37" i="26"/>
  <c r="O37" i="26"/>
  <c r="N37" i="26"/>
  <c r="M37" i="26"/>
  <c r="L37" i="26"/>
  <c r="K37" i="26"/>
  <c r="J37" i="26"/>
  <c r="I37" i="26"/>
  <c r="G37" i="26"/>
  <c r="E37" i="26"/>
  <c r="W36" i="26"/>
  <c r="V36" i="26"/>
  <c r="S36" i="26"/>
  <c r="R36" i="26"/>
  <c r="Q36" i="26"/>
  <c r="P36" i="26"/>
  <c r="O36" i="26"/>
  <c r="N36" i="26"/>
  <c r="M36" i="26"/>
  <c r="L36" i="26"/>
  <c r="K36" i="26"/>
  <c r="J36" i="26"/>
  <c r="I36" i="26"/>
  <c r="G36" i="26"/>
  <c r="E36" i="26"/>
  <c r="W35" i="26"/>
  <c r="V35" i="26"/>
  <c r="S35" i="26"/>
  <c r="R35" i="26"/>
  <c r="Q35" i="26"/>
  <c r="P35" i="26"/>
  <c r="O35" i="26"/>
  <c r="N35" i="26"/>
  <c r="M35" i="26"/>
  <c r="L35" i="26"/>
  <c r="K35" i="26"/>
  <c r="J35" i="26"/>
  <c r="I35" i="26"/>
  <c r="G35" i="26"/>
  <c r="E35" i="26"/>
  <c r="W34" i="26"/>
  <c r="V34" i="26"/>
  <c r="S34" i="26"/>
  <c r="R34" i="26"/>
  <c r="Q34" i="26"/>
  <c r="P34" i="26"/>
  <c r="O34" i="26"/>
  <c r="N34" i="26"/>
  <c r="M34" i="26"/>
  <c r="L34" i="26"/>
  <c r="K34" i="26"/>
  <c r="J34" i="26"/>
  <c r="I34" i="26"/>
  <c r="G34" i="26"/>
  <c r="E34" i="26"/>
  <c r="W33" i="26"/>
  <c r="V33" i="26"/>
  <c r="S33" i="26"/>
  <c r="R33" i="26"/>
  <c r="Q33" i="26"/>
  <c r="P33" i="26"/>
  <c r="O33" i="26"/>
  <c r="N33" i="26"/>
  <c r="M33" i="26"/>
  <c r="L33" i="26"/>
  <c r="K33" i="26"/>
  <c r="J33" i="26"/>
  <c r="I33" i="26"/>
  <c r="G33" i="26"/>
  <c r="E33" i="26"/>
  <c r="W32" i="26"/>
  <c r="V32" i="26"/>
  <c r="S32" i="26"/>
  <c r="R32" i="26"/>
  <c r="Q32" i="26"/>
  <c r="P32" i="26"/>
  <c r="O32" i="26"/>
  <c r="N32" i="26"/>
  <c r="M32" i="26"/>
  <c r="L32" i="26"/>
  <c r="K32" i="26"/>
  <c r="J32" i="26"/>
  <c r="I32" i="26"/>
  <c r="G32" i="26"/>
  <c r="E32" i="26"/>
  <c r="W31" i="26"/>
  <c r="V31" i="26"/>
  <c r="S31" i="26"/>
  <c r="R31" i="26"/>
  <c r="Q31" i="26"/>
  <c r="P31" i="26"/>
  <c r="O31" i="26"/>
  <c r="N31" i="26"/>
  <c r="M31" i="26"/>
  <c r="L31" i="26"/>
  <c r="K31" i="26"/>
  <c r="J31" i="26"/>
  <c r="I31" i="26"/>
  <c r="G31" i="26"/>
  <c r="E31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W26" i="26"/>
  <c r="V26" i="26"/>
  <c r="S26" i="26"/>
  <c r="R26" i="26"/>
  <c r="Q26" i="26"/>
  <c r="P26" i="26"/>
  <c r="O26" i="26"/>
  <c r="N26" i="26"/>
  <c r="M26" i="26"/>
  <c r="L26" i="26"/>
  <c r="K26" i="26"/>
  <c r="J26" i="26"/>
  <c r="I26" i="26"/>
  <c r="G26" i="26"/>
  <c r="E26" i="26"/>
  <c r="W25" i="26"/>
  <c r="V25" i="26"/>
  <c r="S25" i="26"/>
  <c r="R25" i="26"/>
  <c r="Q25" i="26"/>
  <c r="P25" i="26"/>
  <c r="O25" i="26"/>
  <c r="N25" i="26"/>
  <c r="M25" i="26"/>
  <c r="L25" i="26"/>
  <c r="K25" i="26"/>
  <c r="J25" i="26"/>
  <c r="I25" i="26"/>
  <c r="G25" i="26"/>
  <c r="E25" i="26"/>
  <c r="W24" i="26"/>
  <c r="V24" i="26"/>
  <c r="S24" i="26"/>
  <c r="R24" i="26"/>
  <c r="Q24" i="26"/>
  <c r="P24" i="26"/>
  <c r="O24" i="26"/>
  <c r="N24" i="26"/>
  <c r="M24" i="26"/>
  <c r="L24" i="26"/>
  <c r="K24" i="26"/>
  <c r="J24" i="26"/>
  <c r="I24" i="26"/>
  <c r="G24" i="26"/>
  <c r="E24" i="26"/>
  <c r="W23" i="26"/>
  <c r="V23" i="26"/>
  <c r="S23" i="26"/>
  <c r="R23" i="26"/>
  <c r="Q23" i="26"/>
  <c r="P23" i="26"/>
  <c r="O23" i="26"/>
  <c r="N23" i="26"/>
  <c r="M23" i="26"/>
  <c r="L23" i="26"/>
  <c r="K23" i="26"/>
  <c r="J23" i="26"/>
  <c r="I23" i="26"/>
  <c r="G23" i="26"/>
  <c r="E23" i="26"/>
  <c r="W22" i="26"/>
  <c r="V22" i="26"/>
  <c r="S22" i="26"/>
  <c r="R22" i="26"/>
  <c r="Q22" i="26"/>
  <c r="P22" i="26"/>
  <c r="O22" i="26"/>
  <c r="N22" i="26"/>
  <c r="M22" i="26"/>
  <c r="L22" i="26"/>
  <c r="K22" i="26"/>
  <c r="J22" i="26"/>
  <c r="I22" i="26"/>
  <c r="G22" i="26"/>
  <c r="E22" i="26"/>
  <c r="W21" i="26"/>
  <c r="V21" i="26"/>
  <c r="S21" i="26"/>
  <c r="R21" i="26"/>
  <c r="Q21" i="26"/>
  <c r="P21" i="26"/>
  <c r="O21" i="26"/>
  <c r="N21" i="26"/>
  <c r="M21" i="26"/>
  <c r="L21" i="26"/>
  <c r="K21" i="26"/>
  <c r="J21" i="26"/>
  <c r="I21" i="26"/>
  <c r="G21" i="26"/>
  <c r="E21" i="26"/>
  <c r="W20" i="26"/>
  <c r="V20" i="26"/>
  <c r="S20" i="26"/>
  <c r="R20" i="26"/>
  <c r="Q20" i="26"/>
  <c r="P20" i="26"/>
  <c r="O20" i="26"/>
  <c r="N20" i="26"/>
  <c r="M20" i="26"/>
  <c r="L20" i="26"/>
  <c r="K20" i="26"/>
  <c r="J20" i="26"/>
  <c r="I20" i="26"/>
  <c r="G20" i="26"/>
  <c r="E20" i="26"/>
  <c r="W19" i="26"/>
  <c r="V19" i="26"/>
  <c r="S19" i="26"/>
  <c r="R19" i="26"/>
  <c r="Q19" i="26"/>
  <c r="P19" i="26"/>
  <c r="O19" i="26"/>
  <c r="N19" i="26"/>
  <c r="M19" i="26"/>
  <c r="L19" i="26"/>
  <c r="K19" i="26"/>
  <c r="J19" i="26"/>
  <c r="I19" i="26"/>
  <c r="G19" i="26"/>
  <c r="E19" i="26"/>
  <c r="W18" i="26"/>
  <c r="V18" i="26"/>
  <c r="S18" i="26"/>
  <c r="R18" i="26"/>
  <c r="Q18" i="26"/>
  <c r="P18" i="26"/>
  <c r="O18" i="26"/>
  <c r="N18" i="26"/>
  <c r="M18" i="26"/>
  <c r="L18" i="26"/>
  <c r="K18" i="26"/>
  <c r="J18" i="26"/>
  <c r="I18" i="26"/>
  <c r="G18" i="26"/>
  <c r="E18" i="26"/>
  <c r="W17" i="26"/>
  <c r="V17" i="26"/>
  <c r="S17" i="26"/>
  <c r="R17" i="26"/>
  <c r="Q17" i="26"/>
  <c r="P17" i="26"/>
  <c r="O17" i="26"/>
  <c r="N17" i="26"/>
  <c r="M17" i="26"/>
  <c r="L17" i="26"/>
  <c r="K17" i="26"/>
  <c r="J17" i="26"/>
  <c r="I17" i="26"/>
  <c r="G17" i="26"/>
  <c r="E17" i="26"/>
  <c r="W16" i="26"/>
  <c r="V16" i="26"/>
  <c r="S16" i="26"/>
  <c r="R16" i="26"/>
  <c r="Q16" i="26"/>
  <c r="P16" i="26"/>
  <c r="O16" i="26"/>
  <c r="N16" i="26"/>
  <c r="M16" i="26"/>
  <c r="L16" i="26"/>
  <c r="K16" i="26"/>
  <c r="J16" i="26"/>
  <c r="I16" i="26"/>
  <c r="G16" i="26"/>
  <c r="E16" i="26"/>
  <c r="W15" i="26"/>
  <c r="V15" i="26"/>
  <c r="S15" i="26"/>
  <c r="R15" i="26"/>
  <c r="Q15" i="26"/>
  <c r="P15" i="26"/>
  <c r="O15" i="26"/>
  <c r="N15" i="26"/>
  <c r="M15" i="26"/>
  <c r="L15" i="26"/>
  <c r="K15" i="26"/>
  <c r="J15" i="26"/>
  <c r="I15" i="26"/>
  <c r="G15" i="26"/>
  <c r="E15" i="26"/>
  <c r="W14" i="26"/>
  <c r="V14" i="26"/>
  <c r="S14" i="26"/>
  <c r="R14" i="26"/>
  <c r="Q14" i="26"/>
  <c r="P14" i="26"/>
  <c r="O14" i="26"/>
  <c r="N14" i="26"/>
  <c r="M14" i="26"/>
  <c r="L14" i="26"/>
  <c r="K14" i="26"/>
  <c r="J14" i="26"/>
  <c r="I14" i="26"/>
  <c r="G14" i="26"/>
  <c r="E14" i="26"/>
  <c r="W13" i="26"/>
  <c r="V13" i="26"/>
  <c r="S13" i="26"/>
  <c r="R13" i="26"/>
  <c r="Q13" i="26"/>
  <c r="P13" i="26"/>
  <c r="O13" i="26"/>
  <c r="N13" i="26"/>
  <c r="M13" i="26"/>
  <c r="L13" i="26"/>
  <c r="K13" i="26"/>
  <c r="J13" i="26"/>
  <c r="I13" i="26"/>
  <c r="G13" i="26"/>
  <c r="E13" i="26"/>
  <c r="B26" i="26"/>
  <c r="B25" i="26"/>
  <c r="B24" i="26"/>
  <c r="B23" i="26"/>
  <c r="B22" i="26"/>
  <c r="B21" i="26"/>
  <c r="B20" i="26"/>
  <c r="B19" i="26"/>
  <c r="B18" i="26"/>
  <c r="B17" i="26"/>
  <c r="B13" i="26"/>
  <c r="C3" i="26"/>
  <c r="AC3" i="26" s="1"/>
  <c r="V2" i="26" l="1"/>
  <c r="N2" i="26"/>
  <c r="O2" i="26"/>
  <c r="W2" i="26"/>
  <c r="P1" i="26"/>
  <c r="P2" i="26"/>
  <c r="Q2" i="26"/>
  <c r="J2" i="26"/>
  <c r="R2" i="26"/>
  <c r="K2" i="26"/>
  <c r="S2" i="26"/>
  <c r="L2" i="26"/>
  <c r="M2" i="26"/>
  <c r="L1" i="26"/>
  <c r="M1" i="26"/>
  <c r="N1" i="26"/>
  <c r="V1" i="26"/>
  <c r="O1" i="26"/>
  <c r="W1" i="26"/>
  <c r="K1" i="26"/>
  <c r="S1" i="26"/>
  <c r="Q1" i="26"/>
  <c r="J1" i="26"/>
  <c r="R1" i="26"/>
  <c r="V3" i="26" l="1"/>
  <c r="N3" i="26"/>
  <c r="J3" i="26"/>
  <c r="P3" i="26"/>
  <c r="Q3" i="26"/>
  <c r="O3" i="26"/>
  <c r="M3" i="26"/>
  <c r="L3" i="26"/>
  <c r="S3" i="26"/>
  <c r="K3" i="26"/>
  <c r="W3" i="26"/>
  <c r="R3" i="26"/>
  <c r="D13" i="22" l="1"/>
  <c r="D13" i="26" s="1"/>
  <c r="H10" i="22" l="1"/>
  <c r="H10" i="26" s="1"/>
  <c r="C2" i="22" l="1"/>
  <c r="C1" i="22"/>
  <c r="C23" i="22" l="1"/>
  <c r="C23" i="26" s="1"/>
  <c r="C1" i="26"/>
  <c r="AC1" i="26" s="1"/>
  <c r="C39" i="22"/>
  <c r="C39" i="26" s="1"/>
  <c r="C2" i="26"/>
  <c r="AC2" i="26" s="1"/>
  <c r="C16" i="22"/>
  <c r="C16" i="26" s="1"/>
  <c r="C20" i="22"/>
  <c r="C20" i="26" s="1"/>
  <c r="C24" i="22"/>
  <c r="C24" i="26" s="1"/>
  <c r="C32" i="22"/>
  <c r="C32" i="26" s="1"/>
  <c r="C36" i="22"/>
  <c r="C36" i="26" s="1"/>
  <c r="C40" i="22"/>
  <c r="C40" i="26" s="1"/>
  <c r="C44" i="22"/>
  <c r="C44" i="26" s="1"/>
  <c r="C13" i="22"/>
  <c r="C13" i="26" s="1"/>
  <c r="C17" i="22"/>
  <c r="C17" i="26" s="1"/>
  <c r="C21" i="22"/>
  <c r="C21" i="26" s="1"/>
  <c r="C25" i="22"/>
  <c r="C25" i="26" s="1"/>
  <c r="C33" i="22"/>
  <c r="C33" i="26" s="1"/>
  <c r="C37" i="22"/>
  <c r="C37" i="26" s="1"/>
  <c r="C41" i="22"/>
  <c r="C41" i="26" s="1"/>
  <c r="C14" i="22"/>
  <c r="C14" i="26" s="1"/>
  <c r="C18" i="22"/>
  <c r="C18" i="26" s="1"/>
  <c r="C22" i="22"/>
  <c r="C22" i="26" s="1"/>
  <c r="C26" i="22"/>
  <c r="C26" i="26" s="1"/>
  <c r="C34" i="22"/>
  <c r="C34" i="26" s="1"/>
  <c r="C38" i="22"/>
  <c r="C38" i="26" s="1"/>
  <c r="C42" i="22"/>
  <c r="C42" i="26" s="1"/>
  <c r="C15" i="22"/>
  <c r="C15" i="26" s="1"/>
  <c r="C19" i="22"/>
  <c r="C19" i="26" s="1"/>
  <c r="C31" i="22"/>
  <c r="C31" i="26" s="1"/>
  <c r="C35" i="22"/>
  <c r="C35" i="26" s="1"/>
  <c r="C43" i="22"/>
  <c r="C43" i="26" s="1"/>
  <c r="D44" i="22" l="1"/>
  <c r="D44" i="26" s="1"/>
  <c r="D43" i="22"/>
  <c r="D43" i="26" s="1"/>
  <c r="D42" i="22"/>
  <c r="D42" i="26" s="1"/>
  <c r="D41" i="22"/>
  <c r="D41" i="26" s="1"/>
  <c r="D40" i="22"/>
  <c r="D40" i="26" s="1"/>
  <c r="D39" i="22"/>
  <c r="D39" i="26" s="1"/>
  <c r="D37" i="22"/>
  <c r="D37" i="26" s="1"/>
  <c r="D36" i="22"/>
  <c r="D36" i="26" s="1"/>
  <c r="D35" i="22"/>
  <c r="D35" i="26" s="1"/>
  <c r="D34" i="22"/>
  <c r="D34" i="26" s="1"/>
  <c r="D33" i="22"/>
  <c r="D33" i="26" s="1"/>
  <c r="D32" i="22"/>
  <c r="D32" i="26" s="1"/>
  <c r="D31" i="22"/>
  <c r="D31" i="26" s="1"/>
  <c r="D14" i="22"/>
  <c r="D14" i="26" s="1"/>
  <c r="D15" i="22"/>
  <c r="D15" i="26" s="1"/>
  <c r="D16" i="22"/>
  <c r="D16" i="26" s="1"/>
  <c r="D17" i="22"/>
  <c r="D17" i="26" s="1"/>
  <c r="D18" i="22"/>
  <c r="D18" i="26" s="1"/>
  <c r="D19" i="22"/>
  <c r="D19" i="26" s="1"/>
  <c r="D20" i="22"/>
  <c r="D20" i="26" s="1"/>
  <c r="D21" i="22"/>
  <c r="D21" i="26" s="1"/>
  <c r="D22" i="22"/>
  <c r="D22" i="26" s="1"/>
  <c r="D23" i="22"/>
  <c r="D23" i="26" s="1"/>
  <c r="D24" i="22"/>
  <c r="D24" i="26" s="1"/>
  <c r="D25" i="22"/>
  <c r="D25" i="26" s="1"/>
  <c r="D26" i="22"/>
  <c r="D26" i="26" s="1"/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D11" i="23" s="1"/>
  <c r="B11" i="23"/>
  <c r="B12" i="23" s="1"/>
  <c r="B13" i="23" s="1"/>
  <c r="B7" i="23"/>
  <c r="B8" i="23" s="1"/>
  <c r="B9" i="23" s="1"/>
  <c r="B3" i="23"/>
  <c r="B4" i="23" s="1"/>
  <c r="B5" i="23" s="1"/>
  <c r="W2" i="22"/>
  <c r="AW2" i="26" s="1"/>
  <c r="V2" i="22"/>
  <c r="AV2" i="26" s="1"/>
  <c r="S2" i="22"/>
  <c r="AS2" i="26" s="1"/>
  <c r="R2" i="22"/>
  <c r="AR2" i="26" s="1"/>
  <c r="Q2" i="22"/>
  <c r="AQ2" i="26" s="1"/>
  <c r="P2" i="22"/>
  <c r="AP2" i="26" s="1"/>
  <c r="O2" i="22"/>
  <c r="AO2" i="26" s="1"/>
  <c r="N2" i="22"/>
  <c r="AN2" i="26" s="1"/>
  <c r="M2" i="22"/>
  <c r="AM2" i="26" s="1"/>
  <c r="L2" i="22"/>
  <c r="AL2" i="26" s="1"/>
  <c r="K2" i="22"/>
  <c r="AK2" i="26" s="1"/>
  <c r="W1" i="22"/>
  <c r="AW1" i="26" s="1"/>
  <c r="V1" i="22"/>
  <c r="AV1" i="26" s="1"/>
  <c r="S1" i="22"/>
  <c r="AS1" i="26" s="1"/>
  <c r="R1" i="22"/>
  <c r="AR1" i="26" s="1"/>
  <c r="Q1" i="22"/>
  <c r="AQ1" i="26" s="1"/>
  <c r="P1" i="22"/>
  <c r="AP1" i="26" s="1"/>
  <c r="O1" i="22"/>
  <c r="AO1" i="26" s="1"/>
  <c r="N1" i="22"/>
  <c r="AN1" i="26" s="1"/>
  <c r="M1" i="22"/>
  <c r="AM1" i="26" s="1"/>
  <c r="L1" i="22"/>
  <c r="AL1" i="26" s="1"/>
  <c r="K1" i="22"/>
  <c r="AK1" i="26" s="1"/>
  <c r="J2" i="22"/>
  <c r="AJ2" i="26" s="1"/>
  <c r="J1" i="22"/>
  <c r="AJ1" i="26" s="1"/>
  <c r="U44" i="22"/>
  <c r="T44" i="22"/>
  <c r="H44" i="22"/>
  <c r="H44" i="26" s="1"/>
  <c r="F44" i="22"/>
  <c r="F44" i="26" s="1"/>
  <c r="U43" i="22"/>
  <c r="T43" i="22"/>
  <c r="T43" i="26" s="1"/>
  <c r="H43" i="22"/>
  <c r="H43" i="26" s="1"/>
  <c r="F43" i="22"/>
  <c r="F43" i="26" s="1"/>
  <c r="U42" i="22"/>
  <c r="T42" i="22"/>
  <c r="T42" i="26" s="1"/>
  <c r="H42" i="22"/>
  <c r="H42" i="26" s="1"/>
  <c r="F42" i="22"/>
  <c r="F42" i="26" s="1"/>
  <c r="U41" i="22"/>
  <c r="T41" i="22"/>
  <c r="H41" i="22"/>
  <c r="H41" i="26" s="1"/>
  <c r="F41" i="22"/>
  <c r="F41" i="26" s="1"/>
  <c r="U40" i="22"/>
  <c r="T40" i="22"/>
  <c r="H40" i="22"/>
  <c r="H40" i="26" s="1"/>
  <c r="F40" i="22"/>
  <c r="F40" i="26" s="1"/>
  <c r="U39" i="22"/>
  <c r="T39" i="22"/>
  <c r="H39" i="22"/>
  <c r="H39" i="26" s="1"/>
  <c r="F39" i="22"/>
  <c r="F39" i="26" s="1"/>
  <c r="U38" i="22"/>
  <c r="T38" i="22"/>
  <c r="H38" i="22"/>
  <c r="H38" i="26" s="1"/>
  <c r="F38" i="22"/>
  <c r="F38" i="26" s="1"/>
  <c r="U37" i="22"/>
  <c r="T37" i="22"/>
  <c r="H37" i="22"/>
  <c r="H37" i="26" s="1"/>
  <c r="F37" i="22"/>
  <c r="F37" i="26" s="1"/>
  <c r="U36" i="22"/>
  <c r="T36" i="22"/>
  <c r="H36" i="22"/>
  <c r="H36" i="26" s="1"/>
  <c r="F36" i="22"/>
  <c r="F36" i="26" s="1"/>
  <c r="U35" i="22"/>
  <c r="T35" i="22"/>
  <c r="H35" i="22"/>
  <c r="H35" i="26" s="1"/>
  <c r="F35" i="22"/>
  <c r="F35" i="26" s="1"/>
  <c r="U34" i="22"/>
  <c r="T34" i="22"/>
  <c r="H34" i="22"/>
  <c r="H34" i="26" s="1"/>
  <c r="F34" i="22"/>
  <c r="F34" i="26" s="1"/>
  <c r="U33" i="22"/>
  <c r="T33" i="22"/>
  <c r="H33" i="22"/>
  <c r="H33" i="26" s="1"/>
  <c r="F33" i="22"/>
  <c r="F33" i="26" s="1"/>
  <c r="U32" i="22"/>
  <c r="T32" i="22"/>
  <c r="H32" i="22"/>
  <c r="H32" i="26" s="1"/>
  <c r="F32" i="22"/>
  <c r="F32" i="26" s="1"/>
  <c r="U31" i="22"/>
  <c r="T31" i="22"/>
  <c r="H31" i="22"/>
  <c r="H31" i="26" s="1"/>
  <c r="F31" i="22"/>
  <c r="F31" i="26" s="1"/>
  <c r="U26" i="22"/>
  <c r="T26" i="22"/>
  <c r="U25" i="22"/>
  <c r="U25" i="26" s="1"/>
  <c r="T25" i="22"/>
  <c r="T25" i="26" s="1"/>
  <c r="U24" i="22"/>
  <c r="T24" i="22"/>
  <c r="U23" i="22"/>
  <c r="T23" i="22"/>
  <c r="U22" i="22"/>
  <c r="T22" i="22"/>
  <c r="U21" i="22"/>
  <c r="T21" i="22"/>
  <c r="U20" i="22"/>
  <c r="T20" i="22"/>
  <c r="U19" i="22"/>
  <c r="U19" i="26" s="1"/>
  <c r="T19" i="22"/>
  <c r="T19" i="26" s="1"/>
  <c r="U18" i="22"/>
  <c r="T18" i="22"/>
  <c r="U17" i="22"/>
  <c r="T17" i="22"/>
  <c r="U16" i="22"/>
  <c r="T16" i="22"/>
  <c r="U15" i="22"/>
  <c r="T15" i="22"/>
  <c r="U14" i="22"/>
  <c r="T14" i="22"/>
  <c r="L5" i="23" l="1"/>
  <c r="Y19" i="22"/>
  <c r="Y19" i="26" s="1"/>
  <c r="P11" i="23"/>
  <c r="X14" i="22"/>
  <c r="X14" i="26" s="1"/>
  <c r="T14" i="26"/>
  <c r="X20" i="22"/>
  <c r="X20" i="26" s="1"/>
  <c r="T20" i="26"/>
  <c r="X23" i="22"/>
  <c r="X23" i="26" s="1"/>
  <c r="T23" i="26"/>
  <c r="X26" i="22"/>
  <c r="X26" i="26" s="1"/>
  <c r="T26" i="26"/>
  <c r="X15" i="22"/>
  <c r="X15" i="26" s="1"/>
  <c r="T15" i="26"/>
  <c r="X18" i="22"/>
  <c r="X18" i="26" s="1"/>
  <c r="T18" i="26"/>
  <c r="X21" i="22"/>
  <c r="X21" i="26" s="1"/>
  <c r="T21" i="26"/>
  <c r="X24" i="22"/>
  <c r="X24" i="26" s="1"/>
  <c r="T24" i="26"/>
  <c r="X19" i="22"/>
  <c r="X19" i="26" s="1"/>
  <c r="X31" i="22"/>
  <c r="X31" i="26" s="1"/>
  <c r="T31" i="26"/>
  <c r="X34" i="22"/>
  <c r="X34" i="26" s="1"/>
  <c r="T34" i="26"/>
  <c r="I11" i="23"/>
  <c r="X32" i="22"/>
  <c r="X32" i="26" s="1"/>
  <c r="T32" i="26"/>
  <c r="Y15" i="22"/>
  <c r="Y15" i="26" s="1"/>
  <c r="U15" i="26"/>
  <c r="Y21" i="22"/>
  <c r="Y21" i="26" s="1"/>
  <c r="U21" i="26"/>
  <c r="Y34" i="22"/>
  <c r="Y34" i="26" s="1"/>
  <c r="U34" i="26"/>
  <c r="X16" i="22"/>
  <c r="X16" i="26" s="1"/>
  <c r="T16" i="26"/>
  <c r="X22" i="22"/>
  <c r="X22" i="26" s="1"/>
  <c r="T22" i="26"/>
  <c r="X25" i="22"/>
  <c r="X25" i="26" s="1"/>
  <c r="X33" i="22"/>
  <c r="X33" i="26" s="1"/>
  <c r="T33" i="26"/>
  <c r="X43" i="22"/>
  <c r="X43" i="26" s="1"/>
  <c r="Y14" i="22"/>
  <c r="Y14" i="26" s="1"/>
  <c r="U14" i="26"/>
  <c r="Y20" i="22"/>
  <c r="Y20" i="26" s="1"/>
  <c r="U20" i="26"/>
  <c r="Y23" i="22"/>
  <c r="Y23" i="26" s="1"/>
  <c r="U23" i="26"/>
  <c r="Y26" i="22"/>
  <c r="Y26" i="26" s="1"/>
  <c r="U26" i="26"/>
  <c r="Y32" i="22"/>
  <c r="Y32" i="26" s="1"/>
  <c r="U32" i="26"/>
  <c r="Y18" i="22"/>
  <c r="Y18" i="26" s="1"/>
  <c r="U18" i="26"/>
  <c r="Y24" i="22"/>
  <c r="Y24" i="26" s="1"/>
  <c r="U24" i="26"/>
  <c r="Y31" i="22"/>
  <c r="Y31" i="26" s="1"/>
  <c r="U31" i="26"/>
  <c r="Y16" i="22"/>
  <c r="Y16" i="26" s="1"/>
  <c r="U16" i="26"/>
  <c r="Y22" i="22"/>
  <c r="Y22" i="26" s="1"/>
  <c r="U22" i="26"/>
  <c r="Y25" i="22"/>
  <c r="Y25" i="26" s="1"/>
  <c r="Y33" i="22"/>
  <c r="Y33" i="26" s="1"/>
  <c r="U33" i="26"/>
  <c r="I9" i="23"/>
  <c r="I16" i="23" s="1"/>
  <c r="Y44" i="22"/>
  <c r="Y44" i="26" s="1"/>
  <c r="U44" i="26"/>
  <c r="X37" i="22"/>
  <c r="X37" i="26" s="1"/>
  <c r="T37" i="26"/>
  <c r="X39" i="22"/>
  <c r="X39" i="26" s="1"/>
  <c r="T39" i="26"/>
  <c r="X40" i="22"/>
  <c r="X40" i="26" s="1"/>
  <c r="T40" i="26"/>
  <c r="X41" i="22"/>
  <c r="X41" i="26" s="1"/>
  <c r="T41" i="26"/>
  <c r="Y37" i="22"/>
  <c r="Y37" i="26" s="1"/>
  <c r="U37" i="26"/>
  <c r="Y39" i="22"/>
  <c r="Y39" i="26" s="1"/>
  <c r="U39" i="26"/>
  <c r="Y41" i="22"/>
  <c r="Y41" i="26" s="1"/>
  <c r="U41" i="26"/>
  <c r="Y42" i="22"/>
  <c r="Y42" i="26" s="1"/>
  <c r="U42" i="26"/>
  <c r="X36" i="22"/>
  <c r="X36" i="26" s="1"/>
  <c r="T36" i="26"/>
  <c r="N8" i="23"/>
  <c r="T38" i="26"/>
  <c r="Y36" i="22"/>
  <c r="Y36" i="26" s="1"/>
  <c r="U36" i="26"/>
  <c r="Y38" i="22"/>
  <c r="Y38" i="26" s="1"/>
  <c r="U38" i="26"/>
  <c r="Y40" i="22"/>
  <c r="Y40" i="26" s="1"/>
  <c r="U40" i="26"/>
  <c r="X42" i="22"/>
  <c r="X42" i="26" s="1"/>
  <c r="Y43" i="22"/>
  <c r="Y43" i="26" s="1"/>
  <c r="U43" i="26"/>
  <c r="X44" i="22"/>
  <c r="X44" i="26" s="1"/>
  <c r="T44" i="26"/>
  <c r="X35" i="22"/>
  <c r="X35" i="26" s="1"/>
  <c r="T35" i="26"/>
  <c r="Y35" i="22"/>
  <c r="Y35" i="26" s="1"/>
  <c r="U35" i="26"/>
  <c r="Y17" i="22"/>
  <c r="Y17" i="26" s="1"/>
  <c r="U17" i="26"/>
  <c r="X17" i="22"/>
  <c r="X17" i="26" s="1"/>
  <c r="T17" i="26"/>
  <c r="D9" i="23"/>
  <c r="D16" i="23" s="1"/>
  <c r="J12" i="23"/>
  <c r="L15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X38" i="22"/>
  <c r="T2" i="22"/>
  <c r="E9" i="23"/>
  <c r="E16" i="23" s="1"/>
  <c r="O8" i="23"/>
  <c r="E12" i="23"/>
  <c r="U2" i="22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H26" i="22"/>
  <c r="H26" i="26" s="1"/>
  <c r="F26" i="22"/>
  <c r="F26" i="26" s="1"/>
  <c r="H25" i="22"/>
  <c r="H25" i="26" s="1"/>
  <c r="F25" i="22"/>
  <c r="F25" i="26" s="1"/>
  <c r="H24" i="22"/>
  <c r="H24" i="26" s="1"/>
  <c r="F24" i="22"/>
  <c r="F24" i="26" s="1"/>
  <c r="H23" i="22"/>
  <c r="H23" i="26" s="1"/>
  <c r="F23" i="22"/>
  <c r="F23" i="26" s="1"/>
  <c r="H22" i="22"/>
  <c r="H22" i="26" s="1"/>
  <c r="F22" i="22"/>
  <c r="F22" i="26" s="1"/>
  <c r="H21" i="22"/>
  <c r="H21" i="26" s="1"/>
  <c r="F21" i="22"/>
  <c r="F21" i="26" s="1"/>
  <c r="H20" i="22"/>
  <c r="H20" i="26" s="1"/>
  <c r="F20" i="22"/>
  <c r="F20" i="26" s="1"/>
  <c r="H19" i="22"/>
  <c r="H19" i="26" s="1"/>
  <c r="H18" i="22"/>
  <c r="H18" i="26" s="1"/>
  <c r="H17" i="22"/>
  <c r="H17" i="26" s="1"/>
  <c r="H16" i="22"/>
  <c r="H16" i="26" s="1"/>
  <c r="H15" i="22"/>
  <c r="H15" i="26" s="1"/>
  <c r="H14" i="22"/>
  <c r="H14" i="26" s="1"/>
  <c r="H13" i="22"/>
  <c r="H13" i="26" s="1"/>
  <c r="F19" i="22"/>
  <c r="F19" i="26" s="1"/>
  <c r="F18" i="22"/>
  <c r="F18" i="26" s="1"/>
  <c r="F17" i="22"/>
  <c r="F17" i="26" s="1"/>
  <c r="F16" i="22"/>
  <c r="F16" i="26" s="1"/>
  <c r="F15" i="22"/>
  <c r="F15" i="26" s="1"/>
  <c r="F14" i="22"/>
  <c r="F14" i="26" s="1"/>
  <c r="F13" i="22"/>
  <c r="F13" i="26" s="1"/>
  <c r="U13" i="22"/>
  <c r="U1" i="22" s="1"/>
  <c r="T13" i="22"/>
  <c r="P13" i="23" l="1"/>
  <c r="I13" i="23"/>
  <c r="K13" i="23"/>
  <c r="S4" i="23"/>
  <c r="N9" i="23"/>
  <c r="R4" i="23"/>
  <c r="O3" i="23"/>
  <c r="O11" i="23" s="1"/>
  <c r="N12" i="23"/>
  <c r="R7" i="23"/>
  <c r="X13" i="22"/>
  <c r="X13" i="26" s="1"/>
  <c r="X1" i="26" s="1"/>
  <c r="T13" i="26"/>
  <c r="T1" i="26" s="1"/>
  <c r="S7" i="23"/>
  <c r="Y2" i="26"/>
  <c r="Y13" i="22"/>
  <c r="U13" i="26"/>
  <c r="U1" i="26" s="1"/>
  <c r="J13" i="23"/>
  <c r="T2" i="26"/>
  <c r="AT2" i="26" s="1"/>
  <c r="X2" i="22"/>
  <c r="X38" i="26"/>
  <c r="X2" i="26" s="1"/>
  <c r="S8" i="23"/>
  <c r="U2" i="26"/>
  <c r="AU2" i="26" s="1"/>
  <c r="Y2" i="22"/>
  <c r="H13" i="23"/>
  <c r="N3" i="23"/>
  <c r="N11" i="23" s="1"/>
  <c r="T1" i="22"/>
  <c r="M13" i="23"/>
  <c r="Q13" i="23"/>
  <c r="O9" i="23"/>
  <c r="O16" i="23" s="1"/>
  <c r="F13" i="23"/>
  <c r="G13" i="23"/>
  <c r="N16" i="23"/>
  <c r="E13" i="23"/>
  <c r="L13" i="23"/>
  <c r="O12" i="23"/>
  <c r="R8" i="23"/>
  <c r="O3" i="22"/>
  <c r="M3" i="22"/>
  <c r="AM3" i="26" s="1"/>
  <c r="W3" i="22"/>
  <c r="AW3" i="26" s="1"/>
  <c r="L3" i="22"/>
  <c r="AL3" i="26" s="1"/>
  <c r="V3" i="22"/>
  <c r="R3" i="22"/>
  <c r="AR3" i="26" s="1"/>
  <c r="N3" i="22"/>
  <c r="P3" i="22"/>
  <c r="Q3" i="22"/>
  <c r="S3" i="22"/>
  <c r="AS3" i="26" s="1"/>
  <c r="K3" i="22"/>
  <c r="AK3" i="26" s="1"/>
  <c r="J3" i="22"/>
  <c r="X1" i="22" l="1"/>
  <c r="X3" i="22" s="1"/>
  <c r="N13" i="23"/>
  <c r="AY2" i="26"/>
  <c r="O5" i="23"/>
  <c r="O15" i="23" s="1"/>
  <c r="S9" i="23"/>
  <c r="S16" i="23" s="1"/>
  <c r="AX2" i="26"/>
  <c r="X3" i="26"/>
  <c r="U3" i="26"/>
  <c r="AU1" i="26"/>
  <c r="Y1" i="22"/>
  <c r="Y3" i="22" s="1"/>
  <c r="Y13" i="26"/>
  <c r="Y1" i="26" s="1"/>
  <c r="P17" i="23"/>
  <c r="AV3" i="26"/>
  <c r="R9" i="23"/>
  <c r="R16" i="23" s="1"/>
  <c r="AT1" i="26"/>
  <c r="R3" i="23"/>
  <c r="R11" i="23" s="1"/>
  <c r="S3" i="23"/>
  <c r="S12" i="23"/>
  <c r="T3" i="26"/>
  <c r="K17" i="23"/>
  <c r="AQ3" i="26"/>
  <c r="I17" i="23"/>
  <c r="AO3" i="26"/>
  <c r="D17" i="23"/>
  <c r="AJ3" i="26"/>
  <c r="J17" i="23"/>
  <c r="AP3" i="26"/>
  <c r="H17" i="23"/>
  <c r="AN3" i="26"/>
  <c r="N5" i="23"/>
  <c r="N15" i="23" s="1"/>
  <c r="O13" i="23"/>
  <c r="M17" i="23"/>
  <c r="Q17" i="23"/>
  <c r="G17" i="23"/>
  <c r="F17" i="23"/>
  <c r="E17" i="23"/>
  <c r="L17" i="23"/>
  <c r="R12" i="23"/>
  <c r="U3" i="22"/>
  <c r="T3" i="22"/>
  <c r="AX1" i="26" l="1"/>
  <c r="AX3" i="26"/>
  <c r="N17" i="23"/>
  <c r="AY1" i="26"/>
  <c r="Y3" i="26"/>
  <c r="AY3" i="26" s="1"/>
  <c r="S5" i="23"/>
  <c r="S15" i="23" s="1"/>
  <c r="S11" i="23"/>
  <c r="S13" i="23" s="1"/>
  <c r="S17" i="23" s="1"/>
  <c r="O17" i="23"/>
  <c r="R5" i="23"/>
  <c r="R15" i="23" s="1"/>
  <c r="R13" i="23"/>
  <c r="R17" i="23" s="1"/>
  <c r="AT3" i="26"/>
  <c r="AU3" i="26"/>
</calcChain>
</file>

<file path=xl/sharedStrings.xml><?xml version="1.0" encoding="utf-8"?>
<sst xmlns="http://schemas.openxmlformats.org/spreadsheetml/2006/main" count="263" uniqueCount="107">
  <si>
    <t xml:space="preserve"> </t>
  </si>
  <si>
    <t>NIT: 901 153 639 - 0</t>
  </si>
  <si>
    <t>CIU LIMP</t>
  </si>
  <si>
    <t>FECHA APLICACIÓN</t>
  </si>
  <si>
    <t>CODIGO REMUNERACIÓN</t>
  </si>
  <si>
    <t>CONCILIACION DIARIA DE RECAUDO OPORTUNO - OTROS</t>
  </si>
  <si>
    <t>2.5.3. INFORMES DE RECAUDO</t>
  </si>
  <si>
    <t>R2 - INFORME DE CONCILIACION DE RECAUDOS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</si>
  <si>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</si>
  <si>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</si>
  <si>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</si>
  <si>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</si>
  <si>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</si>
  <si>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</si>
  <si>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</si>
  <si>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</si>
  <si>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</si>
  <si>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</si>
  <si>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</si>
  <si>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</si>
  <si>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</si>
  <si>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</si>
  <si>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</si>
  <si>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</si>
  <si>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</si>
  <si>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</si>
  <si>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</si>
  <si>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</si>
  <si>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</si>
  <si>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</si>
  <si>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</si>
  <si>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</si>
  <si>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</si>
  <si>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</si>
  <si>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</si>
  <si>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</si>
  <si>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</si>
  <si>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</si>
  <si>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</si>
  <si>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</si>
  <si>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</si>
  <si>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</si>
  <si>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</si>
  <si>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</si>
  <si>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</si>
  <si>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</si>
  <si>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</si>
  <si>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</si>
  <si>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</si>
  <si>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</si>
  <si>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</si>
  <si>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</si>
  <si>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</si>
  <si>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</si>
  <si>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</si>
  <si>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</si>
  <si>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</si>
  <si>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</si>
  <si>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</si>
  <si>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</si>
  <si>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</si>
  <si>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</si>
  <si>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</si>
  <si>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</si>
  <si>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</si>
  <si>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</si>
  <si>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</si>
  <si>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</si>
  <si>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</si>
  <si>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</si>
  <si>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</si>
  <si>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</si>
  <si>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</si>
  <si>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</si>
  <si>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</si>
  <si>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</si>
  <si>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</si>
  <si>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</si>
  <si>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</si>
  <si>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</si>
  <si>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</si>
  <si>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</si>
  <si>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</si>
  <si>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</si>
  <si>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</si>
  <si>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</si>
  <si>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</si>
  <si>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23D</t>
  </si>
  <si>
    <t>Occidente - Directa</t>
  </si>
  <si>
    <t>Ciudad Limpia - Prestador</t>
  </si>
  <si>
    <t>EAAB - Prestador</t>
  </si>
  <si>
    <t>N/A</t>
  </si>
  <si>
    <t>Entidad Giradora del Recaudo: EAAB - CIUDAD LIMPIA</t>
  </si>
  <si>
    <t>NUMERO DE ENTREGA</t>
  </si>
  <si>
    <t>EAAB</t>
  </si>
  <si>
    <t>TOTAL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</si>
  <si>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</si>
  <si>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</si>
  <si>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</si>
  <si>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</si>
  <si>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</si>
  <si>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</si>
  <si>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</si>
  <si>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</si>
  <si>
    <t>02 2020</t>
  </si>
  <si>
    <t xml:space="preserve">Recaudo Oportuno de Otros en Cuentas bancarias de la EAAB : </t>
  </si>
  <si>
    <t>Anterior al 11 oct 2018 y Saldos a favor esquema anterior con prestador EAAB y CIUD LIMP.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</si>
</sst>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/mm/yyyy;@"/>
    <numFmt numFmtId="169" formatCode="_-* #,##0_-;\-* #,##0_-;_-* &quot;-&quot;_-;_-@"/>
    <numFmt numFmtId="170" formatCode="dd/mm/yyyy"/>
    <numFmt numFmtId="171" formatCode="dd/mm/yy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7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11" applyNumberFormat="0" applyAlignment="0" applyProtection="0"/>
    <xf numFmtId="0" fontId="29" fillId="6" borderId="12" applyNumberFormat="0" applyAlignment="0" applyProtection="0"/>
    <xf numFmtId="0" fontId="30" fillId="6" borderId="11" applyNumberFormat="0" applyAlignment="0" applyProtection="0"/>
    <xf numFmtId="0" fontId="31" fillId="0" borderId="13" applyNumberFormat="0" applyFill="0" applyAlignment="0" applyProtection="0"/>
    <xf numFmtId="0" fontId="32" fillId="7" borderId="1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6" fillId="32" borderId="0" applyNumberFormat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3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2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20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43" fontId="37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43" fontId="37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5" applyNumberFormat="0" applyFont="0" applyAlignment="0" applyProtection="0"/>
    <xf numFmtId="43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5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6" fillId="0" borderId="0"/>
  </cellStyleXfs>
  <cellXfs count="142">
    <xf numFmtId="0" fontId="0" fillId="0" borderId="0" xfId="0"/>
    <xf numFmtId="0" fontId="19" fillId="0" borderId="0" xfId="0" applyFont="1"/>
    <xf numFmtId="0" fontId="16" fillId="0" borderId="1" xfId="0" applyFont="1" applyBorder="1"/>
    <xf numFmtId="14" fontId="16" fillId="0" borderId="1" xfId="0" applyNumberFormat="1" applyFont="1" applyBorder="1"/>
    <xf numFmtId="0" fontId="16" fillId="0" borderId="5" xfId="0" applyFont="1" applyBorder="1"/>
    <xf numFmtId="0" fontId="19" fillId="0" borderId="6" xfId="0" applyFont="1" applyBorder="1"/>
    <xf numFmtId="0" fontId="19" fillId="0" borderId="2" xfId="0" applyFont="1" applyBorder="1"/>
    <xf numFmtId="49" fontId="19" fillId="0" borderId="0" xfId="0" applyNumberFormat="1" applyFont="1"/>
    <xf numFmtId="168" fontId="19" fillId="0" borderId="0" xfId="0" applyNumberFormat="1" applyFont="1"/>
    <xf numFmtId="41" fontId="19" fillId="0" borderId="0" xfId="2601" applyFont="1"/>
    <xf numFmtId="41" fontId="19" fillId="0" borderId="3" xfId="2601" applyFont="1" applyBorder="1"/>
    <xf numFmtId="0" fontId="16" fillId="0" borderId="18" xfId="0" applyFont="1" applyBorder="1" applyAlignment="1">
      <alignment horizontal="center" vertical="center" wrapText="1"/>
    </xf>
    <xf numFmtId="0" fontId="19" fillId="0" borderId="3" xfId="0" applyFont="1" applyBorder="1"/>
    <xf numFmtId="165" fontId="44" fillId="0" borderId="0" xfId="0" applyNumberFormat="1" applyFont="1"/>
    <xf numFmtId="169" fontId="44" fillId="0" borderId="0" xfId="0" applyNumberFormat="1" applyFont="1"/>
    <xf numFmtId="165" fontId="0" fillId="0" borderId="0" xfId="0" applyNumberFormat="1"/>
    <xf numFmtId="0" fontId="44" fillId="0" borderId="0" xfId="0" applyFont="1"/>
    <xf numFmtId="49" fontId="45" fillId="0" borderId="0" xfId="0" applyNumberFormat="1" applyFont="1"/>
    <xf numFmtId="169" fontId="45" fillId="0" borderId="0" xfId="0" applyNumberFormat="1" applyFont="1"/>
    <xf numFmtId="0" fontId="19" fillId="35" borderId="0" xfId="0" applyFont="1" applyFill="1"/>
    <xf numFmtId="0" fontId="16" fillId="0" borderId="4" xfId="0" applyFont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65" fontId="16" fillId="0" borderId="3" xfId="2605" applyFont="1" applyBorder="1" applyAlignment="1">
      <alignment horizontal="left" vertical="center" wrapText="1"/>
    </xf>
    <xf numFmtId="165" fontId="16" fillId="0" borderId="3" xfId="2605" applyFont="1" applyBorder="1" applyAlignment="1">
      <alignment horizontal="center" vertical="center" wrapText="1"/>
    </xf>
    <xf numFmtId="165" fontId="16" fillId="0" borderId="20" xfId="2605" applyFont="1" applyBorder="1" applyAlignment="1">
      <alignment horizontal="right" vertical="center" wrapText="1"/>
    </xf>
    <xf numFmtId="165" fontId="43" fillId="0" borderId="0" xfId="2605" applyFont="1"/>
    <xf numFmtId="41" fontId="0" fillId="0" borderId="3" xfId="2604" applyFont="1" applyBorder="1"/>
    <xf numFmtId="165" fontId="15" fillId="0" borderId="3" xfId="2605" applyBorder="1"/>
    <xf numFmtId="49" fontId="19" fillId="0" borderId="3" xfId="2605" applyNumberFormat="1" applyFont="1" applyBorder="1" applyAlignment="1">
      <alignment horizontal="right"/>
    </xf>
    <xf numFmtId="165" fontId="15" fillId="0" borderId="0" xfId="2605"/>
    <xf numFmtId="41" fontId="0" fillId="33" borderId="3" xfId="2604" applyFont="1" applyFill="1" applyBorder="1"/>
    <xf numFmtId="165" fontId="15" fillId="0" borderId="3" xfId="2605" applyBorder="1" applyAlignment="1">
      <alignment horizontal="right"/>
    </xf>
    <xf numFmtId="41" fontId="15" fillId="0" borderId="3" xfId="2604" applyFont="1" applyBorder="1" applyAlignment="1">
      <alignment horizontal="right"/>
    </xf>
    <xf numFmtId="165" fontId="15" fillId="0" borderId="0" xfId="2605" applyAlignment="1">
      <alignment horizontal="right"/>
    </xf>
    <xf numFmtId="0" fontId="16" fillId="0" borderId="0" xfId="0" applyFont="1"/>
    <xf numFmtId="0" fontId="17" fillId="0" borderId="0" xfId="0" applyFont="1"/>
    <xf numFmtId="0" fontId="19" fillId="38" borderId="3" xfId="0" applyFont="1" applyFill="1" applyBorder="1"/>
    <xf numFmtId="41" fontId="19" fillId="0" borderId="3" xfId="2604" applyFont="1" applyBorder="1"/>
    <xf numFmtId="41" fontId="19" fillId="0" borderId="0" xfId="2604" applyFont="1"/>
    <xf numFmtId="0" fontId="16" fillId="37" borderId="19" xfId="0" applyFont="1" applyFill="1" applyBorder="1" applyAlignment="1">
      <alignment horizontal="center" vertical="center" wrapText="1"/>
    </xf>
    <xf numFmtId="0" fontId="16" fillId="37" borderId="23" xfId="0" applyFont="1" applyFill="1" applyBorder="1" applyAlignment="1">
      <alignment horizontal="center" vertical="center" wrapText="1"/>
    </xf>
    <xf numFmtId="41" fontId="19" fillId="38" borderId="3" xfId="2604" applyFont="1" applyFill="1" applyBorder="1"/>
    <xf numFmtId="168" fontId="19" fillId="0" borderId="3" xfId="0" applyNumberFormat="1" applyFont="1" applyBorder="1"/>
    <xf numFmtId="49" fontId="19" fillId="34" borderId="3" xfId="0" applyNumberFormat="1" applyFont="1" applyFill="1" applyBorder="1"/>
    <xf numFmtId="0" fontId="19" fillId="34" borderId="3" xfId="0" applyFont="1" applyFill="1" applyBorder="1"/>
    <xf numFmtId="0" fontId="19" fillId="0" borderId="24" xfId="2604" applyNumberFormat="1" applyFont="1" applyBorder="1"/>
    <xf numFmtId="0" fontId="19" fillId="38" borderId="17" xfId="0" applyFont="1" applyFill="1" applyBorder="1"/>
    <xf numFmtId="41" fontId="19" fillId="0" borderId="17" xfId="2604" applyFont="1" applyBorder="1"/>
    <xf numFmtId="41" fontId="19" fillId="0" borderId="25" xfId="2604" applyFont="1" applyBorder="1"/>
    <xf numFmtId="0" fontId="19" fillId="0" borderId="26" xfId="2604" applyNumberFormat="1" applyFont="1" applyBorder="1"/>
    <xf numFmtId="41" fontId="19" fillId="0" borderId="27" xfId="2604" applyFont="1" applyBorder="1"/>
    <xf numFmtId="0" fontId="16" fillId="0" borderId="28" xfId="2604" applyNumberFormat="1" applyFont="1" applyBorder="1"/>
    <xf numFmtId="0" fontId="19" fillId="38" borderId="29" xfId="0" applyFont="1" applyFill="1" applyBorder="1"/>
    <xf numFmtId="41" fontId="16" fillId="0" borderId="29" xfId="2604" applyFont="1" applyBorder="1"/>
    <xf numFmtId="41" fontId="16" fillId="0" borderId="30" xfId="2604" applyFont="1" applyBorder="1"/>
    <xf numFmtId="41" fontId="19" fillId="0" borderId="0" xfId="2604" applyFont="1" applyAlignment="1">
      <alignment horizontal="left"/>
    </xf>
    <xf numFmtId="0" fontId="19" fillId="0" borderId="4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1" fontId="16" fillId="0" borderId="1" xfId="2604" applyFont="1" applyBorder="1" applyAlignment="1">
      <alignment horizontal="left"/>
    </xf>
    <xf numFmtId="41" fontId="16" fillId="0" borderId="1" xfId="2604" applyFont="1" applyBorder="1"/>
    <xf numFmtId="0" fontId="19" fillId="0" borderId="31" xfId="0" applyFont="1" applyBorder="1"/>
    <xf numFmtId="0" fontId="19" fillId="0" borderId="0" xfId="0" applyFont="1" applyAlignment="1">
      <alignment horizontal="center"/>
    </xf>
    <xf numFmtId="41" fontId="16" fillId="0" borderId="0" xfId="2604" applyFont="1" applyBorder="1" applyAlignment="1">
      <alignment horizontal="left"/>
    </xf>
    <xf numFmtId="41" fontId="19" fillId="0" borderId="0" xfId="2604" applyFont="1" applyBorder="1"/>
    <xf numFmtId="0" fontId="18" fillId="0" borderId="0" xfId="0" applyFont="1"/>
    <xf numFmtId="0" fontId="42" fillId="0" borderId="0" xfId="0" applyFont="1"/>
    <xf numFmtId="41" fontId="17" fillId="0" borderId="0" xfId="2604" applyFont="1" applyBorder="1" applyAlignment="1">
      <alignment horizontal="left"/>
    </xf>
    <xf numFmtId="41" fontId="17" fillId="0" borderId="0" xfId="2604" applyFont="1" applyBorder="1"/>
    <xf numFmtId="14" fontId="16" fillId="0" borderId="0" xfId="0" applyNumberFormat="1" applyFont="1"/>
    <xf numFmtId="41" fontId="16" fillId="0" borderId="0" xfId="2604" applyFont="1" applyBorder="1"/>
    <xf numFmtId="41" fontId="19" fillId="0" borderId="0" xfId="2604" applyFont="1" applyBorder="1" applyAlignment="1">
      <alignment horizontal="left"/>
    </xf>
    <xf numFmtId="17" fontId="18" fillId="33" borderId="0" xfId="0" applyNumberFormat="1" applyFont="1" applyFill="1"/>
    <xf numFmtId="49" fontId="19" fillId="0" borderId="6" xfId="0" applyNumberFormat="1" applyFont="1" applyBorder="1"/>
    <xf numFmtId="0" fontId="19" fillId="0" borderId="32" xfId="0" applyFont="1" applyBorder="1"/>
    <xf numFmtId="0" fontId="19" fillId="0" borderId="2" xfId="0" applyFont="1" applyBorder="1" applyAlignment="1">
      <alignment horizontal="center"/>
    </xf>
    <xf numFmtId="41" fontId="19" fillId="0" borderId="2" xfId="2604" applyFont="1" applyBorder="1" applyAlignment="1">
      <alignment horizontal="left"/>
    </xf>
    <xf numFmtId="41" fontId="19" fillId="0" borderId="2" xfId="2604" applyFont="1" applyBorder="1"/>
    <xf numFmtId="49" fontId="19" fillId="0" borderId="7" xfId="0" applyNumberFormat="1" applyFont="1" applyBorder="1"/>
    <xf numFmtId="170" fontId="16" fillId="0" borderId="33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36" borderId="36" xfId="0" applyFont="1" applyFill="1" applyBorder="1" applyAlignment="1">
      <alignment horizontal="center" vertical="center" wrapText="1"/>
    </xf>
    <xf numFmtId="0" fontId="16" fillId="37" borderId="37" xfId="0" applyFont="1" applyFill="1" applyBorder="1" applyAlignment="1">
      <alignment horizontal="center" vertical="center" wrapText="1"/>
    </xf>
    <xf numFmtId="0" fontId="16" fillId="37" borderId="38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41" fontId="19" fillId="0" borderId="3" xfId="2604" applyFont="1" applyFill="1" applyBorder="1"/>
    <xf numFmtId="0" fontId="19" fillId="39" borderId="0" xfId="0" applyFont="1" applyFill="1"/>
    <xf numFmtId="49" fontId="19" fillId="39" borderId="0" xfId="0" applyNumberFormat="1" applyFont="1" applyFill="1"/>
    <xf numFmtId="41" fontId="19" fillId="39" borderId="0" xfId="2601" applyFont="1" applyFill="1"/>
    <xf numFmtId="49" fontId="19" fillId="35" borderId="0" xfId="0" applyNumberFormat="1" applyFont="1" applyFill="1"/>
    <xf numFmtId="41" fontId="19" fillId="35" borderId="0" xfId="2601" applyFont="1" applyFill="1"/>
    <xf numFmtId="0" fontId="0" fillId="33" borderId="3" xfId="0" applyFill="1" applyBorder="1"/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49" fontId="19" fillId="0" borderId="20" xfId="0" applyNumberFormat="1" applyFont="1" applyBorder="1"/>
    <xf numFmtId="169" fontId="44" fillId="0" borderId="20" xfId="0" applyNumberFormat="1" applyFont="1" applyBorder="1"/>
    <xf numFmtId="49" fontId="16" fillId="0" borderId="37" xfId="0" applyNumberFormat="1" applyFont="1" applyBorder="1"/>
    <xf numFmtId="0" fontId="16" fillId="0" borderId="33" xfId="0" applyFont="1" applyBorder="1"/>
    <xf numFmtId="169" fontId="16" fillId="0" borderId="37" xfId="0" applyNumberFormat="1" applyFont="1" applyBorder="1"/>
    <xf numFmtId="169" fontId="16" fillId="0" borderId="36" xfId="0" applyNumberFormat="1" applyFont="1" applyBorder="1"/>
    <xf numFmtId="0" fontId="44" fillId="0" borderId="24" xfId="0" applyFont="1" applyBorder="1"/>
    <xf numFmtId="49" fontId="44" fillId="0" borderId="17" xfId="0" applyNumberFormat="1" applyFont="1" applyBorder="1"/>
    <xf numFmtId="169" fontId="44" fillId="0" borderId="17" xfId="0" applyNumberFormat="1" applyFont="1" applyBorder="1"/>
    <xf numFmtId="169" fontId="44" fillId="0" borderId="25" xfId="0" applyNumberFormat="1" applyFont="1" applyBorder="1"/>
    <xf numFmtId="0" fontId="44" fillId="0" borderId="40" xfId="0" applyFont="1" applyBorder="1"/>
    <xf numFmtId="169" fontId="44" fillId="0" borderId="41" xfId="0" applyNumberFormat="1" applyFont="1" applyBorder="1"/>
    <xf numFmtId="14" fontId="19" fillId="0" borderId="3" xfId="2601" applyNumberFormat="1" applyFont="1" applyBorder="1"/>
    <xf numFmtId="171" fontId="19" fillId="38" borderId="3" xfId="2601" applyNumberFormat="1" applyFont="1" applyFill="1" applyBorder="1"/>
    <xf numFmtId="165" fontId="46" fillId="0" borderId="0" xfId="2606"/>
    <xf numFmtId="41" fontId="0" fillId="0" borderId="0" xfId="2604" applyFont="1"/>
    <xf numFmtId="165" fontId="43" fillId="0" borderId="0" xfId="2606" applyFont="1" applyAlignment="1">
      <alignment horizontal="center"/>
    </xf>
    <xf numFmtId="165" fontId="43" fillId="38" borderId="33" xfId="2606" applyFont="1" applyFill="1" applyBorder="1" applyAlignment="1">
      <alignment horizontal="center"/>
    </xf>
    <xf numFmtId="41" fontId="43" fillId="38" borderId="42" xfId="2604" applyFont="1" applyFill="1" applyBorder="1" applyAlignment="1">
      <alignment horizontal="center"/>
    </xf>
    <xf numFmtId="41" fontId="43" fillId="38" borderId="37" xfId="2604" applyFont="1" applyFill="1" applyBorder="1" applyAlignment="1">
      <alignment horizontal="center"/>
    </xf>
    <xf numFmtId="41" fontId="43" fillId="38" borderId="36" xfId="2604" applyFont="1" applyFill="1" applyBorder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43" xfId="2604" applyFont="1" applyBorder="1"/>
    <xf numFmtId="41" fontId="0" fillId="0" borderId="44" xfId="2604" applyFont="1" applyBorder="1"/>
    <xf numFmtId="41" fontId="0" fillId="0" borderId="45" xfId="2604" applyFont="1" applyBorder="1"/>
    <xf numFmtId="41" fontId="0" fillId="0" borderId="46" xfId="2604" applyFont="1" applyBorder="1"/>
    <xf numFmtId="41" fontId="0" fillId="0" borderId="47" xfId="2604" applyFont="1" applyBorder="1"/>
    <xf numFmtId="41" fontId="0" fillId="0" borderId="26" xfId="2604" applyFont="1" applyBorder="1"/>
    <xf numFmtId="41" fontId="0" fillId="0" borderId="27" xfId="2604" applyFont="1" applyBorder="1"/>
    <xf numFmtId="41" fontId="0" fillId="0" borderId="48" xfId="2604" applyFont="1" applyBorder="1" applyAlignment="1">
      <alignment horizontal="right"/>
    </xf>
    <xf numFmtId="41" fontId="0" fillId="0" borderId="28" xfId="2604" applyFont="1" applyBorder="1"/>
    <xf numFmtId="41" fontId="0" fillId="0" borderId="29" xfId="2604" applyFont="1" applyBorder="1"/>
    <xf numFmtId="41" fontId="0" fillId="0" borderId="30" xfId="2604" applyFont="1" applyBorder="1"/>
    <xf numFmtId="41" fontId="43" fillId="38" borderId="35" xfId="2604" applyFont="1" applyFill="1" applyBorder="1"/>
    <xf numFmtId="165" fontId="43" fillId="0" borderId="0" xfId="2606" applyFont="1"/>
    <xf numFmtId="41" fontId="43" fillId="40" borderId="33" xfId="2604" applyFont="1" applyFill="1" applyBorder="1" applyAlignment="1">
      <alignment horizontal="center"/>
    </xf>
    <xf numFmtId="41" fontId="43" fillId="40" borderId="36" xfId="2604" applyFont="1" applyFill="1" applyBorder="1" applyAlignment="1">
      <alignment horizontal="center"/>
    </xf>
    <xf numFmtId="165" fontId="43" fillId="33" borderId="0" xfId="2606" applyFont="1" applyFill="1"/>
    <xf numFmtId="41" fontId="0" fillId="0" borderId="40" xfId="2604" applyFont="1" applyBorder="1"/>
    <xf numFmtId="41" fontId="0" fillId="0" borderId="41" xfId="2604" applyFont="1" applyBorder="1"/>
    <xf numFmtId="41" fontId="43" fillId="40" borderId="33" xfId="2604" applyFont="1" applyFill="1" applyBorder="1"/>
    <xf numFmtId="41" fontId="43" fillId="40" borderId="36" xfId="2604" applyFont="1" applyFill="1" applyBorder="1"/>
    <xf numFmtId="14" fontId="19" fillId="0" borderId="0" xfId="0" applyNumberFormat="1" applyFont="1"/>
    <xf numFmtId="17" fontId="19" fillId="0" borderId="3" xfId="2604" applyNumberFormat="1" applyFont="1" applyFill="1" applyBorder="1"/>
  </cellXfs>
  <cellStyles count="2607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" xfId="2601" builtinId="6"/>
    <cellStyle name="Millares [0] 2" xfId="2604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2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5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6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3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444500</xdr:colOff>
      <xdr:row>9</xdr:row>
      <xdr:rowOff>140262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447675</xdr:colOff>
      <xdr:row>9</xdr:row>
      <xdr:rowOff>137087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VG46"/>
  <sheetViews>
    <sheetView zoomScaleNormal="100" workbookViewId="0">
      <selection activeCell="C4" sqref="C4"/>
    </sheetView>
  </sheetViews>
  <sheetFormatPr baseColWidth="10" defaultColWidth="11.453125" defaultRowHeight="11.5" x14ac:dyDescent="0.25"/>
  <cols>
    <col min="1" max="1" width="4.453125" style="1" customWidth="1"/>
    <col min="2" max="2" width="11" style="1" bestFit="1" customWidth="1"/>
    <col min="3" max="3" width="15.54296875" style="1" customWidth="1"/>
    <col min="4" max="4" width="9.81640625" style="1" bestFit="1" customWidth="1"/>
    <col min="5" max="5" width="8.453125" style="1" customWidth="1"/>
    <col min="6" max="6" width="22" style="8" bestFit="1" customWidth="1"/>
    <col min="7" max="7" width="8.54296875" style="8" customWidth="1"/>
    <col min="8" max="8" width="15" style="1" customWidth="1"/>
    <col min="9" max="9" width="9.81640625" style="1" bestFit="1" customWidth="1"/>
    <col min="10" max="25" width="13.54296875" style="1" customWidth="1"/>
    <col min="26" max="26" width="4.81640625" style="1" customWidth="1"/>
    <col min="27" max="27" width="2.54296875" style="1" customWidth="1"/>
    <col min="28" max="28" width="2.81640625" style="1" customWidth="1"/>
    <col min="29" max="29" width="11.453125" style="1"/>
    <col min="30" max="30" width="3.1796875" style="1" customWidth="1"/>
    <col min="31" max="31" width="2.54296875" style="1" customWidth="1"/>
    <col min="32" max="16384" width="11.453125" style="1"/>
  </cols>
  <sheetData>
    <row r="1" spans="2:40 16108:16127" ht="13" customHeight="1" x14ac:dyDescent="0.25">
      <c r="C1" s="46">
        <f>VALUE(C3&amp;1)</f>
        <v>2026091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D1" s="39"/>
      <c r="AE1" s="19"/>
      <c r="AF1" s="39"/>
      <c r="AI1" s="39"/>
      <c r="AJ1" s="39"/>
      <c r="AK1" s="39"/>
      <c r="AN1" s="19"/>
    </row>
    <row r="2" spans="2:40 16108:16127" ht="13" customHeight="1" x14ac:dyDescent="0.25">
      <c r="C2" s="50">
        <f>VALUE(C3&amp;2)</f>
        <v>2026092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D2" s="39"/>
      <c r="AE2" s="19"/>
      <c r="AF2" s="39"/>
      <c r="AI2" s="39"/>
      <c r="AJ2" s="39"/>
      <c r="AK2" s="39"/>
      <c r="AN2" s="19"/>
    </row>
    <row r="3" spans="2:40 16108:16127" ht="13" customHeight="1" thickBot="1" x14ac:dyDescent="0.3">
      <c r="C3" s="52">
        <v>202609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D3" s="39"/>
      <c r="AE3" s="19"/>
      <c r="AF3" s="39"/>
      <c r="AI3" s="39"/>
      <c r="AJ3" s="39"/>
      <c r="AK3" s="39"/>
      <c r="AN3" s="19"/>
    </row>
    <row r="4" spans="2:40 16108:16127" ht="13" customHeight="1" thickBot="1" x14ac:dyDescent="0.3">
      <c r="E4" s="56"/>
      <c r="F4" s="1"/>
      <c r="G4" s="39"/>
      <c r="H4" s="39"/>
      <c r="AA4" s="19"/>
      <c r="AE4" s="19"/>
      <c r="WUN4"/>
      <c r="WUO4"/>
    </row>
    <row r="5" spans="2:40 16108:16127" ht="12.5" x14ac:dyDescent="0.25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AE5" s="19"/>
      <c r="WVF5"/>
      <c r="WVG5"/>
    </row>
    <row r="6" spans="2:40 16108:16127" ht="15.5" x14ac:dyDescent="0.35">
      <c r="B6" s="62"/>
      <c r="D6" s="63"/>
      <c r="E6" s="64"/>
      <c r="F6" s="1"/>
      <c r="G6" s="65"/>
      <c r="H6" s="66" t="s">
        <v>6</v>
      </c>
      <c r="W6" s="65"/>
      <c r="Y6" s="5"/>
      <c r="AA6" s="19"/>
      <c r="AE6" s="19"/>
      <c r="WVF6"/>
      <c r="WVG6"/>
    </row>
    <row r="7" spans="2:40 16108:16127" ht="15.5" x14ac:dyDescent="0.35">
      <c r="B7" s="62"/>
      <c r="D7" s="63"/>
      <c r="E7" s="64"/>
      <c r="F7" s="1"/>
      <c r="G7" s="65"/>
      <c r="H7" s="66" t="s">
        <v>7</v>
      </c>
      <c r="Y7" s="5"/>
      <c r="AA7" s="19"/>
      <c r="AE7" s="19"/>
      <c r="WVF7"/>
      <c r="WVG7"/>
    </row>
    <row r="8" spans="2:40 16108:16127" ht="15.5" x14ac:dyDescent="0.35">
      <c r="B8" s="62"/>
      <c r="D8" s="63"/>
      <c r="E8" s="64"/>
      <c r="F8" s="1"/>
      <c r="G8" s="65"/>
      <c r="H8" s="67" t="s">
        <v>5</v>
      </c>
      <c r="Y8" s="5"/>
      <c r="AA8" s="19"/>
      <c r="AE8" s="19"/>
      <c r="WVF8"/>
      <c r="WVG8"/>
    </row>
    <row r="9" spans="2:40 16108:16127" ht="13.5" customHeight="1" x14ac:dyDescent="0.25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AE9" s="19"/>
      <c r="WVF9"/>
      <c r="WVG9"/>
    </row>
    <row r="10" spans="2:40 16108:16127" ht="13.5" customHeight="1" x14ac:dyDescent="0.35">
      <c r="B10" s="62"/>
      <c r="D10" s="63"/>
      <c r="E10" s="72"/>
      <c r="F10" s="1"/>
      <c r="G10" s="65"/>
      <c r="H10" s="73" t="str">
        <f>SUBSTITUTE(UPPER(TEXT(DATE(LEFT(C3,4),RIGHT(C3,2),1),"MMMM YYYY"))," ","_")</f>
        <v>SEPTIEMBRE_2026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AE10" s="19"/>
      <c r="WVF10"/>
      <c r="WVG10"/>
    </row>
    <row r="11" spans="2:40 16108:16127" ht="13.5" customHeight="1" thickBot="1" x14ac:dyDescent="0.3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AE11" s="19"/>
      <c r="WVF11"/>
      <c r="WVG11"/>
    </row>
    <row r="12" spans="2:40 16108:16127" ht="35" thickBot="1" x14ac:dyDescent="0.3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AC12" s="82" t="s">
        <v>93</v>
      </c>
      <c r="AE12" s="19"/>
      <c r="WVF12"/>
      <c r="WVG12"/>
    </row>
    <row r="13" spans="2:40 16108:16127" x14ac:dyDescent="0.25">
      <c r="B13" s="110">
        <v>46268</v>
      </c>
      <c r="C13" s="45">
        <f t="shared" ref="C13:C26" si="3">$C$1</f>
        <v>2026091</v>
      </c>
      <c r="D13" s="111">
        <f>IF(B13&lt;&gt;"",B13,"")</f>
        <v>46268</v>
      </c>
      <c r="E13" s="12">
        <v>200</v>
      </c>
      <c r="F13" s="12" t="str">
        <f>VLOOKUP(E13,'Códigos bancos'!$B$3:$D$27,2,0)</f>
        <v>Ciudad Limpia - Prestador</v>
      </c>
      <c r="G13" s="45">
        <v>1</v>
      </c>
      <c r="H13" s="45" t="str">
        <f>VLOOKUP(G13,'Códigos bancos'!$F$3:$G$18,2,0)</f>
        <v>Oficinas</v>
      </c>
      <c r="I13" s="44" t="s">
        <v>91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42">
        <f>J13+L13+N13+P13+R13</f>
        <v>0</v>
      </c>
      <c r="U13" s="42">
        <f>K13+M13+O13+Q13+S13</f>
        <v>0</v>
      </c>
      <c r="V13" s="38">
        <v>0</v>
      </c>
      <c r="W13" s="38">
        <v>0</v>
      </c>
      <c r="X13" s="42">
        <f>V13-T13</f>
        <v>0</v>
      </c>
      <c r="Y13" s="42">
        <f>W13-U13</f>
        <v>0</v>
      </c>
      <c r="AA13" s="19"/>
      <c r="AB13" s="1" t="s">
        <v>0</v>
      </c>
      <c r="AC13" s="42"/>
      <c r="AE13" s="19"/>
    </row>
    <row r="14" spans="2:40 16108:16127" x14ac:dyDescent="0.25">
      <c r="B14" s="110"/>
      <c r="C14" s="45">
        <f t="shared" si="3"/>
        <v>2026091</v>
      </c>
      <c r="D14" s="111" t="str">
        <f t="shared" ref="D14:D26" si="4">IF(B14&lt;&gt;"",B14,"")</f>
        <v/>
      </c>
      <c r="E14" s="12">
        <v>200</v>
      </c>
      <c r="F14" s="12" t="str">
        <f>VLOOKUP(E14,'Códigos bancos'!$B$3:$D$27,2,0)</f>
        <v>Ciudad Limpia - Prestador</v>
      </c>
      <c r="G14" s="45">
        <v>1</v>
      </c>
      <c r="H14" s="45" t="str">
        <f>VLOOKUP(G14,'Códigos bancos'!$F$3:$G$18,2,0)</f>
        <v>Oficinas</v>
      </c>
      <c r="I14" s="44" t="s">
        <v>91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42">
        <f t="shared" ref="T14:T26" si="5">J14+L14+N14+P14+R14</f>
        <v>0</v>
      </c>
      <c r="U14" s="42">
        <f t="shared" ref="U14:U26" si="6">K14+M14+O14+Q14+S14</f>
        <v>0</v>
      </c>
      <c r="V14" s="38">
        <v>0</v>
      </c>
      <c r="W14" s="38">
        <v>0</v>
      </c>
      <c r="X14" s="42">
        <f t="shared" ref="X14:X26" si="7">V14-T14</f>
        <v>0</v>
      </c>
      <c r="Y14" s="42">
        <f t="shared" ref="Y14:Y26" si="8">W14-U14</f>
        <v>0</v>
      </c>
      <c r="AA14" s="19"/>
      <c r="AC14" s="42"/>
      <c r="AE14" s="19"/>
    </row>
    <row r="15" spans="2:40 16108:16127" x14ac:dyDescent="0.25">
      <c r="B15" s="10"/>
      <c r="C15" s="45">
        <f t="shared" si="3"/>
        <v>2026091</v>
      </c>
      <c r="D15" s="111" t="str">
        <f t="shared" si="4"/>
        <v/>
      </c>
      <c r="E15" s="12">
        <v>200</v>
      </c>
      <c r="F15" s="12" t="str">
        <f>VLOOKUP(E15,'Códigos bancos'!$B$3:$D$27,2,0)</f>
        <v>Ciudad Limpia - Prestador</v>
      </c>
      <c r="G15" s="45">
        <v>1</v>
      </c>
      <c r="H15" s="45" t="str">
        <f>VLOOKUP(G15,'Códigos bancos'!$F$3:$G$18,2,0)</f>
        <v>Oficinas</v>
      </c>
      <c r="I15" s="44" t="s">
        <v>91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42">
        <f t="shared" si="5"/>
        <v>0</v>
      </c>
      <c r="U15" s="42">
        <f t="shared" si="6"/>
        <v>0</v>
      </c>
      <c r="V15" s="38">
        <v>0</v>
      </c>
      <c r="W15" s="38">
        <v>0</v>
      </c>
      <c r="X15" s="42">
        <f t="shared" si="7"/>
        <v>0</v>
      </c>
      <c r="Y15" s="42">
        <f t="shared" si="8"/>
        <v>0</v>
      </c>
      <c r="AA15" s="19"/>
      <c r="AC15" s="42"/>
      <c r="AE15" s="19"/>
    </row>
    <row r="16" spans="2:40 16108:16127" x14ac:dyDescent="0.25">
      <c r="B16" s="110"/>
      <c r="C16" s="45">
        <f t="shared" si="3"/>
        <v>2026091</v>
      </c>
      <c r="D16" s="111" t="str">
        <f t="shared" si="4"/>
        <v/>
      </c>
      <c r="E16" s="12">
        <v>200</v>
      </c>
      <c r="F16" s="12" t="str">
        <f>VLOOKUP(E16,'Códigos bancos'!$B$3:$D$27,2,0)</f>
        <v>Ciudad Limpia - Prestador</v>
      </c>
      <c r="G16" s="45">
        <v>1</v>
      </c>
      <c r="H16" s="45" t="str">
        <f>VLOOKUP(G16,'Códigos bancos'!$F$3:$G$18,2,0)</f>
        <v>Oficinas</v>
      </c>
      <c r="I16" s="44" t="s">
        <v>91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42">
        <f t="shared" si="5"/>
        <v>0</v>
      </c>
      <c r="U16" s="42">
        <f t="shared" si="6"/>
        <v>0</v>
      </c>
      <c r="V16" s="38">
        <v>0</v>
      </c>
      <c r="W16" s="38">
        <v>0</v>
      </c>
      <c r="X16" s="42">
        <f t="shared" si="7"/>
        <v>0</v>
      </c>
      <c r="Y16" s="42">
        <f t="shared" si="8"/>
        <v>0</v>
      </c>
      <c r="AA16" s="19"/>
      <c r="AC16" s="42"/>
      <c r="AE16" s="19"/>
    </row>
    <row r="17" spans="1:31 16126:16127" x14ac:dyDescent="0.25">
      <c r="B17" s="10"/>
      <c r="C17" s="45">
        <f t="shared" si="3"/>
        <v>2026091</v>
      </c>
      <c r="D17" s="111" t="str">
        <f t="shared" si="4"/>
        <v/>
      </c>
      <c r="E17" s="12">
        <v>200</v>
      </c>
      <c r="F17" s="12" t="str">
        <f>VLOOKUP(E17,'Códigos bancos'!$B$3:$D$27,2,0)</f>
        <v>Ciudad Limpia - Prestador</v>
      </c>
      <c r="G17" s="45">
        <v>1</v>
      </c>
      <c r="H17" s="45" t="str">
        <f>VLOOKUP(G17,'Códigos bancos'!$F$3:$G$18,2,0)</f>
        <v>Oficinas</v>
      </c>
      <c r="I17" s="44" t="s">
        <v>91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42">
        <f t="shared" si="5"/>
        <v>0</v>
      </c>
      <c r="U17" s="42">
        <f t="shared" si="6"/>
        <v>0</v>
      </c>
      <c r="V17" s="38">
        <v>0</v>
      </c>
      <c r="W17" s="38">
        <v>0</v>
      </c>
      <c r="X17" s="42">
        <f t="shared" si="7"/>
        <v>0</v>
      </c>
      <c r="Y17" s="42">
        <f t="shared" si="8"/>
        <v>0</v>
      </c>
      <c r="AA17" s="19"/>
      <c r="AC17" s="42"/>
      <c r="AE17" s="19"/>
    </row>
    <row r="18" spans="1:31 16126:16127" x14ac:dyDescent="0.25">
      <c r="B18" s="10"/>
      <c r="C18" s="45">
        <f t="shared" si="3"/>
        <v>2026091</v>
      </c>
      <c r="D18" s="111" t="str">
        <f t="shared" si="4"/>
        <v/>
      </c>
      <c r="E18" s="12">
        <v>200</v>
      </c>
      <c r="F18" s="12" t="str">
        <f>VLOOKUP(E18,'Códigos bancos'!$B$3:$D$27,2,0)</f>
        <v>Ciudad Limpia - Prestador</v>
      </c>
      <c r="G18" s="45">
        <v>1</v>
      </c>
      <c r="H18" s="45" t="str">
        <f>VLOOKUP(G18,'Códigos bancos'!$F$3:$G$18,2,0)</f>
        <v>Oficinas</v>
      </c>
      <c r="I18" s="44" t="s">
        <v>91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42">
        <f t="shared" si="5"/>
        <v>0</v>
      </c>
      <c r="U18" s="42">
        <f t="shared" si="6"/>
        <v>0</v>
      </c>
      <c r="V18" s="38">
        <v>0</v>
      </c>
      <c r="W18" s="38">
        <v>0</v>
      </c>
      <c r="X18" s="42">
        <f t="shared" si="7"/>
        <v>0</v>
      </c>
      <c r="Y18" s="42">
        <f t="shared" si="8"/>
        <v>0</v>
      </c>
      <c r="AA18" s="19"/>
      <c r="AB18" s="1" t="s">
        <v>0</v>
      </c>
      <c r="AC18" s="42"/>
      <c r="AE18" s="19"/>
    </row>
    <row r="19" spans="1:31 16126:16127" x14ac:dyDescent="0.25">
      <c r="B19" s="10"/>
      <c r="C19" s="45">
        <f t="shared" si="3"/>
        <v>2026091</v>
      </c>
      <c r="D19" s="111" t="str">
        <f t="shared" si="4"/>
        <v/>
      </c>
      <c r="E19" s="12">
        <v>200</v>
      </c>
      <c r="F19" s="12" t="str">
        <f>VLOOKUP(E19,'Códigos bancos'!$B$3:$D$27,2,0)</f>
        <v>Ciudad Limpia - Prestador</v>
      </c>
      <c r="G19" s="45">
        <v>1</v>
      </c>
      <c r="H19" s="45" t="str">
        <f>VLOOKUP(G19,'Códigos bancos'!$F$3:$G$18,2,0)</f>
        <v>Oficinas</v>
      </c>
      <c r="I19" s="44" t="s">
        <v>91</v>
      </c>
      <c r="J19" s="10">
        <v>0</v>
      </c>
      <c r="K19" s="10">
        <v>0</v>
      </c>
      <c r="L19" s="10"/>
      <c r="M19" s="10"/>
      <c r="N19" s="10"/>
      <c r="O19" s="10"/>
      <c r="P19" s="10">
        <v>0</v>
      </c>
      <c r="Q19" s="10">
        <v>0</v>
      </c>
      <c r="R19" s="10">
        <v>0</v>
      </c>
      <c r="S19" s="10">
        <v>0</v>
      </c>
      <c r="T19" s="42">
        <f t="shared" si="5"/>
        <v>0</v>
      </c>
      <c r="U19" s="42">
        <f t="shared" si="6"/>
        <v>0</v>
      </c>
      <c r="V19" s="38">
        <v>0</v>
      </c>
      <c r="W19" s="38">
        <v>0</v>
      </c>
      <c r="X19" s="42">
        <f t="shared" si="7"/>
        <v>0</v>
      </c>
      <c r="Y19" s="42">
        <f t="shared" si="8"/>
        <v>0</v>
      </c>
      <c r="AA19" s="19"/>
      <c r="AC19" s="42"/>
      <c r="AE19" s="19"/>
    </row>
    <row r="20" spans="1:31 16126:16127" x14ac:dyDescent="0.25">
      <c r="B20" s="110">
        <v>46268</v>
      </c>
      <c r="C20" s="45">
        <f t="shared" si="3"/>
        <v>2026091</v>
      </c>
      <c r="D20" s="111">
        <f t="shared" si="4"/>
        <v>46268</v>
      </c>
      <c r="E20" s="12">
        <v>201</v>
      </c>
      <c r="F20" s="12" t="str">
        <f>VLOOKUP(E20,'Códigos bancos'!$B$3:$D$27,2,0)</f>
        <v>EAAB - Prestador</v>
      </c>
      <c r="G20" s="45">
        <v>1</v>
      </c>
      <c r="H20" s="45" t="str">
        <f>VLOOKUP(G20,'Códigos bancos'!$F$3:$G$18,2,0)</f>
        <v>Oficinas</v>
      </c>
      <c r="I20" s="44" t="s">
        <v>91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42">
        <f t="shared" si="5"/>
        <v>0</v>
      </c>
      <c r="U20" s="42">
        <f t="shared" si="6"/>
        <v>0</v>
      </c>
      <c r="V20" s="38">
        <v>0</v>
      </c>
      <c r="W20" s="38">
        <v>0</v>
      </c>
      <c r="X20" s="42">
        <f t="shared" si="7"/>
        <v>0</v>
      </c>
      <c r="Y20" s="42">
        <f t="shared" si="8"/>
        <v>0</v>
      </c>
      <c r="AA20" s="19"/>
      <c r="AC20" s="89"/>
      <c r="AE20" s="19"/>
    </row>
    <row r="21" spans="1:31 16126:16127" x14ac:dyDescent="0.25">
      <c r="B21" s="10"/>
      <c r="C21" s="45">
        <f t="shared" si="3"/>
        <v>2026091</v>
      </c>
      <c r="D21" s="111" t="str">
        <f t="shared" si="4"/>
        <v/>
      </c>
      <c r="E21" s="12">
        <v>201</v>
      </c>
      <c r="F21" s="12" t="str">
        <f>VLOOKUP(E21,'Códigos bancos'!$B$3:$D$27,2,0)</f>
        <v>EAAB - Prestador</v>
      </c>
      <c r="G21" s="45">
        <v>1</v>
      </c>
      <c r="H21" s="45" t="str">
        <f>VLOOKUP(G21,'Códigos bancos'!$F$3:$G$18,2,0)</f>
        <v>Oficinas</v>
      </c>
      <c r="I21" s="44" t="s">
        <v>91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42">
        <f t="shared" si="5"/>
        <v>0</v>
      </c>
      <c r="U21" s="42">
        <f t="shared" si="6"/>
        <v>0</v>
      </c>
      <c r="V21" s="38">
        <v>0</v>
      </c>
      <c r="W21" s="38">
        <v>0</v>
      </c>
      <c r="X21" s="42">
        <f t="shared" si="7"/>
        <v>0</v>
      </c>
      <c r="Y21" s="42">
        <f t="shared" si="8"/>
        <v>0</v>
      </c>
      <c r="AA21" s="19"/>
      <c r="AC21" s="89"/>
      <c r="AE21" s="19"/>
    </row>
    <row r="22" spans="1:31 16126:16127" x14ac:dyDescent="0.25">
      <c r="B22" s="10"/>
      <c r="C22" s="45">
        <f t="shared" si="3"/>
        <v>2026091</v>
      </c>
      <c r="D22" s="111" t="str">
        <f t="shared" si="4"/>
        <v/>
      </c>
      <c r="E22" s="12">
        <v>201</v>
      </c>
      <c r="F22" s="12" t="str">
        <f>VLOOKUP(E22,'Códigos bancos'!$B$3:$D$27,2,0)</f>
        <v>EAAB - Prestador</v>
      </c>
      <c r="G22" s="45">
        <v>1</v>
      </c>
      <c r="H22" s="45" t="str">
        <f>VLOOKUP(G22,'Códigos bancos'!$F$3:$G$18,2,0)</f>
        <v>Oficinas</v>
      </c>
      <c r="I22" s="44" t="s">
        <v>91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42">
        <f t="shared" si="5"/>
        <v>0</v>
      </c>
      <c r="U22" s="42">
        <f t="shared" si="6"/>
        <v>0</v>
      </c>
      <c r="V22" s="38">
        <v>0</v>
      </c>
      <c r="W22" s="38">
        <v>0</v>
      </c>
      <c r="X22" s="42">
        <f t="shared" si="7"/>
        <v>0</v>
      </c>
      <c r="Y22" s="42">
        <f t="shared" si="8"/>
        <v>0</v>
      </c>
      <c r="AA22" s="19"/>
      <c r="AC22" s="89"/>
      <c r="AE22" s="19"/>
    </row>
    <row r="23" spans="1:31 16126:16127" x14ac:dyDescent="0.25">
      <c r="B23" s="10"/>
      <c r="C23" s="45">
        <f t="shared" si="3"/>
        <v>2026091</v>
      </c>
      <c r="D23" s="111" t="str">
        <f t="shared" si="4"/>
        <v/>
      </c>
      <c r="E23" s="12">
        <v>201</v>
      </c>
      <c r="F23" s="12" t="str">
        <f>VLOOKUP(E23,'Códigos bancos'!$B$3:$D$27,2,0)</f>
        <v>EAAB - Prestador</v>
      </c>
      <c r="G23" s="45">
        <v>1</v>
      </c>
      <c r="H23" s="45" t="str">
        <f>VLOOKUP(G23,'Códigos bancos'!$F$3:$G$18,2,0)</f>
        <v>Oficinas</v>
      </c>
      <c r="I23" s="44" t="s">
        <v>91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42">
        <f t="shared" si="5"/>
        <v>0</v>
      </c>
      <c r="U23" s="42">
        <f t="shared" si="6"/>
        <v>0</v>
      </c>
      <c r="V23" s="38">
        <v>0</v>
      </c>
      <c r="W23" s="38">
        <v>0</v>
      </c>
      <c r="X23" s="42">
        <f t="shared" si="7"/>
        <v>0</v>
      </c>
      <c r="Y23" s="42">
        <f t="shared" si="8"/>
        <v>0</v>
      </c>
      <c r="AA23" s="19"/>
      <c r="AC23" s="89"/>
      <c r="AE23" s="19"/>
    </row>
    <row r="24" spans="1:31 16126:16127" x14ac:dyDescent="0.25">
      <c r="B24" s="10"/>
      <c r="C24" s="45">
        <f t="shared" si="3"/>
        <v>2026091</v>
      </c>
      <c r="D24" s="111" t="str">
        <f t="shared" si="4"/>
        <v/>
      </c>
      <c r="E24" s="12">
        <v>201</v>
      </c>
      <c r="F24" s="12" t="str">
        <f>VLOOKUP(E24,'Códigos bancos'!$B$3:$D$27,2,0)</f>
        <v>EAAB - Prestador</v>
      </c>
      <c r="G24" s="45">
        <v>1</v>
      </c>
      <c r="H24" s="45" t="str">
        <f>VLOOKUP(G24,'Códigos bancos'!$F$3:$G$18,2,0)</f>
        <v>Oficinas</v>
      </c>
      <c r="I24" s="44" t="s">
        <v>91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42">
        <f t="shared" si="5"/>
        <v>0</v>
      </c>
      <c r="U24" s="42">
        <f t="shared" si="6"/>
        <v>0</v>
      </c>
      <c r="V24" s="38">
        <v>0</v>
      </c>
      <c r="W24" s="38">
        <v>0</v>
      </c>
      <c r="X24" s="42">
        <f t="shared" si="7"/>
        <v>0</v>
      </c>
      <c r="Y24" s="42">
        <f t="shared" si="8"/>
        <v>0</v>
      </c>
      <c r="AA24" s="19"/>
      <c r="AC24" s="89"/>
      <c r="AE24" s="19"/>
    </row>
    <row r="25" spans="1:31 16126:16127" x14ac:dyDescent="0.25">
      <c r="B25" s="10"/>
      <c r="C25" s="45">
        <f t="shared" si="3"/>
        <v>2026091</v>
      </c>
      <c r="D25" s="111" t="str">
        <f t="shared" si="4"/>
        <v/>
      </c>
      <c r="E25" s="12">
        <v>201</v>
      </c>
      <c r="F25" s="12" t="str">
        <f>VLOOKUP(E25,'Códigos bancos'!$B$3:$D$27,2,0)</f>
        <v>EAAB - Prestador</v>
      </c>
      <c r="G25" s="45">
        <v>1</v>
      </c>
      <c r="H25" s="45" t="str">
        <f>VLOOKUP(G25,'Códigos bancos'!$F$3:$G$18,2,0)</f>
        <v>Oficinas</v>
      </c>
      <c r="I25" s="44" t="s">
        <v>91</v>
      </c>
      <c r="J25" s="10"/>
      <c r="K25" s="10"/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/>
      <c r="R25" s="10"/>
      <c r="S25" s="10"/>
      <c r="T25" s="42">
        <f t="shared" si="5"/>
        <v>0</v>
      </c>
      <c r="U25" s="42">
        <f t="shared" si="6"/>
        <v>0</v>
      </c>
      <c r="V25" s="38">
        <v>0</v>
      </c>
      <c r="W25" s="38">
        <v>0</v>
      </c>
      <c r="X25" s="42">
        <f t="shared" si="7"/>
        <v>0</v>
      </c>
      <c r="Y25" s="42">
        <f t="shared" si="8"/>
        <v>0</v>
      </c>
      <c r="AA25" s="19"/>
      <c r="AC25" s="89"/>
      <c r="AE25" s="19"/>
    </row>
    <row r="26" spans="1:31 16126:16127" x14ac:dyDescent="0.25">
      <c r="B26" s="10"/>
      <c r="C26" s="45">
        <f t="shared" si="3"/>
        <v>2026091</v>
      </c>
      <c r="D26" s="111" t="str">
        <f t="shared" si="4"/>
        <v/>
      </c>
      <c r="E26" s="12">
        <v>201</v>
      </c>
      <c r="F26" s="12" t="str">
        <f>VLOOKUP(E26,'Códigos bancos'!$B$3:$D$27,2,0)</f>
        <v>EAAB - Prestador</v>
      </c>
      <c r="G26" s="45">
        <v>1</v>
      </c>
      <c r="H26" s="45" t="str">
        <f>VLOOKUP(G26,'Códigos bancos'!$F$3:$G$18,2,0)</f>
        <v>Oficinas</v>
      </c>
      <c r="I26" s="44" t="s">
        <v>91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42">
        <f t="shared" si="5"/>
        <v>0</v>
      </c>
      <c r="U26" s="42">
        <f t="shared" si="6"/>
        <v>0</v>
      </c>
      <c r="V26" s="38">
        <v>0</v>
      </c>
      <c r="W26" s="38">
        <v>0</v>
      </c>
      <c r="X26" s="42">
        <f t="shared" si="7"/>
        <v>0</v>
      </c>
      <c r="Y26" s="42">
        <f t="shared" si="8"/>
        <v>0</v>
      </c>
      <c r="AA26" s="19"/>
      <c r="AC26" s="89"/>
      <c r="AE26" s="19"/>
    </row>
    <row r="27" spans="1:31 16126:16127" x14ac:dyDescent="0.25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  <c r="AE27" s="19"/>
    </row>
    <row r="28" spans="1:31 16126:16127" x14ac:dyDescent="0.25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  <c r="AB28" s="90"/>
      <c r="AC28" s="90"/>
      <c r="AD28" s="90"/>
      <c r="AE28" s="19"/>
    </row>
    <row r="29" spans="1:31 16126:16127" ht="12" thickBot="1" x14ac:dyDescent="0.3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  <c r="AE29" s="19"/>
    </row>
    <row r="30" spans="1:31 16126:16127" ht="35" thickBot="1" x14ac:dyDescent="0.3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AC30" s="82" t="s">
        <v>93</v>
      </c>
      <c r="AE30" s="19"/>
      <c r="WVF30"/>
      <c r="WVG30"/>
    </row>
    <row r="31" spans="1:31 16126:16127" x14ac:dyDescent="0.25">
      <c r="B31" s="43"/>
      <c r="C31" s="45">
        <f t="shared" ref="C31:C44" si="9">$C$2</f>
        <v>2026092</v>
      </c>
      <c r="D31" s="111" t="str">
        <f t="shared" ref="D31:D44" si="10">IF(B31&lt;&gt;"",B31,"")</f>
        <v/>
      </c>
      <c r="E31" s="12">
        <v>200</v>
      </c>
      <c r="F31" s="12" t="str">
        <f>VLOOKUP(E31,'Códigos bancos'!$B$3:$D$27,2,0)</f>
        <v>Ciudad Limpia - Prestador</v>
      </c>
      <c r="G31" s="45">
        <v>1</v>
      </c>
      <c r="H31" s="45" t="str">
        <f>VLOOKUP(G31,'Códigos bancos'!$F$3:$G$18,2,0)</f>
        <v>Oficinas</v>
      </c>
      <c r="I31" s="44" t="s">
        <v>91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42">
        <f>J31+L31+N31+P31+R31</f>
        <v>0</v>
      </c>
      <c r="U31" s="42">
        <f>K31+M31+O31+Q31+S31</f>
        <v>0</v>
      </c>
      <c r="V31" s="38">
        <v>0</v>
      </c>
      <c r="W31" s="38">
        <v>0</v>
      </c>
      <c r="X31" s="42">
        <f>V31-T31</f>
        <v>0</v>
      </c>
      <c r="Y31" s="42">
        <f>W31-U31</f>
        <v>0</v>
      </c>
      <c r="AA31" s="19"/>
      <c r="AB31" s="1" t="s">
        <v>0</v>
      </c>
      <c r="AC31" s="42"/>
      <c r="AE31" s="19"/>
    </row>
    <row r="32" spans="1:31 16126:16127" x14ac:dyDescent="0.25">
      <c r="B32" s="43"/>
      <c r="C32" s="45">
        <f t="shared" si="9"/>
        <v>2026092</v>
      </c>
      <c r="D32" s="111" t="str">
        <f t="shared" si="10"/>
        <v/>
      </c>
      <c r="E32" s="12">
        <v>200</v>
      </c>
      <c r="F32" s="12" t="str">
        <f>VLOOKUP(E32,'Códigos bancos'!$B$3:$D$27,2,0)</f>
        <v>Ciudad Limpia - Prestador</v>
      </c>
      <c r="G32" s="45">
        <v>1</v>
      </c>
      <c r="H32" s="45" t="str">
        <f>VLOOKUP(G32,'Códigos bancos'!$F$3:$G$18,2,0)</f>
        <v>Oficinas</v>
      </c>
      <c r="I32" s="44" t="s">
        <v>91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42">
        <f t="shared" ref="T32:T44" si="11">J32+L32+N32+P32+R32</f>
        <v>0</v>
      </c>
      <c r="U32" s="42">
        <f t="shared" ref="U32:U44" si="12">K32+M32+O32+Q32+S32</f>
        <v>0</v>
      </c>
      <c r="V32" s="38">
        <v>0</v>
      </c>
      <c r="W32" s="38">
        <v>0</v>
      </c>
      <c r="X32" s="42">
        <f t="shared" ref="X32:X44" si="13">V32-T32</f>
        <v>0</v>
      </c>
      <c r="Y32" s="42">
        <f t="shared" ref="Y32:Y44" si="14">W32-U32</f>
        <v>0</v>
      </c>
      <c r="AA32" s="19"/>
      <c r="AC32" s="42"/>
      <c r="AE32" s="19"/>
    </row>
    <row r="33" spans="1:31" x14ac:dyDescent="0.25">
      <c r="B33" s="43"/>
      <c r="C33" s="45">
        <f t="shared" si="9"/>
        <v>2026092</v>
      </c>
      <c r="D33" s="111" t="str">
        <f t="shared" si="10"/>
        <v/>
      </c>
      <c r="E33" s="12">
        <v>200</v>
      </c>
      <c r="F33" s="12" t="str">
        <f>VLOOKUP(E33,'Códigos bancos'!$B$3:$D$27,2,0)</f>
        <v>Ciudad Limpia - Prestador</v>
      </c>
      <c r="G33" s="45">
        <v>1</v>
      </c>
      <c r="H33" s="45" t="str">
        <f>VLOOKUP(G33,'Códigos bancos'!$F$3:$G$18,2,0)</f>
        <v>Oficinas</v>
      </c>
      <c r="I33" s="44" t="s">
        <v>91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42">
        <f t="shared" si="11"/>
        <v>0</v>
      </c>
      <c r="U33" s="42">
        <f t="shared" si="12"/>
        <v>0</v>
      </c>
      <c r="V33" s="38">
        <v>0</v>
      </c>
      <c r="W33" s="38">
        <v>0</v>
      </c>
      <c r="X33" s="42">
        <f t="shared" si="13"/>
        <v>0</v>
      </c>
      <c r="Y33" s="42">
        <f t="shared" si="14"/>
        <v>0</v>
      </c>
      <c r="AA33" s="19"/>
      <c r="AC33" s="42"/>
      <c r="AE33" s="19"/>
    </row>
    <row r="34" spans="1:31" x14ac:dyDescent="0.25">
      <c r="B34" s="43"/>
      <c r="C34" s="45">
        <f t="shared" si="9"/>
        <v>2026092</v>
      </c>
      <c r="D34" s="111" t="str">
        <f t="shared" si="10"/>
        <v/>
      </c>
      <c r="E34" s="12">
        <v>200</v>
      </c>
      <c r="F34" s="12" t="str">
        <f>VLOOKUP(E34,'Códigos bancos'!$B$3:$D$27,2,0)</f>
        <v>Ciudad Limpia - Prestador</v>
      </c>
      <c r="G34" s="45">
        <v>1</v>
      </c>
      <c r="H34" s="45" t="str">
        <f>VLOOKUP(G34,'Códigos bancos'!$F$3:$G$18,2,0)</f>
        <v>Oficinas</v>
      </c>
      <c r="I34" s="44" t="s">
        <v>91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42">
        <f t="shared" si="11"/>
        <v>0</v>
      </c>
      <c r="U34" s="42">
        <f t="shared" si="12"/>
        <v>0</v>
      </c>
      <c r="V34" s="38">
        <v>0</v>
      </c>
      <c r="W34" s="38">
        <v>0</v>
      </c>
      <c r="X34" s="42">
        <f t="shared" si="13"/>
        <v>0</v>
      </c>
      <c r="Y34" s="42">
        <f t="shared" si="14"/>
        <v>0</v>
      </c>
      <c r="AA34" s="19"/>
      <c r="AC34" s="42"/>
      <c r="AE34" s="19"/>
    </row>
    <row r="35" spans="1:31" x14ac:dyDescent="0.25">
      <c r="B35" s="43"/>
      <c r="C35" s="45">
        <f t="shared" si="9"/>
        <v>2026092</v>
      </c>
      <c r="D35" s="111" t="str">
        <f t="shared" si="10"/>
        <v/>
      </c>
      <c r="E35" s="12">
        <v>200</v>
      </c>
      <c r="F35" s="12" t="str">
        <f>VLOOKUP(E35,'Códigos bancos'!$B$3:$D$27,2,0)</f>
        <v>Ciudad Limpia - Prestador</v>
      </c>
      <c r="G35" s="45">
        <v>1</v>
      </c>
      <c r="H35" s="45" t="str">
        <f>VLOOKUP(G35,'Códigos bancos'!$F$3:$G$18,2,0)</f>
        <v>Oficinas</v>
      </c>
      <c r="I35" s="44" t="s">
        <v>91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42">
        <f t="shared" si="11"/>
        <v>0</v>
      </c>
      <c r="U35" s="42">
        <f t="shared" si="12"/>
        <v>0</v>
      </c>
      <c r="V35" s="38">
        <v>0</v>
      </c>
      <c r="W35" s="38">
        <v>0</v>
      </c>
      <c r="X35" s="42">
        <f t="shared" si="13"/>
        <v>0</v>
      </c>
      <c r="Y35" s="42">
        <f t="shared" si="14"/>
        <v>0</v>
      </c>
      <c r="AA35" s="19"/>
      <c r="AC35" s="42"/>
      <c r="AE35" s="19"/>
    </row>
    <row r="36" spans="1:31" x14ac:dyDescent="0.25">
      <c r="B36" s="43"/>
      <c r="C36" s="45">
        <f t="shared" si="9"/>
        <v>2026092</v>
      </c>
      <c r="D36" s="111" t="str">
        <f t="shared" si="10"/>
        <v/>
      </c>
      <c r="E36" s="12">
        <v>200</v>
      </c>
      <c r="F36" s="12" t="str">
        <f>VLOOKUP(E36,'Códigos bancos'!$B$3:$D$27,2,0)</f>
        <v>Ciudad Limpia - Prestador</v>
      </c>
      <c r="G36" s="45">
        <v>1</v>
      </c>
      <c r="H36" s="45" t="str">
        <f>VLOOKUP(G36,'Códigos bancos'!$F$3:$G$18,2,0)</f>
        <v>Oficinas</v>
      </c>
      <c r="I36" s="44" t="s">
        <v>91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42">
        <f t="shared" si="11"/>
        <v>0</v>
      </c>
      <c r="U36" s="42">
        <f t="shared" si="12"/>
        <v>0</v>
      </c>
      <c r="V36" s="38">
        <v>0</v>
      </c>
      <c r="W36" s="38">
        <v>0</v>
      </c>
      <c r="X36" s="42">
        <f t="shared" si="13"/>
        <v>0</v>
      </c>
      <c r="Y36" s="42">
        <f t="shared" si="14"/>
        <v>0</v>
      </c>
      <c r="AA36" s="19"/>
      <c r="AB36" s="1" t="s">
        <v>0</v>
      </c>
      <c r="AC36" s="42"/>
      <c r="AE36" s="19"/>
    </row>
    <row r="37" spans="1:31" x14ac:dyDescent="0.25">
      <c r="B37" s="43"/>
      <c r="C37" s="45">
        <f t="shared" si="9"/>
        <v>2026092</v>
      </c>
      <c r="D37" s="111" t="str">
        <f t="shared" si="10"/>
        <v/>
      </c>
      <c r="E37" s="12">
        <v>200</v>
      </c>
      <c r="F37" s="12" t="str">
        <f>VLOOKUP(E37,'Códigos bancos'!$B$3:$D$27,2,0)</f>
        <v>Ciudad Limpia - Prestador</v>
      </c>
      <c r="G37" s="45">
        <v>1</v>
      </c>
      <c r="H37" s="45" t="str">
        <f>VLOOKUP(G37,'Códigos bancos'!$F$3:$G$18,2,0)</f>
        <v>Oficinas</v>
      </c>
      <c r="I37" s="44" t="s">
        <v>91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42">
        <f t="shared" si="11"/>
        <v>0</v>
      </c>
      <c r="U37" s="42">
        <f t="shared" si="12"/>
        <v>0</v>
      </c>
      <c r="V37" s="38">
        <v>0</v>
      </c>
      <c r="W37" s="38">
        <v>0</v>
      </c>
      <c r="X37" s="42">
        <f t="shared" si="13"/>
        <v>0</v>
      </c>
      <c r="Y37" s="42">
        <f t="shared" si="14"/>
        <v>0</v>
      </c>
      <c r="AA37" s="19"/>
      <c r="AC37" s="42"/>
      <c r="AE37" s="19"/>
    </row>
    <row r="38" spans="1:31" x14ac:dyDescent="0.25">
      <c r="B38" s="43"/>
      <c r="C38" s="45">
        <f t="shared" si="9"/>
        <v>2026092</v>
      </c>
      <c r="D38" s="111" t="str">
        <f t="shared" si="10"/>
        <v/>
      </c>
      <c r="E38" s="12">
        <v>201</v>
      </c>
      <c r="F38" s="12" t="str">
        <f>VLOOKUP(E38,'Códigos bancos'!$B$3:$D$27,2,0)</f>
        <v>EAAB - Prestador</v>
      </c>
      <c r="G38" s="45">
        <v>1</v>
      </c>
      <c r="H38" s="45" t="str">
        <f>VLOOKUP(G38,'Códigos bancos'!$F$3:$G$18,2,0)</f>
        <v>Oficinas</v>
      </c>
      <c r="I38" s="44" t="s">
        <v>91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42">
        <f t="shared" si="11"/>
        <v>0</v>
      </c>
      <c r="U38" s="42">
        <f t="shared" si="12"/>
        <v>0</v>
      </c>
      <c r="V38" s="38">
        <v>0</v>
      </c>
      <c r="W38" s="38">
        <v>0</v>
      </c>
      <c r="X38" s="42">
        <f t="shared" si="13"/>
        <v>0</v>
      </c>
      <c r="Y38" s="42">
        <f t="shared" si="14"/>
        <v>0</v>
      </c>
      <c r="AA38" s="19"/>
      <c r="AC38" s="141" t="s">
        <v>104</v>
      </c>
      <c r="AE38" s="19"/>
    </row>
    <row r="39" spans="1:31" x14ac:dyDescent="0.25">
      <c r="B39" s="43"/>
      <c r="C39" s="45">
        <f t="shared" si="9"/>
        <v>2026092</v>
      </c>
      <c r="D39" s="111" t="str">
        <f t="shared" si="10"/>
        <v/>
      </c>
      <c r="E39" s="12">
        <v>201</v>
      </c>
      <c r="F39" s="12" t="str">
        <f>VLOOKUP(E39,'Códigos bancos'!$B$3:$D$27,2,0)</f>
        <v>EAAB - Prestador</v>
      </c>
      <c r="G39" s="45">
        <v>1</v>
      </c>
      <c r="H39" s="45" t="str">
        <f>VLOOKUP(G39,'Códigos bancos'!$F$3:$G$18,2,0)</f>
        <v>Oficinas</v>
      </c>
      <c r="I39" s="44" t="s">
        <v>91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42">
        <f t="shared" si="11"/>
        <v>0</v>
      </c>
      <c r="U39" s="42">
        <f t="shared" si="12"/>
        <v>0</v>
      </c>
      <c r="V39" s="38">
        <v>0</v>
      </c>
      <c r="W39" s="38">
        <v>0</v>
      </c>
      <c r="X39" s="42">
        <f t="shared" si="13"/>
        <v>0</v>
      </c>
      <c r="Y39" s="42">
        <f t="shared" si="14"/>
        <v>0</v>
      </c>
      <c r="AA39" s="19"/>
      <c r="AC39" s="89"/>
      <c r="AE39" s="19"/>
    </row>
    <row r="40" spans="1:31" x14ac:dyDescent="0.25">
      <c r="B40" s="43"/>
      <c r="C40" s="45">
        <f t="shared" si="9"/>
        <v>2026092</v>
      </c>
      <c r="D40" s="111" t="str">
        <f t="shared" si="10"/>
        <v/>
      </c>
      <c r="E40" s="12">
        <v>201</v>
      </c>
      <c r="F40" s="12" t="str">
        <f>VLOOKUP(E40,'Códigos bancos'!$B$3:$D$27,2,0)</f>
        <v>EAAB - Prestador</v>
      </c>
      <c r="G40" s="45">
        <v>1</v>
      </c>
      <c r="H40" s="45" t="str">
        <f>VLOOKUP(G40,'Códigos bancos'!$F$3:$G$18,2,0)</f>
        <v>Oficinas</v>
      </c>
      <c r="I40" s="44" t="s">
        <v>91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42">
        <f t="shared" si="11"/>
        <v>0</v>
      </c>
      <c r="U40" s="42">
        <f t="shared" si="12"/>
        <v>0</v>
      </c>
      <c r="V40" s="38">
        <v>0</v>
      </c>
      <c r="W40" s="38">
        <v>0</v>
      </c>
      <c r="X40" s="42">
        <f t="shared" si="13"/>
        <v>0</v>
      </c>
      <c r="Y40" s="42">
        <f t="shared" si="14"/>
        <v>0</v>
      </c>
      <c r="AA40" s="19"/>
      <c r="AC40" s="89"/>
      <c r="AE40" s="19"/>
    </row>
    <row r="41" spans="1:31" x14ac:dyDescent="0.25">
      <c r="B41" s="43"/>
      <c r="C41" s="45">
        <f t="shared" si="9"/>
        <v>2026092</v>
      </c>
      <c r="D41" s="111" t="str">
        <f t="shared" si="10"/>
        <v/>
      </c>
      <c r="E41" s="12">
        <v>201</v>
      </c>
      <c r="F41" s="12" t="str">
        <f>VLOOKUP(E41,'Códigos bancos'!$B$3:$D$27,2,0)</f>
        <v>EAAB - Prestador</v>
      </c>
      <c r="G41" s="45">
        <v>1</v>
      </c>
      <c r="H41" s="45" t="str">
        <f>VLOOKUP(G41,'Códigos bancos'!$F$3:$G$18,2,0)</f>
        <v>Oficinas</v>
      </c>
      <c r="I41" s="44" t="s">
        <v>91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42">
        <f t="shared" si="11"/>
        <v>0</v>
      </c>
      <c r="U41" s="42">
        <f t="shared" si="12"/>
        <v>0</v>
      </c>
      <c r="V41" s="38">
        <v>0</v>
      </c>
      <c r="W41" s="38">
        <v>0</v>
      </c>
      <c r="X41" s="42">
        <f t="shared" si="13"/>
        <v>0</v>
      </c>
      <c r="Y41" s="42">
        <f t="shared" si="14"/>
        <v>0</v>
      </c>
      <c r="AA41" s="19"/>
      <c r="AC41" s="89"/>
      <c r="AE41" s="19"/>
    </row>
    <row r="42" spans="1:31" x14ac:dyDescent="0.25">
      <c r="B42" s="43"/>
      <c r="C42" s="45">
        <f t="shared" si="9"/>
        <v>2026092</v>
      </c>
      <c r="D42" s="111" t="str">
        <f t="shared" si="10"/>
        <v/>
      </c>
      <c r="E42" s="12">
        <v>201</v>
      </c>
      <c r="F42" s="12" t="str">
        <f>VLOOKUP(E42,'Códigos bancos'!$B$3:$D$27,2,0)</f>
        <v>EAAB - Prestador</v>
      </c>
      <c r="G42" s="45">
        <v>1</v>
      </c>
      <c r="H42" s="45" t="str">
        <f>VLOOKUP(G42,'Códigos bancos'!$F$3:$G$18,2,0)</f>
        <v>Oficinas</v>
      </c>
      <c r="I42" s="44" t="s">
        <v>91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42">
        <f t="shared" si="11"/>
        <v>0</v>
      </c>
      <c r="U42" s="42">
        <f t="shared" si="12"/>
        <v>0</v>
      </c>
      <c r="V42" s="38">
        <v>0</v>
      </c>
      <c r="W42" s="38">
        <v>0</v>
      </c>
      <c r="X42" s="42">
        <f t="shared" si="13"/>
        <v>0</v>
      </c>
      <c r="Y42" s="42">
        <f t="shared" si="14"/>
        <v>0</v>
      </c>
      <c r="AA42" s="19"/>
      <c r="AC42" s="89"/>
      <c r="AE42" s="19"/>
    </row>
    <row r="43" spans="1:31" x14ac:dyDescent="0.25">
      <c r="B43" s="43"/>
      <c r="C43" s="45">
        <f t="shared" si="9"/>
        <v>2026092</v>
      </c>
      <c r="D43" s="111" t="str">
        <f t="shared" si="10"/>
        <v/>
      </c>
      <c r="E43" s="12">
        <v>201</v>
      </c>
      <c r="F43" s="12" t="str">
        <f>VLOOKUP(E43,'Códigos bancos'!$B$3:$D$27,2,0)</f>
        <v>EAAB - Prestador</v>
      </c>
      <c r="G43" s="45">
        <v>1</v>
      </c>
      <c r="H43" s="45" t="str">
        <f>VLOOKUP(G43,'Códigos bancos'!$F$3:$G$18,2,0)</f>
        <v>Oficinas</v>
      </c>
      <c r="I43" s="44" t="s">
        <v>91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42">
        <f t="shared" si="11"/>
        <v>0</v>
      </c>
      <c r="U43" s="42">
        <f t="shared" si="12"/>
        <v>0</v>
      </c>
      <c r="V43" s="38">
        <v>0</v>
      </c>
      <c r="W43" s="38">
        <v>0</v>
      </c>
      <c r="X43" s="42">
        <f t="shared" si="13"/>
        <v>0</v>
      </c>
      <c r="Y43" s="42">
        <f t="shared" si="14"/>
        <v>0</v>
      </c>
      <c r="AA43" s="19"/>
      <c r="AC43" s="89"/>
      <c r="AE43" s="19"/>
    </row>
    <row r="44" spans="1:31" x14ac:dyDescent="0.25">
      <c r="B44" s="43"/>
      <c r="C44" s="45">
        <f t="shared" si="9"/>
        <v>2026092</v>
      </c>
      <c r="D44" s="111" t="str">
        <f t="shared" si="10"/>
        <v/>
      </c>
      <c r="E44" s="12">
        <v>201</v>
      </c>
      <c r="F44" s="12" t="str">
        <f>VLOOKUP(E44,'Códigos bancos'!$B$3:$D$27,2,0)</f>
        <v>EAAB - Prestador</v>
      </c>
      <c r="G44" s="45">
        <v>1</v>
      </c>
      <c r="H44" s="45" t="str">
        <f>VLOOKUP(G44,'Códigos bancos'!$F$3:$G$18,2,0)</f>
        <v>Oficinas</v>
      </c>
      <c r="I44" s="44" t="s">
        <v>91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42">
        <f t="shared" si="11"/>
        <v>0</v>
      </c>
      <c r="U44" s="42">
        <f t="shared" si="12"/>
        <v>0</v>
      </c>
      <c r="V44" s="38">
        <v>0</v>
      </c>
      <c r="W44" s="38">
        <v>0</v>
      </c>
      <c r="X44" s="42">
        <f t="shared" si="13"/>
        <v>0</v>
      </c>
      <c r="Y44" s="42">
        <f t="shared" si="14"/>
        <v>0</v>
      </c>
      <c r="AA44" s="19"/>
      <c r="AC44" s="89"/>
      <c r="AE44" s="19"/>
    </row>
    <row r="45" spans="1:31" x14ac:dyDescent="0.25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  <c r="AE45" s="19"/>
    </row>
    <row r="46" spans="1:31" x14ac:dyDescent="0.25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  <c r="AB46" s="19"/>
      <c r="AC46" s="19"/>
      <c r="AD46" s="19"/>
      <c r="AE46" s="19"/>
    </row>
  </sheetData>
  <phoneticPr fontId="17" type="noConversion"/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>
      <selection activeCell="I9" sqref="I9"/>
    </sheetView>
  </sheetViews>
  <sheetFormatPr baseColWidth="10" defaultColWidth="11.453125" defaultRowHeight="12.5" x14ac:dyDescent="0.25"/>
  <cols>
    <col min="1" max="1" width="2.1796875" style="112" customWidth="1"/>
    <col min="2" max="2" width="26.1796875" style="112" bestFit="1" customWidth="1"/>
    <col min="3" max="3" width="7.1796875" style="112" customWidth="1"/>
    <col min="4" max="4" width="15.453125" style="113" customWidth="1"/>
    <col min="5" max="5" width="20.453125" style="113" customWidth="1"/>
    <col min="6" max="6" width="15.453125" style="113" customWidth="1"/>
    <col min="7" max="7" width="20.453125" style="113" customWidth="1"/>
    <col min="8" max="8" width="3.81640625" style="113" customWidth="1"/>
    <col min="9" max="10" width="26.54296875" style="113" bestFit="1" customWidth="1"/>
    <col min="11" max="13" width="19.81640625" style="113" customWidth="1"/>
    <col min="14" max="16384" width="11.453125" style="112"/>
  </cols>
  <sheetData>
    <row r="1" spans="2:13" ht="13" thickBot="1" x14ac:dyDescent="0.3"/>
    <row r="2" spans="2:13" s="114" customFormat="1" ht="13.5" thickBot="1" x14ac:dyDescent="0.35">
      <c r="B2" s="114" t="s">
        <v>89</v>
      </c>
      <c r="C2" s="115" t="s">
        <v>96</v>
      </c>
      <c r="D2" s="116" t="s">
        <v>97</v>
      </c>
      <c r="E2" s="117" t="s">
        <v>98</v>
      </c>
      <c r="F2" s="117" t="s">
        <v>99</v>
      </c>
      <c r="G2" s="118" t="s">
        <v>100</v>
      </c>
      <c r="H2" s="119"/>
      <c r="I2" s="119"/>
      <c r="M2" s="119"/>
    </row>
    <row r="3" spans="2:13" x14ac:dyDescent="0.25">
      <c r="C3" s="120">
        <v>1</v>
      </c>
      <c r="D3" s="121">
        <v>0</v>
      </c>
      <c r="E3" s="121">
        <v>0</v>
      </c>
      <c r="F3" s="121">
        <v>0</v>
      </c>
      <c r="G3" s="121">
        <v>0</v>
      </c>
    </row>
    <row r="4" spans="2:13" x14ac:dyDescent="0.25">
      <c r="C4" s="124">
        <v>2</v>
      </c>
      <c r="D4" s="121">
        <v>0</v>
      </c>
      <c r="E4" s="121">
        <v>0</v>
      </c>
      <c r="F4" s="121">
        <v>0</v>
      </c>
      <c r="G4" s="121">
        <v>0</v>
      </c>
    </row>
    <row r="5" spans="2:13" x14ac:dyDescent="0.25">
      <c r="C5" s="124">
        <v>3</v>
      </c>
      <c r="D5" s="121">
        <v>0</v>
      </c>
      <c r="E5" s="121">
        <v>0</v>
      </c>
      <c r="F5" s="121">
        <v>0</v>
      </c>
      <c r="G5" s="121">
        <v>0</v>
      </c>
    </row>
    <row r="6" spans="2:13" x14ac:dyDescent="0.25">
      <c r="C6" s="124">
        <v>4</v>
      </c>
      <c r="D6" s="121">
        <v>0</v>
      </c>
      <c r="E6" s="121">
        <v>0</v>
      </c>
      <c r="F6" s="121">
        <v>0</v>
      </c>
      <c r="G6" s="121">
        <v>0</v>
      </c>
    </row>
    <row r="7" spans="2:13" x14ac:dyDescent="0.25">
      <c r="C7" s="124">
        <v>5</v>
      </c>
      <c r="D7" s="121">
        <v>0</v>
      </c>
      <c r="E7" s="121">
        <v>0</v>
      </c>
      <c r="F7" s="121">
        <v>0</v>
      </c>
      <c r="G7" s="121">
        <v>0</v>
      </c>
    </row>
    <row r="8" spans="2:13" ht="13" thickBot="1" x14ac:dyDescent="0.3">
      <c r="C8" s="127" t="s">
        <v>101</v>
      </c>
      <c r="D8" s="128"/>
      <c r="E8" s="129"/>
      <c r="F8" s="129"/>
      <c r="G8" s="130"/>
    </row>
    <row r="9" spans="2:13" ht="13.5" thickBot="1" x14ac:dyDescent="0.35">
      <c r="D9" s="131">
        <v>0</v>
      </c>
      <c r="E9" s="131">
        <v>0</v>
      </c>
      <c r="F9" s="131">
        <v>0</v>
      </c>
      <c r="G9" s="131">
        <v>0</v>
      </c>
    </row>
    <row r="10" spans="2:13" ht="13" thickBot="1" x14ac:dyDescent="0.3"/>
    <row r="11" spans="2:13" s="114" customFormat="1" ht="13.5" thickBot="1" x14ac:dyDescent="0.35">
      <c r="C11" s="115" t="s">
        <v>96</v>
      </c>
      <c r="D11" s="116" t="s">
        <v>97</v>
      </c>
      <c r="E11" s="117" t="s">
        <v>98</v>
      </c>
      <c r="F11" s="117" t="s">
        <v>99</v>
      </c>
      <c r="G11" s="118" t="s">
        <v>100</v>
      </c>
      <c r="H11" s="119"/>
      <c r="I11" s="119"/>
      <c r="J11" s="119"/>
      <c r="K11" s="119"/>
      <c r="L11" s="119"/>
      <c r="M11" s="119"/>
    </row>
    <row r="12" spans="2:13" ht="13" x14ac:dyDescent="0.3">
      <c r="B12" s="132" t="s">
        <v>90</v>
      </c>
      <c r="C12" s="120">
        <v>1</v>
      </c>
      <c r="D12" s="121">
        <v>0</v>
      </c>
      <c r="E12" s="121">
        <v>0</v>
      </c>
      <c r="F12" s="121">
        <v>0</v>
      </c>
      <c r="G12" s="121">
        <v>0</v>
      </c>
    </row>
    <row r="13" spans="2:13" x14ac:dyDescent="0.25">
      <c r="C13" s="124">
        <v>2</v>
      </c>
      <c r="D13" s="121">
        <v>0</v>
      </c>
      <c r="E13" s="121">
        <v>0</v>
      </c>
      <c r="F13" s="121">
        <v>0</v>
      </c>
      <c r="G13" s="121">
        <v>0</v>
      </c>
    </row>
    <row r="14" spans="2:13" x14ac:dyDescent="0.25">
      <c r="C14" s="124">
        <v>3</v>
      </c>
      <c r="D14" s="121">
        <v>0</v>
      </c>
      <c r="E14" s="121">
        <v>0</v>
      </c>
      <c r="F14" s="121">
        <v>0</v>
      </c>
      <c r="G14" s="121">
        <v>0</v>
      </c>
    </row>
    <row r="15" spans="2:13" x14ac:dyDescent="0.25">
      <c r="C15" s="124">
        <v>4</v>
      </c>
      <c r="D15" s="121">
        <v>0</v>
      </c>
      <c r="E15" s="121">
        <v>0</v>
      </c>
      <c r="F15" s="121">
        <v>0</v>
      </c>
      <c r="G15" s="121">
        <v>0</v>
      </c>
    </row>
    <row r="16" spans="2:13" x14ac:dyDescent="0.25">
      <c r="C16" s="124">
        <v>5</v>
      </c>
      <c r="D16" s="121">
        <v>0</v>
      </c>
      <c r="E16" s="121">
        <v>0</v>
      </c>
      <c r="F16" s="121">
        <v>0</v>
      </c>
      <c r="G16" s="121">
        <v>0</v>
      </c>
    </row>
    <row r="17" spans="2:10" ht="13" thickBot="1" x14ac:dyDescent="0.3">
      <c r="C17" s="127" t="s">
        <v>101</v>
      </c>
      <c r="D17" s="128"/>
      <c r="E17" s="129"/>
      <c r="F17" s="129"/>
      <c r="G17" s="130"/>
    </row>
    <row r="18" spans="2:10" ht="13.5" thickBot="1" x14ac:dyDescent="0.35">
      <c r="D18" s="131">
        <v>0</v>
      </c>
      <c r="E18" s="131">
        <v>0</v>
      </c>
      <c r="F18" s="131">
        <v>0</v>
      </c>
      <c r="G18" s="131">
        <v>0</v>
      </c>
    </row>
    <row r="19" spans="2:10" ht="13" thickBot="1" x14ac:dyDescent="0.3"/>
    <row r="20" spans="2:10" ht="13.5" thickBot="1" x14ac:dyDescent="0.35">
      <c r="C20" s="115" t="s">
        <v>96</v>
      </c>
      <c r="D20" s="116" t="s">
        <v>97</v>
      </c>
      <c r="E20" s="117" t="s">
        <v>98</v>
      </c>
      <c r="F20" s="117" t="s">
        <v>99</v>
      </c>
      <c r="G20" s="118" t="s">
        <v>100</v>
      </c>
      <c r="I20" s="133" t="s">
        <v>102</v>
      </c>
      <c r="J20" s="134" t="s">
        <v>103</v>
      </c>
    </row>
    <row r="21" spans="2:10" s="113" customFormat="1" ht="13" x14ac:dyDescent="0.3">
      <c r="B21" s="135" t="s">
        <v>95</v>
      </c>
      <c r="C21" s="120">
        <v>1</v>
      </c>
      <c r="D21" s="121">
        <v>0</v>
      </c>
      <c r="E21" s="122">
        <v>0</v>
      </c>
      <c r="F21" s="122">
        <v>0</v>
      </c>
      <c r="G21" s="123">
        <v>0</v>
      </c>
      <c r="I21" s="121">
        <v>0</v>
      </c>
      <c r="J21" s="123">
        <v>0</v>
      </c>
    </row>
    <row r="22" spans="2:10" s="113" customFormat="1" x14ac:dyDescent="0.25">
      <c r="B22" s="112"/>
      <c r="C22" s="124">
        <v>2</v>
      </c>
      <c r="D22" s="125">
        <v>0</v>
      </c>
      <c r="E22" s="27">
        <v>0</v>
      </c>
      <c r="F22" s="27">
        <v>0</v>
      </c>
      <c r="G22" s="126">
        <v>0</v>
      </c>
      <c r="I22" s="125">
        <v>0</v>
      </c>
      <c r="J22" s="126">
        <v>0</v>
      </c>
    </row>
    <row r="23" spans="2:10" s="113" customFormat="1" x14ac:dyDescent="0.25">
      <c r="B23" s="112"/>
      <c r="C23" s="124">
        <v>3</v>
      </c>
      <c r="D23" s="125">
        <v>0</v>
      </c>
      <c r="E23" s="27">
        <v>0</v>
      </c>
      <c r="F23" s="27">
        <v>0</v>
      </c>
      <c r="G23" s="126">
        <v>0</v>
      </c>
      <c r="I23" s="125">
        <v>0</v>
      </c>
      <c r="J23" s="126">
        <v>0</v>
      </c>
    </row>
    <row r="24" spans="2:10" s="113" customFormat="1" x14ac:dyDescent="0.25">
      <c r="B24" s="112"/>
      <c r="C24" s="124">
        <v>4</v>
      </c>
      <c r="D24" s="125">
        <v>0</v>
      </c>
      <c r="E24" s="27">
        <v>0</v>
      </c>
      <c r="F24" s="27">
        <v>0</v>
      </c>
      <c r="G24" s="126">
        <v>0</v>
      </c>
      <c r="I24" s="125">
        <v>0</v>
      </c>
      <c r="J24" s="126">
        <v>0</v>
      </c>
    </row>
    <row r="25" spans="2:10" s="113" customFormat="1" x14ac:dyDescent="0.25">
      <c r="B25" s="112"/>
      <c r="C25" s="124">
        <v>5</v>
      </c>
      <c r="D25" s="125">
        <v>0</v>
      </c>
      <c r="E25" s="27">
        <v>0</v>
      </c>
      <c r="F25" s="27">
        <v>0</v>
      </c>
      <c r="G25" s="126">
        <v>0</v>
      </c>
      <c r="I25" s="125">
        <v>0</v>
      </c>
      <c r="J25" s="126">
        <v>0</v>
      </c>
    </row>
    <row r="26" spans="2:10" ht="13" thickBot="1" x14ac:dyDescent="0.3">
      <c r="C26" s="127" t="s">
        <v>101</v>
      </c>
      <c r="D26" s="128"/>
      <c r="E26" s="129"/>
      <c r="F26" s="129"/>
      <c r="G26" s="130"/>
      <c r="I26" s="136">
        <v>0</v>
      </c>
      <c r="J26" s="137">
        <v>0</v>
      </c>
    </row>
    <row r="27" spans="2:10" ht="13.5" thickBot="1" x14ac:dyDescent="0.35">
      <c r="D27" s="131">
        <v>0</v>
      </c>
      <c r="E27" s="131">
        <v>0</v>
      </c>
      <c r="F27" s="131">
        <v>0</v>
      </c>
      <c r="G27" s="131">
        <v>0</v>
      </c>
      <c r="I27" s="138">
        <v>0</v>
      </c>
      <c r="J27" s="13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baseColWidth="10" defaultRowHeight="12.5" x14ac:dyDescent="0.25"/>
  <cols>
    <col min="1" max="1" width="6" customWidth="1"/>
    <col min="2" max="2" width="8" bestFit="1" customWidth="1"/>
    <col min="3" max="3" width="8.453125" bestFit="1" customWidth="1"/>
    <col min="4" max="19" width="12.54296875" bestFit="1" customWidth="1"/>
  </cols>
  <sheetData>
    <row r="1" spans="1:26" ht="13" thickBot="1" x14ac:dyDescent="0.3"/>
    <row r="2" spans="1:26" ht="46.5" thickBot="1" x14ac:dyDescent="0.3">
      <c r="C2" s="20" t="s">
        <v>10</v>
      </c>
      <c r="D2" s="11" t="s">
        <v>14</v>
      </c>
      <c r="E2" s="11" t="s">
        <v>15</v>
      </c>
      <c r="F2" s="11" t="s">
        <v>16</v>
      </c>
      <c r="G2" s="11" t="s">
        <v>17</v>
      </c>
      <c r="H2" s="96" t="s">
        <v>18</v>
      </c>
      <c r="I2" s="97" t="s">
        <v>19</v>
      </c>
      <c r="J2" s="96" t="s">
        <v>20</v>
      </c>
      <c r="K2" s="97" t="s">
        <v>21</v>
      </c>
      <c r="L2" s="96" t="s">
        <v>22</v>
      </c>
      <c r="M2" s="97" t="s">
        <v>23</v>
      </c>
      <c r="N2" s="21" t="s">
        <v>24</v>
      </c>
      <c r="O2" s="21" t="s">
        <v>25</v>
      </c>
      <c r="P2" s="40" t="s">
        <v>26</v>
      </c>
      <c r="Q2" s="41" t="s">
        <v>27</v>
      </c>
      <c r="R2" s="11" t="s">
        <v>28</v>
      </c>
      <c r="S2" s="22" t="s">
        <v>29</v>
      </c>
    </row>
    <row r="3" spans="1:26" s="15" customFormat="1" ht="12" customHeight="1" x14ac:dyDescent="0.25">
      <c r="A3" s="13"/>
      <c r="B3" s="104">
        <f>Oportuno!C1</f>
        <v>2026091</v>
      </c>
      <c r="C3" s="105" t="s">
        <v>2</v>
      </c>
      <c r="D3" s="106">
        <f>SUM(Oportuno!J13:J19)</f>
        <v>0</v>
      </c>
      <c r="E3" s="106">
        <f>SUM(Oportuno!K13:K19)</f>
        <v>0</v>
      </c>
      <c r="F3" s="106">
        <f>SUM(Oportuno!L13:L19)</f>
        <v>0</v>
      </c>
      <c r="G3" s="106">
        <f>SUM(Oportuno!M13:M19)</f>
        <v>0</v>
      </c>
      <c r="H3" s="106">
        <f>SUM(Oportuno!N13:N19)</f>
        <v>0</v>
      </c>
      <c r="I3" s="106">
        <f>SUM(Oportuno!O13:O19)</f>
        <v>0</v>
      </c>
      <c r="J3" s="106">
        <f>SUM(Oportuno!P13:P19)</f>
        <v>0</v>
      </c>
      <c r="K3" s="106">
        <f>SUM(Oportuno!Q13:Q19)</f>
        <v>0</v>
      </c>
      <c r="L3" s="106">
        <f>SUM(Oportuno!R13:R19)</f>
        <v>0</v>
      </c>
      <c r="M3" s="106">
        <f>SUM(Oportuno!S13:S19)</f>
        <v>0</v>
      </c>
      <c r="N3" s="106">
        <f>SUM(Oportuno!T13:T19)</f>
        <v>0</v>
      </c>
      <c r="O3" s="106">
        <f>SUM(Oportuno!U13:U19)</f>
        <v>0</v>
      </c>
      <c r="P3" s="106">
        <f>SUM(Oportuno!V13:V19)</f>
        <v>0</v>
      </c>
      <c r="Q3" s="106">
        <f>SUM(Oportuno!W13:W19)</f>
        <v>0</v>
      </c>
      <c r="R3" s="106">
        <f>SUM(Oportuno!X13:X19)</f>
        <v>0</v>
      </c>
      <c r="S3" s="107">
        <f>SUM(Oportuno!Y13:Y19)</f>
        <v>0</v>
      </c>
      <c r="T3" s="13"/>
      <c r="U3" s="14"/>
      <c r="V3" s="13"/>
      <c r="W3" s="13"/>
      <c r="X3" s="13"/>
      <c r="Y3" s="13"/>
      <c r="Z3" s="13"/>
    </row>
    <row r="4" spans="1:26" s="15" customFormat="1" ht="12" customHeight="1" thickBot="1" x14ac:dyDescent="0.3">
      <c r="A4" s="13"/>
      <c r="B4" s="108">
        <f>B3</f>
        <v>2026091</v>
      </c>
      <c r="C4" s="98" t="s">
        <v>94</v>
      </c>
      <c r="D4" s="99">
        <f>SUM(Oportuno!J20:J26)</f>
        <v>0</v>
      </c>
      <c r="E4" s="99">
        <f>SUM(Oportuno!K20:K26)</f>
        <v>0</v>
      </c>
      <c r="F4" s="99">
        <f>SUM(Oportuno!L20:L26)</f>
        <v>0</v>
      </c>
      <c r="G4" s="99">
        <f>SUM(Oportuno!M20:M26)</f>
        <v>0</v>
      </c>
      <c r="H4" s="99">
        <f>SUM(Oportuno!N20:N26)</f>
        <v>0</v>
      </c>
      <c r="I4" s="99">
        <f>SUM(Oportuno!O20:O26)</f>
        <v>0</v>
      </c>
      <c r="J4" s="99">
        <f>SUM(Oportuno!P20:P26)</f>
        <v>0</v>
      </c>
      <c r="K4" s="99">
        <f>SUM(Oportuno!Q20:Q26)</f>
        <v>0</v>
      </c>
      <c r="L4" s="99">
        <f>SUM(Oportuno!R20:R26)</f>
        <v>0</v>
      </c>
      <c r="M4" s="99">
        <f>SUM(Oportuno!S20:S26)</f>
        <v>0</v>
      </c>
      <c r="N4" s="99">
        <f>SUM(Oportuno!T20:T26)</f>
        <v>0</v>
      </c>
      <c r="O4" s="99">
        <f>SUM(Oportuno!U20:U26)</f>
        <v>0</v>
      </c>
      <c r="P4" s="99">
        <f>SUM(Oportuno!V20:V26)</f>
        <v>0</v>
      </c>
      <c r="Q4" s="99">
        <f>SUM(Oportuno!W20:W26)</f>
        <v>0</v>
      </c>
      <c r="R4" s="99">
        <f>SUM(Oportuno!X20:X26)</f>
        <v>0</v>
      </c>
      <c r="S4" s="109">
        <f>SUM(Oportuno!Y20:Y26)</f>
        <v>0</v>
      </c>
      <c r="T4" s="13"/>
      <c r="U4" s="14"/>
      <c r="V4" s="13"/>
      <c r="W4" s="13"/>
      <c r="X4" s="13"/>
      <c r="Y4" s="13"/>
      <c r="Z4" s="13"/>
    </row>
    <row r="5" spans="1:26" s="15" customFormat="1" ht="12" customHeight="1" thickBot="1" x14ac:dyDescent="0.3">
      <c r="A5" s="13"/>
      <c r="B5" s="101">
        <f>B4</f>
        <v>2026091</v>
      </c>
      <c r="C5" s="100" t="s">
        <v>95</v>
      </c>
      <c r="D5" s="102">
        <f>SUM(D3:D4)</f>
        <v>0</v>
      </c>
      <c r="E5" s="102">
        <f t="shared" ref="E5:S5" si="0">SUM(E3:E4)</f>
        <v>0</v>
      </c>
      <c r="F5" s="102">
        <f t="shared" si="0"/>
        <v>0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2">
        <f t="shared" si="0"/>
        <v>0</v>
      </c>
      <c r="O5" s="102">
        <f t="shared" si="0"/>
        <v>0</v>
      </c>
      <c r="P5" s="102">
        <f t="shared" si="0"/>
        <v>0</v>
      </c>
      <c r="Q5" s="102">
        <f t="shared" si="0"/>
        <v>0</v>
      </c>
      <c r="R5" s="102">
        <f t="shared" si="0"/>
        <v>0</v>
      </c>
      <c r="S5" s="103">
        <f t="shared" si="0"/>
        <v>0</v>
      </c>
      <c r="T5" s="13"/>
      <c r="U5" s="13"/>
      <c r="V5" s="13"/>
      <c r="W5" s="13"/>
      <c r="X5" s="13"/>
      <c r="Y5" s="13"/>
      <c r="Z5" s="13"/>
    </row>
    <row r="6" spans="1:26" s="15" customFormat="1" ht="12" customHeight="1" thickBot="1" x14ac:dyDescent="0.3">
      <c r="A6" s="13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3"/>
      <c r="U6" s="13"/>
      <c r="V6" s="13"/>
      <c r="W6" s="13"/>
      <c r="X6" s="13"/>
      <c r="Y6" s="13"/>
      <c r="Z6" s="13"/>
    </row>
    <row r="7" spans="1:26" s="15" customFormat="1" ht="12" customHeight="1" x14ac:dyDescent="0.25">
      <c r="A7" s="13"/>
      <c r="B7" s="104">
        <f>Oportuno!C2</f>
        <v>2026092</v>
      </c>
      <c r="C7" s="105" t="s">
        <v>2</v>
      </c>
      <c r="D7" s="106">
        <f>SUM(Oportuno!J31:J37)</f>
        <v>0</v>
      </c>
      <c r="E7" s="106">
        <f>SUM(Oportuno!K31:K37)</f>
        <v>0</v>
      </c>
      <c r="F7" s="106">
        <f>SUM(Oportuno!L31:L37)</f>
        <v>0</v>
      </c>
      <c r="G7" s="106">
        <f>SUM(Oportuno!M31:M37)</f>
        <v>0</v>
      </c>
      <c r="H7" s="106">
        <f>SUM(Oportuno!N31:N37)</f>
        <v>0</v>
      </c>
      <c r="I7" s="106">
        <f>SUM(Oportuno!O31:O37)</f>
        <v>0</v>
      </c>
      <c r="J7" s="106">
        <f>SUM(Oportuno!P31:P37)</f>
        <v>0</v>
      </c>
      <c r="K7" s="106">
        <f>SUM(Oportuno!Q31:Q37)</f>
        <v>0</v>
      </c>
      <c r="L7" s="106">
        <f>SUM(Oportuno!R31:R37)</f>
        <v>0</v>
      </c>
      <c r="M7" s="106">
        <f>SUM(Oportuno!S31:S37)</f>
        <v>0</v>
      </c>
      <c r="N7" s="106">
        <f>SUM(Oportuno!T31:T37)</f>
        <v>0</v>
      </c>
      <c r="O7" s="106">
        <f>SUM(Oportuno!U31:U37)</f>
        <v>0</v>
      </c>
      <c r="P7" s="106">
        <f>SUM(Oportuno!V31:V37)</f>
        <v>0</v>
      </c>
      <c r="Q7" s="106">
        <f>SUM(Oportuno!W31:W37)</f>
        <v>0</v>
      </c>
      <c r="R7" s="106">
        <f>SUM(Oportuno!X31:X37)</f>
        <v>0</v>
      </c>
      <c r="S7" s="107">
        <f>SUM(Oportuno!Y31:Y37)</f>
        <v>0</v>
      </c>
      <c r="T7" s="13"/>
      <c r="U7" s="14"/>
      <c r="V7" s="13"/>
      <c r="W7" s="13"/>
      <c r="X7" s="13"/>
      <c r="Y7" s="13"/>
      <c r="Z7" s="13"/>
    </row>
    <row r="8" spans="1:26" s="15" customFormat="1" ht="12" customHeight="1" thickBot="1" x14ac:dyDescent="0.3">
      <c r="A8" s="13"/>
      <c r="B8" s="108">
        <f>B7</f>
        <v>2026092</v>
      </c>
      <c r="C8" s="98" t="s">
        <v>94</v>
      </c>
      <c r="D8" s="99">
        <f>SUM(Oportuno!J38:J44)</f>
        <v>0</v>
      </c>
      <c r="E8" s="99">
        <f>SUM(Oportuno!K38:K44)</f>
        <v>0</v>
      </c>
      <c r="F8" s="99">
        <f>SUM(Oportuno!L38:L44)</f>
        <v>0</v>
      </c>
      <c r="G8" s="99">
        <f>SUM(Oportuno!M38:M44)</f>
        <v>0</v>
      </c>
      <c r="H8" s="99">
        <f>SUM(Oportuno!N38:N44)</f>
        <v>0</v>
      </c>
      <c r="I8" s="99">
        <f>SUM(Oportuno!O38:O44)</f>
        <v>0</v>
      </c>
      <c r="J8" s="99">
        <f>SUM(Oportuno!P38:P44)</f>
        <v>0</v>
      </c>
      <c r="K8" s="99">
        <f>SUM(Oportuno!Q38:Q44)</f>
        <v>0</v>
      </c>
      <c r="L8" s="99">
        <f>SUM(Oportuno!R38:R44)</f>
        <v>0</v>
      </c>
      <c r="M8" s="99">
        <f>SUM(Oportuno!S38:S44)</f>
        <v>0</v>
      </c>
      <c r="N8" s="99">
        <f>SUM(Oportuno!T38:T44)</f>
        <v>0</v>
      </c>
      <c r="O8" s="99">
        <f>SUM(Oportuno!U38:U44)</f>
        <v>0</v>
      </c>
      <c r="P8" s="99">
        <f>SUM(Oportuno!V38:V44)</f>
        <v>0</v>
      </c>
      <c r="Q8" s="99">
        <f>SUM(Oportuno!W38:W44)</f>
        <v>0</v>
      </c>
      <c r="R8" s="99">
        <f>SUM(Oportuno!X38:X44)</f>
        <v>0</v>
      </c>
      <c r="S8" s="109">
        <f>SUM(Oportuno!Y38:Y44)</f>
        <v>0</v>
      </c>
      <c r="T8" s="13"/>
      <c r="U8" s="14"/>
      <c r="V8" s="13"/>
      <c r="W8" s="13"/>
      <c r="X8" s="13"/>
      <c r="Y8" s="13"/>
      <c r="Z8" s="13"/>
    </row>
    <row r="9" spans="1:26" s="15" customFormat="1" ht="12" customHeight="1" thickBot="1" x14ac:dyDescent="0.3">
      <c r="A9" s="13"/>
      <c r="B9" s="101">
        <f>B8</f>
        <v>2026092</v>
      </c>
      <c r="C9" s="100" t="s">
        <v>95</v>
      </c>
      <c r="D9" s="102">
        <f>SUM(D7:D8)</f>
        <v>0</v>
      </c>
      <c r="E9" s="102">
        <f t="shared" ref="E9:S9" si="1">SUM(E7:E8)</f>
        <v>0</v>
      </c>
      <c r="F9" s="102">
        <f t="shared" si="1"/>
        <v>0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2">
        <f t="shared" si="1"/>
        <v>0</v>
      </c>
      <c r="O9" s="102">
        <f t="shared" si="1"/>
        <v>0</v>
      </c>
      <c r="P9" s="102">
        <f t="shared" si="1"/>
        <v>0</v>
      </c>
      <c r="Q9" s="102">
        <f t="shared" si="1"/>
        <v>0</v>
      </c>
      <c r="R9" s="102">
        <f t="shared" si="1"/>
        <v>0</v>
      </c>
      <c r="S9" s="103">
        <f t="shared" si="1"/>
        <v>0</v>
      </c>
      <c r="T9" s="13"/>
      <c r="U9" s="13"/>
      <c r="V9" s="13"/>
      <c r="W9" s="13"/>
      <c r="X9" s="13"/>
      <c r="Y9" s="13"/>
      <c r="Z9" s="13"/>
    </row>
    <row r="10" spans="1:26" s="15" customFormat="1" ht="12" customHeight="1" thickBot="1" x14ac:dyDescent="0.3">
      <c r="A10" s="13"/>
      <c r="B10" s="16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3"/>
      <c r="U10" s="13"/>
      <c r="V10" s="13"/>
      <c r="W10" s="13"/>
      <c r="X10" s="13"/>
      <c r="Y10" s="13"/>
      <c r="Z10" s="13"/>
    </row>
    <row r="11" spans="1:26" s="15" customFormat="1" ht="12" customHeight="1" x14ac:dyDescent="0.25">
      <c r="A11" s="13"/>
      <c r="B11" s="104">
        <f>Oportuno!C3</f>
        <v>202609</v>
      </c>
      <c r="C11" s="105" t="s">
        <v>2</v>
      </c>
      <c r="D11" s="106">
        <f>D3+D7</f>
        <v>0</v>
      </c>
      <c r="E11" s="106">
        <f t="shared" ref="E11:S11" si="2">E3+E7</f>
        <v>0</v>
      </c>
      <c r="F11" s="106">
        <f t="shared" si="2"/>
        <v>0</v>
      </c>
      <c r="G11" s="106">
        <f t="shared" si="2"/>
        <v>0</v>
      </c>
      <c r="H11" s="106">
        <f t="shared" si="2"/>
        <v>0</v>
      </c>
      <c r="I11" s="106">
        <f t="shared" si="2"/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M11" s="106">
        <f t="shared" si="2"/>
        <v>0</v>
      </c>
      <c r="N11" s="106">
        <f t="shared" si="2"/>
        <v>0</v>
      </c>
      <c r="O11" s="106">
        <f t="shared" si="2"/>
        <v>0</v>
      </c>
      <c r="P11" s="106">
        <f t="shared" si="2"/>
        <v>0</v>
      </c>
      <c r="Q11" s="106">
        <f t="shared" si="2"/>
        <v>0</v>
      </c>
      <c r="R11" s="106">
        <f t="shared" si="2"/>
        <v>0</v>
      </c>
      <c r="S11" s="107">
        <f t="shared" si="2"/>
        <v>0</v>
      </c>
      <c r="T11" s="13"/>
      <c r="U11" s="14"/>
      <c r="V11" s="13"/>
      <c r="W11" s="13"/>
      <c r="X11" s="13"/>
      <c r="Y11" s="13"/>
      <c r="Z11" s="13"/>
    </row>
    <row r="12" spans="1:26" s="15" customFormat="1" ht="12" customHeight="1" thickBot="1" x14ac:dyDescent="0.3">
      <c r="A12" s="13"/>
      <c r="B12" s="108">
        <f>B11</f>
        <v>202609</v>
      </c>
      <c r="C12" s="98" t="s">
        <v>94</v>
      </c>
      <c r="D12" s="99">
        <f>D4+D8</f>
        <v>0</v>
      </c>
      <c r="E12" s="99">
        <f t="shared" ref="E12:S12" si="3">E4+E8</f>
        <v>0</v>
      </c>
      <c r="F12" s="99">
        <f t="shared" si="3"/>
        <v>0</v>
      </c>
      <c r="G12" s="99">
        <f t="shared" si="3"/>
        <v>0</v>
      </c>
      <c r="H12" s="99">
        <f t="shared" si="3"/>
        <v>0</v>
      </c>
      <c r="I12" s="99">
        <f t="shared" si="3"/>
        <v>0</v>
      </c>
      <c r="J12" s="99">
        <f t="shared" si="3"/>
        <v>0</v>
      </c>
      <c r="K12" s="99">
        <f t="shared" si="3"/>
        <v>0</v>
      </c>
      <c r="L12" s="99">
        <f t="shared" si="3"/>
        <v>0</v>
      </c>
      <c r="M12" s="99">
        <f t="shared" si="3"/>
        <v>0</v>
      </c>
      <c r="N12" s="99">
        <f t="shared" si="3"/>
        <v>0</v>
      </c>
      <c r="O12" s="99">
        <f t="shared" si="3"/>
        <v>0</v>
      </c>
      <c r="P12" s="99">
        <f t="shared" si="3"/>
        <v>0</v>
      </c>
      <c r="Q12" s="99">
        <f t="shared" si="3"/>
        <v>0</v>
      </c>
      <c r="R12" s="99">
        <f t="shared" si="3"/>
        <v>0</v>
      </c>
      <c r="S12" s="109">
        <f t="shared" si="3"/>
        <v>0</v>
      </c>
      <c r="T12" s="13"/>
      <c r="U12" s="14"/>
      <c r="V12" s="13"/>
      <c r="W12" s="13"/>
      <c r="X12" s="13"/>
      <c r="Y12" s="13"/>
      <c r="Z12" s="13"/>
    </row>
    <row r="13" spans="1:26" s="15" customFormat="1" ht="12" customHeight="1" thickBot="1" x14ac:dyDescent="0.3">
      <c r="A13" s="13"/>
      <c r="B13" s="101">
        <f>B12</f>
        <v>202609</v>
      </c>
      <c r="C13" s="100" t="s">
        <v>95</v>
      </c>
      <c r="D13" s="102">
        <f>SUM(D11:D12)</f>
        <v>0</v>
      </c>
      <c r="E13" s="102">
        <f t="shared" ref="E13:S13" si="4">SUM(E11:E12)</f>
        <v>0</v>
      </c>
      <c r="F13" s="102">
        <f t="shared" si="4"/>
        <v>0</v>
      </c>
      <c r="G13" s="102">
        <f t="shared" si="4"/>
        <v>0</v>
      </c>
      <c r="H13" s="102">
        <f t="shared" si="4"/>
        <v>0</v>
      </c>
      <c r="I13" s="102">
        <f t="shared" si="4"/>
        <v>0</v>
      </c>
      <c r="J13" s="102">
        <f t="shared" si="4"/>
        <v>0</v>
      </c>
      <c r="K13" s="102">
        <f t="shared" si="4"/>
        <v>0</v>
      </c>
      <c r="L13" s="102">
        <f t="shared" si="4"/>
        <v>0</v>
      </c>
      <c r="M13" s="102">
        <f t="shared" si="4"/>
        <v>0</v>
      </c>
      <c r="N13" s="102">
        <f t="shared" si="4"/>
        <v>0</v>
      </c>
      <c r="O13" s="102">
        <f t="shared" si="4"/>
        <v>0</v>
      </c>
      <c r="P13" s="102">
        <f t="shared" si="4"/>
        <v>0</v>
      </c>
      <c r="Q13" s="102">
        <f t="shared" si="4"/>
        <v>0</v>
      </c>
      <c r="R13" s="102">
        <f t="shared" si="4"/>
        <v>0</v>
      </c>
      <c r="S13" s="103">
        <f t="shared" si="4"/>
        <v>0</v>
      </c>
      <c r="T13" s="13"/>
      <c r="U13" s="13"/>
      <c r="V13" s="13"/>
      <c r="W13" s="13"/>
      <c r="X13" s="13"/>
      <c r="Y13" s="13"/>
      <c r="Z13" s="13"/>
    </row>
    <row r="15" spans="1:26" x14ac:dyDescent="0.25">
      <c r="D15" s="95" t="b">
        <f>D5=Oportuno!J1</f>
        <v>1</v>
      </c>
      <c r="E15" s="95" t="b">
        <f>E5=Oportuno!K1</f>
        <v>1</v>
      </c>
      <c r="F15" s="95" t="b">
        <f>F5=Oportuno!L1</f>
        <v>1</v>
      </c>
      <c r="G15" s="95" t="b">
        <f>G5=Oportuno!M1</f>
        <v>1</v>
      </c>
      <c r="H15" s="95" t="b">
        <f>H5=Oportuno!N1</f>
        <v>1</v>
      </c>
      <c r="I15" s="95" t="b">
        <f>I5=Oportuno!O1</f>
        <v>1</v>
      </c>
      <c r="J15" s="95" t="b">
        <f>J5=Oportuno!P1</f>
        <v>1</v>
      </c>
      <c r="K15" s="95" t="b">
        <f>K5=Oportuno!Q1</f>
        <v>1</v>
      </c>
      <c r="L15" s="95" t="b">
        <f>L5=Oportuno!R1</f>
        <v>1</v>
      </c>
      <c r="M15" s="95" t="b">
        <f>M5=Oportuno!S1</f>
        <v>1</v>
      </c>
      <c r="N15" s="95" t="b">
        <f>N5=Oportuno!T1</f>
        <v>1</v>
      </c>
      <c r="O15" s="95" t="b">
        <f>O5=Oportuno!U1</f>
        <v>1</v>
      </c>
      <c r="P15" s="95" t="b">
        <f>P5=Oportuno!V1</f>
        <v>1</v>
      </c>
      <c r="Q15" s="95" t="b">
        <f>Q5=Oportuno!W1</f>
        <v>1</v>
      </c>
      <c r="R15" s="95" t="b">
        <f>R5=Oportuno!X1</f>
        <v>1</v>
      </c>
      <c r="S15" s="95" t="b">
        <f>S5=Oportuno!Y1</f>
        <v>1</v>
      </c>
    </row>
    <row r="16" spans="1:26" x14ac:dyDescent="0.25">
      <c r="D16" s="95" t="b">
        <f>D9=Oportuno!J2</f>
        <v>1</v>
      </c>
      <c r="E16" s="95" t="b">
        <f>E9=Oportuno!K2</f>
        <v>1</v>
      </c>
      <c r="F16" s="95" t="b">
        <f>F9=Oportuno!L2</f>
        <v>1</v>
      </c>
      <c r="G16" s="95" t="b">
        <f>G9=Oportuno!M2</f>
        <v>1</v>
      </c>
      <c r="H16" s="95" t="b">
        <f>H9=Oportuno!N2</f>
        <v>1</v>
      </c>
      <c r="I16" s="95" t="b">
        <f>I9=Oportuno!O2</f>
        <v>1</v>
      </c>
      <c r="J16" s="95" t="b">
        <f>J9=Oportuno!P2</f>
        <v>1</v>
      </c>
      <c r="K16" s="95" t="b">
        <f>K9=Oportuno!Q2</f>
        <v>1</v>
      </c>
      <c r="L16" s="95" t="b">
        <f>L9=Oportuno!R2</f>
        <v>1</v>
      </c>
      <c r="M16" s="95" t="b">
        <f>M9=Oportuno!S2</f>
        <v>1</v>
      </c>
      <c r="N16" s="95" t="b">
        <f>N9=Oportuno!T2</f>
        <v>1</v>
      </c>
      <c r="O16" s="95" t="b">
        <f>O9=Oportuno!U2</f>
        <v>1</v>
      </c>
      <c r="P16" s="95" t="b">
        <f>P9=Oportuno!V2</f>
        <v>1</v>
      </c>
      <c r="Q16" s="95" t="b">
        <f>Q9=Oportuno!W2</f>
        <v>1</v>
      </c>
      <c r="R16" s="95" t="b">
        <f>R9=Oportuno!X2</f>
        <v>1</v>
      </c>
      <c r="S16" s="95" t="b">
        <f>S9=Oportuno!Y2</f>
        <v>1</v>
      </c>
    </row>
    <row r="17" spans="4:19" x14ac:dyDescent="0.25">
      <c r="D17" s="95" t="b">
        <f>D13=Oportuno!J3</f>
        <v>1</v>
      </c>
      <c r="E17" s="95" t="b">
        <f>E13=Oportuno!K3</f>
        <v>1</v>
      </c>
      <c r="F17" s="95" t="b">
        <f>F13=Oportuno!L3</f>
        <v>1</v>
      </c>
      <c r="G17" s="95" t="b">
        <f>G13=Oportuno!M3</f>
        <v>1</v>
      </c>
      <c r="H17" s="95" t="b">
        <f>H13=Oportuno!N3</f>
        <v>1</v>
      </c>
      <c r="I17" s="95" t="b">
        <f>I13=Oportuno!O3</f>
        <v>1</v>
      </c>
      <c r="J17" s="95" t="b">
        <f>J13=Oportuno!P3</f>
        <v>1</v>
      </c>
      <c r="K17" s="95" t="b">
        <f>K13=Oportuno!Q3</f>
        <v>1</v>
      </c>
      <c r="L17" s="95" t="b">
        <f>L13=Oportuno!R3</f>
        <v>1</v>
      </c>
      <c r="M17" s="95" t="b">
        <f>M13=Oportuno!S3</f>
        <v>1</v>
      </c>
      <c r="N17" s="95" t="b">
        <f>N13=Oportuno!T3</f>
        <v>1</v>
      </c>
      <c r="O17" s="95" t="b">
        <f>O13=Oportuno!U3</f>
        <v>1</v>
      </c>
      <c r="P17" s="95" t="b">
        <f>P13=Oportuno!V3</f>
        <v>1</v>
      </c>
      <c r="Q17" s="95" t="b">
        <f>Q13=Oportuno!W3</f>
        <v>1</v>
      </c>
      <c r="R17" s="95" t="b">
        <f>R13=Oportuno!X3</f>
        <v>1</v>
      </c>
      <c r="S17" s="95" t="b">
        <f>S13=Oportuno!Y3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3:I27"/>
  <sheetViews>
    <sheetView workbookViewId="0">
      <selection activeCell="F33" sqref="F33"/>
    </sheetView>
  </sheetViews>
  <sheetFormatPr baseColWidth="10" defaultColWidth="11.453125" defaultRowHeight="12.5" x14ac:dyDescent="0.25"/>
  <cols>
    <col min="1" max="1" width="5.54296875" style="30" customWidth="1"/>
    <col min="2" max="2" width="9.54296875" style="30" bestFit="1" customWidth="1"/>
    <col min="3" max="3" width="23.453125" style="30" bestFit="1" customWidth="1"/>
    <col min="4" max="4" width="15.54296875" style="34" customWidth="1"/>
    <col min="5" max="5" width="8" style="30" customWidth="1"/>
    <col min="6" max="6" width="9.54296875" style="30" bestFit="1" customWidth="1"/>
    <col min="7" max="7" width="30.54296875" style="30" bestFit="1" customWidth="1"/>
    <col min="8" max="8" width="4.453125" style="30" customWidth="1"/>
    <col min="9" max="16384" width="11.453125" style="30"/>
  </cols>
  <sheetData>
    <row r="3" spans="2:9" s="26" customFormat="1" ht="23" x14ac:dyDescent="0.3">
      <c r="B3" s="23" t="s">
        <v>30</v>
      </c>
      <c r="C3" s="24" t="s">
        <v>31</v>
      </c>
      <c r="D3" s="25" t="s">
        <v>32</v>
      </c>
      <c r="F3" s="23" t="s">
        <v>33</v>
      </c>
      <c r="G3" s="24" t="s">
        <v>34</v>
      </c>
    </row>
    <row r="4" spans="2:9" x14ac:dyDescent="0.25">
      <c r="B4" s="27">
        <v>1</v>
      </c>
      <c r="C4" s="28" t="s">
        <v>35</v>
      </c>
      <c r="D4" s="29" t="s">
        <v>36</v>
      </c>
      <c r="F4" s="27">
        <v>1</v>
      </c>
      <c r="G4" s="28" t="s">
        <v>37</v>
      </c>
      <c r="I4" s="30" t="s">
        <v>38</v>
      </c>
    </row>
    <row r="5" spans="2:9" x14ac:dyDescent="0.25">
      <c r="B5" s="27">
        <v>2</v>
      </c>
      <c r="C5" s="28" t="s">
        <v>39</v>
      </c>
      <c r="D5" s="29" t="s">
        <v>40</v>
      </c>
      <c r="F5" s="27">
        <v>2</v>
      </c>
      <c r="G5" s="28" t="s">
        <v>41</v>
      </c>
      <c r="I5" s="30" t="s">
        <v>42</v>
      </c>
    </row>
    <row r="6" spans="2:9" x14ac:dyDescent="0.25">
      <c r="B6" s="27">
        <v>6</v>
      </c>
      <c r="C6" s="28" t="s">
        <v>43</v>
      </c>
      <c r="D6" s="29"/>
      <c r="F6" s="27">
        <v>3</v>
      </c>
      <c r="G6" s="28" t="s">
        <v>44</v>
      </c>
      <c r="I6" s="30" t="s">
        <v>45</v>
      </c>
    </row>
    <row r="7" spans="2:9" x14ac:dyDescent="0.25">
      <c r="B7" s="27">
        <v>9</v>
      </c>
      <c r="C7" s="28" t="s">
        <v>46</v>
      </c>
      <c r="D7" s="29" t="s">
        <v>47</v>
      </c>
      <c r="F7" s="27">
        <v>4</v>
      </c>
      <c r="G7" s="28" t="s">
        <v>48</v>
      </c>
      <c r="I7" s="30" t="s">
        <v>49</v>
      </c>
    </row>
    <row r="8" spans="2:9" x14ac:dyDescent="0.25">
      <c r="B8" s="27">
        <v>12</v>
      </c>
      <c r="C8" s="28" t="s">
        <v>50</v>
      </c>
      <c r="D8" s="29" t="s">
        <v>51</v>
      </c>
      <c r="F8" s="27">
        <v>5</v>
      </c>
      <c r="G8" s="28" t="s">
        <v>52</v>
      </c>
      <c r="I8" s="30" t="s">
        <v>53</v>
      </c>
    </row>
    <row r="9" spans="2:9" x14ac:dyDescent="0.25">
      <c r="B9" s="27">
        <v>19</v>
      </c>
      <c r="C9" s="28" t="s">
        <v>54</v>
      </c>
      <c r="D9" s="29" t="s">
        <v>55</v>
      </c>
      <c r="F9" s="27">
        <v>6</v>
      </c>
      <c r="G9" s="28" t="s">
        <v>56</v>
      </c>
      <c r="I9" s="30" t="s">
        <v>57</v>
      </c>
    </row>
    <row r="10" spans="2:9" x14ac:dyDescent="0.25">
      <c r="B10" s="27">
        <v>23</v>
      </c>
      <c r="C10" s="28" t="s">
        <v>58</v>
      </c>
      <c r="D10" s="29" t="s">
        <v>59</v>
      </c>
      <c r="F10" s="27">
        <v>7</v>
      </c>
      <c r="G10" s="28" t="s">
        <v>60</v>
      </c>
      <c r="I10" s="30" t="s">
        <v>61</v>
      </c>
    </row>
    <row r="11" spans="2:9" x14ac:dyDescent="0.25">
      <c r="B11" s="27">
        <v>32</v>
      </c>
      <c r="C11" s="28" t="s">
        <v>62</v>
      </c>
      <c r="D11" s="29" t="s">
        <v>63</v>
      </c>
      <c r="F11" s="27">
        <v>8</v>
      </c>
      <c r="G11" s="28" t="s">
        <v>64</v>
      </c>
      <c r="I11" s="30" t="s">
        <v>65</v>
      </c>
    </row>
    <row r="12" spans="2:9" x14ac:dyDescent="0.25">
      <c r="B12" s="27">
        <v>51</v>
      </c>
      <c r="C12" s="28" t="s">
        <v>66</v>
      </c>
      <c r="D12" s="29" t="s">
        <v>67</v>
      </c>
      <c r="F12" s="27">
        <v>9</v>
      </c>
      <c r="G12" s="28" t="s">
        <v>68</v>
      </c>
      <c r="I12" s="30" t="s">
        <v>69</v>
      </c>
    </row>
    <row r="13" spans="2:9" x14ac:dyDescent="0.25">
      <c r="B13" s="31">
        <v>52</v>
      </c>
      <c r="C13" s="28" t="s">
        <v>70</v>
      </c>
      <c r="D13" s="29" t="s">
        <v>71</v>
      </c>
      <c r="F13" s="27">
        <v>10</v>
      </c>
      <c r="G13" s="28" t="s">
        <v>72</v>
      </c>
      <c r="I13" s="30" t="s">
        <v>73</v>
      </c>
    </row>
    <row r="14" spans="2:9" x14ac:dyDescent="0.25">
      <c r="B14" s="27">
        <v>7</v>
      </c>
      <c r="C14" s="28" t="s">
        <v>74</v>
      </c>
      <c r="D14" s="29"/>
      <c r="F14" s="27">
        <v>11</v>
      </c>
      <c r="G14" s="28" t="s">
        <v>75</v>
      </c>
      <c r="I14" s="30" t="s">
        <v>76</v>
      </c>
    </row>
    <row r="15" spans="2:9" x14ac:dyDescent="0.25">
      <c r="B15" s="27">
        <v>13</v>
      </c>
      <c r="C15" s="28" t="s">
        <v>77</v>
      </c>
      <c r="D15" s="29"/>
      <c r="F15" s="27">
        <v>12</v>
      </c>
      <c r="G15" s="28" t="s">
        <v>78</v>
      </c>
    </row>
    <row r="16" spans="2:9" x14ac:dyDescent="0.25">
      <c r="B16" s="27">
        <v>14</v>
      </c>
      <c r="C16" s="28" t="s">
        <v>79</v>
      </c>
      <c r="D16" s="29"/>
      <c r="F16" s="27">
        <v>13</v>
      </c>
      <c r="G16" s="28" t="s">
        <v>80</v>
      </c>
    </row>
    <row r="17" spans="2:7" x14ac:dyDescent="0.25">
      <c r="B17" s="27">
        <v>24</v>
      </c>
      <c r="C17" s="28" t="s">
        <v>81</v>
      </c>
      <c r="D17" s="29"/>
      <c r="F17" s="27">
        <v>14</v>
      </c>
      <c r="G17" s="28" t="s">
        <v>82</v>
      </c>
    </row>
    <row r="18" spans="2:7" x14ac:dyDescent="0.25">
      <c r="B18" s="27">
        <v>40</v>
      </c>
      <c r="C18" s="28" t="s">
        <v>83</v>
      </c>
      <c r="D18" s="32"/>
      <c r="F18" s="27"/>
      <c r="G18" s="28"/>
    </row>
    <row r="19" spans="2:7" x14ac:dyDescent="0.25">
      <c r="B19" s="27">
        <v>60</v>
      </c>
      <c r="C19" s="28" t="s">
        <v>84</v>
      </c>
      <c r="D19" s="32"/>
    </row>
    <row r="20" spans="2:7" x14ac:dyDescent="0.25">
      <c r="B20" s="27">
        <v>116</v>
      </c>
      <c r="C20" s="28" t="s">
        <v>85</v>
      </c>
      <c r="D20" s="32"/>
    </row>
    <row r="21" spans="2:7" x14ac:dyDescent="0.25">
      <c r="B21" s="27">
        <v>130</v>
      </c>
      <c r="C21" s="28" t="s">
        <v>86</v>
      </c>
      <c r="D21" s="32"/>
    </row>
    <row r="22" spans="2:7" x14ac:dyDescent="0.25">
      <c r="B22" s="33" t="s">
        <v>87</v>
      </c>
      <c r="C22" s="28" t="s">
        <v>88</v>
      </c>
      <c r="D22" s="29">
        <v>230887267</v>
      </c>
    </row>
    <row r="23" spans="2:7" x14ac:dyDescent="0.25">
      <c r="B23" s="27">
        <v>200</v>
      </c>
      <c r="C23" s="28" t="s">
        <v>89</v>
      </c>
      <c r="D23" s="29" t="s">
        <v>91</v>
      </c>
    </row>
    <row r="24" spans="2:7" x14ac:dyDescent="0.25">
      <c r="B24" s="27">
        <v>201</v>
      </c>
      <c r="C24" s="28" t="s">
        <v>90</v>
      </c>
      <c r="D24" s="29" t="s">
        <v>91</v>
      </c>
    </row>
    <row r="25" spans="2:7" x14ac:dyDescent="0.25">
      <c r="B25" s="27"/>
      <c r="C25" s="28"/>
      <c r="D25" s="32"/>
    </row>
    <row r="26" spans="2:7" x14ac:dyDescent="0.25">
      <c r="B26" s="27"/>
      <c r="C26" s="28"/>
      <c r="D26" s="32"/>
    </row>
    <row r="27" spans="2:7" x14ac:dyDescent="0.25">
      <c r="B27" s="27"/>
      <c r="C27" s="28"/>
      <c r="D27" s="32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WUR46"/>
  <sheetViews>
    <sheetView topLeftCell="A6" zoomScaleNormal="100" workbookViewId="0">
      <selection activeCell="B23" sqref="B23"/>
    </sheetView>
  </sheetViews>
  <sheetFormatPr baseColWidth="10" defaultColWidth="11.453125" defaultRowHeight="11.5" x14ac:dyDescent="0.25"/>
  <cols>
    <col min="1" max="1" width="4.453125" style="1" customWidth="1"/>
    <col min="2" max="2" width="11" style="1" bestFit="1" customWidth="1"/>
    <col min="3" max="3" width="15.54296875" style="1" customWidth="1"/>
    <col min="4" max="4" width="9.81640625" style="1" bestFit="1" customWidth="1"/>
    <col min="5" max="5" width="8.453125" style="1" customWidth="1"/>
    <col min="6" max="6" width="22" style="8" bestFit="1" customWidth="1"/>
    <col min="7" max="7" width="8.54296875" style="8" customWidth="1"/>
    <col min="8" max="8" width="15" style="1" customWidth="1"/>
    <col min="9" max="9" width="9.81640625" style="1" bestFit="1" customWidth="1"/>
    <col min="10" max="25" width="13.54296875" style="1" customWidth="1"/>
    <col min="26" max="26" width="4.81640625" style="1" customWidth="1"/>
    <col min="27" max="27" width="2.54296875" style="1" customWidth="1"/>
    <col min="28" max="28" width="11.453125" style="1"/>
    <col min="29" max="29" width="11.54296875" style="1" bestFit="1" customWidth="1"/>
    <col min="30" max="16384" width="11.453125" style="1"/>
  </cols>
  <sheetData>
    <row r="1" spans="2:51 16093:16112" ht="13" customHeight="1" x14ac:dyDescent="0.25">
      <c r="C1" s="46">
        <f>Oportuno!C1</f>
        <v>2026091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2:51 16093:16112" ht="13" customHeight="1" x14ac:dyDescent="0.25">
      <c r="C2" s="50">
        <f>Oportuno!C2</f>
        <v>2026092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2:51 16093:16112" ht="13" customHeight="1" thickBot="1" x14ac:dyDescent="0.3">
      <c r="C3" s="52">
        <f>Oportuno!C3</f>
        <v>202609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2:51 16093:16112" ht="13" customHeight="1" thickBot="1" x14ac:dyDescent="0.3">
      <c r="E4" s="56"/>
      <c r="F4" s="1"/>
      <c r="G4" s="39"/>
      <c r="H4" s="39"/>
      <c r="AA4" s="19"/>
      <c r="WTY4"/>
      <c r="WTZ4"/>
    </row>
    <row r="5" spans="2:51 16093:16112" ht="12.5" x14ac:dyDescent="0.25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WUQ5"/>
      <c r="WUR5"/>
    </row>
    <row r="6" spans="2:51 16093:16112" ht="15.5" x14ac:dyDescent="0.35">
      <c r="B6" s="62"/>
      <c r="D6" s="63"/>
      <c r="E6" s="64"/>
      <c r="F6" s="1"/>
      <c r="G6" s="65"/>
      <c r="H6" s="66" t="s">
        <v>6</v>
      </c>
      <c r="W6" s="65"/>
      <c r="Y6" s="5"/>
      <c r="AA6" s="19"/>
      <c r="WUQ6"/>
      <c r="WUR6"/>
    </row>
    <row r="7" spans="2:51 16093:16112" ht="15.5" x14ac:dyDescent="0.35">
      <c r="B7" s="62"/>
      <c r="D7" s="63"/>
      <c r="E7" s="64"/>
      <c r="F7" s="1"/>
      <c r="G7" s="65"/>
      <c r="H7" s="66" t="s">
        <v>7</v>
      </c>
      <c r="Y7" s="5"/>
      <c r="AA7" s="19"/>
      <c r="WUQ7"/>
      <c r="WUR7"/>
    </row>
    <row r="8" spans="2:51 16093:16112" ht="15.5" x14ac:dyDescent="0.35">
      <c r="B8" s="62"/>
      <c r="D8" s="63"/>
      <c r="E8" s="64"/>
      <c r="F8" s="1"/>
      <c r="G8" s="65"/>
      <c r="H8" s="67" t="s">
        <v>5</v>
      </c>
      <c r="Y8" s="5"/>
      <c r="AA8" s="19"/>
      <c r="WUQ8"/>
      <c r="WUR8"/>
    </row>
    <row r="9" spans="2:51 16093:16112" ht="13.5" customHeight="1" x14ac:dyDescent="0.25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WUQ9"/>
      <c r="WUR9"/>
    </row>
    <row r="10" spans="2:51 16093:16112" ht="13.5" customHeight="1" x14ac:dyDescent="0.35">
      <c r="B10" s="62"/>
      <c r="D10" s="63"/>
      <c r="E10" s="72"/>
      <c r="F10" s="1"/>
      <c r="G10" s="65"/>
      <c r="H10" s="73" t="str">
        <f>Oportuno!H10</f>
        <v>SEPTIEMBRE_2026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WUQ10"/>
      <c r="WUR10"/>
    </row>
    <row r="11" spans="2:51 16093:16112" ht="13.5" customHeight="1" thickBot="1" x14ac:dyDescent="0.3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WUQ11"/>
      <c r="WUR11"/>
    </row>
    <row r="12" spans="2:51 16093:16112" ht="35" thickBot="1" x14ac:dyDescent="0.3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WUQ12"/>
      <c r="WUR12"/>
    </row>
    <row r="13" spans="2:51 16093:16112" x14ac:dyDescent="0.25">
      <c r="B13" s="110">
        <f>Oportuno!B13</f>
        <v>46268</v>
      </c>
      <c r="C13" s="45">
        <f>Oportuno!C13</f>
        <v>2026091</v>
      </c>
      <c r="D13" s="111">
        <f>Oportuno!D13</f>
        <v>46268</v>
      </c>
      <c r="E13" s="12">
        <f>Oportuno!E13</f>
        <v>200</v>
      </c>
      <c r="F13" s="12" t="str">
        <f>Oportuno!F13</f>
        <v>Ciudad Limpia - Prestador</v>
      </c>
      <c r="G13" s="45">
        <f>Oportuno!G13</f>
        <v>1</v>
      </c>
      <c r="H13" s="45" t="str">
        <f>Oportuno!H13</f>
        <v>Oficinas</v>
      </c>
      <c r="I13" s="44" t="str">
        <f>Oportuno!I13</f>
        <v>N/A</v>
      </c>
      <c r="J13" s="10">
        <f>Oportuno!J13</f>
        <v>0</v>
      </c>
      <c r="K13" s="10">
        <f>Oportuno!K13</f>
        <v>0</v>
      </c>
      <c r="L13" s="10">
        <f>Oportuno!L13</f>
        <v>0</v>
      </c>
      <c r="M13" s="10">
        <f>Oportuno!M13</f>
        <v>0</v>
      </c>
      <c r="N13" s="10">
        <f>Oportuno!N13</f>
        <v>0</v>
      </c>
      <c r="O13" s="10">
        <f>Oportuno!O13</f>
        <v>0</v>
      </c>
      <c r="P13" s="10">
        <f>Oportuno!P13</f>
        <v>0</v>
      </c>
      <c r="Q13" s="10">
        <f>Oportuno!Q13</f>
        <v>0</v>
      </c>
      <c r="R13" s="10">
        <f>Oportuno!R13</f>
        <v>0</v>
      </c>
      <c r="S13" s="10">
        <f>Oportuno!S13</f>
        <v>0</v>
      </c>
      <c r="T13" s="42">
        <f>Oportuno!T13</f>
        <v>0</v>
      </c>
      <c r="U13" s="42">
        <f>Oportuno!U13</f>
        <v>0</v>
      </c>
      <c r="V13" s="38">
        <f>Oportuno!V13</f>
        <v>0</v>
      </c>
      <c r="W13" s="38">
        <f>Oportuno!W13</f>
        <v>0</v>
      </c>
      <c r="X13" s="42">
        <f>Oportuno!X13</f>
        <v>0</v>
      </c>
      <c r="Y13" s="42">
        <f>Oportuno!Y13</f>
        <v>0</v>
      </c>
      <c r="AA13" s="19"/>
    </row>
    <row r="14" spans="2:51 16093:16112" x14ac:dyDescent="0.25">
      <c r="B14" s="10">
        <f>Oportuno!B14</f>
        <v>0</v>
      </c>
      <c r="C14" s="45">
        <f>Oportuno!C14</f>
        <v>2026091</v>
      </c>
      <c r="D14" s="111" t="str">
        <f>Oportuno!D14</f>
        <v/>
      </c>
      <c r="E14" s="12">
        <f>Oportuno!E14</f>
        <v>200</v>
      </c>
      <c r="F14" s="12" t="str">
        <f>Oportuno!F14</f>
        <v>Ciudad Limpia - Prestador</v>
      </c>
      <c r="G14" s="45">
        <f>Oportuno!G14</f>
        <v>1</v>
      </c>
      <c r="H14" s="45" t="str">
        <f>Oportuno!H14</f>
        <v>Oficinas</v>
      </c>
      <c r="I14" s="44" t="str">
        <f>Oportuno!I14</f>
        <v>N/A</v>
      </c>
      <c r="J14" s="10">
        <f>Oportuno!J14</f>
        <v>0</v>
      </c>
      <c r="K14" s="10">
        <f>Oportuno!K14</f>
        <v>0</v>
      </c>
      <c r="L14" s="10">
        <f>Oportuno!L14</f>
        <v>0</v>
      </c>
      <c r="M14" s="10">
        <f>Oportuno!M14</f>
        <v>0</v>
      </c>
      <c r="N14" s="10">
        <f>Oportuno!N14</f>
        <v>0</v>
      </c>
      <c r="O14" s="10">
        <f>Oportuno!O14</f>
        <v>0</v>
      </c>
      <c r="P14" s="10">
        <f>Oportuno!P14</f>
        <v>0</v>
      </c>
      <c r="Q14" s="10">
        <f>Oportuno!Q14</f>
        <v>0</v>
      </c>
      <c r="R14" s="10">
        <f>Oportuno!R14</f>
        <v>0</v>
      </c>
      <c r="S14" s="10">
        <f>Oportuno!S14</f>
        <v>0</v>
      </c>
      <c r="T14" s="42">
        <f>Oportuno!T14</f>
        <v>0</v>
      </c>
      <c r="U14" s="42">
        <f>Oportuno!U14</f>
        <v>0</v>
      </c>
      <c r="V14" s="38">
        <f>Oportuno!V14</f>
        <v>0</v>
      </c>
      <c r="W14" s="38">
        <f>Oportuno!W14</f>
        <v>0</v>
      </c>
      <c r="X14" s="42">
        <f>Oportuno!X14</f>
        <v>0</v>
      </c>
      <c r="Y14" s="42">
        <f>Oportuno!Y14</f>
        <v>0</v>
      </c>
      <c r="AA14" s="19"/>
    </row>
    <row r="15" spans="2:51 16093:16112" x14ac:dyDescent="0.25">
      <c r="B15" s="10">
        <f>Oportuno!B15</f>
        <v>0</v>
      </c>
      <c r="C15" s="45">
        <f>Oportuno!C15</f>
        <v>2026091</v>
      </c>
      <c r="D15" s="111" t="str">
        <f>Oportuno!D15</f>
        <v/>
      </c>
      <c r="E15" s="12">
        <f>Oportuno!E15</f>
        <v>200</v>
      </c>
      <c r="F15" s="12" t="str">
        <f>Oportuno!F15</f>
        <v>Ciudad Limpia - Prestador</v>
      </c>
      <c r="G15" s="45">
        <f>Oportuno!G15</f>
        <v>1</v>
      </c>
      <c r="H15" s="45" t="str">
        <f>Oportuno!H15</f>
        <v>Oficinas</v>
      </c>
      <c r="I15" s="44" t="str">
        <f>Oportuno!I15</f>
        <v>N/A</v>
      </c>
      <c r="J15" s="10">
        <f>Oportuno!J15</f>
        <v>0</v>
      </c>
      <c r="K15" s="10">
        <f>Oportuno!K15</f>
        <v>0</v>
      </c>
      <c r="L15" s="10">
        <f>Oportuno!L15</f>
        <v>0</v>
      </c>
      <c r="M15" s="10">
        <f>Oportuno!M15</f>
        <v>0</v>
      </c>
      <c r="N15" s="10">
        <f>Oportuno!N15</f>
        <v>0</v>
      </c>
      <c r="O15" s="10">
        <f>Oportuno!O15</f>
        <v>0</v>
      </c>
      <c r="P15" s="10">
        <f>Oportuno!P15</f>
        <v>0</v>
      </c>
      <c r="Q15" s="10">
        <f>Oportuno!Q15</f>
        <v>0</v>
      </c>
      <c r="R15" s="10">
        <f>Oportuno!R15</f>
        <v>0</v>
      </c>
      <c r="S15" s="10">
        <f>Oportuno!S15</f>
        <v>0</v>
      </c>
      <c r="T15" s="42">
        <f>Oportuno!T15</f>
        <v>0</v>
      </c>
      <c r="U15" s="42">
        <f>Oportuno!U15</f>
        <v>0</v>
      </c>
      <c r="V15" s="38">
        <f>Oportuno!V15</f>
        <v>0</v>
      </c>
      <c r="W15" s="38">
        <f>Oportuno!W15</f>
        <v>0</v>
      </c>
      <c r="X15" s="42">
        <f>Oportuno!X15</f>
        <v>0</v>
      </c>
      <c r="Y15" s="42">
        <f>Oportuno!Y15</f>
        <v>0</v>
      </c>
      <c r="AA15" s="19"/>
    </row>
    <row r="16" spans="2:51 16093:16112" x14ac:dyDescent="0.25">
      <c r="B16" s="10">
        <f>Oportuno!B16</f>
        <v>0</v>
      </c>
      <c r="C16" s="45">
        <f>Oportuno!C16</f>
        <v>2026091</v>
      </c>
      <c r="D16" s="111" t="str">
        <f>Oportuno!D16</f>
        <v/>
      </c>
      <c r="E16" s="12">
        <f>Oportuno!E16</f>
        <v>200</v>
      </c>
      <c r="F16" s="12" t="str">
        <f>Oportuno!F16</f>
        <v>Ciudad Limpia - Prestador</v>
      </c>
      <c r="G16" s="45">
        <f>Oportuno!G16</f>
        <v>1</v>
      </c>
      <c r="H16" s="45" t="str">
        <f>Oportuno!H16</f>
        <v>Oficinas</v>
      </c>
      <c r="I16" s="44" t="str">
        <f>Oportuno!I16</f>
        <v>N/A</v>
      </c>
      <c r="J16" s="10">
        <f>Oportuno!J16</f>
        <v>0</v>
      </c>
      <c r="K16" s="10">
        <f>Oportuno!K16</f>
        <v>0</v>
      </c>
      <c r="L16" s="10">
        <f>Oportuno!L16</f>
        <v>0</v>
      </c>
      <c r="M16" s="10">
        <f>Oportuno!M16</f>
        <v>0</v>
      </c>
      <c r="N16" s="10">
        <f>Oportuno!N16</f>
        <v>0</v>
      </c>
      <c r="O16" s="10">
        <f>Oportuno!O16</f>
        <v>0</v>
      </c>
      <c r="P16" s="10">
        <f>Oportuno!P16</f>
        <v>0</v>
      </c>
      <c r="Q16" s="10">
        <f>Oportuno!Q16</f>
        <v>0</v>
      </c>
      <c r="R16" s="10">
        <f>Oportuno!R16</f>
        <v>0</v>
      </c>
      <c r="S16" s="10">
        <f>Oportuno!S16</f>
        <v>0</v>
      </c>
      <c r="T16" s="42">
        <f>Oportuno!T16</f>
        <v>0</v>
      </c>
      <c r="U16" s="42">
        <f>Oportuno!U16</f>
        <v>0</v>
      </c>
      <c r="V16" s="38">
        <f>Oportuno!V16</f>
        <v>0</v>
      </c>
      <c r="W16" s="38">
        <f>Oportuno!W16</f>
        <v>0</v>
      </c>
      <c r="X16" s="42">
        <f>Oportuno!X16</f>
        <v>0</v>
      </c>
      <c r="Y16" s="42">
        <f>Oportuno!Y16</f>
        <v>0</v>
      </c>
      <c r="AA16" s="19"/>
    </row>
    <row r="17" spans="1:31 16111:16112" x14ac:dyDescent="0.25">
      <c r="B17" s="10">
        <f>Oportuno!B17</f>
        <v>0</v>
      </c>
      <c r="C17" s="45">
        <f>Oportuno!C17</f>
        <v>2026091</v>
      </c>
      <c r="D17" s="111" t="str">
        <f>Oportuno!D17</f>
        <v/>
      </c>
      <c r="E17" s="12">
        <f>Oportuno!E17</f>
        <v>200</v>
      </c>
      <c r="F17" s="12" t="str">
        <f>Oportuno!F17</f>
        <v>Ciudad Limpia - Prestador</v>
      </c>
      <c r="G17" s="45">
        <f>Oportuno!G17</f>
        <v>1</v>
      </c>
      <c r="H17" s="45" t="str">
        <f>Oportuno!H17</f>
        <v>Oficinas</v>
      </c>
      <c r="I17" s="44" t="str">
        <f>Oportuno!I17</f>
        <v>N/A</v>
      </c>
      <c r="J17" s="10">
        <f>Oportuno!J17</f>
        <v>0</v>
      </c>
      <c r="K17" s="10">
        <f>Oportuno!K17</f>
        <v>0</v>
      </c>
      <c r="L17" s="10">
        <f>Oportuno!L17</f>
        <v>0</v>
      </c>
      <c r="M17" s="10">
        <f>Oportuno!M17</f>
        <v>0</v>
      </c>
      <c r="N17" s="10">
        <f>Oportuno!N17</f>
        <v>0</v>
      </c>
      <c r="O17" s="10">
        <f>Oportuno!O17</f>
        <v>0</v>
      </c>
      <c r="P17" s="10">
        <f>Oportuno!P17</f>
        <v>0</v>
      </c>
      <c r="Q17" s="10">
        <f>Oportuno!Q17</f>
        <v>0</v>
      </c>
      <c r="R17" s="10">
        <f>Oportuno!R17</f>
        <v>0</v>
      </c>
      <c r="S17" s="10">
        <f>Oportuno!S17</f>
        <v>0</v>
      </c>
      <c r="T17" s="42">
        <f>Oportuno!T17</f>
        <v>0</v>
      </c>
      <c r="U17" s="42">
        <f>Oportuno!U17</f>
        <v>0</v>
      </c>
      <c r="V17" s="38">
        <f>Oportuno!V17</f>
        <v>0</v>
      </c>
      <c r="W17" s="38">
        <f>Oportuno!W17</f>
        <v>0</v>
      </c>
      <c r="X17" s="42">
        <f>Oportuno!X17</f>
        <v>0</v>
      </c>
      <c r="Y17" s="42">
        <f>Oportuno!Y17</f>
        <v>0</v>
      </c>
      <c r="AA17" s="19"/>
    </row>
    <row r="18" spans="1:31 16111:16112" x14ac:dyDescent="0.25">
      <c r="B18" s="10">
        <f>Oportuno!B18</f>
        <v>0</v>
      </c>
      <c r="C18" s="45">
        <f>Oportuno!C18</f>
        <v>2026091</v>
      </c>
      <c r="D18" s="111" t="str">
        <f>Oportuno!D18</f>
        <v/>
      </c>
      <c r="E18" s="12">
        <f>Oportuno!E18</f>
        <v>200</v>
      </c>
      <c r="F18" s="12" t="str">
        <f>Oportuno!F18</f>
        <v>Ciudad Limpia - Prestador</v>
      </c>
      <c r="G18" s="45">
        <f>Oportuno!G18</f>
        <v>1</v>
      </c>
      <c r="H18" s="45" t="str">
        <f>Oportuno!H18</f>
        <v>Oficinas</v>
      </c>
      <c r="I18" s="44" t="str">
        <f>Oportuno!I18</f>
        <v>N/A</v>
      </c>
      <c r="J18" s="10">
        <f>Oportuno!J18</f>
        <v>0</v>
      </c>
      <c r="K18" s="10">
        <f>Oportuno!K18</f>
        <v>0</v>
      </c>
      <c r="L18" s="10">
        <f>Oportuno!L18</f>
        <v>0</v>
      </c>
      <c r="M18" s="10">
        <f>Oportuno!M18</f>
        <v>0</v>
      </c>
      <c r="N18" s="10">
        <f>Oportuno!N18</f>
        <v>0</v>
      </c>
      <c r="O18" s="10">
        <f>Oportuno!O18</f>
        <v>0</v>
      </c>
      <c r="P18" s="10">
        <f>Oportuno!P18</f>
        <v>0</v>
      </c>
      <c r="Q18" s="10">
        <f>Oportuno!Q18</f>
        <v>0</v>
      </c>
      <c r="R18" s="10">
        <f>Oportuno!R18</f>
        <v>0</v>
      </c>
      <c r="S18" s="10">
        <f>Oportuno!S18</f>
        <v>0</v>
      </c>
      <c r="T18" s="42">
        <f>Oportuno!T18</f>
        <v>0</v>
      </c>
      <c r="U18" s="42">
        <f>Oportuno!U18</f>
        <v>0</v>
      </c>
      <c r="V18" s="38">
        <f>Oportuno!V18</f>
        <v>0</v>
      </c>
      <c r="W18" s="38">
        <f>Oportuno!W18</f>
        <v>0</v>
      </c>
      <c r="X18" s="42">
        <f>Oportuno!X18</f>
        <v>0</v>
      </c>
      <c r="Y18" s="42">
        <f>Oportuno!Y18</f>
        <v>0</v>
      </c>
      <c r="AA18" s="19"/>
    </row>
    <row r="19" spans="1:31 16111:16112" x14ac:dyDescent="0.25">
      <c r="B19" s="10">
        <f>Oportuno!B19</f>
        <v>0</v>
      </c>
      <c r="C19" s="45">
        <f>Oportuno!C19</f>
        <v>2026091</v>
      </c>
      <c r="D19" s="111" t="str">
        <f>Oportuno!D19</f>
        <v/>
      </c>
      <c r="E19" s="12">
        <f>Oportuno!E19</f>
        <v>200</v>
      </c>
      <c r="F19" s="12" t="str">
        <f>Oportuno!F19</f>
        <v>Ciudad Limpia - Prestador</v>
      </c>
      <c r="G19" s="45">
        <f>Oportuno!G19</f>
        <v>1</v>
      </c>
      <c r="H19" s="45" t="str">
        <f>Oportuno!H19</f>
        <v>Oficinas</v>
      </c>
      <c r="I19" s="44" t="str">
        <f>Oportuno!I19</f>
        <v>N/A</v>
      </c>
      <c r="J19" s="10">
        <f>Oportuno!J19</f>
        <v>0</v>
      </c>
      <c r="K19" s="10">
        <f>Oportuno!K19</f>
        <v>0</v>
      </c>
      <c r="L19" s="10">
        <f>Oportuno!L19</f>
        <v>0</v>
      </c>
      <c r="M19" s="10">
        <f>Oportuno!M19</f>
        <v>0</v>
      </c>
      <c r="N19" s="10">
        <f>Oportuno!N19</f>
        <v>0</v>
      </c>
      <c r="O19" s="10">
        <f>Oportuno!O19</f>
        <v>0</v>
      </c>
      <c r="P19" s="10">
        <f>Oportuno!P19</f>
        <v>0</v>
      </c>
      <c r="Q19" s="10">
        <f>Oportuno!Q19</f>
        <v>0</v>
      </c>
      <c r="R19" s="10">
        <f>Oportuno!R19</f>
        <v>0</v>
      </c>
      <c r="S19" s="10">
        <f>Oportuno!S19</f>
        <v>0</v>
      </c>
      <c r="T19" s="42">
        <f>Oportuno!T19</f>
        <v>0</v>
      </c>
      <c r="U19" s="42">
        <f>Oportuno!U19</f>
        <v>0</v>
      </c>
      <c r="V19" s="38">
        <f>Oportuno!V19</f>
        <v>0</v>
      </c>
      <c r="W19" s="38">
        <f>Oportuno!W19</f>
        <v>0</v>
      </c>
      <c r="X19" s="42">
        <f>Oportuno!X19</f>
        <v>0</v>
      </c>
      <c r="Y19" s="42">
        <f>Oportuno!Y19</f>
        <v>0</v>
      </c>
      <c r="AA19" s="19"/>
    </row>
    <row r="20" spans="1:31 16111:16112" x14ac:dyDescent="0.25">
      <c r="B20" s="110">
        <f>Oportuno!B20</f>
        <v>46268</v>
      </c>
      <c r="C20" s="45">
        <f>Oportuno!C20</f>
        <v>2026091</v>
      </c>
      <c r="D20" s="111">
        <f>Oportuno!D20</f>
        <v>46268</v>
      </c>
      <c r="E20" s="12">
        <f>Oportuno!E20</f>
        <v>201</v>
      </c>
      <c r="F20" s="12" t="str">
        <f>Oportuno!F20</f>
        <v>EAAB - Prestador</v>
      </c>
      <c r="G20" s="45">
        <f>Oportuno!G20</f>
        <v>1</v>
      </c>
      <c r="H20" s="45" t="str">
        <f>Oportuno!H20</f>
        <v>Oficinas</v>
      </c>
      <c r="I20" s="44" t="str">
        <f>Oportuno!I20</f>
        <v>N/A</v>
      </c>
      <c r="J20" s="10">
        <f>Oportuno!J20</f>
        <v>0</v>
      </c>
      <c r="K20" s="10">
        <f>Oportuno!K20</f>
        <v>0</v>
      </c>
      <c r="L20" s="10">
        <f>Oportuno!L20</f>
        <v>0</v>
      </c>
      <c r="M20" s="10">
        <f>Oportuno!M20</f>
        <v>0</v>
      </c>
      <c r="N20" s="10">
        <f>Oportuno!N20</f>
        <v>0</v>
      </c>
      <c r="O20" s="10">
        <f>Oportuno!O20</f>
        <v>0</v>
      </c>
      <c r="P20" s="10">
        <f>Oportuno!P20</f>
        <v>0</v>
      </c>
      <c r="Q20" s="10">
        <f>Oportuno!Q20</f>
        <v>0</v>
      </c>
      <c r="R20" s="10">
        <f>Oportuno!R20</f>
        <v>0</v>
      </c>
      <c r="S20" s="10">
        <f>Oportuno!S20</f>
        <v>0</v>
      </c>
      <c r="T20" s="42">
        <f>Oportuno!T20</f>
        <v>0</v>
      </c>
      <c r="U20" s="42">
        <f>Oportuno!U20</f>
        <v>0</v>
      </c>
      <c r="V20" s="38">
        <f>Oportuno!V20</f>
        <v>0</v>
      </c>
      <c r="W20" s="38">
        <f>Oportuno!W20</f>
        <v>0</v>
      </c>
      <c r="X20" s="42">
        <f>Oportuno!X20</f>
        <v>0</v>
      </c>
      <c r="Y20" s="42">
        <f>Oportuno!Y20</f>
        <v>0</v>
      </c>
      <c r="AA20" s="19"/>
    </row>
    <row r="21" spans="1:31 16111:16112" x14ac:dyDescent="0.25">
      <c r="B21" s="10">
        <f>Oportuno!B21</f>
        <v>0</v>
      </c>
      <c r="C21" s="45">
        <f>Oportuno!C21</f>
        <v>2026091</v>
      </c>
      <c r="D21" s="111" t="str">
        <f>Oportuno!D21</f>
        <v/>
      </c>
      <c r="E21" s="12">
        <f>Oportuno!E21</f>
        <v>201</v>
      </c>
      <c r="F21" s="12" t="str">
        <f>Oportuno!F21</f>
        <v>EAAB - Prestador</v>
      </c>
      <c r="G21" s="45">
        <f>Oportuno!G21</f>
        <v>1</v>
      </c>
      <c r="H21" s="45" t="str">
        <f>Oportuno!H21</f>
        <v>Oficinas</v>
      </c>
      <c r="I21" s="44" t="str">
        <f>Oportuno!I21</f>
        <v>N/A</v>
      </c>
      <c r="J21" s="10">
        <f>Oportuno!J21</f>
        <v>0</v>
      </c>
      <c r="K21" s="10">
        <f>Oportuno!K21</f>
        <v>0</v>
      </c>
      <c r="L21" s="10">
        <f>Oportuno!L21</f>
        <v>0</v>
      </c>
      <c r="M21" s="10">
        <f>Oportuno!M21</f>
        <v>0</v>
      </c>
      <c r="N21" s="10">
        <f>Oportuno!N21</f>
        <v>0</v>
      </c>
      <c r="O21" s="10">
        <f>Oportuno!O21</f>
        <v>0</v>
      </c>
      <c r="P21" s="10">
        <f>Oportuno!P21</f>
        <v>0</v>
      </c>
      <c r="Q21" s="10">
        <f>Oportuno!Q21</f>
        <v>0</v>
      </c>
      <c r="R21" s="10">
        <f>Oportuno!R21</f>
        <v>0</v>
      </c>
      <c r="S21" s="10">
        <f>Oportuno!S21</f>
        <v>0</v>
      </c>
      <c r="T21" s="42">
        <f>Oportuno!T21</f>
        <v>0</v>
      </c>
      <c r="U21" s="42">
        <f>Oportuno!U21</f>
        <v>0</v>
      </c>
      <c r="V21" s="38">
        <f>Oportuno!V21</f>
        <v>0</v>
      </c>
      <c r="W21" s="38">
        <f>Oportuno!W21</f>
        <v>0</v>
      </c>
      <c r="X21" s="42">
        <f>Oportuno!X21</f>
        <v>0</v>
      </c>
      <c r="Y21" s="42">
        <f>Oportuno!Y21</f>
        <v>0</v>
      </c>
      <c r="AA21" s="19"/>
    </row>
    <row r="22" spans="1:31 16111:16112" x14ac:dyDescent="0.25">
      <c r="B22" s="10">
        <f>Oportuno!B22</f>
        <v>0</v>
      </c>
      <c r="C22" s="45">
        <f>Oportuno!C22</f>
        <v>2026091</v>
      </c>
      <c r="D22" s="111" t="str">
        <f>Oportuno!D22</f>
        <v/>
      </c>
      <c r="E22" s="12">
        <f>Oportuno!E22</f>
        <v>201</v>
      </c>
      <c r="F22" s="12" t="str">
        <f>Oportuno!F22</f>
        <v>EAAB - Prestador</v>
      </c>
      <c r="G22" s="45">
        <f>Oportuno!G22</f>
        <v>1</v>
      </c>
      <c r="H22" s="45" t="str">
        <f>Oportuno!H22</f>
        <v>Oficinas</v>
      </c>
      <c r="I22" s="44" t="str">
        <f>Oportuno!I22</f>
        <v>N/A</v>
      </c>
      <c r="J22" s="10">
        <f>Oportuno!J22</f>
        <v>0</v>
      </c>
      <c r="K22" s="10">
        <f>Oportuno!K22</f>
        <v>0</v>
      </c>
      <c r="L22" s="10">
        <f>Oportuno!L22</f>
        <v>0</v>
      </c>
      <c r="M22" s="10">
        <f>Oportuno!M22</f>
        <v>0</v>
      </c>
      <c r="N22" s="10">
        <f>Oportuno!N22</f>
        <v>0</v>
      </c>
      <c r="O22" s="10">
        <f>Oportuno!O22</f>
        <v>0</v>
      </c>
      <c r="P22" s="10">
        <f>Oportuno!P22</f>
        <v>0</v>
      </c>
      <c r="Q22" s="10">
        <f>Oportuno!Q22</f>
        <v>0</v>
      </c>
      <c r="R22" s="10">
        <f>Oportuno!R22</f>
        <v>0</v>
      </c>
      <c r="S22" s="10">
        <f>Oportuno!S22</f>
        <v>0</v>
      </c>
      <c r="T22" s="42">
        <f>Oportuno!T22</f>
        <v>0</v>
      </c>
      <c r="U22" s="42">
        <f>Oportuno!U22</f>
        <v>0</v>
      </c>
      <c r="V22" s="38">
        <f>Oportuno!V22</f>
        <v>0</v>
      </c>
      <c r="W22" s="38">
        <f>Oportuno!W22</f>
        <v>0</v>
      </c>
      <c r="X22" s="42">
        <f>Oportuno!X22</f>
        <v>0</v>
      </c>
      <c r="Y22" s="42">
        <f>Oportuno!Y22</f>
        <v>0</v>
      </c>
      <c r="AA22" s="19"/>
    </row>
    <row r="23" spans="1:31 16111:16112" x14ac:dyDescent="0.25">
      <c r="B23" s="10">
        <f>Oportuno!B23</f>
        <v>0</v>
      </c>
      <c r="C23" s="45">
        <f>Oportuno!C23</f>
        <v>2026091</v>
      </c>
      <c r="D23" s="111" t="str">
        <f>Oportuno!D23</f>
        <v/>
      </c>
      <c r="E23" s="12">
        <f>Oportuno!E23</f>
        <v>201</v>
      </c>
      <c r="F23" s="12" t="str">
        <f>Oportuno!F23</f>
        <v>EAAB - Prestador</v>
      </c>
      <c r="G23" s="45">
        <f>Oportuno!G23</f>
        <v>1</v>
      </c>
      <c r="H23" s="45" t="str">
        <f>Oportuno!H23</f>
        <v>Oficinas</v>
      </c>
      <c r="I23" s="44" t="str">
        <f>Oportuno!I23</f>
        <v>N/A</v>
      </c>
      <c r="J23" s="10">
        <f>Oportuno!J23</f>
        <v>0</v>
      </c>
      <c r="K23" s="10">
        <f>Oportuno!K23</f>
        <v>0</v>
      </c>
      <c r="L23" s="10">
        <f>Oportuno!L23</f>
        <v>0</v>
      </c>
      <c r="M23" s="10">
        <f>Oportuno!M23</f>
        <v>0</v>
      </c>
      <c r="N23" s="10">
        <f>Oportuno!N23</f>
        <v>0</v>
      </c>
      <c r="O23" s="10">
        <f>Oportuno!O23</f>
        <v>0</v>
      </c>
      <c r="P23" s="10">
        <f>Oportuno!P23</f>
        <v>0</v>
      </c>
      <c r="Q23" s="10">
        <f>Oportuno!Q23</f>
        <v>0</v>
      </c>
      <c r="R23" s="10">
        <f>Oportuno!R23</f>
        <v>0</v>
      </c>
      <c r="S23" s="10">
        <f>Oportuno!S23</f>
        <v>0</v>
      </c>
      <c r="T23" s="42">
        <f>Oportuno!T23</f>
        <v>0</v>
      </c>
      <c r="U23" s="42">
        <f>Oportuno!U23</f>
        <v>0</v>
      </c>
      <c r="V23" s="38">
        <f>Oportuno!V23</f>
        <v>0</v>
      </c>
      <c r="W23" s="38">
        <f>Oportuno!W23</f>
        <v>0</v>
      </c>
      <c r="X23" s="42">
        <f>Oportuno!X23</f>
        <v>0</v>
      </c>
      <c r="Y23" s="42">
        <f>Oportuno!Y23</f>
        <v>0</v>
      </c>
      <c r="AA23" s="19"/>
    </row>
    <row r="24" spans="1:31 16111:16112" x14ac:dyDescent="0.25">
      <c r="B24" s="10">
        <f>Oportuno!B24</f>
        <v>0</v>
      </c>
      <c r="C24" s="45">
        <f>Oportuno!C24</f>
        <v>2026091</v>
      </c>
      <c r="D24" s="111" t="str">
        <f>Oportuno!D24</f>
        <v/>
      </c>
      <c r="E24" s="12">
        <f>Oportuno!E24</f>
        <v>201</v>
      </c>
      <c r="F24" s="12" t="str">
        <f>Oportuno!F24</f>
        <v>EAAB - Prestador</v>
      </c>
      <c r="G24" s="45">
        <f>Oportuno!G24</f>
        <v>1</v>
      </c>
      <c r="H24" s="45" t="str">
        <f>Oportuno!H24</f>
        <v>Oficinas</v>
      </c>
      <c r="I24" s="44" t="str">
        <f>Oportuno!I24</f>
        <v>N/A</v>
      </c>
      <c r="J24" s="10">
        <f>Oportuno!J24</f>
        <v>0</v>
      </c>
      <c r="K24" s="10">
        <f>Oportuno!K24</f>
        <v>0</v>
      </c>
      <c r="L24" s="10">
        <f>Oportuno!L24</f>
        <v>0</v>
      </c>
      <c r="M24" s="10">
        <f>Oportuno!M24</f>
        <v>0</v>
      </c>
      <c r="N24" s="10">
        <f>Oportuno!N24</f>
        <v>0</v>
      </c>
      <c r="O24" s="10">
        <f>Oportuno!O24</f>
        <v>0</v>
      </c>
      <c r="P24" s="10">
        <f>Oportuno!P24</f>
        <v>0</v>
      </c>
      <c r="Q24" s="10">
        <f>Oportuno!Q24</f>
        <v>0</v>
      </c>
      <c r="R24" s="10">
        <f>Oportuno!R24</f>
        <v>0</v>
      </c>
      <c r="S24" s="10">
        <f>Oportuno!S24</f>
        <v>0</v>
      </c>
      <c r="T24" s="42">
        <f>Oportuno!T24</f>
        <v>0</v>
      </c>
      <c r="U24" s="42">
        <f>Oportuno!U24</f>
        <v>0</v>
      </c>
      <c r="V24" s="38">
        <f>Oportuno!V24</f>
        <v>0</v>
      </c>
      <c r="W24" s="38">
        <f>Oportuno!W24</f>
        <v>0</v>
      </c>
      <c r="X24" s="42">
        <f>Oportuno!X24</f>
        <v>0</v>
      </c>
      <c r="Y24" s="42">
        <f>Oportuno!Y24</f>
        <v>0</v>
      </c>
      <c r="AA24" s="19"/>
    </row>
    <row r="25" spans="1:31 16111:16112" x14ac:dyDescent="0.25">
      <c r="B25" s="10">
        <f>Oportuno!B25</f>
        <v>0</v>
      </c>
      <c r="C25" s="45">
        <f>Oportuno!C25</f>
        <v>2026091</v>
      </c>
      <c r="D25" s="111" t="str">
        <f>Oportuno!D25</f>
        <v/>
      </c>
      <c r="E25" s="12">
        <f>Oportuno!E25</f>
        <v>201</v>
      </c>
      <c r="F25" s="12" t="str">
        <f>Oportuno!F25</f>
        <v>EAAB - Prestador</v>
      </c>
      <c r="G25" s="45">
        <f>Oportuno!G25</f>
        <v>1</v>
      </c>
      <c r="H25" s="45" t="str">
        <f>Oportuno!H25</f>
        <v>Oficinas</v>
      </c>
      <c r="I25" s="44" t="str">
        <f>Oportuno!I25</f>
        <v>N/A</v>
      </c>
      <c r="J25" s="10">
        <f>Oportuno!J25</f>
        <v>0</v>
      </c>
      <c r="K25" s="10">
        <f>Oportuno!K25</f>
        <v>0</v>
      </c>
      <c r="L25" s="10">
        <f>Oportuno!L25</f>
        <v>0</v>
      </c>
      <c r="M25" s="10">
        <f>Oportuno!M25</f>
        <v>0</v>
      </c>
      <c r="N25" s="10">
        <f>Oportuno!N25</f>
        <v>0</v>
      </c>
      <c r="O25" s="10">
        <f>Oportuno!O25</f>
        <v>0</v>
      </c>
      <c r="P25" s="10">
        <f>Oportuno!P25</f>
        <v>0</v>
      </c>
      <c r="Q25" s="10">
        <f>Oportuno!Q25</f>
        <v>0</v>
      </c>
      <c r="R25" s="10">
        <f>Oportuno!R25</f>
        <v>0</v>
      </c>
      <c r="S25" s="10">
        <f>Oportuno!S25</f>
        <v>0</v>
      </c>
      <c r="T25" s="42">
        <f>Oportuno!T25</f>
        <v>0</v>
      </c>
      <c r="U25" s="42">
        <f>Oportuno!U25</f>
        <v>0</v>
      </c>
      <c r="V25" s="38">
        <f>Oportuno!V25</f>
        <v>0</v>
      </c>
      <c r="W25" s="38">
        <f>Oportuno!W25</f>
        <v>0</v>
      </c>
      <c r="X25" s="42">
        <f>Oportuno!X25</f>
        <v>0</v>
      </c>
      <c r="Y25" s="42">
        <f>Oportuno!Y25</f>
        <v>0</v>
      </c>
      <c r="AA25" s="19"/>
    </row>
    <row r="26" spans="1:31 16111:16112" x14ac:dyDescent="0.25">
      <c r="B26" s="10">
        <f>Oportuno!B26</f>
        <v>0</v>
      </c>
      <c r="C26" s="45">
        <f>Oportuno!C26</f>
        <v>2026091</v>
      </c>
      <c r="D26" s="111" t="str">
        <f>Oportuno!D26</f>
        <v/>
      </c>
      <c r="E26" s="12">
        <f>Oportuno!E26</f>
        <v>201</v>
      </c>
      <c r="F26" s="12" t="str">
        <f>Oportuno!F26</f>
        <v>EAAB - Prestador</v>
      </c>
      <c r="G26" s="45">
        <f>Oportuno!G26</f>
        <v>1</v>
      </c>
      <c r="H26" s="45" t="str">
        <f>Oportuno!H26</f>
        <v>Oficinas</v>
      </c>
      <c r="I26" s="44" t="str">
        <f>Oportuno!I26</f>
        <v>N/A</v>
      </c>
      <c r="J26" s="10">
        <f>Oportuno!J26</f>
        <v>0</v>
      </c>
      <c r="K26" s="10">
        <f>Oportuno!K26</f>
        <v>0</v>
      </c>
      <c r="L26" s="10">
        <f>Oportuno!L26</f>
        <v>0</v>
      </c>
      <c r="M26" s="10">
        <f>Oportuno!M26</f>
        <v>0</v>
      </c>
      <c r="N26" s="10">
        <f>Oportuno!N26</f>
        <v>0</v>
      </c>
      <c r="O26" s="10">
        <f>Oportuno!O26</f>
        <v>0</v>
      </c>
      <c r="P26" s="10">
        <f>Oportuno!P26</f>
        <v>0</v>
      </c>
      <c r="Q26" s="10">
        <f>Oportuno!Q26</f>
        <v>0</v>
      </c>
      <c r="R26" s="10">
        <f>Oportuno!R26</f>
        <v>0</v>
      </c>
      <c r="S26" s="10">
        <f>Oportuno!S26</f>
        <v>0</v>
      </c>
      <c r="T26" s="42">
        <f>Oportuno!T26</f>
        <v>0</v>
      </c>
      <c r="U26" s="42">
        <f>Oportuno!U26</f>
        <v>0</v>
      </c>
      <c r="V26" s="38">
        <f>Oportuno!V26</f>
        <v>0</v>
      </c>
      <c r="W26" s="38">
        <f>Oportuno!W26</f>
        <v>0</v>
      </c>
      <c r="X26" s="42">
        <f>Oportuno!X26</f>
        <v>0</v>
      </c>
      <c r="Y26" s="42">
        <f>Oportuno!Y26</f>
        <v>0</v>
      </c>
      <c r="AA26" s="19"/>
    </row>
    <row r="27" spans="1:31 16111:16112" x14ac:dyDescent="0.25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</row>
    <row r="28" spans="1:31 16111:16112" x14ac:dyDescent="0.25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</row>
    <row r="29" spans="1:31 16111:16112" ht="12" thickBot="1" x14ac:dyDescent="0.3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</row>
    <row r="30" spans="1:31 16111:16112" ht="35" thickBot="1" x14ac:dyDescent="0.3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WUQ30"/>
      <c r="WUR30"/>
    </row>
    <row r="31" spans="1:31 16111:16112" x14ac:dyDescent="0.25">
      <c r="B31" s="43">
        <f>Oportuno!B31</f>
        <v>0</v>
      </c>
      <c r="C31" s="45">
        <f>Oportuno!C31</f>
        <v>2026092</v>
      </c>
      <c r="D31" s="111" t="str">
        <f>Oportuno!D31</f>
        <v/>
      </c>
      <c r="E31" s="12">
        <f>Oportuno!E31</f>
        <v>200</v>
      </c>
      <c r="F31" s="12" t="str">
        <f>Oportuno!F31</f>
        <v>Ciudad Limpia - Prestador</v>
      </c>
      <c r="G31" s="45">
        <f>Oportuno!G31</f>
        <v>1</v>
      </c>
      <c r="H31" s="45" t="str">
        <f>Oportuno!H31</f>
        <v>Oficinas</v>
      </c>
      <c r="I31" s="44" t="str">
        <f>Oportuno!I31</f>
        <v>N/A</v>
      </c>
      <c r="J31" s="10">
        <f>Oportuno!J31</f>
        <v>0</v>
      </c>
      <c r="K31" s="10">
        <f>Oportuno!K31</f>
        <v>0</v>
      </c>
      <c r="L31" s="10">
        <f>Oportuno!L31</f>
        <v>0</v>
      </c>
      <c r="M31" s="10">
        <f>Oportuno!M31</f>
        <v>0</v>
      </c>
      <c r="N31" s="10">
        <f>Oportuno!N31</f>
        <v>0</v>
      </c>
      <c r="O31" s="10">
        <f>Oportuno!O31</f>
        <v>0</v>
      </c>
      <c r="P31" s="10">
        <f>Oportuno!P31</f>
        <v>0</v>
      </c>
      <c r="Q31" s="10">
        <f>Oportuno!Q31</f>
        <v>0</v>
      </c>
      <c r="R31" s="10">
        <f>Oportuno!R31</f>
        <v>0</v>
      </c>
      <c r="S31" s="10">
        <f>Oportuno!S31</f>
        <v>0</v>
      </c>
      <c r="T31" s="42">
        <f>Oportuno!T31</f>
        <v>0</v>
      </c>
      <c r="U31" s="42">
        <f>Oportuno!U31</f>
        <v>0</v>
      </c>
      <c r="V31" s="38">
        <f>Oportuno!V31</f>
        <v>0</v>
      </c>
      <c r="W31" s="38">
        <f>Oportuno!W31</f>
        <v>0</v>
      </c>
      <c r="X31" s="42">
        <f>Oportuno!X31</f>
        <v>0</v>
      </c>
      <c r="Y31" s="42">
        <f>Oportuno!Y31</f>
        <v>0</v>
      </c>
      <c r="AA31" s="19"/>
      <c r="AC31" s="42"/>
      <c r="AE31" s="19"/>
    </row>
    <row r="32" spans="1:31 16111:16112" x14ac:dyDescent="0.25">
      <c r="B32" s="43">
        <f>Oportuno!B32</f>
        <v>0</v>
      </c>
      <c r="C32" s="45">
        <f>Oportuno!C32</f>
        <v>2026092</v>
      </c>
      <c r="D32" s="111" t="str">
        <f>Oportuno!D32</f>
        <v/>
      </c>
      <c r="E32" s="12">
        <f>Oportuno!E32</f>
        <v>200</v>
      </c>
      <c r="F32" s="12" t="str">
        <f>Oportuno!F32</f>
        <v>Ciudad Limpia - Prestador</v>
      </c>
      <c r="G32" s="45">
        <f>Oportuno!G32</f>
        <v>1</v>
      </c>
      <c r="H32" s="45" t="str">
        <f>Oportuno!H32</f>
        <v>Oficinas</v>
      </c>
      <c r="I32" s="44" t="str">
        <f>Oportuno!I32</f>
        <v>N/A</v>
      </c>
      <c r="J32" s="10">
        <f>Oportuno!J32</f>
        <v>0</v>
      </c>
      <c r="K32" s="10">
        <f>Oportuno!K32</f>
        <v>0</v>
      </c>
      <c r="L32" s="10">
        <f>Oportuno!L32</f>
        <v>0</v>
      </c>
      <c r="M32" s="10">
        <f>Oportuno!M32</f>
        <v>0</v>
      </c>
      <c r="N32" s="10">
        <f>Oportuno!N32</f>
        <v>0</v>
      </c>
      <c r="O32" s="10">
        <f>Oportuno!O32</f>
        <v>0</v>
      </c>
      <c r="P32" s="10">
        <f>Oportuno!P32</f>
        <v>0</v>
      </c>
      <c r="Q32" s="10">
        <f>Oportuno!Q32</f>
        <v>0</v>
      </c>
      <c r="R32" s="10">
        <f>Oportuno!R32</f>
        <v>0</v>
      </c>
      <c r="S32" s="10">
        <f>Oportuno!S32</f>
        <v>0</v>
      </c>
      <c r="T32" s="42">
        <f>Oportuno!T32</f>
        <v>0</v>
      </c>
      <c r="U32" s="42">
        <f>Oportuno!U32</f>
        <v>0</v>
      </c>
      <c r="V32" s="38">
        <f>Oportuno!V32</f>
        <v>0</v>
      </c>
      <c r="W32" s="38">
        <f>Oportuno!W32</f>
        <v>0</v>
      </c>
      <c r="X32" s="42">
        <f>Oportuno!X32</f>
        <v>0</v>
      </c>
      <c r="Y32" s="42">
        <f>Oportuno!Y32</f>
        <v>0</v>
      </c>
      <c r="AA32" s="19"/>
      <c r="AC32" s="42"/>
      <c r="AE32" s="19"/>
    </row>
    <row r="33" spans="1:31" x14ac:dyDescent="0.25">
      <c r="B33" s="43">
        <f>Oportuno!B33</f>
        <v>0</v>
      </c>
      <c r="C33" s="45">
        <f>Oportuno!C33</f>
        <v>2026092</v>
      </c>
      <c r="D33" s="111" t="str">
        <f>Oportuno!D33</f>
        <v/>
      </c>
      <c r="E33" s="12">
        <f>Oportuno!E33</f>
        <v>200</v>
      </c>
      <c r="F33" s="12" t="str">
        <f>Oportuno!F33</f>
        <v>Ciudad Limpia - Prestador</v>
      </c>
      <c r="G33" s="45">
        <f>Oportuno!G33</f>
        <v>1</v>
      </c>
      <c r="H33" s="45" t="str">
        <f>Oportuno!H33</f>
        <v>Oficinas</v>
      </c>
      <c r="I33" s="44" t="str">
        <f>Oportuno!I33</f>
        <v>N/A</v>
      </c>
      <c r="J33" s="10">
        <f>Oportuno!J33</f>
        <v>0</v>
      </c>
      <c r="K33" s="10">
        <f>Oportuno!K33</f>
        <v>0</v>
      </c>
      <c r="L33" s="10">
        <f>Oportuno!L33</f>
        <v>0</v>
      </c>
      <c r="M33" s="10">
        <f>Oportuno!M33</f>
        <v>0</v>
      </c>
      <c r="N33" s="10">
        <f>Oportuno!N33</f>
        <v>0</v>
      </c>
      <c r="O33" s="10">
        <f>Oportuno!O33</f>
        <v>0</v>
      </c>
      <c r="P33" s="10">
        <f>Oportuno!P33</f>
        <v>0</v>
      </c>
      <c r="Q33" s="10">
        <f>Oportuno!Q33</f>
        <v>0</v>
      </c>
      <c r="R33" s="10">
        <f>Oportuno!R33</f>
        <v>0</v>
      </c>
      <c r="S33" s="10">
        <f>Oportuno!S33</f>
        <v>0</v>
      </c>
      <c r="T33" s="42">
        <f>Oportuno!T33</f>
        <v>0</v>
      </c>
      <c r="U33" s="42">
        <f>Oportuno!U33</f>
        <v>0</v>
      </c>
      <c r="V33" s="38">
        <f>Oportuno!V33</f>
        <v>0</v>
      </c>
      <c r="W33" s="38">
        <f>Oportuno!W33</f>
        <v>0</v>
      </c>
      <c r="X33" s="42">
        <f>Oportuno!X33</f>
        <v>0</v>
      </c>
      <c r="Y33" s="42">
        <f>Oportuno!Y33</f>
        <v>0</v>
      </c>
      <c r="AA33" s="19"/>
      <c r="AC33" s="42"/>
      <c r="AE33" s="19"/>
    </row>
    <row r="34" spans="1:31" x14ac:dyDescent="0.25">
      <c r="B34" s="43">
        <f>Oportuno!B34</f>
        <v>0</v>
      </c>
      <c r="C34" s="45">
        <f>Oportuno!C34</f>
        <v>2026092</v>
      </c>
      <c r="D34" s="111" t="str">
        <f>Oportuno!D34</f>
        <v/>
      </c>
      <c r="E34" s="12">
        <f>Oportuno!E34</f>
        <v>200</v>
      </c>
      <c r="F34" s="12" t="str">
        <f>Oportuno!F34</f>
        <v>Ciudad Limpia - Prestador</v>
      </c>
      <c r="G34" s="45">
        <f>Oportuno!G34</f>
        <v>1</v>
      </c>
      <c r="H34" s="45" t="str">
        <f>Oportuno!H34</f>
        <v>Oficinas</v>
      </c>
      <c r="I34" s="44" t="str">
        <f>Oportuno!I34</f>
        <v>N/A</v>
      </c>
      <c r="J34" s="10">
        <f>Oportuno!J34</f>
        <v>0</v>
      </c>
      <c r="K34" s="10">
        <f>Oportuno!K34</f>
        <v>0</v>
      </c>
      <c r="L34" s="10">
        <f>Oportuno!L34</f>
        <v>0</v>
      </c>
      <c r="M34" s="10">
        <f>Oportuno!M34</f>
        <v>0</v>
      </c>
      <c r="N34" s="10">
        <f>Oportuno!N34</f>
        <v>0</v>
      </c>
      <c r="O34" s="10">
        <f>Oportuno!O34</f>
        <v>0</v>
      </c>
      <c r="P34" s="10">
        <f>Oportuno!P34</f>
        <v>0</v>
      </c>
      <c r="Q34" s="10">
        <f>Oportuno!Q34</f>
        <v>0</v>
      </c>
      <c r="R34" s="10">
        <f>Oportuno!R34</f>
        <v>0</v>
      </c>
      <c r="S34" s="10">
        <f>Oportuno!S34</f>
        <v>0</v>
      </c>
      <c r="T34" s="42">
        <f>Oportuno!T34</f>
        <v>0</v>
      </c>
      <c r="U34" s="42">
        <f>Oportuno!U34</f>
        <v>0</v>
      </c>
      <c r="V34" s="38">
        <f>Oportuno!V34</f>
        <v>0</v>
      </c>
      <c r="W34" s="38">
        <f>Oportuno!W34</f>
        <v>0</v>
      </c>
      <c r="X34" s="42">
        <f>Oportuno!X34</f>
        <v>0</v>
      </c>
      <c r="Y34" s="42">
        <f>Oportuno!Y34</f>
        <v>0</v>
      </c>
      <c r="AA34" s="19"/>
      <c r="AC34" s="42"/>
      <c r="AE34" s="19"/>
    </row>
    <row r="35" spans="1:31" x14ac:dyDescent="0.25">
      <c r="B35" s="43">
        <f>Oportuno!B35</f>
        <v>0</v>
      </c>
      <c r="C35" s="45">
        <f>Oportuno!C35</f>
        <v>2026092</v>
      </c>
      <c r="D35" s="111" t="str">
        <f>Oportuno!D35</f>
        <v/>
      </c>
      <c r="E35" s="12">
        <f>Oportuno!E35</f>
        <v>200</v>
      </c>
      <c r="F35" s="12" t="str">
        <f>Oportuno!F35</f>
        <v>Ciudad Limpia - Prestador</v>
      </c>
      <c r="G35" s="45">
        <f>Oportuno!G35</f>
        <v>1</v>
      </c>
      <c r="H35" s="45" t="str">
        <f>Oportuno!H35</f>
        <v>Oficinas</v>
      </c>
      <c r="I35" s="44" t="str">
        <f>Oportuno!I35</f>
        <v>N/A</v>
      </c>
      <c r="J35" s="10">
        <f>Oportuno!J35</f>
        <v>0</v>
      </c>
      <c r="K35" s="10">
        <f>Oportuno!K35</f>
        <v>0</v>
      </c>
      <c r="L35" s="10">
        <f>Oportuno!L35</f>
        <v>0</v>
      </c>
      <c r="M35" s="10">
        <f>Oportuno!M35</f>
        <v>0</v>
      </c>
      <c r="N35" s="10">
        <f>Oportuno!N35</f>
        <v>0</v>
      </c>
      <c r="O35" s="10">
        <f>Oportuno!O35</f>
        <v>0</v>
      </c>
      <c r="P35" s="10">
        <f>Oportuno!P35</f>
        <v>0</v>
      </c>
      <c r="Q35" s="10">
        <f>Oportuno!Q35</f>
        <v>0</v>
      </c>
      <c r="R35" s="10">
        <f>Oportuno!R35</f>
        <v>0</v>
      </c>
      <c r="S35" s="10">
        <f>Oportuno!S35</f>
        <v>0</v>
      </c>
      <c r="T35" s="42">
        <f>Oportuno!T35</f>
        <v>0</v>
      </c>
      <c r="U35" s="42">
        <f>Oportuno!U35</f>
        <v>0</v>
      </c>
      <c r="V35" s="38">
        <f>Oportuno!V35</f>
        <v>0</v>
      </c>
      <c r="W35" s="38">
        <f>Oportuno!W35</f>
        <v>0</v>
      </c>
      <c r="X35" s="42">
        <f>Oportuno!X35</f>
        <v>0</v>
      </c>
      <c r="Y35" s="42">
        <f>Oportuno!Y35</f>
        <v>0</v>
      </c>
      <c r="AA35" s="19"/>
      <c r="AC35" s="42"/>
      <c r="AE35" s="19"/>
    </row>
    <row r="36" spans="1:31" x14ac:dyDescent="0.25">
      <c r="B36" s="43">
        <f>Oportuno!B36</f>
        <v>0</v>
      </c>
      <c r="C36" s="45">
        <f>Oportuno!C36</f>
        <v>2026092</v>
      </c>
      <c r="D36" s="111" t="str">
        <f>Oportuno!D36</f>
        <v/>
      </c>
      <c r="E36" s="12">
        <f>Oportuno!E36</f>
        <v>200</v>
      </c>
      <c r="F36" s="12" t="str">
        <f>Oportuno!F36</f>
        <v>Ciudad Limpia - Prestador</v>
      </c>
      <c r="G36" s="45">
        <f>Oportuno!G36</f>
        <v>1</v>
      </c>
      <c r="H36" s="45" t="str">
        <f>Oportuno!H36</f>
        <v>Oficinas</v>
      </c>
      <c r="I36" s="44" t="str">
        <f>Oportuno!I36</f>
        <v>N/A</v>
      </c>
      <c r="J36" s="10">
        <f>Oportuno!J36</f>
        <v>0</v>
      </c>
      <c r="K36" s="10">
        <f>Oportuno!K36</f>
        <v>0</v>
      </c>
      <c r="L36" s="10">
        <f>Oportuno!L36</f>
        <v>0</v>
      </c>
      <c r="M36" s="10">
        <f>Oportuno!M36</f>
        <v>0</v>
      </c>
      <c r="N36" s="10">
        <f>Oportuno!N36</f>
        <v>0</v>
      </c>
      <c r="O36" s="10">
        <f>Oportuno!O36</f>
        <v>0</v>
      </c>
      <c r="P36" s="10">
        <f>Oportuno!P36</f>
        <v>0</v>
      </c>
      <c r="Q36" s="10">
        <f>Oportuno!Q36</f>
        <v>0</v>
      </c>
      <c r="R36" s="10">
        <f>Oportuno!R36</f>
        <v>0</v>
      </c>
      <c r="S36" s="10">
        <f>Oportuno!S36</f>
        <v>0</v>
      </c>
      <c r="T36" s="42">
        <f>Oportuno!T36</f>
        <v>0</v>
      </c>
      <c r="U36" s="42">
        <f>Oportuno!U36</f>
        <v>0</v>
      </c>
      <c r="V36" s="38">
        <f>Oportuno!V36</f>
        <v>0</v>
      </c>
      <c r="W36" s="38">
        <f>Oportuno!W36</f>
        <v>0</v>
      </c>
      <c r="X36" s="42">
        <f>Oportuno!X36</f>
        <v>0</v>
      </c>
      <c r="Y36" s="42">
        <f>Oportuno!Y36</f>
        <v>0</v>
      </c>
      <c r="AA36" s="19"/>
      <c r="AC36" s="42"/>
      <c r="AE36" s="19"/>
    </row>
    <row r="37" spans="1:31" x14ac:dyDescent="0.25">
      <c r="B37" s="43">
        <f>Oportuno!B37</f>
        <v>0</v>
      </c>
      <c r="C37" s="45">
        <f>Oportuno!C37</f>
        <v>2026092</v>
      </c>
      <c r="D37" s="111" t="str">
        <f>Oportuno!D37</f>
        <v/>
      </c>
      <c r="E37" s="12">
        <f>Oportuno!E37</f>
        <v>200</v>
      </c>
      <c r="F37" s="12" t="str">
        <f>Oportuno!F37</f>
        <v>Ciudad Limpia - Prestador</v>
      </c>
      <c r="G37" s="45">
        <f>Oportuno!G37</f>
        <v>1</v>
      </c>
      <c r="H37" s="45" t="str">
        <f>Oportuno!H37</f>
        <v>Oficinas</v>
      </c>
      <c r="I37" s="44" t="str">
        <f>Oportuno!I37</f>
        <v>N/A</v>
      </c>
      <c r="J37" s="10">
        <f>Oportuno!J37</f>
        <v>0</v>
      </c>
      <c r="K37" s="10">
        <f>Oportuno!K37</f>
        <v>0</v>
      </c>
      <c r="L37" s="10">
        <f>Oportuno!L37</f>
        <v>0</v>
      </c>
      <c r="M37" s="10">
        <f>Oportuno!M37</f>
        <v>0</v>
      </c>
      <c r="N37" s="10">
        <f>Oportuno!N37</f>
        <v>0</v>
      </c>
      <c r="O37" s="10">
        <f>Oportuno!O37</f>
        <v>0</v>
      </c>
      <c r="P37" s="10">
        <f>Oportuno!P37</f>
        <v>0</v>
      </c>
      <c r="Q37" s="10">
        <f>Oportuno!Q37</f>
        <v>0</v>
      </c>
      <c r="R37" s="10">
        <f>Oportuno!R37</f>
        <v>0</v>
      </c>
      <c r="S37" s="10">
        <f>Oportuno!S37</f>
        <v>0</v>
      </c>
      <c r="T37" s="42">
        <f>Oportuno!T37</f>
        <v>0</v>
      </c>
      <c r="U37" s="42">
        <f>Oportuno!U37</f>
        <v>0</v>
      </c>
      <c r="V37" s="38">
        <f>Oportuno!V37</f>
        <v>0</v>
      </c>
      <c r="W37" s="38">
        <f>Oportuno!W37</f>
        <v>0</v>
      </c>
      <c r="X37" s="42">
        <f>Oportuno!X37</f>
        <v>0</v>
      </c>
      <c r="Y37" s="42">
        <f>Oportuno!Y37</f>
        <v>0</v>
      </c>
      <c r="AA37" s="19"/>
      <c r="AC37" s="42"/>
      <c r="AE37" s="19"/>
    </row>
    <row r="38" spans="1:31" x14ac:dyDescent="0.25">
      <c r="B38" s="43">
        <f>Oportuno!B38</f>
        <v>0</v>
      </c>
      <c r="C38" s="45">
        <f>Oportuno!C38</f>
        <v>2026092</v>
      </c>
      <c r="D38" s="111" t="str">
        <f>Oportuno!D38</f>
        <v/>
      </c>
      <c r="E38" s="12">
        <f>Oportuno!E38</f>
        <v>201</v>
      </c>
      <c r="F38" s="12" t="str">
        <f>Oportuno!F38</f>
        <v>EAAB - Prestador</v>
      </c>
      <c r="G38" s="45">
        <f>Oportuno!G38</f>
        <v>1</v>
      </c>
      <c r="H38" s="45" t="str">
        <f>Oportuno!H38</f>
        <v>Oficinas</v>
      </c>
      <c r="I38" s="44" t="str">
        <f>Oportuno!I38</f>
        <v>N/A</v>
      </c>
      <c r="J38" s="10">
        <f>Oportuno!J38</f>
        <v>0</v>
      </c>
      <c r="K38" s="10">
        <f>Oportuno!K38</f>
        <v>0</v>
      </c>
      <c r="L38" s="10">
        <f>Oportuno!L38</f>
        <v>0</v>
      </c>
      <c r="M38" s="10">
        <f>Oportuno!M38</f>
        <v>0</v>
      </c>
      <c r="N38" s="10">
        <f>Oportuno!N38</f>
        <v>0</v>
      </c>
      <c r="O38" s="10">
        <f>Oportuno!O38</f>
        <v>0</v>
      </c>
      <c r="P38" s="10">
        <f>Oportuno!P38</f>
        <v>0</v>
      </c>
      <c r="Q38" s="10">
        <f>Oportuno!Q38</f>
        <v>0</v>
      </c>
      <c r="R38" s="10">
        <f>Oportuno!R38</f>
        <v>0</v>
      </c>
      <c r="S38" s="10">
        <f>Oportuno!S38</f>
        <v>0</v>
      </c>
      <c r="T38" s="42">
        <f>Oportuno!T38</f>
        <v>0</v>
      </c>
      <c r="U38" s="42">
        <f>Oportuno!U38</f>
        <v>0</v>
      </c>
      <c r="V38" s="38">
        <f>Oportuno!V38</f>
        <v>0</v>
      </c>
      <c r="W38" s="38">
        <f>Oportuno!W38</f>
        <v>0</v>
      </c>
      <c r="X38" s="42">
        <f>Oportuno!X38</f>
        <v>0</v>
      </c>
      <c r="Y38" s="42">
        <f>Oportuno!Y38</f>
        <v>0</v>
      </c>
      <c r="AA38" s="19"/>
      <c r="AC38" s="141"/>
      <c r="AE38" s="19"/>
    </row>
    <row r="39" spans="1:31" x14ac:dyDescent="0.25">
      <c r="B39" s="43">
        <f>Oportuno!B39</f>
        <v>0</v>
      </c>
      <c r="C39" s="45">
        <f>Oportuno!C39</f>
        <v>2026092</v>
      </c>
      <c r="D39" s="111" t="str">
        <f>Oportuno!D39</f>
        <v/>
      </c>
      <c r="E39" s="12">
        <f>Oportuno!E39</f>
        <v>201</v>
      </c>
      <c r="F39" s="12" t="str">
        <f>Oportuno!F39</f>
        <v>EAAB - Prestador</v>
      </c>
      <c r="G39" s="45">
        <f>Oportuno!G39</f>
        <v>1</v>
      </c>
      <c r="H39" s="45" t="str">
        <f>Oportuno!H39</f>
        <v>Oficinas</v>
      </c>
      <c r="I39" s="44" t="str">
        <f>Oportuno!I39</f>
        <v>N/A</v>
      </c>
      <c r="J39" s="10">
        <f>Oportuno!J39</f>
        <v>0</v>
      </c>
      <c r="K39" s="10">
        <f>Oportuno!K39</f>
        <v>0</v>
      </c>
      <c r="L39" s="10">
        <f>Oportuno!L39</f>
        <v>0</v>
      </c>
      <c r="M39" s="10">
        <f>Oportuno!M39</f>
        <v>0</v>
      </c>
      <c r="N39" s="10">
        <f>Oportuno!N39</f>
        <v>0</v>
      </c>
      <c r="O39" s="10">
        <f>Oportuno!O39</f>
        <v>0</v>
      </c>
      <c r="P39" s="10">
        <f>Oportuno!P39</f>
        <v>0</v>
      </c>
      <c r="Q39" s="10">
        <f>Oportuno!Q39</f>
        <v>0</v>
      </c>
      <c r="R39" s="10">
        <f>Oportuno!R39</f>
        <v>0</v>
      </c>
      <c r="S39" s="10">
        <f>Oportuno!S39</f>
        <v>0</v>
      </c>
      <c r="T39" s="42">
        <f>Oportuno!T39</f>
        <v>0</v>
      </c>
      <c r="U39" s="42">
        <f>Oportuno!U39</f>
        <v>0</v>
      </c>
      <c r="V39" s="38">
        <f>Oportuno!V39</f>
        <v>0</v>
      </c>
      <c r="W39" s="38">
        <f>Oportuno!W39</f>
        <v>0</v>
      </c>
      <c r="X39" s="42">
        <f>Oportuno!X39</f>
        <v>0</v>
      </c>
      <c r="Y39" s="42">
        <f>Oportuno!Y39</f>
        <v>0</v>
      </c>
      <c r="AA39" s="19"/>
      <c r="AC39" s="89"/>
      <c r="AE39" s="19"/>
    </row>
    <row r="40" spans="1:31" x14ac:dyDescent="0.25">
      <c r="B40" s="43">
        <f>Oportuno!B40</f>
        <v>0</v>
      </c>
      <c r="C40" s="45">
        <f>Oportuno!C40</f>
        <v>2026092</v>
      </c>
      <c r="D40" s="111" t="str">
        <f>Oportuno!D40</f>
        <v/>
      </c>
      <c r="E40" s="12">
        <f>Oportuno!E40</f>
        <v>201</v>
      </c>
      <c r="F40" s="12" t="str">
        <f>Oportuno!F40</f>
        <v>EAAB - Prestador</v>
      </c>
      <c r="G40" s="45">
        <f>Oportuno!G40</f>
        <v>1</v>
      </c>
      <c r="H40" s="45" t="str">
        <f>Oportuno!H40</f>
        <v>Oficinas</v>
      </c>
      <c r="I40" s="44" t="str">
        <f>Oportuno!I40</f>
        <v>N/A</v>
      </c>
      <c r="J40" s="10">
        <f>Oportuno!J40</f>
        <v>0</v>
      </c>
      <c r="K40" s="10">
        <f>Oportuno!K40</f>
        <v>0</v>
      </c>
      <c r="L40" s="10">
        <f>Oportuno!L40</f>
        <v>0</v>
      </c>
      <c r="M40" s="10">
        <f>Oportuno!M40</f>
        <v>0</v>
      </c>
      <c r="N40" s="10">
        <f>Oportuno!N40</f>
        <v>0</v>
      </c>
      <c r="O40" s="10">
        <f>Oportuno!O40</f>
        <v>0</v>
      </c>
      <c r="P40" s="10">
        <f>Oportuno!P40</f>
        <v>0</v>
      </c>
      <c r="Q40" s="10">
        <f>Oportuno!Q40</f>
        <v>0</v>
      </c>
      <c r="R40" s="10">
        <f>Oportuno!R40</f>
        <v>0</v>
      </c>
      <c r="S40" s="10">
        <f>Oportuno!S40</f>
        <v>0</v>
      </c>
      <c r="T40" s="42">
        <f>Oportuno!T40</f>
        <v>0</v>
      </c>
      <c r="U40" s="42">
        <f>Oportuno!U40</f>
        <v>0</v>
      </c>
      <c r="V40" s="38">
        <f>Oportuno!V40</f>
        <v>0</v>
      </c>
      <c r="W40" s="38">
        <f>Oportuno!W40</f>
        <v>0</v>
      </c>
      <c r="X40" s="42">
        <f>Oportuno!X40</f>
        <v>0</v>
      </c>
      <c r="Y40" s="42">
        <f>Oportuno!Y40</f>
        <v>0</v>
      </c>
      <c r="AA40" s="19"/>
      <c r="AC40" s="89"/>
      <c r="AE40" s="19"/>
    </row>
    <row r="41" spans="1:31" x14ac:dyDescent="0.25">
      <c r="B41" s="43">
        <f>Oportuno!B41</f>
        <v>0</v>
      </c>
      <c r="C41" s="45">
        <f>Oportuno!C41</f>
        <v>2026092</v>
      </c>
      <c r="D41" s="111" t="str">
        <f>Oportuno!D41</f>
        <v/>
      </c>
      <c r="E41" s="12">
        <f>Oportuno!E41</f>
        <v>201</v>
      </c>
      <c r="F41" s="12" t="str">
        <f>Oportuno!F41</f>
        <v>EAAB - Prestador</v>
      </c>
      <c r="G41" s="45">
        <f>Oportuno!G41</f>
        <v>1</v>
      </c>
      <c r="H41" s="45" t="str">
        <f>Oportuno!H41</f>
        <v>Oficinas</v>
      </c>
      <c r="I41" s="44" t="str">
        <f>Oportuno!I41</f>
        <v>N/A</v>
      </c>
      <c r="J41" s="10">
        <f>Oportuno!J41</f>
        <v>0</v>
      </c>
      <c r="K41" s="10">
        <f>Oportuno!K41</f>
        <v>0</v>
      </c>
      <c r="L41" s="10">
        <f>Oportuno!L41</f>
        <v>0</v>
      </c>
      <c r="M41" s="10">
        <f>Oportuno!M41</f>
        <v>0</v>
      </c>
      <c r="N41" s="10">
        <f>Oportuno!N41</f>
        <v>0</v>
      </c>
      <c r="O41" s="10">
        <f>Oportuno!O41</f>
        <v>0</v>
      </c>
      <c r="P41" s="10">
        <f>Oportuno!P41</f>
        <v>0</v>
      </c>
      <c r="Q41" s="10">
        <f>Oportuno!Q41</f>
        <v>0</v>
      </c>
      <c r="R41" s="10">
        <f>Oportuno!R41</f>
        <v>0</v>
      </c>
      <c r="S41" s="10">
        <f>Oportuno!S41</f>
        <v>0</v>
      </c>
      <c r="T41" s="42">
        <f>Oportuno!T41</f>
        <v>0</v>
      </c>
      <c r="U41" s="42">
        <f>Oportuno!U41</f>
        <v>0</v>
      </c>
      <c r="V41" s="38">
        <f>Oportuno!V41</f>
        <v>0</v>
      </c>
      <c r="W41" s="38">
        <f>Oportuno!W41</f>
        <v>0</v>
      </c>
      <c r="X41" s="42">
        <f>Oportuno!X41</f>
        <v>0</v>
      </c>
      <c r="Y41" s="42">
        <f>Oportuno!Y41</f>
        <v>0</v>
      </c>
      <c r="AA41" s="19"/>
      <c r="AC41" s="89"/>
      <c r="AE41" s="19"/>
    </row>
    <row r="42" spans="1:31" x14ac:dyDescent="0.25">
      <c r="B42" s="43">
        <f>Oportuno!B42</f>
        <v>0</v>
      </c>
      <c r="C42" s="45">
        <f>Oportuno!C42</f>
        <v>2026092</v>
      </c>
      <c r="D42" s="111" t="str">
        <f>Oportuno!D42</f>
        <v/>
      </c>
      <c r="E42" s="12">
        <f>Oportuno!E42</f>
        <v>201</v>
      </c>
      <c r="F42" s="12" t="str">
        <f>Oportuno!F42</f>
        <v>EAAB - Prestador</v>
      </c>
      <c r="G42" s="45">
        <f>Oportuno!G42</f>
        <v>1</v>
      </c>
      <c r="H42" s="45" t="str">
        <f>Oportuno!H42</f>
        <v>Oficinas</v>
      </c>
      <c r="I42" s="44" t="str">
        <f>Oportuno!I42</f>
        <v>N/A</v>
      </c>
      <c r="J42" s="10">
        <f>Oportuno!J42</f>
        <v>0</v>
      </c>
      <c r="K42" s="10">
        <f>Oportuno!K42</f>
        <v>0</v>
      </c>
      <c r="L42" s="10">
        <f>Oportuno!L42</f>
        <v>0</v>
      </c>
      <c r="M42" s="10">
        <f>Oportuno!M42</f>
        <v>0</v>
      </c>
      <c r="N42" s="10">
        <f>Oportuno!N42</f>
        <v>0</v>
      </c>
      <c r="O42" s="10">
        <f>Oportuno!O42</f>
        <v>0</v>
      </c>
      <c r="P42" s="10">
        <f>Oportuno!P42</f>
        <v>0</v>
      </c>
      <c r="Q42" s="10">
        <f>Oportuno!Q42</f>
        <v>0</v>
      </c>
      <c r="R42" s="10">
        <f>Oportuno!R42</f>
        <v>0</v>
      </c>
      <c r="S42" s="10">
        <f>Oportuno!S42</f>
        <v>0</v>
      </c>
      <c r="T42" s="42">
        <f>Oportuno!T42</f>
        <v>0</v>
      </c>
      <c r="U42" s="42">
        <f>Oportuno!U42</f>
        <v>0</v>
      </c>
      <c r="V42" s="38">
        <f>Oportuno!V42</f>
        <v>0</v>
      </c>
      <c r="W42" s="38">
        <f>Oportuno!W42</f>
        <v>0</v>
      </c>
      <c r="X42" s="42">
        <f>Oportuno!X42</f>
        <v>0</v>
      </c>
      <c r="Y42" s="42">
        <f>Oportuno!Y42</f>
        <v>0</v>
      </c>
      <c r="AA42" s="19"/>
      <c r="AC42" s="89"/>
      <c r="AE42" s="19"/>
    </row>
    <row r="43" spans="1:31" x14ac:dyDescent="0.25">
      <c r="B43" s="43">
        <f>Oportuno!B43</f>
        <v>0</v>
      </c>
      <c r="C43" s="45">
        <f>Oportuno!C43</f>
        <v>2026092</v>
      </c>
      <c r="D43" s="111" t="str">
        <f>Oportuno!D43</f>
        <v/>
      </c>
      <c r="E43" s="12">
        <f>Oportuno!E43</f>
        <v>201</v>
      </c>
      <c r="F43" s="12" t="str">
        <f>Oportuno!F43</f>
        <v>EAAB - Prestador</v>
      </c>
      <c r="G43" s="45">
        <f>Oportuno!G43</f>
        <v>1</v>
      </c>
      <c r="H43" s="45" t="str">
        <f>Oportuno!H43</f>
        <v>Oficinas</v>
      </c>
      <c r="I43" s="44" t="str">
        <f>Oportuno!I43</f>
        <v>N/A</v>
      </c>
      <c r="J43" s="10">
        <f>Oportuno!J43</f>
        <v>0</v>
      </c>
      <c r="K43" s="10">
        <f>Oportuno!K43</f>
        <v>0</v>
      </c>
      <c r="L43" s="10">
        <f>Oportuno!L43</f>
        <v>0</v>
      </c>
      <c r="M43" s="10">
        <f>Oportuno!M43</f>
        <v>0</v>
      </c>
      <c r="N43" s="10">
        <f>Oportuno!N43</f>
        <v>0</v>
      </c>
      <c r="O43" s="10">
        <f>Oportuno!O43</f>
        <v>0</v>
      </c>
      <c r="P43" s="10">
        <f>Oportuno!P43</f>
        <v>0</v>
      </c>
      <c r="Q43" s="10">
        <f>Oportuno!Q43</f>
        <v>0</v>
      </c>
      <c r="R43" s="10">
        <f>Oportuno!R43</f>
        <v>0</v>
      </c>
      <c r="S43" s="10">
        <f>Oportuno!S43</f>
        <v>0</v>
      </c>
      <c r="T43" s="42">
        <f>Oportuno!T43</f>
        <v>0</v>
      </c>
      <c r="U43" s="42">
        <f>Oportuno!U43</f>
        <v>0</v>
      </c>
      <c r="V43" s="38">
        <f>Oportuno!V43</f>
        <v>0</v>
      </c>
      <c r="W43" s="38">
        <f>Oportuno!W43</f>
        <v>0</v>
      </c>
      <c r="X43" s="42">
        <f>Oportuno!X43</f>
        <v>0</v>
      </c>
      <c r="Y43" s="42">
        <f>Oportuno!Y43</f>
        <v>0</v>
      </c>
      <c r="AA43" s="19"/>
      <c r="AC43" s="89"/>
      <c r="AE43" s="19"/>
    </row>
    <row r="44" spans="1:31" x14ac:dyDescent="0.25">
      <c r="B44" s="43">
        <f>Oportuno!B44</f>
        <v>0</v>
      </c>
      <c r="C44" s="45">
        <f>Oportuno!C44</f>
        <v>2026092</v>
      </c>
      <c r="D44" s="111" t="str">
        <f>Oportuno!D44</f>
        <v/>
      </c>
      <c r="E44" s="12">
        <f>Oportuno!E44</f>
        <v>201</v>
      </c>
      <c r="F44" s="12" t="str">
        <f>Oportuno!F44</f>
        <v>EAAB - Prestador</v>
      </c>
      <c r="G44" s="45">
        <f>Oportuno!G44</f>
        <v>1</v>
      </c>
      <c r="H44" s="45" t="str">
        <f>Oportuno!H44</f>
        <v>Oficinas</v>
      </c>
      <c r="I44" s="44" t="str">
        <f>Oportuno!I44</f>
        <v>N/A</v>
      </c>
      <c r="J44" s="10">
        <f>Oportuno!J44</f>
        <v>0</v>
      </c>
      <c r="K44" s="10">
        <f>Oportuno!K44</f>
        <v>0</v>
      </c>
      <c r="L44" s="10">
        <f>Oportuno!L44</f>
        <v>0</v>
      </c>
      <c r="M44" s="10">
        <f>Oportuno!M44</f>
        <v>0</v>
      </c>
      <c r="N44" s="10">
        <f>Oportuno!N44</f>
        <v>0</v>
      </c>
      <c r="O44" s="10">
        <f>Oportuno!O44</f>
        <v>0</v>
      </c>
      <c r="P44" s="10">
        <f>Oportuno!P44</f>
        <v>0</v>
      </c>
      <c r="Q44" s="10">
        <f>Oportuno!Q44</f>
        <v>0</v>
      </c>
      <c r="R44" s="10">
        <f>Oportuno!R44</f>
        <v>0</v>
      </c>
      <c r="S44" s="10">
        <f>Oportuno!S44</f>
        <v>0</v>
      </c>
      <c r="T44" s="42">
        <f>Oportuno!T44</f>
        <v>0</v>
      </c>
      <c r="U44" s="42">
        <f>Oportuno!U44</f>
        <v>0</v>
      </c>
      <c r="V44" s="38">
        <f>Oportuno!V44</f>
        <v>0</v>
      </c>
      <c r="W44" s="38">
        <f>Oportuno!W44</f>
        <v>0</v>
      </c>
      <c r="X44" s="42">
        <f>Oportuno!X44</f>
        <v>0</v>
      </c>
      <c r="Y44" s="42">
        <f>Oportuno!Y44</f>
        <v>0</v>
      </c>
      <c r="AA44" s="19"/>
      <c r="AC44" s="89"/>
      <c r="AE44" s="19"/>
    </row>
    <row r="45" spans="1:31" x14ac:dyDescent="0.25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</row>
    <row r="46" spans="1:31" x14ac:dyDescent="0.25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</row>
  </sheetData>
  <conditionalFormatting sqref="AC1:AY3">
    <cfRule type="cellIs" dxfId="0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xmlns:x16r3="http://schemas.microsoft.com/office/spreadsheetml/2018/08/main" sqref="B14:B16" x16r3:misleadingForma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Oportuno</vt:lpstr>
      <vt:lpstr>RESUMEN MES</vt:lpstr>
      <vt:lpstr>RESUMEN</vt:lpstr>
      <vt:lpstr>Códigos bancos</vt:lpstr>
      <vt:lpstr>1_Oportuno Otros EAAB y CIU LIM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2018-07-16T21:39:56Z</cp:lastPrinted>
  <dcterms:created xsi:type="dcterms:W3CDTF">2003-01-13T14:55:35Z</dcterms:created>
  <dcterms:modified xsi:type="dcterms:W3CDTF">2026-10-02T11:44:53Z</dcterms:modified>
</cp:coreProperties>
</file>