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Septiembre 1/Resultados/7/"/>
    </mc:Choice>
  </mc:AlternateContent>
  <xr:revisionPtr revIDLastSave="3" documentId="13_ncr:1_{216623C6-45D3-4D08-B6DF-D5ADE06F1830}" xr6:coauthVersionLast="47" xr6:coauthVersionMax="47" xr10:uidLastSave="{B56B94CE-D0F9-4C46-97E0-FF84C2385AA2}"/>
  <bookViews>
    <workbookView xWindow="-108" yWindow="-108" windowWidth="23256" windowHeight="12456" tabRatio="780" firstSheet="32" activeTab="35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1" sheetId="93" r:id="rId36"/>
    <sheet name="DetValiRetri202609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93" l="1"/>
  <c r="E10" i="92"/>
  <c r="E7" i="92"/>
  <c r="F10" i="92" s="1"/>
  <c r="C14" i="36" s="1"/>
  <c r="L82" i="91"/>
  <c r="K82" i="91"/>
  <c r="J82" i="91"/>
  <c r="I82" i="91"/>
  <c r="H82" i="91"/>
  <c r="G82" i="91"/>
  <c r="E82" i="91"/>
  <c r="D82" i="91"/>
  <c r="L81" i="91"/>
  <c r="K81" i="91"/>
  <c r="I81" i="91"/>
  <c r="H81" i="91"/>
  <c r="E81" i="91"/>
  <c r="D81" i="91"/>
  <c r="L80" i="91"/>
  <c r="K80" i="91"/>
  <c r="I80" i="91"/>
  <c r="H80" i="91"/>
  <c r="E80" i="91"/>
  <c r="D80" i="91"/>
  <c r="L79" i="91"/>
  <c r="K79" i="91"/>
  <c r="I79" i="91"/>
  <c r="H79" i="91"/>
  <c r="G79" i="91"/>
  <c r="E79" i="91"/>
  <c r="D79" i="91"/>
  <c r="L78" i="91"/>
  <c r="K78" i="91"/>
  <c r="I78" i="91"/>
  <c r="H78" i="91"/>
  <c r="G78" i="91"/>
  <c r="E78" i="91"/>
  <c r="D78" i="91"/>
  <c r="L77" i="91"/>
  <c r="K77" i="91"/>
  <c r="I77" i="91"/>
  <c r="H77" i="91"/>
  <c r="G77" i="91"/>
  <c r="E77" i="91"/>
  <c r="D77" i="91"/>
  <c r="L68" i="91"/>
  <c r="K68" i="91"/>
  <c r="J68" i="91"/>
  <c r="I68" i="91"/>
  <c r="H68" i="91"/>
  <c r="G68" i="91"/>
  <c r="D68" i="91"/>
  <c r="E67" i="91"/>
  <c r="D67" i="91"/>
  <c r="L66" i="91"/>
  <c r="K66" i="91"/>
  <c r="I66" i="91"/>
  <c r="H66" i="91"/>
  <c r="E66" i="91"/>
  <c r="D66" i="91"/>
  <c r="L65" i="91"/>
  <c r="K65" i="91"/>
  <c r="I65" i="91"/>
  <c r="H65" i="91"/>
  <c r="E65" i="91"/>
  <c r="D65" i="91"/>
  <c r="L64" i="91"/>
  <c r="K64" i="91"/>
  <c r="I64" i="91"/>
  <c r="E64" i="91"/>
  <c r="D64" i="91"/>
  <c r="L63" i="91"/>
  <c r="K63" i="91"/>
  <c r="I63" i="91"/>
  <c r="G63" i="91"/>
  <c r="E63" i="91"/>
  <c r="D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E40" i="91"/>
  <c r="D40" i="91"/>
  <c r="L39" i="91"/>
  <c r="K39" i="91"/>
  <c r="H39" i="91"/>
  <c r="E39" i="91"/>
  <c r="D39" i="91"/>
  <c r="L38" i="91"/>
  <c r="K38" i="91"/>
  <c r="I38" i="91"/>
  <c r="H38" i="91"/>
  <c r="E38" i="91"/>
  <c r="D38" i="91"/>
  <c r="L37" i="91"/>
  <c r="K37" i="91"/>
  <c r="H37" i="91"/>
  <c r="G37" i="91"/>
  <c r="E37" i="91"/>
  <c r="D37" i="91"/>
  <c r="L36" i="91"/>
  <c r="K36" i="91"/>
  <c r="I36" i="91"/>
  <c r="H36" i="91"/>
  <c r="G36" i="91"/>
  <c r="E36" i="91"/>
  <c r="D36" i="91"/>
  <c r="L35" i="91"/>
  <c r="K35" i="91"/>
  <c r="H35" i="91"/>
  <c r="G35" i="91"/>
  <c r="E35" i="91"/>
  <c r="D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E11" i="91"/>
  <c r="D11" i="91"/>
  <c r="D97" i="91" s="1"/>
  <c r="E10" i="91"/>
  <c r="E96" i="91" s="1"/>
  <c r="E9" i="91"/>
  <c r="E95" i="91" s="1"/>
  <c r="E8" i="91"/>
  <c r="E94" i="91" s="1"/>
  <c r="L7" i="91"/>
  <c r="K7" i="91"/>
  <c r="E7" i="91"/>
  <c r="E93" i="91" s="1"/>
  <c r="L6" i="91"/>
  <c r="K6" i="91"/>
  <c r="E6" i="91"/>
  <c r="E92" i="91" s="1"/>
  <c r="X125" i="90"/>
  <c r="U125" i="90"/>
  <c r="K125" i="90"/>
  <c r="G125" i="90"/>
  <c r="D125" i="90"/>
  <c r="D124" i="90"/>
  <c r="N121" i="90"/>
  <c r="AC97" i="90"/>
  <c r="L97" i="90"/>
  <c r="J97" i="90"/>
  <c r="AC96" i="90"/>
  <c r="L96" i="90"/>
  <c r="J96" i="90"/>
  <c r="AC95" i="90"/>
  <c r="L95" i="90"/>
  <c r="J95" i="90"/>
  <c r="AC94" i="90"/>
  <c r="AG65" i="90"/>
  <c r="AG64" i="90"/>
  <c r="AG63" i="90"/>
  <c r="AG62" i="90"/>
  <c r="AG61" i="90"/>
  <c r="AG60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F146" i="86"/>
  <c r="E146" i="86"/>
  <c r="H145" i="86"/>
  <c r="F145" i="86"/>
  <c r="E145" i="86"/>
  <c r="H144" i="86"/>
  <c r="F144" i="86"/>
  <c r="E144" i="86"/>
  <c r="H143" i="86"/>
  <c r="F143" i="86"/>
  <c r="E143" i="86"/>
  <c r="H142" i="86"/>
  <c r="H147" i="86" s="1"/>
  <c r="F142" i="86"/>
  <c r="F147" i="86" s="1"/>
  <c r="E142" i="86"/>
  <c r="E147" i="86" s="1"/>
  <c r="E130" i="86"/>
  <c r="L129" i="86"/>
  <c r="L34" i="88" s="1"/>
  <c r="K129" i="86"/>
  <c r="K34" i="88" s="1"/>
  <c r="I129" i="86"/>
  <c r="H129" i="86"/>
  <c r="D129" i="86"/>
  <c r="L128" i="86"/>
  <c r="L33" i="88" s="1"/>
  <c r="K128" i="86"/>
  <c r="K33" i="88" s="1"/>
  <c r="I128" i="86"/>
  <c r="H128" i="86"/>
  <c r="D128" i="86"/>
  <c r="L127" i="86"/>
  <c r="L32" i="88" s="1"/>
  <c r="K127" i="86"/>
  <c r="K32" i="88" s="1"/>
  <c r="I127" i="86"/>
  <c r="H127" i="86"/>
  <c r="G127" i="86"/>
  <c r="D127" i="86"/>
  <c r="L126" i="86"/>
  <c r="L31" i="88" s="1"/>
  <c r="K126" i="86"/>
  <c r="K31" i="88" s="1"/>
  <c r="I126" i="86"/>
  <c r="H126" i="86"/>
  <c r="G126" i="86"/>
  <c r="D126" i="86"/>
  <c r="L125" i="86"/>
  <c r="K125" i="86"/>
  <c r="I125" i="86"/>
  <c r="H125" i="86"/>
  <c r="G125" i="86"/>
  <c r="D125" i="86"/>
  <c r="K122" i="86"/>
  <c r="G122" i="86"/>
  <c r="M117" i="86"/>
  <c r="AC108" i="86"/>
  <c r="AC13" i="88" s="1"/>
  <c r="L108" i="86"/>
  <c r="L13" i="88" s="1"/>
  <c r="J108" i="86"/>
  <c r="AC107" i="86"/>
  <c r="AC12" i="88" s="1"/>
  <c r="L107" i="86"/>
  <c r="L12" i="88" s="1"/>
  <c r="J107" i="86"/>
  <c r="AC106" i="86"/>
  <c r="AC11" i="88" s="1"/>
  <c r="L106" i="86"/>
  <c r="L11" i="88" s="1"/>
  <c r="J106" i="86"/>
  <c r="AC105" i="86"/>
  <c r="AC10" i="88" s="1"/>
  <c r="L105" i="86"/>
  <c r="J105" i="86"/>
  <c r="AC104" i="86"/>
  <c r="L104" i="86"/>
  <c r="J104" i="86"/>
  <c r="X102" i="86"/>
  <c r="U102" i="86"/>
  <c r="K102" i="86"/>
  <c r="Y102" i="86" s="1"/>
  <c r="Y125" i="90" s="1"/>
  <c r="G102" i="86"/>
  <c r="V102" i="86" s="1"/>
  <c r="V125" i="90" s="1"/>
  <c r="D102" i="86"/>
  <c r="D101" i="86"/>
  <c r="N98" i="86"/>
  <c r="AD98" i="86" s="1"/>
  <c r="AD121" i="90" s="1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AG89" i="86" s="1"/>
  <c r="AH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AG87" i="86" s="1"/>
  <c r="AH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K83" i="86"/>
  <c r="Y83" i="86" s="1"/>
  <c r="G83" i="86"/>
  <c r="V83" i="86" s="1"/>
  <c r="D83" i="86"/>
  <c r="D82" i="86"/>
  <c r="N79" i="86"/>
  <c r="AD79" i="86" s="1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 s="1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/>
  <c r="AA68" i="86"/>
  <c r="Z68" i="86"/>
  <c r="Y68" i="86"/>
  <c r="X68" i="86"/>
  <c r="W68" i="86"/>
  <c r="V68" i="86"/>
  <c r="U68" i="86"/>
  <c r="N68" i="86"/>
  <c r="I68" i="86"/>
  <c r="I106" i="86" s="1"/>
  <c r="H68" i="86"/>
  <c r="H106" i="86" s="1"/>
  <c r="G68" i="86"/>
  <c r="G106" i="86" s="1"/>
  <c r="F68" i="86"/>
  <c r="F106" i="86" s="1"/>
  <c r="E68" i="86"/>
  <c r="E106" i="86" s="1"/>
  <c r="D68" i="86"/>
  <c r="AE67" i="86"/>
  <c r="AA67" i="86"/>
  <c r="AA105" i="86" s="1"/>
  <c r="Z67" i="86"/>
  <c r="Z105" i="86" s="1"/>
  <c r="Y67" i="86"/>
  <c r="Y105" i="86" s="1"/>
  <c r="X67" i="86"/>
  <c r="X105" i="86" s="1"/>
  <c r="W67" i="86"/>
  <c r="W105" i="86" s="1"/>
  <c r="V67" i="86"/>
  <c r="V105" i="86" s="1"/>
  <c r="U67" i="86"/>
  <c r="N67" i="86"/>
  <c r="I67" i="86"/>
  <c r="I105" i="86" s="1"/>
  <c r="H67" i="86"/>
  <c r="H105" i="86" s="1"/>
  <c r="G67" i="86"/>
  <c r="G105" i="86" s="1"/>
  <c r="F67" i="86"/>
  <c r="F105" i="86" s="1"/>
  <c r="E67" i="86"/>
  <c r="E105" i="86" s="1"/>
  <c r="D67" i="86"/>
  <c r="AE66" i="86"/>
  <c r="AA66" i="86"/>
  <c r="Z66" i="86"/>
  <c r="Y66" i="86"/>
  <c r="X66" i="86"/>
  <c r="W66" i="86"/>
  <c r="V66" i="86"/>
  <c r="U66" i="86"/>
  <c r="N66" i="86"/>
  <c r="I66" i="86"/>
  <c r="H66" i="86"/>
  <c r="G66" i="86"/>
  <c r="F66" i="86"/>
  <c r="E66" i="86"/>
  <c r="D66" i="86"/>
  <c r="X64" i="86"/>
  <c r="U64" i="86"/>
  <c r="K64" i="86"/>
  <c r="Y64" i="86" s="1"/>
  <c r="G64" i="86"/>
  <c r="V64" i="86" s="1"/>
  <c r="D64" i="86"/>
  <c r="D63" i="86"/>
  <c r="N60" i="86"/>
  <c r="AD60" i="86" s="1"/>
  <c r="AC52" i="86"/>
  <c r="L52" i="86"/>
  <c r="J52" i="86"/>
  <c r="AE51" i="86"/>
  <c r="AA51" i="86"/>
  <c r="AA108" i="86" s="1"/>
  <c r="Z51" i="86"/>
  <c r="Z108" i="86" s="1"/>
  <c r="Y51" i="86"/>
  <c r="Y108" i="86" s="1"/>
  <c r="X51" i="86"/>
  <c r="X108" i="86" s="1"/>
  <c r="W51" i="86"/>
  <c r="W108" i="86" s="1"/>
  <c r="V51" i="86"/>
  <c r="V108" i="86" s="1"/>
  <c r="U51" i="86"/>
  <c r="N51" i="86"/>
  <c r="I51" i="86"/>
  <c r="I108" i="86" s="1"/>
  <c r="H51" i="86"/>
  <c r="H108" i="86" s="1"/>
  <c r="G51" i="86"/>
  <c r="G108" i="86" s="1"/>
  <c r="F51" i="86"/>
  <c r="F108" i="86" s="1"/>
  <c r="E51" i="86"/>
  <c r="E108" i="86" s="1"/>
  <c r="D51" i="86"/>
  <c r="AE50" i="86"/>
  <c r="AA50" i="86"/>
  <c r="AA107" i="86" s="1"/>
  <c r="Z50" i="86"/>
  <c r="Z107" i="86" s="1"/>
  <c r="Y50" i="86"/>
  <c r="Y107" i="86" s="1"/>
  <c r="X50" i="86"/>
  <c r="X107" i="86" s="1"/>
  <c r="W50" i="86"/>
  <c r="W107" i="86" s="1"/>
  <c r="V50" i="86"/>
  <c r="V107" i="86" s="1"/>
  <c r="U50" i="86"/>
  <c r="N50" i="86"/>
  <c r="I50" i="86"/>
  <c r="H50" i="86"/>
  <c r="G50" i="86"/>
  <c r="F50" i="86"/>
  <c r="E50" i="86"/>
  <c r="D50" i="86"/>
  <c r="AE49" i="86"/>
  <c r="AB49" i="86"/>
  <c r="AA49" i="86"/>
  <c r="Z49" i="86"/>
  <c r="Y49" i="86"/>
  <c r="X49" i="86"/>
  <c r="W49" i="86"/>
  <c r="V49" i="86"/>
  <c r="U49" i="86"/>
  <c r="N49" i="86"/>
  <c r="I49" i="86"/>
  <c r="H49" i="86"/>
  <c r="G49" i="86"/>
  <c r="F49" i="86"/>
  <c r="E49" i="86"/>
  <c r="D49" i="86"/>
  <c r="K49" i="86" s="1"/>
  <c r="M49" i="86" s="1"/>
  <c r="O49" i="86" s="1"/>
  <c r="AE48" i="86"/>
  <c r="AD48" i="86"/>
  <c r="AA48" i="86"/>
  <c r="Z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K48" i="86" s="1"/>
  <c r="M48" i="86" s="1"/>
  <c r="O48" i="86" s="1"/>
  <c r="AE47" i="86"/>
  <c r="AD47" i="86"/>
  <c r="AA47" i="86"/>
  <c r="Z47" i="86"/>
  <c r="Y47" i="86"/>
  <c r="X47" i="86"/>
  <c r="W47" i="86"/>
  <c r="V47" i="86"/>
  <c r="U47" i="86"/>
  <c r="AF47" i="86" s="1"/>
  <c r="N47" i="86"/>
  <c r="AB47" i="86" s="1"/>
  <c r="I47" i="86"/>
  <c r="H47" i="86"/>
  <c r="G47" i="86"/>
  <c r="F47" i="86"/>
  <c r="E47" i="86"/>
  <c r="D47" i="86"/>
  <c r="K47" i="86" s="1"/>
  <c r="X45" i="86"/>
  <c r="U45" i="86"/>
  <c r="AC33" i="86"/>
  <c r="L33" i="86"/>
  <c r="J33" i="86"/>
  <c r="AE32" i="86"/>
  <c r="AD32" i="86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K32" i="86" s="1"/>
  <c r="M32" i="86" s="1"/>
  <c r="O32" i="86" s="1"/>
  <c r="AE31" i="86"/>
  <c r="AD31" i="86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K31" i="86" s="1"/>
  <c r="M31" i="86" s="1"/>
  <c r="O31" i="86" s="1"/>
  <c r="AE30" i="86"/>
  <c r="AD30" i="86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K30" i="86" s="1"/>
  <c r="M30" i="86" s="1"/>
  <c r="O30" i="86" s="1"/>
  <c r="AE29" i="86"/>
  <c r="AD29" i="86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K29" i="86" s="1"/>
  <c r="M29" i="86" s="1"/>
  <c r="O29" i="86" s="1"/>
  <c r="AE28" i="86"/>
  <c r="AE33" i="86" s="1"/>
  <c r="AD28" i="86"/>
  <c r="AD33" i="86" s="1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D13" i="86"/>
  <c r="AC13" i="86"/>
  <c r="AA13" i="86"/>
  <c r="Z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K13" i="86" s="1"/>
  <c r="M13" i="86" s="1"/>
  <c r="O13" i="86" s="1"/>
  <c r="AE12" i="86"/>
  <c r="AD12" i="86"/>
  <c r="AC12" i="86"/>
  <c r="AA12" i="86"/>
  <c r="Z12" i="86"/>
  <c r="Y12" i="86"/>
  <c r="X12" i="86"/>
  <c r="W12" i="86"/>
  <c r="V12" i="86"/>
  <c r="U12" i="86"/>
  <c r="N12" i="86"/>
  <c r="AB12" i="86" s="1"/>
  <c r="I12" i="86"/>
  <c r="H12" i="86"/>
  <c r="G12" i="86"/>
  <c r="F12" i="86"/>
  <c r="E12" i="86"/>
  <c r="D12" i="86"/>
  <c r="K12" i="86" s="1"/>
  <c r="M12" i="86" s="1"/>
  <c r="O12" i="86" s="1"/>
  <c r="AE11" i="86"/>
  <c r="AD11" i="86"/>
  <c r="AC11" i="86"/>
  <c r="AA11" i="86"/>
  <c r="Z11" i="86"/>
  <c r="Y11" i="86"/>
  <c r="X11" i="86"/>
  <c r="W11" i="86"/>
  <c r="V11" i="86"/>
  <c r="U11" i="86"/>
  <c r="N11" i="86"/>
  <c r="AB11" i="86" s="1"/>
  <c r="I11" i="86"/>
  <c r="H11" i="86"/>
  <c r="G11" i="86"/>
  <c r="F11" i="86"/>
  <c r="E11" i="86"/>
  <c r="D11" i="86"/>
  <c r="K11" i="86" s="1"/>
  <c r="M11" i="86" s="1"/>
  <c r="O11" i="86" s="1"/>
  <c r="AE10" i="86"/>
  <c r="AD10" i="86"/>
  <c r="AC10" i="86"/>
  <c r="AA10" i="86"/>
  <c r="Z10" i="86"/>
  <c r="Y10" i="86"/>
  <c r="X10" i="86"/>
  <c r="W10" i="86"/>
  <c r="V10" i="86"/>
  <c r="U10" i="86"/>
  <c r="N10" i="86"/>
  <c r="AB10" i="86" s="1"/>
  <c r="I10" i="86"/>
  <c r="H10" i="86"/>
  <c r="G10" i="86"/>
  <c r="F10" i="86"/>
  <c r="E10" i="86"/>
  <c r="D10" i="86"/>
  <c r="K10" i="86" s="1"/>
  <c r="M10" i="86" s="1"/>
  <c r="O10" i="86" s="1"/>
  <c r="AE9" i="86"/>
  <c r="AE14" i="86" s="1"/>
  <c r="AD9" i="86"/>
  <c r="AD14" i="86" s="1"/>
  <c r="AC9" i="86"/>
  <c r="AC14" i="86" s="1"/>
  <c r="AA9" i="86"/>
  <c r="AA14" i="86" s="1"/>
  <c r="Z9" i="86"/>
  <c r="Z14" i="86" s="1"/>
  <c r="Y9" i="86"/>
  <c r="Y14" i="86" s="1"/>
  <c r="X9" i="86"/>
  <c r="X14" i="86" s="1"/>
  <c r="W9" i="86"/>
  <c r="W14" i="86" s="1"/>
  <c r="V9" i="86"/>
  <c r="V14" i="86" s="1"/>
  <c r="U9" i="86"/>
  <c r="N9" i="86"/>
  <c r="I9" i="86"/>
  <c r="I14" i="86" s="1"/>
  <c r="H9" i="86"/>
  <c r="H14" i="86" s="1"/>
  <c r="G9" i="86"/>
  <c r="G14" i="86" s="1"/>
  <c r="F9" i="86"/>
  <c r="F14" i="86" s="1"/>
  <c r="E9" i="86"/>
  <c r="E14" i="86" s="1"/>
  <c r="D9" i="86"/>
  <c r="X7" i="86"/>
  <c r="U7" i="86"/>
  <c r="K7" i="86"/>
  <c r="G7" i="86"/>
  <c r="D7" i="86"/>
  <c r="D6" i="86"/>
  <c r="N3" i="86"/>
  <c r="O45" i="82"/>
  <c r="N45" i="82"/>
  <c r="M45" i="82"/>
  <c r="F45" i="82"/>
  <c r="E34" i="82"/>
  <c r="E33" i="82"/>
  <c r="E32" i="82"/>
  <c r="E31" i="82"/>
  <c r="E30" i="82"/>
  <c r="X7" i="82"/>
  <c r="U7" i="82"/>
  <c r="U6" i="82"/>
  <c r="F6" i="82"/>
  <c r="C14" i="83"/>
  <c r="C8" i="83"/>
  <c r="H8" i="83" s="1"/>
  <c r="L7" i="83"/>
  <c r="C7" i="83"/>
  <c r="L6" i="83"/>
  <c r="C6" i="83"/>
  <c r="L5" i="83"/>
  <c r="E5" i="83"/>
  <c r="C5" i="83"/>
  <c r="L4" i="83"/>
  <c r="C4" i="83"/>
  <c r="L3" i="83"/>
  <c r="C3" i="83"/>
  <c r="H146" i="85"/>
  <c r="G7" i="83" s="1"/>
  <c r="E146" i="85"/>
  <c r="H145" i="85"/>
  <c r="G6" i="83" s="1"/>
  <c r="F145" i="85"/>
  <c r="E145" i="85"/>
  <c r="H144" i="85"/>
  <c r="G5" i="83" s="1"/>
  <c r="F144" i="85"/>
  <c r="E144" i="85"/>
  <c r="H143" i="85"/>
  <c r="G4" i="83" s="1"/>
  <c r="E143" i="85"/>
  <c r="H142" i="85"/>
  <c r="E142" i="85"/>
  <c r="E147" i="85" s="1"/>
  <c r="E130" i="85"/>
  <c r="L129" i="85"/>
  <c r="K129" i="85"/>
  <c r="I129" i="85"/>
  <c r="D129" i="85"/>
  <c r="L128" i="85"/>
  <c r="L33" i="82" s="1"/>
  <c r="K128" i="85"/>
  <c r="K33" i="82" s="1"/>
  <c r="I128" i="85"/>
  <c r="I33" i="82" s="1"/>
  <c r="H128" i="85"/>
  <c r="D128" i="85"/>
  <c r="L127" i="85"/>
  <c r="L32" i="82" s="1"/>
  <c r="K127" i="85"/>
  <c r="K32" i="82" s="1"/>
  <c r="I127" i="85"/>
  <c r="I32" i="82" s="1"/>
  <c r="H127" i="85"/>
  <c r="D127" i="85"/>
  <c r="L126" i="85"/>
  <c r="L31" i="82" s="1"/>
  <c r="K126" i="85"/>
  <c r="K31" i="82" s="1"/>
  <c r="I126" i="85"/>
  <c r="I31" i="82" s="1"/>
  <c r="D126" i="85"/>
  <c r="L125" i="85"/>
  <c r="K125" i="85"/>
  <c r="I125" i="85"/>
  <c r="G125" i="85"/>
  <c r="D125" i="85"/>
  <c r="L108" i="85"/>
  <c r="J108" i="85"/>
  <c r="L107" i="85"/>
  <c r="J107" i="85"/>
  <c r="L106" i="85"/>
  <c r="J106" i="85"/>
  <c r="L105" i="85"/>
  <c r="J105" i="85"/>
  <c r="L104" i="85"/>
  <c r="J104" i="85"/>
  <c r="X102" i="85"/>
  <c r="U102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L71" i="85"/>
  <c r="J71" i="85"/>
  <c r="Z70" i="85"/>
  <c r="Z69" i="85"/>
  <c r="Z68" i="85"/>
  <c r="Z67" i="85"/>
  <c r="Z66" i="85"/>
  <c r="Z71" i="85" s="1"/>
  <c r="X64" i="85"/>
  <c r="U64" i="85"/>
  <c r="L52" i="85"/>
  <c r="J52" i="85"/>
  <c r="AE51" i="85"/>
  <c r="AD51" i="85" s="1"/>
  <c r="AC51" i="85"/>
  <c r="AA51" i="85"/>
  <c r="Z51" i="85"/>
  <c r="Y51" i="85"/>
  <c r="X51" i="85"/>
  <c r="W51" i="85"/>
  <c r="V51" i="85"/>
  <c r="U51" i="85"/>
  <c r="N51" i="85"/>
  <c r="AB51" i="85" s="1"/>
  <c r="I51" i="85"/>
  <c r="H51" i="85"/>
  <c r="G51" i="85"/>
  <c r="F51" i="85"/>
  <c r="E51" i="85"/>
  <c r="D51" i="85"/>
  <c r="AE50" i="85"/>
  <c r="AD50" i="85" s="1"/>
  <c r="AC50" i="85"/>
  <c r="AA50" i="85"/>
  <c r="Z50" i="85"/>
  <c r="Y50" i="85"/>
  <c r="X50" i="85"/>
  <c r="W50" i="85"/>
  <c r="V50" i="85"/>
  <c r="U50" i="85"/>
  <c r="N50" i="85"/>
  <c r="AB50" i="85" s="1"/>
  <c r="I50" i="85"/>
  <c r="H50" i="85"/>
  <c r="G50" i="85"/>
  <c r="F50" i="85"/>
  <c r="E50" i="85"/>
  <c r="D50" i="85"/>
  <c r="AE49" i="85"/>
  <c r="AD49" i="85" s="1"/>
  <c r="AC49" i="85"/>
  <c r="AA49" i="85"/>
  <c r="Z49" i="85"/>
  <c r="Y49" i="85"/>
  <c r="X49" i="85"/>
  <c r="W49" i="85"/>
  <c r="V49" i="85"/>
  <c r="U49" i="85"/>
  <c r="N49" i="85"/>
  <c r="AB49" i="85" s="1"/>
  <c r="I49" i="85"/>
  <c r="H49" i="85"/>
  <c r="G49" i="85"/>
  <c r="F49" i="85"/>
  <c r="E49" i="85"/>
  <c r="D49" i="85"/>
  <c r="AE48" i="85"/>
  <c r="AC48" i="85"/>
  <c r="AC52" i="85" s="1"/>
  <c r="AA48" i="85"/>
  <c r="AA52" i="85" s="1"/>
  <c r="Z48" i="85"/>
  <c r="Z52" i="85" s="1"/>
  <c r="Y48" i="85"/>
  <c r="Y52" i="85" s="1"/>
  <c r="X48" i="85"/>
  <c r="X52" i="85" s="1"/>
  <c r="W48" i="85"/>
  <c r="W52" i="85" s="1"/>
  <c r="V48" i="85"/>
  <c r="V52" i="85" s="1"/>
  <c r="U48" i="85"/>
  <c r="N48" i="85"/>
  <c r="I48" i="85"/>
  <c r="I52" i="85" s="1"/>
  <c r="H48" i="85"/>
  <c r="H52" i="85" s="1"/>
  <c r="AE47" i="85"/>
  <c r="AD47" i="85"/>
  <c r="AC47" i="85"/>
  <c r="AA47" i="85"/>
  <c r="Z47" i="85"/>
  <c r="Y47" i="85"/>
  <c r="X47" i="85"/>
  <c r="W47" i="85"/>
  <c r="V47" i="85"/>
  <c r="U47" i="85"/>
  <c r="N47" i="85"/>
  <c r="AB47" i="85" s="1"/>
  <c r="I47" i="85"/>
  <c r="H47" i="85"/>
  <c r="G47" i="85"/>
  <c r="F47" i="85"/>
  <c r="E47" i="85"/>
  <c r="D47" i="85"/>
  <c r="K47" i="85" s="1"/>
  <c r="X45" i="85"/>
  <c r="U45" i="85"/>
  <c r="L33" i="85"/>
  <c r="J33" i="85"/>
  <c r="Z32" i="85"/>
  <c r="AE31" i="85"/>
  <c r="AD31" i="85"/>
  <c r="AC31" i="85"/>
  <c r="AA31" i="85"/>
  <c r="Z31" i="85"/>
  <c r="Y31" i="85"/>
  <c r="X31" i="85"/>
  <c r="W31" i="85"/>
  <c r="V31" i="85"/>
  <c r="U31" i="85"/>
  <c r="AF31" i="85" s="1"/>
  <c r="N31" i="85"/>
  <c r="AB31" i="85" s="1"/>
  <c r="I31" i="85"/>
  <c r="H31" i="85"/>
  <c r="G31" i="85"/>
  <c r="F31" i="85"/>
  <c r="E31" i="85"/>
  <c r="D31" i="85"/>
  <c r="AE30" i="85"/>
  <c r="AD30" i="85"/>
  <c r="AC30" i="85"/>
  <c r="AA30" i="85"/>
  <c r="Z30" i="85"/>
  <c r="Y30" i="85"/>
  <c r="X30" i="85"/>
  <c r="W30" i="85"/>
  <c r="V30" i="85"/>
  <c r="U30" i="85"/>
  <c r="AF30" i="85" s="1"/>
  <c r="N30" i="85"/>
  <c r="AB30" i="85" s="1"/>
  <c r="I30" i="85"/>
  <c r="H30" i="85"/>
  <c r="G30" i="85"/>
  <c r="F30" i="85"/>
  <c r="E30" i="85"/>
  <c r="D30" i="85"/>
  <c r="K30" i="85" s="1"/>
  <c r="M30" i="85" s="1"/>
  <c r="O30" i="85" s="1"/>
  <c r="AE29" i="85"/>
  <c r="AD29" i="85"/>
  <c r="AC29" i="85"/>
  <c r="AA29" i="85"/>
  <c r="Z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D29" i="85"/>
  <c r="AE28" i="85"/>
  <c r="AE33" i="85" s="1"/>
  <c r="AD28" i="85"/>
  <c r="AD33" i="85" s="1"/>
  <c r="AC28" i="85"/>
  <c r="AC33" i="85" s="1"/>
  <c r="AA28" i="85"/>
  <c r="AA33" i="85" s="1"/>
  <c r="Z28" i="85"/>
  <c r="Z33" i="85" s="1"/>
  <c r="Y28" i="85"/>
  <c r="Y33" i="85" s="1"/>
  <c r="X28" i="85"/>
  <c r="X33" i="85" s="1"/>
  <c r="W28" i="85"/>
  <c r="W33" i="85" s="1"/>
  <c r="V28" i="85"/>
  <c r="V33" i="85" s="1"/>
  <c r="U28" i="85"/>
  <c r="N28" i="85"/>
  <c r="I28" i="85"/>
  <c r="I33" i="85" s="1"/>
  <c r="H28" i="85"/>
  <c r="H33" i="85" s="1"/>
  <c r="G28" i="85"/>
  <c r="G33" i="85" s="1"/>
  <c r="F28" i="85"/>
  <c r="F33" i="85" s="1"/>
  <c r="E28" i="85"/>
  <c r="E33" i="85" s="1"/>
  <c r="D28" i="85"/>
  <c r="X26" i="85"/>
  <c r="U26" i="85"/>
  <c r="L14" i="85"/>
  <c r="J14" i="85"/>
  <c r="AE13" i="85"/>
  <c r="AE108" i="85" s="1"/>
  <c r="AD13" i="85"/>
  <c r="AC13" i="85"/>
  <c r="AC108" i="85" s="1"/>
  <c r="AA13" i="85"/>
  <c r="AA108" i="85" s="1"/>
  <c r="Z13" i="85"/>
  <c r="Z108" i="85" s="1"/>
  <c r="Y13" i="85"/>
  <c r="Y108" i="85" s="1"/>
  <c r="X13" i="85"/>
  <c r="X108" i="85" s="1"/>
  <c r="W13" i="85"/>
  <c r="W108" i="85" s="1"/>
  <c r="V13" i="85"/>
  <c r="V108" i="85" s="1"/>
  <c r="U13" i="85"/>
  <c r="N13" i="85"/>
  <c r="I13" i="85"/>
  <c r="I108" i="85" s="1"/>
  <c r="H13" i="85"/>
  <c r="H108" i="85" s="1"/>
  <c r="G13" i="85"/>
  <c r="G108" i="85" s="1"/>
  <c r="F13" i="85"/>
  <c r="F108" i="85" s="1"/>
  <c r="E13" i="85"/>
  <c r="E108" i="85" s="1"/>
  <c r="D13" i="85"/>
  <c r="AE12" i="85"/>
  <c r="AE107" i="85" s="1"/>
  <c r="AD12" i="85"/>
  <c r="AC12" i="85"/>
  <c r="AC107" i="85" s="1"/>
  <c r="AA12" i="85"/>
  <c r="AA107" i="85" s="1"/>
  <c r="Z12" i="85"/>
  <c r="Z107" i="85" s="1"/>
  <c r="Y12" i="85"/>
  <c r="Y107" i="85" s="1"/>
  <c r="X12" i="85"/>
  <c r="X107" i="85" s="1"/>
  <c r="W12" i="85"/>
  <c r="W107" i="85" s="1"/>
  <c r="V12" i="85"/>
  <c r="V107" i="85" s="1"/>
  <c r="U12" i="85"/>
  <c r="N12" i="85"/>
  <c r="I12" i="85"/>
  <c r="I107" i="85" s="1"/>
  <c r="H12" i="85"/>
  <c r="H107" i="85" s="1"/>
  <c r="G12" i="85"/>
  <c r="G107" i="85" s="1"/>
  <c r="F12" i="85"/>
  <c r="F107" i="85" s="1"/>
  <c r="E12" i="85"/>
  <c r="E107" i="85" s="1"/>
  <c r="D12" i="85"/>
  <c r="AE11" i="85"/>
  <c r="AE106" i="85" s="1"/>
  <c r="AD11" i="85"/>
  <c r="AC11" i="85"/>
  <c r="AC106" i="85" s="1"/>
  <c r="AA11" i="85"/>
  <c r="AA106" i="85" s="1"/>
  <c r="Z11" i="85"/>
  <c r="Z106" i="85" s="1"/>
  <c r="Y11" i="85"/>
  <c r="Y106" i="85" s="1"/>
  <c r="X11" i="85"/>
  <c r="X106" i="85" s="1"/>
  <c r="W11" i="85"/>
  <c r="W106" i="85" s="1"/>
  <c r="V11" i="85"/>
  <c r="V106" i="85" s="1"/>
  <c r="U11" i="85"/>
  <c r="N11" i="85"/>
  <c r="I11" i="85"/>
  <c r="I106" i="85" s="1"/>
  <c r="H11" i="85"/>
  <c r="H106" i="85" s="1"/>
  <c r="G11" i="85"/>
  <c r="G106" i="85" s="1"/>
  <c r="F11" i="85"/>
  <c r="F106" i="85" s="1"/>
  <c r="E11" i="85"/>
  <c r="E106" i="85" s="1"/>
  <c r="D11" i="85"/>
  <c r="AE10" i="85"/>
  <c r="AE105" i="85" s="1"/>
  <c r="AD10" i="85"/>
  <c r="AC10" i="85"/>
  <c r="AC105" i="85" s="1"/>
  <c r="AA10" i="85"/>
  <c r="AA105" i="85" s="1"/>
  <c r="Z10" i="85"/>
  <c r="Z105" i="85" s="1"/>
  <c r="Y10" i="85"/>
  <c r="Y105" i="85" s="1"/>
  <c r="X10" i="85"/>
  <c r="X105" i="85" s="1"/>
  <c r="W10" i="85"/>
  <c r="W105" i="85" s="1"/>
  <c r="V10" i="85"/>
  <c r="V105" i="85" s="1"/>
  <c r="U10" i="85"/>
  <c r="N10" i="85"/>
  <c r="I10" i="85"/>
  <c r="I105" i="85" s="1"/>
  <c r="H10" i="85"/>
  <c r="H105" i="85" s="1"/>
  <c r="G10" i="85"/>
  <c r="G105" i="85" s="1"/>
  <c r="F10" i="85"/>
  <c r="F105" i="85" s="1"/>
  <c r="E10" i="85"/>
  <c r="E105" i="85" s="1"/>
  <c r="D10" i="85"/>
  <c r="AE9" i="85"/>
  <c r="AD9" i="85"/>
  <c r="AD14" i="85" s="1"/>
  <c r="AC9" i="85"/>
  <c r="AA9" i="85"/>
  <c r="Z9" i="85"/>
  <c r="Y9" i="85"/>
  <c r="X9" i="85"/>
  <c r="W9" i="85"/>
  <c r="V9" i="85"/>
  <c r="U9" i="85"/>
  <c r="N9" i="85"/>
  <c r="I9" i="85"/>
  <c r="H9" i="85"/>
  <c r="G9" i="85"/>
  <c r="F9" i="85"/>
  <c r="E9" i="85"/>
  <c r="D9" i="85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C6" i="98"/>
  <c r="L5" i="98"/>
  <c r="C5" i="98"/>
  <c r="L4" i="98"/>
  <c r="C4" i="98"/>
  <c r="L3" i="98"/>
  <c r="C3" i="98"/>
  <c r="E146" i="97"/>
  <c r="H145" i="97"/>
  <c r="G6" i="98" s="1"/>
  <c r="E145" i="97"/>
  <c r="E144" i="97"/>
  <c r="H143" i="97"/>
  <c r="G4" i="98" s="1"/>
  <c r="E143" i="97"/>
  <c r="E142" i="97"/>
  <c r="E147" i="97" s="1"/>
  <c r="E130" i="97"/>
  <c r="L129" i="97"/>
  <c r="K129" i="97"/>
  <c r="D129" i="97"/>
  <c r="L128" i="97"/>
  <c r="K128" i="97"/>
  <c r="I128" i="97"/>
  <c r="D128" i="97"/>
  <c r="L127" i="97"/>
  <c r="K127" i="97"/>
  <c r="D127" i="97"/>
  <c r="L126" i="97"/>
  <c r="K126" i="97"/>
  <c r="I126" i="97"/>
  <c r="G126" i="97"/>
  <c r="D126" i="97"/>
  <c r="L125" i="97"/>
  <c r="K125" i="97"/>
  <c r="D125" i="97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AC90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J71" i="97"/>
  <c r="Z70" i="97"/>
  <c r="AE69" i="97"/>
  <c r="AD69" i="97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AF68" i="97" s="1"/>
  <c r="N68" i="97"/>
  <c r="AB68" i="97" s="1"/>
  <c r="I68" i="97"/>
  <c r="H68" i="97"/>
  <c r="G68" i="97"/>
  <c r="F68" i="97"/>
  <c r="E68" i="97"/>
  <c r="D68" i="97"/>
  <c r="AE67" i="97"/>
  <c r="AD67" i="97" s="1"/>
  <c r="AC67" i="97"/>
  <c r="AA67" i="97"/>
  <c r="Z67" i="97"/>
  <c r="Y67" i="97"/>
  <c r="X67" i="97"/>
  <c r="W67" i="97"/>
  <c r="V67" i="97"/>
  <c r="U67" i="97"/>
  <c r="N67" i="97"/>
  <c r="AB67" i="97" s="1"/>
  <c r="I67" i="97"/>
  <c r="H67" i="97"/>
  <c r="G67" i="97"/>
  <c r="F67" i="97"/>
  <c r="E67" i="97"/>
  <c r="D67" i="97"/>
  <c r="Z66" i="97"/>
  <c r="Z71" i="97" s="1"/>
  <c r="X64" i="97"/>
  <c r="U64" i="97"/>
  <c r="L52" i="97"/>
  <c r="J52" i="97"/>
  <c r="AE51" i="97"/>
  <c r="AD51" i="97" s="1"/>
  <c r="AC51" i="97"/>
  <c r="AA51" i="97"/>
  <c r="Z51" i="97"/>
  <c r="Y51" i="97"/>
  <c r="X51" i="97"/>
  <c r="W51" i="97"/>
  <c r="V51" i="97"/>
  <c r="U51" i="97"/>
  <c r="AF51" i="97" s="1"/>
  <c r="N51" i="97"/>
  <c r="AB51" i="97" s="1"/>
  <c r="I51" i="97"/>
  <c r="H51" i="97"/>
  <c r="G51" i="97"/>
  <c r="F51" i="97"/>
  <c r="E51" i="97"/>
  <c r="D51" i="97"/>
  <c r="AE50" i="97"/>
  <c r="AD50" i="97" s="1"/>
  <c r="AC50" i="97"/>
  <c r="AA50" i="97"/>
  <c r="Z50" i="97"/>
  <c r="Y50" i="97"/>
  <c r="X50" i="97"/>
  <c r="W50" i="97"/>
  <c r="V50" i="97"/>
  <c r="U50" i="97"/>
  <c r="AF50" i="97" s="1"/>
  <c r="N50" i="97"/>
  <c r="AB50" i="97" s="1"/>
  <c r="I50" i="97"/>
  <c r="H50" i="97"/>
  <c r="G50" i="97"/>
  <c r="F50" i="97"/>
  <c r="E50" i="97"/>
  <c r="D50" i="97"/>
  <c r="AE49" i="97"/>
  <c r="AD49" i="97" s="1"/>
  <c r="AC49" i="97"/>
  <c r="AA49" i="97"/>
  <c r="Z49" i="97"/>
  <c r="Y49" i="97"/>
  <c r="X49" i="97"/>
  <c r="W49" i="97"/>
  <c r="V49" i="97"/>
  <c r="U49" i="97"/>
  <c r="N49" i="97"/>
  <c r="AB49" i="97" s="1"/>
  <c r="I49" i="97"/>
  <c r="H49" i="97"/>
  <c r="G49" i="97"/>
  <c r="F49" i="97"/>
  <c r="E49" i="97"/>
  <c r="D49" i="97"/>
  <c r="AE48" i="97"/>
  <c r="AD48" i="97" s="1"/>
  <c r="AC48" i="97"/>
  <c r="AB48" i="97"/>
  <c r="AA48" i="97"/>
  <c r="AF48" i="97" s="1"/>
  <c r="Z48" i="97"/>
  <c r="Y48" i="97"/>
  <c r="X48" i="97"/>
  <c r="W48" i="97"/>
  <c r="V48" i="97"/>
  <c r="U48" i="97"/>
  <c r="N48" i="97"/>
  <c r="I48" i="97"/>
  <c r="H48" i="97"/>
  <c r="G48" i="97"/>
  <c r="F48" i="97"/>
  <c r="E48" i="97"/>
  <c r="D48" i="97"/>
  <c r="K48" i="97" s="1"/>
  <c r="M48" i="97" s="1"/>
  <c r="O48" i="97" s="1"/>
  <c r="AE47" i="97"/>
  <c r="AC47" i="97"/>
  <c r="AC52" i="97" s="1"/>
  <c r="AA47" i="97"/>
  <c r="AA52" i="97" s="1"/>
  <c r="Z47" i="97"/>
  <c r="Z52" i="97" s="1"/>
  <c r="Y47" i="97"/>
  <c r="Y52" i="97" s="1"/>
  <c r="X47" i="97"/>
  <c r="X52" i="97" s="1"/>
  <c r="W47" i="97"/>
  <c r="W52" i="97" s="1"/>
  <c r="V47" i="97"/>
  <c r="V52" i="97" s="1"/>
  <c r="U47" i="97"/>
  <c r="U52" i="97" s="1"/>
  <c r="Y54" i="97" s="1"/>
  <c r="N47" i="97"/>
  <c r="I47" i="97"/>
  <c r="I52" i="97" s="1"/>
  <c r="H47" i="97"/>
  <c r="H52" i="97" s="1"/>
  <c r="G47" i="97"/>
  <c r="G52" i="97" s="1"/>
  <c r="F47" i="97"/>
  <c r="F52" i="97" s="1"/>
  <c r="E47" i="97"/>
  <c r="E52" i="97" s="1"/>
  <c r="D47" i="97"/>
  <c r="X45" i="97"/>
  <c r="U45" i="97"/>
  <c r="L33" i="97"/>
  <c r="J33" i="97"/>
  <c r="Z32" i="97"/>
  <c r="G32" i="97"/>
  <c r="F32" i="97"/>
  <c r="E32" i="97"/>
  <c r="D32" i="97"/>
  <c r="AE31" i="97"/>
  <c r="AD31" i="97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 s="1"/>
  <c r="AC30" i="97"/>
  <c r="AA30" i="97"/>
  <c r="Z30" i="97"/>
  <c r="Y30" i="97"/>
  <c r="X30" i="97"/>
  <c r="W30" i="97"/>
  <c r="V30" i="97"/>
  <c r="U30" i="97"/>
  <c r="AF30" i="97" s="1"/>
  <c r="N30" i="97"/>
  <c r="AB30" i="97" s="1"/>
  <c r="I30" i="97"/>
  <c r="H30" i="97"/>
  <c r="G30" i="97"/>
  <c r="F30" i="97"/>
  <c r="E30" i="97"/>
  <c r="D30" i="97"/>
  <c r="AE29" i="97"/>
  <c r="AD29" i="97" s="1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E28" i="97"/>
  <c r="AD28" i="97"/>
  <c r="AC28" i="97"/>
  <c r="AA28" i="97"/>
  <c r="Z28" i="97"/>
  <c r="Z33" i="97" s="1"/>
  <c r="Y28" i="97"/>
  <c r="X28" i="97"/>
  <c r="W28" i="97"/>
  <c r="V28" i="97"/>
  <c r="U28" i="97"/>
  <c r="N28" i="97"/>
  <c r="I28" i="97"/>
  <c r="H28" i="97"/>
  <c r="G28" i="97"/>
  <c r="G33" i="97" s="1"/>
  <c r="F28" i="97"/>
  <c r="F33" i="97" s="1"/>
  <c r="E28" i="97"/>
  <c r="E33" i="97" s="1"/>
  <c r="D28" i="97"/>
  <c r="X26" i="97"/>
  <c r="U26" i="97"/>
  <c r="L14" i="97"/>
  <c r="J14" i="97"/>
  <c r="AE13" i="97"/>
  <c r="AC13" i="97"/>
  <c r="AA13" i="97"/>
  <c r="Z13" i="97"/>
  <c r="Y13" i="97"/>
  <c r="X13" i="97"/>
  <c r="W13" i="97"/>
  <c r="V13" i="97"/>
  <c r="U13" i="97"/>
  <c r="N13" i="97"/>
  <c r="I13" i="97"/>
  <c r="H13" i="97"/>
  <c r="G13" i="97"/>
  <c r="F13" i="97"/>
  <c r="E13" i="97"/>
  <c r="D13" i="97"/>
  <c r="AE12" i="97"/>
  <c r="AE107" i="97" s="1"/>
  <c r="AD12" i="97"/>
  <c r="AC12" i="97"/>
  <c r="AC107" i="97" s="1"/>
  <c r="AA12" i="97"/>
  <c r="AA107" i="97" s="1"/>
  <c r="Z12" i="97"/>
  <c r="Z107" i="97" s="1"/>
  <c r="Y12" i="97"/>
  <c r="Y107" i="97" s="1"/>
  <c r="X12" i="97"/>
  <c r="X107" i="97" s="1"/>
  <c r="W12" i="97"/>
  <c r="W107" i="97" s="1"/>
  <c r="V12" i="97"/>
  <c r="V107" i="97" s="1"/>
  <c r="U12" i="97"/>
  <c r="N12" i="97"/>
  <c r="I12" i="97"/>
  <c r="I107" i="97" s="1"/>
  <c r="H12" i="97"/>
  <c r="H107" i="97" s="1"/>
  <c r="G12" i="97"/>
  <c r="G107" i="97" s="1"/>
  <c r="F12" i="97"/>
  <c r="F107" i="97" s="1"/>
  <c r="E12" i="97"/>
  <c r="E107" i="97" s="1"/>
  <c r="D12" i="97"/>
  <c r="AE11" i="97"/>
  <c r="AC11" i="97"/>
  <c r="AC106" i="97" s="1"/>
  <c r="AA11" i="97"/>
  <c r="Z11" i="97"/>
  <c r="Y11" i="97"/>
  <c r="Y106" i="97" s="1"/>
  <c r="X11" i="97"/>
  <c r="X106" i="97" s="1"/>
  <c r="W11" i="97"/>
  <c r="W106" i="97" s="1"/>
  <c r="V11" i="97"/>
  <c r="V106" i="97" s="1"/>
  <c r="U11" i="97"/>
  <c r="N11" i="97"/>
  <c r="I11" i="97"/>
  <c r="I106" i="97" s="1"/>
  <c r="H11" i="97"/>
  <c r="H106" i="97" s="1"/>
  <c r="G11" i="97"/>
  <c r="G106" i="97" s="1"/>
  <c r="F11" i="97"/>
  <c r="F106" i="97" s="1"/>
  <c r="E11" i="97"/>
  <c r="E106" i="97" s="1"/>
  <c r="D11" i="97"/>
  <c r="AE10" i="97"/>
  <c r="AE105" i="97" s="1"/>
  <c r="AD10" i="97"/>
  <c r="AC10" i="97"/>
  <c r="AC105" i="97" s="1"/>
  <c r="AA10" i="97"/>
  <c r="AA105" i="97" s="1"/>
  <c r="Z10" i="97"/>
  <c r="Z105" i="97" s="1"/>
  <c r="Y10" i="97"/>
  <c r="Y105" i="97" s="1"/>
  <c r="X10" i="97"/>
  <c r="X105" i="97" s="1"/>
  <c r="W10" i="97"/>
  <c r="W105" i="97" s="1"/>
  <c r="V10" i="97"/>
  <c r="V105" i="97" s="1"/>
  <c r="U10" i="97"/>
  <c r="N10" i="97"/>
  <c r="I10" i="97"/>
  <c r="I105" i="97" s="1"/>
  <c r="H10" i="97"/>
  <c r="H105" i="97" s="1"/>
  <c r="G10" i="97"/>
  <c r="G105" i="97" s="1"/>
  <c r="F10" i="97"/>
  <c r="F105" i="97" s="1"/>
  <c r="E10" i="97"/>
  <c r="E105" i="97" s="1"/>
  <c r="D10" i="97"/>
  <c r="AE9" i="97"/>
  <c r="AC9" i="97"/>
  <c r="AA9" i="97"/>
  <c r="Z9" i="97"/>
  <c r="Y9" i="97"/>
  <c r="X9" i="97"/>
  <c r="W9" i="97"/>
  <c r="V9" i="97"/>
  <c r="U9" i="97"/>
  <c r="N9" i="97"/>
  <c r="I9" i="97"/>
  <c r="H9" i="97"/>
  <c r="G9" i="97"/>
  <c r="F9" i="97"/>
  <c r="E9" i="97"/>
  <c r="D9" i="97"/>
  <c r="X7" i="97"/>
  <c r="U7" i="97"/>
  <c r="K7" i="97"/>
  <c r="G7" i="97"/>
  <c r="D7" i="97"/>
  <c r="D6" i="97"/>
  <c r="N3" i="97"/>
  <c r="O46" i="81"/>
  <c r="N46" i="81"/>
  <c r="M46" i="81"/>
  <c r="F46" i="81"/>
  <c r="E35" i="81"/>
  <c r="L34" i="81"/>
  <c r="K34" i="81"/>
  <c r="H34" i="81"/>
  <c r="E34" i="81"/>
  <c r="D34" i="81"/>
  <c r="L33" i="81"/>
  <c r="K33" i="81"/>
  <c r="I33" i="81"/>
  <c r="H33" i="81"/>
  <c r="E33" i="81"/>
  <c r="D33" i="81"/>
  <c r="L32" i="81"/>
  <c r="K32" i="81"/>
  <c r="H32" i="81"/>
  <c r="G32" i="81"/>
  <c r="E32" i="81"/>
  <c r="D32" i="81"/>
  <c r="L31" i="81"/>
  <c r="K31" i="81"/>
  <c r="I31" i="81"/>
  <c r="H31" i="81"/>
  <c r="G31" i="81"/>
  <c r="E31" i="81"/>
  <c r="D31" i="81"/>
  <c r="L30" i="81"/>
  <c r="L36" i="81" s="1"/>
  <c r="K30" i="81"/>
  <c r="K36" i="81" s="1"/>
  <c r="H30" i="81"/>
  <c r="H36" i="81" s="1"/>
  <c r="G30" i="81"/>
  <c r="E30" i="81"/>
  <c r="D30" i="81"/>
  <c r="D36" i="81" s="1"/>
  <c r="K27" i="81"/>
  <c r="H27" i="81"/>
  <c r="N22" i="81"/>
  <c r="X7" i="81"/>
  <c r="U7" i="81"/>
  <c r="K7" i="81"/>
  <c r="Y7" i="81" s="1"/>
  <c r="G7" i="81"/>
  <c r="V7" i="81" s="1"/>
  <c r="D7" i="81"/>
  <c r="U6" i="81"/>
  <c r="F6" i="81"/>
  <c r="D6" i="81"/>
  <c r="AD3" i="81"/>
  <c r="N3" i="81"/>
  <c r="C14" i="80"/>
  <c r="N8" i="80"/>
  <c r="L8" i="80"/>
  <c r="C8" i="80"/>
  <c r="H8" i="80" s="1"/>
  <c r="O8" i="80" s="1"/>
  <c r="P8" i="80" s="1"/>
  <c r="L7" i="80"/>
  <c r="K7" i="80"/>
  <c r="E7" i="80"/>
  <c r="C7" i="80"/>
  <c r="L6" i="80"/>
  <c r="K6" i="80"/>
  <c r="G6" i="80"/>
  <c r="E6" i="80"/>
  <c r="C6" i="80"/>
  <c r="L5" i="80"/>
  <c r="L9" i="80" s="1"/>
  <c r="M21" i="36" s="1"/>
  <c r="C5" i="80"/>
  <c r="L4" i="80"/>
  <c r="C4" i="80"/>
  <c r="L3" i="80"/>
  <c r="C3" i="80"/>
  <c r="E146" i="79"/>
  <c r="H145" i="79"/>
  <c r="F145" i="79"/>
  <c r="E145" i="79"/>
  <c r="F144" i="79"/>
  <c r="E144" i="79"/>
  <c r="H143" i="79"/>
  <c r="G4" i="80" s="1"/>
  <c r="F143" i="79"/>
  <c r="E143" i="79"/>
  <c r="F142" i="79"/>
  <c r="E142" i="79"/>
  <c r="E147" i="79" s="1"/>
  <c r="E130" i="79"/>
  <c r="E131" i="79" s="1"/>
  <c r="L129" i="79"/>
  <c r="K129" i="79"/>
  <c r="H129" i="79"/>
  <c r="K146" i="79" s="1"/>
  <c r="D129" i="79"/>
  <c r="L128" i="79"/>
  <c r="K128" i="79"/>
  <c r="I128" i="79"/>
  <c r="H128" i="79"/>
  <c r="K145" i="79" s="1"/>
  <c r="D128" i="79"/>
  <c r="L127" i="79"/>
  <c r="K127" i="79"/>
  <c r="H127" i="79"/>
  <c r="K144" i="79" s="1"/>
  <c r="G127" i="79"/>
  <c r="D127" i="79"/>
  <c r="K5" i="80" s="1"/>
  <c r="L126" i="79"/>
  <c r="K126" i="79"/>
  <c r="I126" i="79"/>
  <c r="H126" i="79"/>
  <c r="K143" i="79" s="1"/>
  <c r="G126" i="79"/>
  <c r="D126" i="79"/>
  <c r="K4" i="80" s="1"/>
  <c r="L125" i="79"/>
  <c r="L131" i="79" s="1"/>
  <c r="L41" i="91" s="1"/>
  <c r="K125" i="79"/>
  <c r="K131" i="79" s="1"/>
  <c r="K41" i="91" s="1"/>
  <c r="H125" i="79"/>
  <c r="G125" i="79"/>
  <c r="D125" i="79"/>
  <c r="K122" i="79"/>
  <c r="G122" i="79"/>
  <c r="M117" i="79"/>
  <c r="AG107" i="79"/>
  <c r="X102" i="79"/>
  <c r="U102" i="79"/>
  <c r="K102" i="79"/>
  <c r="Y102" i="79" s="1"/>
  <c r="G102" i="79"/>
  <c r="V102" i="79" s="1"/>
  <c r="D102" i="79"/>
  <c r="D101" i="79"/>
  <c r="N98" i="79"/>
  <c r="AD98" i="79" s="1"/>
  <c r="AC90" i="79"/>
  <c r="L90" i="79"/>
  <c r="AD88" i="79"/>
  <c r="AB88" i="79"/>
  <c r="Z88" i="79"/>
  <c r="AF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K83" i="79"/>
  <c r="Y83" i="79" s="1"/>
  <c r="G83" i="79"/>
  <c r="V83" i="79" s="1"/>
  <c r="D83" i="79"/>
  <c r="D82" i="79"/>
  <c r="N79" i="79"/>
  <c r="AD79" i="79" s="1"/>
  <c r="L71" i="79"/>
  <c r="J71" i="79"/>
  <c r="Z70" i="79"/>
  <c r="Z69" i="79"/>
  <c r="Z68" i="79"/>
  <c r="Z67" i="79"/>
  <c r="Z66" i="79"/>
  <c r="Z71" i="79" s="1"/>
  <c r="X64" i="79"/>
  <c r="U64" i="79"/>
  <c r="K64" i="79"/>
  <c r="Y64" i="79" s="1"/>
  <c r="G64" i="79"/>
  <c r="V64" i="79" s="1"/>
  <c r="D64" i="79"/>
  <c r="D63" i="79"/>
  <c r="N60" i="79"/>
  <c r="AD60" i="79" s="1"/>
  <c r="L52" i="79"/>
  <c r="J52" i="79"/>
  <c r="AE51" i="79"/>
  <c r="AD51" i="79"/>
  <c r="AC51" i="79"/>
  <c r="AA51" i="79"/>
  <c r="Z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AE50" i="79"/>
  <c r="AD50" i="79"/>
  <c r="AD52" i="79" s="1"/>
  <c r="AC50" i="79"/>
  <c r="AA50" i="79"/>
  <c r="Z50" i="79"/>
  <c r="Z52" i="79" s="1"/>
  <c r="Y50" i="79"/>
  <c r="X50" i="79"/>
  <c r="W50" i="79"/>
  <c r="V50" i="79"/>
  <c r="U50" i="79"/>
  <c r="N50" i="79"/>
  <c r="AE49" i="79"/>
  <c r="AD49" i="79"/>
  <c r="AC49" i="79"/>
  <c r="AA49" i="79"/>
  <c r="Z49" i="79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K49" i="79" s="1"/>
  <c r="M49" i="79" s="1"/>
  <c r="O49" i="79" s="1"/>
  <c r="AE48" i="79"/>
  <c r="AD48" i="79"/>
  <c r="AC48" i="79"/>
  <c r="AA48" i="79"/>
  <c r="Z48" i="79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K48" i="79" s="1"/>
  <c r="M48" i="79" s="1"/>
  <c r="O48" i="79" s="1"/>
  <c r="AE47" i="79"/>
  <c r="AD47" i="79"/>
  <c r="AC47" i="79"/>
  <c r="AA47" i="79"/>
  <c r="Z47" i="79"/>
  <c r="Y47" i="79"/>
  <c r="X47" i="79"/>
  <c r="W47" i="79"/>
  <c r="V47" i="79"/>
  <c r="U47" i="79"/>
  <c r="N47" i="79"/>
  <c r="AB47" i="79" s="1"/>
  <c r="I47" i="79"/>
  <c r="H47" i="79"/>
  <c r="G47" i="79"/>
  <c r="F47" i="79"/>
  <c r="E47" i="79"/>
  <c r="D47" i="79"/>
  <c r="K47" i="79" s="1"/>
  <c r="X45" i="79"/>
  <c r="U45" i="79"/>
  <c r="L33" i="79"/>
  <c r="J33" i="79"/>
  <c r="AE32" i="79"/>
  <c r="AD32" i="79"/>
  <c r="AC32" i="79"/>
  <c r="AA32" i="79"/>
  <c r="Z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D32" i="79"/>
  <c r="AE31" i="79"/>
  <c r="AD31" i="79"/>
  <c r="AC31" i="79"/>
  <c r="AA31" i="79"/>
  <c r="Z31" i="79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K31" i="79" s="1"/>
  <c r="M31" i="79" s="1"/>
  <c r="O31" i="79" s="1"/>
  <c r="AE30" i="79"/>
  <c r="AD30" i="79"/>
  <c r="AC30" i="79"/>
  <c r="AA30" i="79"/>
  <c r="Z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/>
  <c r="AC29" i="79"/>
  <c r="AA29" i="79"/>
  <c r="Z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E33" i="79" s="1"/>
  <c r="AD28" i="79"/>
  <c r="AD33" i="79" s="1"/>
  <c r="AC28" i="79"/>
  <c r="AC33" i="79" s="1"/>
  <c r="AA28" i="79"/>
  <c r="AA33" i="79" s="1"/>
  <c r="Z28" i="79"/>
  <c r="Z33" i="79" s="1"/>
  <c r="Y28" i="79"/>
  <c r="Y33" i="79" s="1"/>
  <c r="X28" i="79"/>
  <c r="X33" i="79" s="1"/>
  <c r="W28" i="79"/>
  <c r="W33" i="79" s="1"/>
  <c r="V28" i="79"/>
  <c r="V33" i="79" s="1"/>
  <c r="U28" i="79"/>
  <c r="N28" i="79"/>
  <c r="I28" i="79"/>
  <c r="I33" i="79" s="1"/>
  <c r="H28" i="79"/>
  <c r="H33" i="79" s="1"/>
  <c r="G28" i="79"/>
  <c r="G33" i="79" s="1"/>
  <c r="F28" i="79"/>
  <c r="F33" i="79" s="1"/>
  <c r="E28" i="79"/>
  <c r="E33" i="79" s="1"/>
  <c r="D28" i="79"/>
  <c r="X26" i="79"/>
  <c r="U26" i="79"/>
  <c r="AE13" i="79"/>
  <c r="AC13" i="79"/>
  <c r="AA13" i="79"/>
  <c r="Y13" i="79"/>
  <c r="X13" i="79"/>
  <c r="W13" i="79"/>
  <c r="V13" i="79"/>
  <c r="U13" i="79"/>
  <c r="N13" i="79"/>
  <c r="AB13" i="79" s="1"/>
  <c r="I13" i="79"/>
  <c r="H13" i="79"/>
  <c r="G13" i="79"/>
  <c r="F13" i="79"/>
  <c r="E13" i="79"/>
  <c r="D13" i="79"/>
  <c r="AE12" i="79"/>
  <c r="AC12" i="79"/>
  <c r="AA12" i="79"/>
  <c r="Y12" i="79"/>
  <c r="X12" i="79"/>
  <c r="W12" i="79"/>
  <c r="V12" i="79"/>
  <c r="U12" i="79"/>
  <c r="N12" i="79"/>
  <c r="AB12" i="79" s="1"/>
  <c r="I12" i="79"/>
  <c r="H12" i="79"/>
  <c r="G12" i="79"/>
  <c r="F12" i="79"/>
  <c r="E12" i="79"/>
  <c r="D12" i="79"/>
  <c r="AE11" i="79"/>
  <c r="AC11" i="79"/>
  <c r="AA11" i="79"/>
  <c r="Y11" i="79"/>
  <c r="X11" i="79"/>
  <c r="W11" i="79"/>
  <c r="V11" i="79"/>
  <c r="U11" i="79"/>
  <c r="N11" i="79"/>
  <c r="AB11" i="79" s="1"/>
  <c r="I11" i="79"/>
  <c r="H11" i="79"/>
  <c r="G11" i="79"/>
  <c r="F11" i="79"/>
  <c r="E11" i="79"/>
  <c r="D11" i="79"/>
  <c r="AE10" i="79"/>
  <c r="AC10" i="79"/>
  <c r="AA10" i="79"/>
  <c r="Y10" i="79"/>
  <c r="X10" i="79"/>
  <c r="W10" i="79"/>
  <c r="V10" i="79"/>
  <c r="U10" i="79"/>
  <c r="N10" i="79"/>
  <c r="AB10" i="79" s="1"/>
  <c r="I10" i="79"/>
  <c r="H10" i="79"/>
  <c r="G10" i="79"/>
  <c r="F10" i="79"/>
  <c r="E10" i="79"/>
  <c r="D10" i="79"/>
  <c r="AE9" i="79"/>
  <c r="AE14" i="79" s="1"/>
  <c r="AC9" i="79"/>
  <c r="AC14" i="79" s="1"/>
  <c r="AA9" i="79"/>
  <c r="AA14" i="79" s="1"/>
  <c r="Y9" i="79"/>
  <c r="Y14" i="79" s="1"/>
  <c r="X9" i="79"/>
  <c r="X14" i="79" s="1"/>
  <c r="W9" i="79"/>
  <c r="W14" i="79" s="1"/>
  <c r="V9" i="79"/>
  <c r="V14" i="79" s="1"/>
  <c r="U9" i="79"/>
  <c r="N9" i="79"/>
  <c r="I9" i="79"/>
  <c r="I14" i="79" s="1"/>
  <c r="H9" i="79"/>
  <c r="H14" i="79" s="1"/>
  <c r="G9" i="79"/>
  <c r="G14" i="79" s="1"/>
  <c r="F9" i="79"/>
  <c r="F14" i="79" s="1"/>
  <c r="E9" i="79"/>
  <c r="E14" i="79" s="1"/>
  <c r="D9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C7" i="77"/>
  <c r="L6" i="77"/>
  <c r="C6" i="77"/>
  <c r="L5" i="77"/>
  <c r="F5" i="77"/>
  <c r="C5" i="77"/>
  <c r="L4" i="77"/>
  <c r="C4" i="77"/>
  <c r="L3" i="77"/>
  <c r="F3" i="77"/>
  <c r="C3" i="77"/>
  <c r="H146" i="75"/>
  <c r="G7" i="77" s="1"/>
  <c r="E146" i="75"/>
  <c r="E145" i="75"/>
  <c r="H144" i="75"/>
  <c r="G5" i="77" s="1"/>
  <c r="E144" i="75"/>
  <c r="E143" i="75"/>
  <c r="H142" i="75"/>
  <c r="E142" i="75"/>
  <c r="E147" i="75" s="1"/>
  <c r="E130" i="75"/>
  <c r="L129" i="75"/>
  <c r="K129" i="75"/>
  <c r="I129" i="75"/>
  <c r="G129" i="75"/>
  <c r="D129" i="75"/>
  <c r="L128" i="75"/>
  <c r="K128" i="75"/>
  <c r="D128" i="75"/>
  <c r="L127" i="75"/>
  <c r="K127" i="75"/>
  <c r="I127" i="75"/>
  <c r="D127" i="75"/>
  <c r="L126" i="75"/>
  <c r="K126" i="75"/>
  <c r="D126" i="75"/>
  <c r="L125" i="75"/>
  <c r="K125" i="75"/>
  <c r="I125" i="75"/>
  <c r="D125" i="75"/>
  <c r="L108" i="75"/>
  <c r="J108" i="75"/>
  <c r="L107" i="75"/>
  <c r="L106" i="75"/>
  <c r="J106" i="75"/>
  <c r="L105" i="75"/>
  <c r="L104" i="75"/>
  <c r="X102" i="75"/>
  <c r="U102" i="75"/>
  <c r="AC90" i="75"/>
  <c r="L90" i="75"/>
  <c r="AF89" i="75"/>
  <c r="K89" i="75"/>
  <c r="M89" i="75" s="1"/>
  <c r="O89" i="75" s="1"/>
  <c r="Z88" i="75"/>
  <c r="AD87" i="75"/>
  <c r="AF87" i="75" s="1"/>
  <c r="K87" i="75"/>
  <c r="M87" i="75" s="1"/>
  <c r="O87" i="75" s="1"/>
  <c r="Z86" i="75"/>
  <c r="AB85" i="75"/>
  <c r="Z85" i="75"/>
  <c r="X83" i="75"/>
  <c r="U83" i="75"/>
  <c r="L71" i="75"/>
  <c r="J71" i="75"/>
  <c r="AE70" i="75"/>
  <c r="AD70" i="75"/>
  <c r="AC70" i="75"/>
  <c r="AA70" i="75"/>
  <c r="Z70" i="75"/>
  <c r="Y70" i="75"/>
  <c r="X70" i="75"/>
  <c r="W70" i="75"/>
  <c r="V70" i="75"/>
  <c r="U70" i="75"/>
  <c r="N70" i="75"/>
  <c r="AB70" i="75" s="1"/>
  <c r="I70" i="75"/>
  <c r="H70" i="75"/>
  <c r="G70" i="75"/>
  <c r="F70" i="75"/>
  <c r="E70" i="75"/>
  <c r="D70" i="75"/>
  <c r="Z69" i="75"/>
  <c r="AE68" i="75"/>
  <c r="AD68" i="75"/>
  <c r="AC68" i="75"/>
  <c r="AA68" i="75"/>
  <c r="Z68" i="75"/>
  <c r="Y68" i="75"/>
  <c r="X68" i="75"/>
  <c r="W68" i="75"/>
  <c r="V68" i="75"/>
  <c r="U68" i="75"/>
  <c r="N68" i="75"/>
  <c r="AB68" i="75" s="1"/>
  <c r="I68" i="75"/>
  <c r="H68" i="75"/>
  <c r="G68" i="75"/>
  <c r="F68" i="75"/>
  <c r="E68" i="75"/>
  <c r="D68" i="75"/>
  <c r="Z67" i="75"/>
  <c r="AE66" i="75"/>
  <c r="AD66" i="75"/>
  <c r="AC66" i="75"/>
  <c r="AA66" i="75"/>
  <c r="Z66" i="75"/>
  <c r="Z71" i="75" s="1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L52" i="75"/>
  <c r="J52" i="75"/>
  <c r="AE51" i="75"/>
  <c r="AD51" i="75"/>
  <c r="AC51" i="75"/>
  <c r="AB51" i="75"/>
  <c r="AA51" i="75"/>
  <c r="Z51" i="75"/>
  <c r="Y51" i="75"/>
  <c r="X51" i="75"/>
  <c r="W51" i="75"/>
  <c r="V51" i="75"/>
  <c r="U51" i="75"/>
  <c r="AF51" i="75" s="1"/>
  <c r="N51" i="75"/>
  <c r="I51" i="75"/>
  <c r="H51" i="75"/>
  <c r="G51" i="75"/>
  <c r="F51" i="75"/>
  <c r="E51" i="75"/>
  <c r="D51" i="75"/>
  <c r="K51" i="75" s="1"/>
  <c r="M51" i="75" s="1"/>
  <c r="O51" i="75" s="1"/>
  <c r="AE50" i="75"/>
  <c r="AD50" i="75" s="1"/>
  <c r="AC50" i="75"/>
  <c r="AA50" i="75"/>
  <c r="Z50" i="75"/>
  <c r="Y50" i="75"/>
  <c r="X50" i="75"/>
  <c r="W50" i="75"/>
  <c r="V50" i="75"/>
  <c r="U50" i="75"/>
  <c r="N50" i="75"/>
  <c r="AB50" i="75" s="1"/>
  <c r="AF50" i="75" s="1"/>
  <c r="I50" i="75"/>
  <c r="H50" i="75"/>
  <c r="G50" i="75"/>
  <c r="F50" i="75"/>
  <c r="E50" i="75"/>
  <c r="D50" i="75"/>
  <c r="AE49" i="75"/>
  <c r="AD49" i="75" s="1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AC48" i="75"/>
  <c r="AA48" i="75"/>
  <c r="Z48" i="75"/>
  <c r="Y48" i="75"/>
  <c r="X48" i="75"/>
  <c r="W48" i="75"/>
  <c r="V48" i="75"/>
  <c r="U48" i="75"/>
  <c r="N48" i="75"/>
  <c r="AB48" i="75" s="1"/>
  <c r="I48" i="75"/>
  <c r="H48" i="75"/>
  <c r="G48" i="75"/>
  <c r="F48" i="75"/>
  <c r="E48" i="75"/>
  <c r="D48" i="75"/>
  <c r="AE47" i="75"/>
  <c r="AC47" i="75"/>
  <c r="AC52" i="75" s="1"/>
  <c r="AA47" i="75"/>
  <c r="AA52" i="75" s="1"/>
  <c r="Z47" i="75"/>
  <c r="Z52" i="75" s="1"/>
  <c r="Y47" i="75"/>
  <c r="Y52" i="75" s="1"/>
  <c r="X47" i="75"/>
  <c r="X52" i="75" s="1"/>
  <c r="W47" i="75"/>
  <c r="W52" i="75" s="1"/>
  <c r="V47" i="75"/>
  <c r="V52" i="75" s="1"/>
  <c r="U47" i="75"/>
  <c r="N47" i="75"/>
  <c r="I47" i="75"/>
  <c r="I52" i="75" s="1"/>
  <c r="H47" i="75"/>
  <c r="H52" i="75" s="1"/>
  <c r="G47" i="75"/>
  <c r="G52" i="75" s="1"/>
  <c r="F47" i="75"/>
  <c r="F52" i="75" s="1"/>
  <c r="E47" i="75"/>
  <c r="E52" i="75" s="1"/>
  <c r="D47" i="75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AE31" i="75"/>
  <c r="AD31" i="75"/>
  <c r="AC31" i="75"/>
  <c r="AA31" i="75"/>
  <c r="Z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D31" i="75"/>
  <c r="AE30" i="75"/>
  <c r="AD30" i="75" s="1"/>
  <c r="AC30" i="75"/>
  <c r="AA30" i="75"/>
  <c r="Z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D30" i="75"/>
  <c r="AE29" i="75"/>
  <c r="AD29" i="75" s="1"/>
  <c r="AC29" i="75"/>
  <c r="AA29" i="75"/>
  <c r="Z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D29" i="75"/>
  <c r="AE28" i="75"/>
  <c r="AC28" i="75"/>
  <c r="AC33" i="75" s="1"/>
  <c r="AA28" i="75"/>
  <c r="AA33" i="75" s="1"/>
  <c r="Z28" i="75"/>
  <c r="Z33" i="75" s="1"/>
  <c r="Y28" i="75"/>
  <c r="Y33" i="75" s="1"/>
  <c r="X28" i="75"/>
  <c r="X33" i="75" s="1"/>
  <c r="W28" i="75"/>
  <c r="W33" i="75" s="1"/>
  <c r="V28" i="75"/>
  <c r="V33" i="75" s="1"/>
  <c r="U28" i="75"/>
  <c r="N28" i="75"/>
  <c r="I28" i="75"/>
  <c r="I33" i="75" s="1"/>
  <c r="H28" i="75"/>
  <c r="H33" i="75" s="1"/>
  <c r="G28" i="75"/>
  <c r="G33" i="75" s="1"/>
  <c r="F28" i="75"/>
  <c r="F33" i="75" s="1"/>
  <c r="E28" i="75"/>
  <c r="E33" i="75" s="1"/>
  <c r="D28" i="75"/>
  <c r="X26" i="75"/>
  <c r="U26" i="75"/>
  <c r="L14" i="75"/>
  <c r="J14" i="75"/>
  <c r="AE13" i="75"/>
  <c r="AE108" i="75" s="1"/>
  <c r="AD13" i="75"/>
  <c r="AC13" i="75"/>
  <c r="AC108" i="75" s="1"/>
  <c r="AA13" i="75"/>
  <c r="AA108" i="75" s="1"/>
  <c r="Z13" i="75"/>
  <c r="Z108" i="75" s="1"/>
  <c r="Y13" i="75"/>
  <c r="Y108" i="75" s="1"/>
  <c r="X13" i="75"/>
  <c r="X108" i="75" s="1"/>
  <c r="W13" i="75"/>
  <c r="W108" i="75" s="1"/>
  <c r="V13" i="75"/>
  <c r="V108" i="75" s="1"/>
  <c r="U13" i="75"/>
  <c r="N13" i="75"/>
  <c r="I13" i="75"/>
  <c r="I108" i="75" s="1"/>
  <c r="H13" i="75"/>
  <c r="H108" i="75" s="1"/>
  <c r="G13" i="75"/>
  <c r="G108" i="75" s="1"/>
  <c r="F13" i="75"/>
  <c r="F108" i="75" s="1"/>
  <c r="E13" i="75"/>
  <c r="E108" i="75" s="1"/>
  <c r="D13" i="75"/>
  <c r="AE12" i="75"/>
  <c r="AD12" i="75"/>
  <c r="AC12" i="75"/>
  <c r="AC107" i="75" s="1"/>
  <c r="AA12" i="75"/>
  <c r="Z12" i="75"/>
  <c r="Z107" i="75" s="1"/>
  <c r="Y12" i="75"/>
  <c r="X12" i="75"/>
  <c r="W12" i="75"/>
  <c r="V12" i="75"/>
  <c r="U12" i="75"/>
  <c r="N12" i="75"/>
  <c r="I12" i="75"/>
  <c r="H12" i="75"/>
  <c r="G12" i="75"/>
  <c r="F12" i="75"/>
  <c r="E12" i="75"/>
  <c r="D12" i="75"/>
  <c r="AE11" i="75"/>
  <c r="AC11" i="75"/>
  <c r="AC106" i="75" s="1"/>
  <c r="AA11" i="75"/>
  <c r="AA106" i="75" s="1"/>
  <c r="Z11" i="75"/>
  <c r="Z106" i="75" s="1"/>
  <c r="Y11" i="75"/>
  <c r="Y106" i="75" s="1"/>
  <c r="X11" i="75"/>
  <c r="X106" i="75" s="1"/>
  <c r="W11" i="75"/>
  <c r="W106" i="75" s="1"/>
  <c r="V11" i="75"/>
  <c r="V106" i="75" s="1"/>
  <c r="U11" i="75"/>
  <c r="N11" i="75"/>
  <c r="I11" i="75"/>
  <c r="I106" i="75" s="1"/>
  <c r="H11" i="75"/>
  <c r="H106" i="75" s="1"/>
  <c r="G11" i="75"/>
  <c r="G106" i="75" s="1"/>
  <c r="F11" i="75"/>
  <c r="F106" i="75" s="1"/>
  <c r="E11" i="75"/>
  <c r="E106" i="75" s="1"/>
  <c r="D11" i="75"/>
  <c r="AE10" i="75"/>
  <c r="AD10" i="75"/>
  <c r="AC10" i="75"/>
  <c r="AC105" i="75" s="1"/>
  <c r="AA10" i="75"/>
  <c r="Z10" i="75"/>
  <c r="Z105" i="75" s="1"/>
  <c r="Y10" i="75"/>
  <c r="X10" i="75"/>
  <c r="W10" i="75"/>
  <c r="V10" i="75"/>
  <c r="U10" i="75"/>
  <c r="N10" i="75"/>
  <c r="I10" i="75"/>
  <c r="H10" i="75"/>
  <c r="G10" i="75"/>
  <c r="F10" i="75"/>
  <c r="E10" i="75"/>
  <c r="D10" i="75"/>
  <c r="AE9" i="75"/>
  <c r="AD9" i="75"/>
  <c r="AC9" i="75"/>
  <c r="AA9" i="75"/>
  <c r="Z9" i="75"/>
  <c r="Y9" i="75"/>
  <c r="X9" i="75"/>
  <c r="W9" i="75"/>
  <c r="V9" i="75"/>
  <c r="U9" i="75"/>
  <c r="N9" i="75"/>
  <c r="I9" i="75"/>
  <c r="H9" i="75"/>
  <c r="G9" i="75"/>
  <c r="F9" i="75"/>
  <c r="E9" i="75"/>
  <c r="D9" i="75"/>
  <c r="X7" i="75"/>
  <c r="V7" i="75"/>
  <c r="U7" i="75"/>
  <c r="K7" i="75"/>
  <c r="G7" i="75"/>
  <c r="D7" i="75"/>
  <c r="D6" i="75"/>
  <c r="N3" i="75"/>
  <c r="O45" i="39"/>
  <c r="N45" i="39"/>
  <c r="M45" i="39"/>
  <c r="F45" i="39"/>
  <c r="E35" i="39"/>
  <c r="E34" i="39"/>
  <c r="E33" i="39"/>
  <c r="E32" i="39"/>
  <c r="L31" i="39"/>
  <c r="K31" i="39"/>
  <c r="E31" i="39"/>
  <c r="L30" i="39"/>
  <c r="K30" i="39"/>
  <c r="E30" i="39"/>
  <c r="K27" i="39"/>
  <c r="H27" i="39"/>
  <c r="N22" i="39"/>
  <c r="X7" i="39"/>
  <c r="U7" i="39"/>
  <c r="U6" i="39"/>
  <c r="F6" i="39"/>
  <c r="L8" i="36"/>
  <c r="N8" i="36" s="1"/>
  <c r="C8" i="36"/>
  <c r="H8" i="36" s="1"/>
  <c r="O8" i="36" s="1"/>
  <c r="P8" i="36" s="1"/>
  <c r="L7" i="36"/>
  <c r="E7" i="36"/>
  <c r="C7" i="36"/>
  <c r="L6" i="36"/>
  <c r="E6" i="36"/>
  <c r="C6" i="36"/>
  <c r="L5" i="36"/>
  <c r="E5" i="36"/>
  <c r="C5" i="36"/>
  <c r="L4" i="36"/>
  <c r="E4" i="36"/>
  <c r="C4" i="36"/>
  <c r="L3" i="36"/>
  <c r="L9" i="36" s="1"/>
  <c r="E3" i="36"/>
  <c r="E9" i="36" s="1"/>
  <c r="C3" i="36"/>
  <c r="T16" i="89"/>
  <c r="S16" i="89"/>
  <c r="R16" i="89"/>
  <c r="Q16" i="89"/>
  <c r="P16" i="89"/>
  <c r="U16" i="89" s="1"/>
  <c r="I16" i="89"/>
  <c r="H16" i="89"/>
  <c r="G16" i="89"/>
  <c r="F16" i="89"/>
  <c r="E16" i="89"/>
  <c r="D16" i="89"/>
  <c r="J16" i="89" s="1"/>
  <c r="T15" i="89"/>
  <c r="S15" i="89"/>
  <c r="R15" i="89"/>
  <c r="Q15" i="89"/>
  <c r="P15" i="89"/>
  <c r="U15" i="89" s="1"/>
  <c r="I15" i="89"/>
  <c r="H15" i="89"/>
  <c r="G15" i="89"/>
  <c r="F15" i="89"/>
  <c r="E15" i="89"/>
  <c r="D15" i="89"/>
  <c r="J15" i="89" s="1"/>
  <c r="V15" i="89" s="1"/>
  <c r="W15" i="89" s="1"/>
  <c r="T14" i="89"/>
  <c r="S14" i="89"/>
  <c r="R14" i="89"/>
  <c r="Q14" i="89"/>
  <c r="P14" i="89"/>
  <c r="U14" i="89" s="1"/>
  <c r="I14" i="89"/>
  <c r="H14" i="89"/>
  <c r="G14" i="89"/>
  <c r="F14" i="89"/>
  <c r="E14" i="89"/>
  <c r="D14" i="89"/>
  <c r="J14" i="89" s="1"/>
  <c r="V14" i="89" s="1"/>
  <c r="W14" i="89" s="1"/>
  <c r="T13" i="89"/>
  <c r="S13" i="89"/>
  <c r="R13" i="89"/>
  <c r="Q13" i="89"/>
  <c r="P13" i="89"/>
  <c r="U13" i="89" s="1"/>
  <c r="I13" i="89"/>
  <c r="H13" i="89"/>
  <c r="G13" i="89"/>
  <c r="F13" i="89"/>
  <c r="E13" i="89"/>
  <c r="D13" i="89"/>
  <c r="J13" i="89" s="1"/>
  <c r="V13" i="89" s="1"/>
  <c r="W13" i="89" s="1"/>
  <c r="T12" i="89"/>
  <c r="T17" i="89" s="1"/>
  <c r="S12" i="89"/>
  <c r="S17" i="89" s="1"/>
  <c r="R12" i="89"/>
  <c r="R17" i="89" s="1"/>
  <c r="Q12" i="89"/>
  <c r="Q17" i="89" s="1"/>
  <c r="P12" i="89"/>
  <c r="I12" i="89"/>
  <c r="I17" i="89" s="1"/>
  <c r="H12" i="89"/>
  <c r="H17" i="89" s="1"/>
  <c r="G12" i="89"/>
  <c r="G17" i="89" s="1"/>
  <c r="F12" i="89"/>
  <c r="F17" i="89" s="1"/>
  <c r="E12" i="89"/>
  <c r="E17" i="89" s="1"/>
  <c r="D12" i="89"/>
  <c r="I10" i="89"/>
  <c r="F10" i="89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J51" i="69"/>
  <c r="Z50" i="69"/>
  <c r="J50" i="69"/>
  <c r="Z49" i="69"/>
  <c r="J49" i="69"/>
  <c r="Z48" i="69"/>
  <c r="J48" i="69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AA33" i="69" s="1"/>
  <c r="N10" i="67"/>
  <c r="Y28" i="69" s="1"/>
  <c r="Y33" i="69" s="1"/>
  <c r="M10" i="67"/>
  <c r="X28" i="69" s="1"/>
  <c r="X33" i="69" s="1"/>
  <c r="L10" i="67"/>
  <c r="W28" i="69" s="1"/>
  <c r="W33" i="69" s="1"/>
  <c r="K10" i="67"/>
  <c r="V28" i="69" s="1"/>
  <c r="V33" i="69" s="1"/>
  <c r="J10" i="67"/>
  <c r="U28" i="69" s="1"/>
  <c r="I10" i="67"/>
  <c r="N28" i="69" s="1"/>
  <c r="H10" i="67"/>
  <c r="I28" i="69" s="1"/>
  <c r="I33" i="69" s="1"/>
  <c r="G10" i="67"/>
  <c r="H28" i="69" s="1"/>
  <c r="H33" i="69" s="1"/>
  <c r="F10" i="67"/>
  <c r="G28" i="69" s="1"/>
  <c r="G33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AA51" i="69" s="1"/>
  <c r="N62" i="68"/>
  <c r="Y13" i="69" s="1"/>
  <c r="Y51" i="69" s="1"/>
  <c r="M62" i="68"/>
  <c r="X13" i="69" s="1"/>
  <c r="X51" i="69" s="1"/>
  <c r="L62" i="68"/>
  <c r="W13" i="69" s="1"/>
  <c r="W51" i="69" s="1"/>
  <c r="K62" i="68"/>
  <c r="V13" i="69" s="1"/>
  <c r="V51" i="69" s="1"/>
  <c r="J62" i="68"/>
  <c r="U13" i="69" s="1"/>
  <c r="I62" i="68"/>
  <c r="N13" i="69" s="1"/>
  <c r="H62" i="68"/>
  <c r="I13" i="69" s="1"/>
  <c r="I51" i="69" s="1"/>
  <c r="G62" i="68"/>
  <c r="H13" i="69" s="1"/>
  <c r="H51" i="69" s="1"/>
  <c r="F62" i="68"/>
  <c r="G13" i="69" s="1"/>
  <c r="G51" i="69" s="1"/>
  <c r="E62" i="68"/>
  <c r="F13" i="69" s="1"/>
  <c r="F51" i="69" s="1"/>
  <c r="D62" i="68"/>
  <c r="E13" i="69" s="1"/>
  <c r="C62" i="68"/>
  <c r="D13" i="69" s="1"/>
  <c r="C50" i="68"/>
  <c r="AD12" i="69" s="1"/>
  <c r="P49" i="68"/>
  <c r="O49" i="68"/>
  <c r="AA12" i="69" s="1"/>
  <c r="N49" i="68"/>
  <c r="Y12" i="69" s="1"/>
  <c r="M49" i="68"/>
  <c r="X12" i="69" s="1"/>
  <c r="L49" i="68"/>
  <c r="W12" i="69" s="1"/>
  <c r="K49" i="68"/>
  <c r="V12" i="69" s="1"/>
  <c r="J49" i="68"/>
  <c r="U12" i="69" s="1"/>
  <c r="I49" i="68"/>
  <c r="N12" i="69" s="1"/>
  <c r="H49" i="68"/>
  <c r="I12" i="69" s="1"/>
  <c r="G49" i="68"/>
  <c r="H12" i="69" s="1"/>
  <c r="F49" i="68"/>
  <c r="G12" i="69" s="1"/>
  <c r="E49" i="68"/>
  <c r="F12" i="69" s="1"/>
  <c r="D49" i="68"/>
  <c r="E12" i="69" s="1"/>
  <c r="C49" i="68"/>
  <c r="D12" i="69" s="1"/>
  <c r="C37" i="68"/>
  <c r="AD11" i="69" s="1"/>
  <c r="P36" i="68"/>
  <c r="O36" i="68"/>
  <c r="AA11" i="69" s="1"/>
  <c r="N36" i="68"/>
  <c r="Y11" i="69" s="1"/>
  <c r="M36" i="68"/>
  <c r="X11" i="69" s="1"/>
  <c r="L36" i="68"/>
  <c r="W11" i="69" s="1"/>
  <c r="K36" i="68"/>
  <c r="V11" i="69" s="1"/>
  <c r="J36" i="68"/>
  <c r="U11" i="69" s="1"/>
  <c r="I36" i="68"/>
  <c r="N11" i="69" s="1"/>
  <c r="H36" i="68"/>
  <c r="I11" i="69" s="1"/>
  <c r="G36" i="68"/>
  <c r="H11" i="69" s="1"/>
  <c r="F36" i="68"/>
  <c r="G11" i="69" s="1"/>
  <c r="E36" i="68"/>
  <c r="F11" i="69" s="1"/>
  <c r="D36" i="68"/>
  <c r="E11" i="69" s="1"/>
  <c r="C36" i="68"/>
  <c r="D11" i="69" s="1"/>
  <c r="C24" i="68"/>
  <c r="AD10" i="69" s="1"/>
  <c r="P23" i="68"/>
  <c r="O23" i="68"/>
  <c r="AA10" i="69" s="1"/>
  <c r="N23" i="68"/>
  <c r="Y10" i="69" s="1"/>
  <c r="M23" i="68"/>
  <c r="X10" i="69" s="1"/>
  <c r="L23" i="68"/>
  <c r="W10" i="69" s="1"/>
  <c r="K23" i="68"/>
  <c r="V10" i="69" s="1"/>
  <c r="J23" i="68"/>
  <c r="U10" i="69" s="1"/>
  <c r="I23" i="68"/>
  <c r="N10" i="69" s="1"/>
  <c r="H23" i="68"/>
  <c r="I10" i="69" s="1"/>
  <c r="G23" i="68"/>
  <c r="H10" i="69" s="1"/>
  <c r="F23" i="68"/>
  <c r="G10" i="69" s="1"/>
  <c r="E23" i="68"/>
  <c r="F10" i="69" s="1"/>
  <c r="D23" i="68"/>
  <c r="E10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AE70" i="85" s="1"/>
  <c r="AD70" i="85" s="1"/>
  <c r="R385" i="61"/>
  <c r="Q385" i="61"/>
  <c r="AC70" i="85" s="1"/>
  <c r="P385" i="61"/>
  <c r="N70" i="85" s="1"/>
  <c r="AB70" i="85" s="1"/>
  <c r="O385" i="61"/>
  <c r="AA70" i="85" s="1"/>
  <c r="N385" i="61"/>
  <c r="Y70" i="85" s="1"/>
  <c r="M385" i="61"/>
  <c r="X70" i="85" s="1"/>
  <c r="L385" i="61"/>
  <c r="W70" i="85" s="1"/>
  <c r="K385" i="61"/>
  <c r="V70" i="85" s="1"/>
  <c r="J385" i="61"/>
  <c r="U70" i="85" s="1"/>
  <c r="AF70" i="85" s="1"/>
  <c r="I385" i="61"/>
  <c r="I70" i="85" s="1"/>
  <c r="H385" i="61"/>
  <c r="H70" i="85" s="1"/>
  <c r="G385" i="61"/>
  <c r="G70" i="85" s="1"/>
  <c r="F385" i="61"/>
  <c r="F70" i="85" s="1"/>
  <c r="E385" i="61"/>
  <c r="E70" i="85" s="1"/>
  <c r="D385" i="61"/>
  <c r="D70" i="85" s="1"/>
  <c r="D383" i="61"/>
  <c r="AE70" i="97" s="1"/>
  <c r="AD70" i="97" s="1"/>
  <c r="R382" i="61"/>
  <c r="Q382" i="61"/>
  <c r="AC70" i="97" s="1"/>
  <c r="P382" i="61"/>
  <c r="N70" i="97" s="1"/>
  <c r="AB70" i="97" s="1"/>
  <c r="O382" i="61"/>
  <c r="AA70" i="97" s="1"/>
  <c r="N382" i="61"/>
  <c r="Y70" i="97" s="1"/>
  <c r="M382" i="61"/>
  <c r="X70" i="97" s="1"/>
  <c r="L382" i="61"/>
  <c r="W70" i="97" s="1"/>
  <c r="K382" i="61"/>
  <c r="V70" i="97" s="1"/>
  <c r="J382" i="61"/>
  <c r="U70" i="97" s="1"/>
  <c r="AF70" i="97" s="1"/>
  <c r="I382" i="61"/>
  <c r="I70" i="97" s="1"/>
  <c r="H382" i="61"/>
  <c r="H70" i="97" s="1"/>
  <c r="G382" i="61"/>
  <c r="G70" i="97" s="1"/>
  <c r="F382" i="61"/>
  <c r="F70" i="97" s="1"/>
  <c r="E382" i="61"/>
  <c r="E70" i="97" s="1"/>
  <c r="D382" i="61"/>
  <c r="D70" i="97" s="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AF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AE70" i="22" s="1"/>
  <c r="AD70" i="22" s="1"/>
  <c r="R373" i="61"/>
  <c r="Q373" i="61"/>
  <c r="AC70" i="22" s="1"/>
  <c r="P373" i="61"/>
  <c r="N70" i="22" s="1"/>
  <c r="AB70" i="22" s="1"/>
  <c r="O373" i="61"/>
  <c r="AA70" i="22" s="1"/>
  <c r="N373" i="61"/>
  <c r="Y70" i="22" s="1"/>
  <c r="M373" i="61"/>
  <c r="X70" i="22" s="1"/>
  <c r="L373" i="61"/>
  <c r="W70" i="22" s="1"/>
  <c r="K373" i="61"/>
  <c r="V70" i="22" s="1"/>
  <c r="J373" i="61"/>
  <c r="U70" i="22" s="1"/>
  <c r="AF70" i="22" s="1"/>
  <c r="I373" i="61"/>
  <c r="I70" i="22" s="1"/>
  <c r="H373" i="61"/>
  <c r="H70" i="22" s="1"/>
  <c r="G373" i="61"/>
  <c r="G70" i="22" s="1"/>
  <c r="F373" i="61"/>
  <c r="F70" i="22" s="1"/>
  <c r="E373" i="61"/>
  <c r="E70" i="22" s="1"/>
  <c r="D373" i="61"/>
  <c r="D70" i="22" s="1"/>
  <c r="D345" i="61"/>
  <c r="AE69" i="85" s="1"/>
  <c r="AD69" i="85" s="1"/>
  <c r="R344" i="61"/>
  <c r="Q344" i="61"/>
  <c r="AC69" i="85" s="1"/>
  <c r="P344" i="61"/>
  <c r="N69" i="85" s="1"/>
  <c r="AB69" i="85" s="1"/>
  <c r="O344" i="61"/>
  <c r="AA69" i="85" s="1"/>
  <c r="N344" i="61"/>
  <c r="Y69" i="85" s="1"/>
  <c r="M344" i="61"/>
  <c r="X69" i="85" s="1"/>
  <c r="L344" i="61"/>
  <c r="W69" i="85" s="1"/>
  <c r="K344" i="61"/>
  <c r="V69" i="85" s="1"/>
  <c r="J344" i="61"/>
  <c r="U69" i="85" s="1"/>
  <c r="AF69" i="85" s="1"/>
  <c r="I344" i="61"/>
  <c r="I69" i="85" s="1"/>
  <c r="H344" i="61"/>
  <c r="H69" i="85" s="1"/>
  <c r="G344" i="61"/>
  <c r="G69" i="85" s="1"/>
  <c r="F344" i="61"/>
  <c r="F69" i="85" s="1"/>
  <c r="E344" i="61"/>
  <c r="E69" i="85" s="1"/>
  <c r="D344" i="61"/>
  <c r="D69" i="85" s="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AF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AD69" i="75" s="1"/>
  <c r="R335" i="61"/>
  <c r="Q335" i="61"/>
  <c r="AC69" i="75" s="1"/>
  <c r="P335" i="61"/>
  <c r="N69" i="75" s="1"/>
  <c r="AB69" i="75" s="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AF69" i="75" s="1"/>
  <c r="I335" i="61"/>
  <c r="I69" i="75" s="1"/>
  <c r="H335" i="61"/>
  <c r="H69" i="75" s="1"/>
  <c r="G335" i="61"/>
  <c r="G69" i="75" s="1"/>
  <c r="F335" i="61"/>
  <c r="F69" i="75" s="1"/>
  <c r="E335" i="61"/>
  <c r="E69" i="75" s="1"/>
  <c r="D335" i="61"/>
  <c r="D69" i="75" s="1"/>
  <c r="D333" i="61"/>
  <c r="AE69" i="22" s="1"/>
  <c r="AD69" i="22" s="1"/>
  <c r="R332" i="61"/>
  <c r="Q332" i="61"/>
  <c r="AC69" i="22" s="1"/>
  <c r="P332" i="61"/>
  <c r="N69" i="22" s="1"/>
  <c r="AB69" i="22" s="1"/>
  <c r="O332" i="61"/>
  <c r="AA69" i="22" s="1"/>
  <c r="N332" i="61"/>
  <c r="Y69" i="22" s="1"/>
  <c r="M332" i="61"/>
  <c r="X69" i="22" s="1"/>
  <c r="L332" i="61"/>
  <c r="W69" i="22" s="1"/>
  <c r="K332" i="61"/>
  <c r="V69" i="22" s="1"/>
  <c r="J332" i="61"/>
  <c r="U69" i="22" s="1"/>
  <c r="AF69" i="22" s="1"/>
  <c r="I332" i="61"/>
  <c r="I69" i="22" s="1"/>
  <c r="H332" i="61"/>
  <c r="H69" i="22" s="1"/>
  <c r="G332" i="61"/>
  <c r="G69" i="22" s="1"/>
  <c r="F332" i="61"/>
  <c r="F69" i="22" s="1"/>
  <c r="E332" i="61"/>
  <c r="E69" i="22" s="1"/>
  <c r="D332" i="61"/>
  <c r="D69" i="22" s="1"/>
  <c r="D230" i="61"/>
  <c r="AE68" i="85" s="1"/>
  <c r="AD68" i="85" s="1"/>
  <c r="R229" i="61"/>
  <c r="Q229" i="61"/>
  <c r="AC68" i="85" s="1"/>
  <c r="P229" i="61"/>
  <c r="N68" i="85" s="1"/>
  <c r="AB68" i="85" s="1"/>
  <c r="O229" i="61"/>
  <c r="AA68" i="85" s="1"/>
  <c r="N229" i="61"/>
  <c r="Y68" i="85" s="1"/>
  <c r="M229" i="61"/>
  <c r="X68" i="85" s="1"/>
  <c r="L229" i="61"/>
  <c r="W68" i="85" s="1"/>
  <c r="K229" i="61"/>
  <c r="V68" i="85" s="1"/>
  <c r="J229" i="61"/>
  <c r="U68" i="85" s="1"/>
  <c r="AF68" i="85" s="1"/>
  <c r="I229" i="61"/>
  <c r="I68" i="85" s="1"/>
  <c r="H229" i="61"/>
  <c r="H68" i="85" s="1"/>
  <c r="G229" i="61"/>
  <c r="G68" i="85" s="1"/>
  <c r="F229" i="61"/>
  <c r="F68" i="85" s="1"/>
  <c r="E229" i="61"/>
  <c r="E68" i="85" s="1"/>
  <c r="D229" i="61"/>
  <c r="D68" i="85" s="1"/>
  <c r="D224" i="61"/>
  <c r="AE68" i="79" s="1"/>
  <c r="R223" i="61"/>
  <c r="Q223" i="61"/>
  <c r="AC68" i="79" s="1"/>
  <c r="AC106" i="79" s="1"/>
  <c r="P223" i="61"/>
  <c r="N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AE68" i="22" s="1"/>
  <c r="AD68" i="22" s="1"/>
  <c r="R217" i="61"/>
  <c r="Q217" i="61"/>
  <c r="AC68" i="22" s="1"/>
  <c r="P217" i="61"/>
  <c r="N68" i="22" s="1"/>
  <c r="AB68" i="22" s="1"/>
  <c r="O217" i="61"/>
  <c r="AA68" i="22" s="1"/>
  <c r="N217" i="61"/>
  <c r="Y68" i="22" s="1"/>
  <c r="M217" i="61"/>
  <c r="X68" i="22" s="1"/>
  <c r="L217" i="61"/>
  <c r="W68" i="22" s="1"/>
  <c r="K217" i="61"/>
  <c r="V68" i="22" s="1"/>
  <c r="J217" i="61"/>
  <c r="U68" i="22" s="1"/>
  <c r="AF68" i="22" s="1"/>
  <c r="I217" i="61"/>
  <c r="I68" i="22" s="1"/>
  <c r="H217" i="61"/>
  <c r="H68" i="22" s="1"/>
  <c r="G217" i="61"/>
  <c r="G68" i="22" s="1"/>
  <c r="F217" i="61"/>
  <c r="F68" i="22" s="1"/>
  <c r="E217" i="61"/>
  <c r="E68" i="22" s="1"/>
  <c r="D217" i="61"/>
  <c r="D68" i="22" s="1"/>
  <c r="D193" i="61"/>
  <c r="AE67" i="85" s="1"/>
  <c r="AD67" i="85" s="1"/>
  <c r="R192" i="61"/>
  <c r="Q192" i="61"/>
  <c r="AC67" i="85" s="1"/>
  <c r="P192" i="61"/>
  <c r="N67" i="85" s="1"/>
  <c r="AB67" i="85" s="1"/>
  <c r="O192" i="61"/>
  <c r="AA67" i="85" s="1"/>
  <c r="N192" i="61"/>
  <c r="Y67" i="85" s="1"/>
  <c r="M192" i="61"/>
  <c r="X67" i="85" s="1"/>
  <c r="L192" i="61"/>
  <c r="W67" i="85" s="1"/>
  <c r="K192" i="61"/>
  <c r="V67" i="85" s="1"/>
  <c r="J192" i="61"/>
  <c r="U67" i="85" s="1"/>
  <c r="AF67" i="85" s="1"/>
  <c r="I192" i="61"/>
  <c r="I67" i="85" s="1"/>
  <c r="H192" i="61"/>
  <c r="H67" i="85" s="1"/>
  <c r="G192" i="61"/>
  <c r="G67" i="85" s="1"/>
  <c r="F192" i="61"/>
  <c r="F67" i="85" s="1"/>
  <c r="E192" i="61"/>
  <c r="E67" i="85" s="1"/>
  <c r="D192" i="61"/>
  <c r="D67" i="85" s="1"/>
  <c r="D187" i="61"/>
  <c r="AE67" i="79" s="1"/>
  <c r="R186" i="61"/>
  <c r="Q186" i="61"/>
  <c r="AC67" i="79" s="1"/>
  <c r="AC105" i="79" s="1"/>
  <c r="P186" i="61"/>
  <c r="N67" i="79" s="1"/>
  <c r="O186" i="61"/>
  <c r="AA67" i="79" s="1"/>
  <c r="AA105" i="79" s="1"/>
  <c r="N186" i="61"/>
  <c r="Y67" i="79" s="1"/>
  <c r="Y105" i="79" s="1"/>
  <c r="M186" i="61"/>
  <c r="X67" i="79" s="1"/>
  <c r="X105" i="79" s="1"/>
  <c r="L186" i="61"/>
  <c r="W67" i="79" s="1"/>
  <c r="W105" i="79" s="1"/>
  <c r="K186" i="61"/>
  <c r="V67" i="79" s="1"/>
  <c r="V105" i="79" s="1"/>
  <c r="J186" i="61"/>
  <c r="U67" i="79" s="1"/>
  <c r="I186" i="61"/>
  <c r="I67" i="79" s="1"/>
  <c r="I105" i="79" s="1"/>
  <c r="H186" i="61"/>
  <c r="H67" i="79" s="1"/>
  <c r="H105" i="79" s="1"/>
  <c r="G186" i="61"/>
  <c r="G67" i="79" s="1"/>
  <c r="G105" i="79" s="1"/>
  <c r="F186" i="61"/>
  <c r="F67" i="79" s="1"/>
  <c r="F105" i="79" s="1"/>
  <c r="E186" i="61"/>
  <c r="E67" i="79" s="1"/>
  <c r="E105" i="79" s="1"/>
  <c r="D186" i="61"/>
  <c r="D67" i="79" s="1"/>
  <c r="D184" i="61"/>
  <c r="AE67" i="75" s="1"/>
  <c r="AD67" i="75" s="1"/>
  <c r="R183" i="61"/>
  <c r="Q183" i="61"/>
  <c r="AC67" i="75" s="1"/>
  <c r="P183" i="61"/>
  <c r="N67" i="75" s="1"/>
  <c r="AB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AF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AE67" i="22" s="1"/>
  <c r="AD67" i="22" s="1"/>
  <c r="R180" i="61"/>
  <c r="Q180" i="61"/>
  <c r="AC67" i="22" s="1"/>
  <c r="P180" i="61"/>
  <c r="O180" i="61"/>
  <c r="AA67" i="22" s="1"/>
  <c r="N180" i="61"/>
  <c r="Y67" i="22" s="1"/>
  <c r="M180" i="61"/>
  <c r="X67" i="22" s="1"/>
  <c r="L180" i="61"/>
  <c r="W67" i="22" s="1"/>
  <c r="K180" i="61"/>
  <c r="V67" i="22" s="1"/>
  <c r="J180" i="61"/>
  <c r="U67" i="22" s="1"/>
  <c r="I180" i="61"/>
  <c r="I67" i="22" s="1"/>
  <c r="H180" i="61"/>
  <c r="H67" i="22" s="1"/>
  <c r="G180" i="61"/>
  <c r="G67" i="22" s="1"/>
  <c r="F180" i="61"/>
  <c r="F67" i="22" s="1"/>
  <c r="E180" i="61"/>
  <c r="E67" i="22" s="1"/>
  <c r="D180" i="61"/>
  <c r="D92" i="61"/>
  <c r="AE66" i="85" s="1"/>
  <c r="R91" i="61"/>
  <c r="Q91" i="61"/>
  <c r="AC66" i="85" s="1"/>
  <c r="P91" i="61"/>
  <c r="N66" i="85" s="1"/>
  <c r="O91" i="61"/>
  <c r="AA66" i="85" s="1"/>
  <c r="N91" i="61"/>
  <c r="Y66" i="85" s="1"/>
  <c r="M91" i="61"/>
  <c r="X66" i="85" s="1"/>
  <c r="L91" i="61"/>
  <c r="W66" i="85" s="1"/>
  <c r="K91" i="61"/>
  <c r="V66" i="85" s="1"/>
  <c r="J91" i="61"/>
  <c r="U66" i="85" s="1"/>
  <c r="I91" i="61"/>
  <c r="I66" i="85" s="1"/>
  <c r="H91" i="61"/>
  <c r="H66" i="85" s="1"/>
  <c r="G91" i="61"/>
  <c r="G66" i="85" s="1"/>
  <c r="F91" i="61"/>
  <c r="F66" i="85" s="1"/>
  <c r="E91" i="61"/>
  <c r="E66" i="85" s="1"/>
  <c r="D91" i="61"/>
  <c r="D66" i="85" s="1"/>
  <c r="D89" i="61"/>
  <c r="AE66" i="97" s="1"/>
  <c r="R88" i="61"/>
  <c r="Q88" i="61"/>
  <c r="AC66" i="97" s="1"/>
  <c r="AC71" i="97" s="1"/>
  <c r="P88" i="61"/>
  <c r="N66" i="97" s="1"/>
  <c r="O88" i="61"/>
  <c r="AA66" i="97" s="1"/>
  <c r="AA71" i="97" s="1"/>
  <c r="N88" i="61"/>
  <c r="Y66" i="97" s="1"/>
  <c r="Y71" i="97" s="1"/>
  <c r="M88" i="61"/>
  <c r="X66" i="97" s="1"/>
  <c r="X71" i="97" s="1"/>
  <c r="L88" i="61"/>
  <c r="W66" i="97" s="1"/>
  <c r="W71" i="97" s="1"/>
  <c r="K88" i="61"/>
  <c r="V66" i="97" s="1"/>
  <c r="V71" i="97" s="1"/>
  <c r="J88" i="61"/>
  <c r="U66" i="97" s="1"/>
  <c r="I88" i="61"/>
  <c r="I66" i="97" s="1"/>
  <c r="I71" i="97" s="1"/>
  <c r="H88" i="61"/>
  <c r="H66" i="97" s="1"/>
  <c r="H71" i="97" s="1"/>
  <c r="G88" i="61"/>
  <c r="G66" i="97" s="1"/>
  <c r="G71" i="97" s="1"/>
  <c r="F88" i="61"/>
  <c r="F66" i="97" s="1"/>
  <c r="F71" i="97" s="1"/>
  <c r="E88" i="61"/>
  <c r="E66" i="97" s="1"/>
  <c r="E71" i="97" s="1"/>
  <c r="D88" i="61"/>
  <c r="D66" i="97" s="1"/>
  <c r="D86" i="61"/>
  <c r="AE66" i="79" s="1"/>
  <c r="R85" i="61"/>
  <c r="Q85" i="61"/>
  <c r="AC66" i="79" s="1"/>
  <c r="P85" i="61"/>
  <c r="N66" i="79" s="1"/>
  <c r="O85" i="61"/>
  <c r="AA66" i="79" s="1"/>
  <c r="N85" i="61"/>
  <c r="Y66" i="79" s="1"/>
  <c r="M85" i="61"/>
  <c r="X66" i="79" s="1"/>
  <c r="L85" i="61"/>
  <c r="W66" i="79" s="1"/>
  <c r="K85" i="61"/>
  <c r="V66" i="79" s="1"/>
  <c r="J85" i="61"/>
  <c r="U66" i="79" s="1"/>
  <c r="I85" i="61"/>
  <c r="I66" i="79" s="1"/>
  <c r="H85" i="61"/>
  <c r="H66" i="79" s="1"/>
  <c r="G85" i="61"/>
  <c r="G66" i="79" s="1"/>
  <c r="F85" i="61"/>
  <c r="F66" i="79" s="1"/>
  <c r="E85" i="61"/>
  <c r="E66" i="79" s="1"/>
  <c r="D85" i="61"/>
  <c r="D66" i="79" s="1"/>
  <c r="D80" i="61"/>
  <c r="R79" i="61"/>
  <c r="R393" i="61" s="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79" i="61"/>
  <c r="E523" i="59"/>
  <c r="AE32" i="85" s="1"/>
  <c r="AD32" i="85" s="1"/>
  <c r="R522" i="59"/>
  <c r="AC32" i="85" s="1"/>
  <c r="Q522" i="59"/>
  <c r="AA32" i="85" s="1"/>
  <c r="P522" i="59"/>
  <c r="Y32" i="85" s="1"/>
  <c r="O522" i="59"/>
  <c r="X32" i="85" s="1"/>
  <c r="N522" i="59"/>
  <c r="W32" i="85" s="1"/>
  <c r="M522" i="59"/>
  <c r="V32" i="85" s="1"/>
  <c r="L522" i="59"/>
  <c r="U32" i="85" s="1"/>
  <c r="AF32" i="85" s="1"/>
  <c r="K522" i="59"/>
  <c r="N32" i="85" s="1"/>
  <c r="AB32" i="85" s="1"/>
  <c r="J522" i="59"/>
  <c r="I32" i="85" s="1"/>
  <c r="I522" i="59"/>
  <c r="H32" i="85" s="1"/>
  <c r="H522" i="59"/>
  <c r="G32" i="85" s="1"/>
  <c r="G522" i="59"/>
  <c r="F32" i="85" s="1"/>
  <c r="F522" i="59"/>
  <c r="E32" i="85" s="1"/>
  <c r="E522" i="59"/>
  <c r="D32" i="85" s="1"/>
  <c r="E520" i="59"/>
  <c r="AE32" i="97" s="1"/>
  <c r="AD32" i="97" s="1"/>
  <c r="R519" i="59"/>
  <c r="AC32" i="97" s="1"/>
  <c r="Q519" i="59"/>
  <c r="AA32" i="97" s="1"/>
  <c r="P519" i="59"/>
  <c r="Y32" i="97" s="1"/>
  <c r="O519" i="59"/>
  <c r="X32" i="97" s="1"/>
  <c r="N519" i="59"/>
  <c r="W32" i="97" s="1"/>
  <c r="M519" i="59"/>
  <c r="V32" i="97" s="1"/>
  <c r="L519" i="59"/>
  <c r="U32" i="97" s="1"/>
  <c r="K519" i="59"/>
  <c r="N32" i="97" s="1"/>
  <c r="AB32" i="97" s="1"/>
  <c r="J519" i="59"/>
  <c r="I32" i="97" s="1"/>
  <c r="I519" i="59"/>
  <c r="H32" i="97" s="1"/>
  <c r="H519" i="59"/>
  <c r="G519" i="59"/>
  <c r="F519" i="59"/>
  <c r="E519" i="59"/>
  <c r="E517" i="59"/>
  <c r="R516" i="59"/>
  <c r="Q516" i="59"/>
  <c r="P516" i="59"/>
  <c r="O516" i="59"/>
  <c r="N516" i="59"/>
  <c r="M516" i="59"/>
  <c r="L516" i="59"/>
  <c r="K516" i="59"/>
  <c r="J516" i="59"/>
  <c r="I516" i="59"/>
  <c r="H516" i="59"/>
  <c r="G516" i="59"/>
  <c r="F516" i="59"/>
  <c r="E516" i="59"/>
  <c r="E511" i="59"/>
  <c r="R510" i="59"/>
  <c r="Q510" i="59"/>
  <c r="P510" i="59"/>
  <c r="O510" i="59"/>
  <c r="N510" i="59"/>
  <c r="M510" i="59"/>
  <c r="L510" i="59"/>
  <c r="K510" i="59"/>
  <c r="J510" i="59"/>
  <c r="I510" i="59"/>
  <c r="H510" i="59"/>
  <c r="G510" i="59"/>
  <c r="F510" i="59"/>
  <c r="E510" i="59"/>
  <c r="E436" i="59"/>
  <c r="R435" i="59"/>
  <c r="Q435" i="59"/>
  <c r="P435" i="59"/>
  <c r="O435" i="59"/>
  <c r="N435" i="59"/>
  <c r="M435" i="59"/>
  <c r="L435" i="59"/>
  <c r="K435" i="59"/>
  <c r="J435" i="59"/>
  <c r="I435" i="59"/>
  <c r="H435" i="59"/>
  <c r="G435" i="59"/>
  <c r="F435" i="59"/>
  <c r="E435" i="59"/>
  <c r="E430" i="59"/>
  <c r="R429" i="59"/>
  <c r="Q429" i="59"/>
  <c r="P429" i="59"/>
  <c r="O429" i="59"/>
  <c r="N429" i="59"/>
  <c r="M429" i="59"/>
  <c r="L429" i="59"/>
  <c r="K429" i="59"/>
  <c r="J429" i="59"/>
  <c r="I429" i="59"/>
  <c r="H429" i="59"/>
  <c r="G429" i="59"/>
  <c r="F429" i="59"/>
  <c r="E429" i="59"/>
  <c r="E427" i="59"/>
  <c r="R426" i="59"/>
  <c r="Q426" i="59"/>
  <c r="P426" i="59"/>
  <c r="O426" i="59"/>
  <c r="N426" i="59"/>
  <c r="M426" i="59"/>
  <c r="L426" i="59"/>
  <c r="K426" i="59"/>
  <c r="J426" i="59"/>
  <c r="I426" i="59"/>
  <c r="H426" i="59"/>
  <c r="G426" i="59"/>
  <c r="F426" i="59"/>
  <c r="E426" i="59"/>
  <c r="E424" i="59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F423" i="59"/>
  <c r="E423" i="59"/>
  <c r="E312" i="59"/>
  <c r="R311" i="59"/>
  <c r="Q311" i="59"/>
  <c r="P311" i="59"/>
  <c r="O311" i="59"/>
  <c r="N311" i="59"/>
  <c r="M311" i="59"/>
  <c r="L311" i="59"/>
  <c r="K311" i="59"/>
  <c r="J311" i="59"/>
  <c r="I311" i="59"/>
  <c r="H311" i="59"/>
  <c r="G311" i="59"/>
  <c r="F311" i="59"/>
  <c r="E311" i="59"/>
  <c r="E306" i="59"/>
  <c r="R305" i="59"/>
  <c r="Q305" i="59"/>
  <c r="P305" i="59"/>
  <c r="O305" i="59"/>
  <c r="N305" i="59"/>
  <c r="M305" i="59"/>
  <c r="L305" i="59"/>
  <c r="K305" i="59"/>
  <c r="J305" i="59"/>
  <c r="I305" i="59"/>
  <c r="H305" i="59"/>
  <c r="G305" i="59"/>
  <c r="F305" i="59"/>
  <c r="E305" i="59"/>
  <c r="E300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F299" i="59"/>
  <c r="E299" i="59"/>
  <c r="E191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F190" i="59"/>
  <c r="E190" i="59"/>
  <c r="E185" i="59"/>
  <c r="R184" i="59"/>
  <c r="Q184" i="59"/>
  <c r="P184" i="59"/>
  <c r="O184" i="59"/>
  <c r="N184" i="59"/>
  <c r="M184" i="59"/>
  <c r="L184" i="59"/>
  <c r="K184" i="59"/>
  <c r="J184" i="59"/>
  <c r="I184" i="59"/>
  <c r="H184" i="59"/>
  <c r="G184" i="59"/>
  <c r="F184" i="59"/>
  <c r="E184" i="59"/>
  <c r="E182" i="59"/>
  <c r="R181" i="59"/>
  <c r="Q181" i="59"/>
  <c r="P181" i="59"/>
  <c r="O181" i="59"/>
  <c r="N181" i="59"/>
  <c r="M181" i="59"/>
  <c r="L181" i="59"/>
  <c r="K181" i="59"/>
  <c r="J181" i="59"/>
  <c r="I181" i="59"/>
  <c r="H181" i="59"/>
  <c r="G181" i="59"/>
  <c r="F181" i="59"/>
  <c r="E181" i="59"/>
  <c r="E179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E70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E67" i="59"/>
  <c r="F66" i="59"/>
  <c r="E66" i="59"/>
  <c r="E64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F63" i="59"/>
  <c r="E63" i="59"/>
  <c r="E58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F57" i="59"/>
  <c r="E57" i="59"/>
  <c r="AA841" i="55"/>
  <c r="Z841" i="55"/>
  <c r="Y841" i="55"/>
  <c r="X841" i="55"/>
  <c r="W841" i="55"/>
  <c r="V841" i="55"/>
  <c r="U841" i="55"/>
  <c r="T841" i="55"/>
  <c r="S841" i="55"/>
  <c r="R841" i="55"/>
  <c r="Q841" i="55"/>
  <c r="P841" i="55"/>
  <c r="O841" i="55"/>
  <c r="N841" i="55"/>
  <c r="M841" i="55"/>
  <c r="L841" i="55"/>
  <c r="K841" i="55"/>
  <c r="J841" i="55"/>
  <c r="I841" i="55"/>
  <c r="H841" i="55"/>
  <c r="G841" i="55"/>
  <c r="F841" i="55"/>
  <c r="F834" i="55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S833" i="55"/>
  <c r="R833" i="55"/>
  <c r="Q833" i="55"/>
  <c r="P833" i="55"/>
  <c r="O833" i="55"/>
  <c r="N833" i="55"/>
  <c r="M833" i="55"/>
  <c r="L833" i="55"/>
  <c r="K833" i="55"/>
  <c r="J833" i="55"/>
  <c r="I833" i="55"/>
  <c r="H833" i="55"/>
  <c r="G833" i="55"/>
  <c r="F833" i="55"/>
  <c r="F832" i="55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S831" i="55"/>
  <c r="R831" i="55"/>
  <c r="Q831" i="55"/>
  <c r="P831" i="55"/>
  <c r="O831" i="55"/>
  <c r="N831" i="55"/>
  <c r="M831" i="55"/>
  <c r="L831" i="55"/>
  <c r="K831" i="55"/>
  <c r="J831" i="55"/>
  <c r="I831" i="55"/>
  <c r="H831" i="55"/>
  <c r="G831" i="55"/>
  <c r="F831" i="55"/>
  <c r="F829" i="55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S828" i="55"/>
  <c r="R828" i="55"/>
  <c r="Q828" i="55"/>
  <c r="P828" i="55"/>
  <c r="O828" i="55"/>
  <c r="N828" i="55"/>
  <c r="M828" i="55"/>
  <c r="L828" i="55"/>
  <c r="K828" i="55"/>
  <c r="J828" i="55"/>
  <c r="I828" i="55"/>
  <c r="H828" i="55"/>
  <c r="G828" i="55"/>
  <c r="F828" i="55"/>
  <c r="F827" i="55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S826" i="55"/>
  <c r="R826" i="55"/>
  <c r="Q826" i="55"/>
  <c r="P826" i="55"/>
  <c r="O826" i="55"/>
  <c r="N826" i="55"/>
  <c r="M826" i="55"/>
  <c r="L826" i="55"/>
  <c r="K826" i="55"/>
  <c r="J826" i="55"/>
  <c r="I826" i="55"/>
  <c r="H826" i="55"/>
  <c r="G826" i="55"/>
  <c r="F826" i="55"/>
  <c r="F824" i="55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S823" i="55"/>
  <c r="R823" i="55"/>
  <c r="Q823" i="55"/>
  <c r="P823" i="55"/>
  <c r="O823" i="55"/>
  <c r="N823" i="55"/>
  <c r="M823" i="55"/>
  <c r="L823" i="55"/>
  <c r="K823" i="55"/>
  <c r="J823" i="55"/>
  <c r="I823" i="55"/>
  <c r="H823" i="55"/>
  <c r="G823" i="55"/>
  <c r="F823" i="55"/>
  <c r="F822" i="55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S821" i="55"/>
  <c r="R821" i="55"/>
  <c r="Q821" i="55"/>
  <c r="P821" i="55"/>
  <c r="O821" i="55"/>
  <c r="N821" i="55"/>
  <c r="M821" i="55"/>
  <c r="L821" i="55"/>
  <c r="K821" i="55"/>
  <c r="J821" i="55"/>
  <c r="I821" i="55"/>
  <c r="H821" i="55"/>
  <c r="G821" i="55"/>
  <c r="F821" i="55"/>
  <c r="F814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G813" i="55"/>
  <c r="F813" i="55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G811" i="55"/>
  <c r="F811" i="55"/>
  <c r="Z722" i="55"/>
  <c r="Y722" i="55"/>
  <c r="X722" i="55"/>
  <c r="W722" i="55"/>
  <c r="V722" i="55"/>
  <c r="U722" i="55"/>
  <c r="T722" i="55"/>
  <c r="S722" i="55"/>
  <c r="R722" i="55"/>
  <c r="Q722" i="55"/>
  <c r="P722" i="55"/>
  <c r="O722" i="55"/>
  <c r="N722" i="55"/>
  <c r="M722" i="55"/>
  <c r="L722" i="55"/>
  <c r="K722" i="55"/>
  <c r="J722" i="55"/>
  <c r="I722" i="55"/>
  <c r="H722" i="55"/>
  <c r="G722" i="55"/>
  <c r="F722" i="55"/>
  <c r="F715" i="55"/>
  <c r="Z714" i="55"/>
  <c r="Y714" i="55"/>
  <c r="X714" i="55"/>
  <c r="W714" i="55"/>
  <c r="V714" i="55"/>
  <c r="U714" i="55"/>
  <c r="T714" i="55"/>
  <c r="S714" i="55"/>
  <c r="R714" i="55"/>
  <c r="Q714" i="55"/>
  <c r="P714" i="55"/>
  <c r="O714" i="55"/>
  <c r="N714" i="55"/>
  <c r="M714" i="55"/>
  <c r="L714" i="55"/>
  <c r="K714" i="55"/>
  <c r="J714" i="55"/>
  <c r="I714" i="55"/>
  <c r="H714" i="55"/>
  <c r="G714" i="55"/>
  <c r="F714" i="55"/>
  <c r="F713" i="55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S712" i="55"/>
  <c r="R712" i="55"/>
  <c r="Q712" i="55"/>
  <c r="P712" i="55"/>
  <c r="O712" i="55"/>
  <c r="N712" i="55"/>
  <c r="M712" i="55"/>
  <c r="L712" i="55"/>
  <c r="K712" i="55"/>
  <c r="J712" i="55"/>
  <c r="I712" i="55"/>
  <c r="H712" i="55"/>
  <c r="G712" i="55"/>
  <c r="F712" i="55"/>
  <c r="F705" i="55"/>
  <c r="Z704" i="55"/>
  <c r="Y704" i="55"/>
  <c r="X704" i="55"/>
  <c r="W704" i="55"/>
  <c r="V704" i="55"/>
  <c r="U704" i="55"/>
  <c r="T704" i="55"/>
  <c r="S704" i="55"/>
  <c r="R704" i="55"/>
  <c r="Q704" i="55"/>
  <c r="P704" i="55"/>
  <c r="O704" i="55"/>
  <c r="N704" i="55"/>
  <c r="M704" i="55"/>
  <c r="L704" i="55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Z702" i="55"/>
  <c r="Y702" i="55"/>
  <c r="X702" i="55"/>
  <c r="W702" i="55"/>
  <c r="V702" i="55"/>
  <c r="U702" i="55"/>
  <c r="T702" i="55"/>
  <c r="S702" i="55"/>
  <c r="R702" i="55"/>
  <c r="Q702" i="55"/>
  <c r="P702" i="55"/>
  <c r="O702" i="55"/>
  <c r="N702" i="55"/>
  <c r="M702" i="55"/>
  <c r="L702" i="55"/>
  <c r="K702" i="55"/>
  <c r="J702" i="55"/>
  <c r="I702" i="55"/>
  <c r="H702" i="55"/>
  <c r="G702" i="55"/>
  <c r="F702" i="55"/>
  <c r="F700" i="55"/>
  <c r="Z699" i="55"/>
  <c r="Y699" i="55"/>
  <c r="X699" i="55"/>
  <c r="W699" i="55"/>
  <c r="V699" i="55"/>
  <c r="U699" i="55"/>
  <c r="T699" i="55"/>
  <c r="S699" i="55"/>
  <c r="R699" i="55"/>
  <c r="Q699" i="55"/>
  <c r="P699" i="55"/>
  <c r="O699" i="55"/>
  <c r="N699" i="55"/>
  <c r="M699" i="55"/>
  <c r="L699" i="55"/>
  <c r="K699" i="55"/>
  <c r="J699" i="55"/>
  <c r="I699" i="55"/>
  <c r="H699" i="55"/>
  <c r="G699" i="55"/>
  <c r="F699" i="55"/>
  <c r="F698" i="55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S697" i="55"/>
  <c r="R697" i="55"/>
  <c r="Q697" i="55"/>
  <c r="P697" i="55"/>
  <c r="O697" i="55"/>
  <c r="N697" i="55"/>
  <c r="M697" i="55"/>
  <c r="L697" i="55"/>
  <c r="K697" i="55"/>
  <c r="J697" i="55"/>
  <c r="I697" i="55"/>
  <c r="H697" i="55"/>
  <c r="G697" i="55"/>
  <c r="F697" i="55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P514" i="55"/>
  <c r="O514" i="55"/>
  <c r="N514" i="55"/>
  <c r="M514" i="55"/>
  <c r="L514" i="55"/>
  <c r="K514" i="55"/>
  <c r="J514" i="55"/>
  <c r="I514" i="55"/>
  <c r="H514" i="55"/>
  <c r="G514" i="55"/>
  <c r="F514" i="55"/>
  <c r="F507" i="55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S506" i="55"/>
  <c r="R506" i="55"/>
  <c r="Q506" i="55"/>
  <c r="P506" i="55"/>
  <c r="O506" i="55"/>
  <c r="N506" i="55"/>
  <c r="M506" i="55"/>
  <c r="L506" i="55"/>
  <c r="K506" i="55"/>
  <c r="J506" i="55"/>
  <c r="I506" i="55"/>
  <c r="H506" i="55"/>
  <c r="G506" i="55"/>
  <c r="F506" i="55"/>
  <c r="F505" i="55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S504" i="55"/>
  <c r="R504" i="55"/>
  <c r="Q504" i="55"/>
  <c r="P504" i="55"/>
  <c r="O504" i="55"/>
  <c r="N504" i="55"/>
  <c r="M504" i="55"/>
  <c r="L504" i="55"/>
  <c r="K504" i="55"/>
  <c r="J504" i="55"/>
  <c r="I504" i="55"/>
  <c r="H504" i="55"/>
  <c r="G504" i="55"/>
  <c r="F504" i="55"/>
  <c r="F497" i="55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S496" i="55"/>
  <c r="R496" i="55"/>
  <c r="Q496" i="55"/>
  <c r="P496" i="55"/>
  <c r="O496" i="55"/>
  <c r="N496" i="55"/>
  <c r="M496" i="55"/>
  <c r="L496" i="55"/>
  <c r="K496" i="55"/>
  <c r="J496" i="55"/>
  <c r="I496" i="55"/>
  <c r="H496" i="55"/>
  <c r="G496" i="55"/>
  <c r="F496" i="55"/>
  <c r="F495" i="55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S494" i="55"/>
  <c r="R494" i="55"/>
  <c r="Q494" i="55"/>
  <c r="P494" i="55"/>
  <c r="O494" i="55"/>
  <c r="N494" i="55"/>
  <c r="M494" i="55"/>
  <c r="L494" i="55"/>
  <c r="K494" i="55"/>
  <c r="J494" i="55"/>
  <c r="I494" i="55"/>
  <c r="H494" i="55"/>
  <c r="G494" i="55"/>
  <c r="F494" i="55"/>
  <c r="F487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G353" i="55"/>
  <c r="F353" i="55"/>
  <c r="F346" i="55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G48" i="85" s="1"/>
  <c r="G52" i="85" s="1"/>
  <c r="H345" i="55"/>
  <c r="F48" i="85" s="1"/>
  <c r="F52" i="85" s="1"/>
  <c r="G345" i="55"/>
  <c r="E48" i="85" s="1"/>
  <c r="E52" i="85" s="1"/>
  <c r="F345" i="55"/>
  <c r="D48" i="85" s="1"/>
  <c r="F344" i="55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G343" i="55"/>
  <c r="F343" i="55"/>
  <c r="F336" i="55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F335" i="55"/>
  <c r="F334" i="55"/>
  <c r="AA333" i="55"/>
  <c r="Z333" i="55"/>
  <c r="Y333" i="55"/>
  <c r="X333" i="55"/>
  <c r="W333" i="55"/>
  <c r="V333" i="55"/>
  <c r="U333" i="55"/>
  <c r="T333" i="55"/>
  <c r="S333" i="55"/>
  <c r="R333" i="55"/>
  <c r="Q333" i="55"/>
  <c r="P333" i="55"/>
  <c r="O333" i="55"/>
  <c r="N333" i="55"/>
  <c r="M333" i="55"/>
  <c r="L333" i="55"/>
  <c r="K333" i="55"/>
  <c r="J333" i="55"/>
  <c r="I333" i="55"/>
  <c r="H333" i="55"/>
  <c r="G333" i="55"/>
  <c r="F333" i="55"/>
  <c r="F331" i="55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S330" i="55"/>
  <c r="R330" i="55"/>
  <c r="Q330" i="55"/>
  <c r="P330" i="55"/>
  <c r="O330" i="55"/>
  <c r="N330" i="55"/>
  <c r="M330" i="55"/>
  <c r="L330" i="55"/>
  <c r="K330" i="55"/>
  <c r="J330" i="55"/>
  <c r="I330" i="55"/>
  <c r="H330" i="55"/>
  <c r="G330" i="55"/>
  <c r="F330" i="55"/>
  <c r="F329" i="55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S328" i="55"/>
  <c r="R328" i="55"/>
  <c r="Q328" i="55"/>
  <c r="P328" i="55"/>
  <c r="O328" i="55"/>
  <c r="N328" i="55"/>
  <c r="M328" i="55"/>
  <c r="L328" i="55"/>
  <c r="K328" i="55"/>
  <c r="J328" i="55"/>
  <c r="I328" i="55"/>
  <c r="H328" i="55"/>
  <c r="G328" i="55"/>
  <c r="F328" i="55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F112" i="55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1" i="55"/>
  <c r="F110" i="55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F107" i="55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6" i="55"/>
  <c r="F105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F102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G101" i="55"/>
  <c r="F101" i="55"/>
  <c r="F100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O25" i="56"/>
  <c r="L25" i="56"/>
  <c r="I25" i="56"/>
  <c r="F25" i="56"/>
  <c r="R24" i="56"/>
  <c r="O24" i="56"/>
  <c r="L24" i="56"/>
  <c r="I24" i="56"/>
  <c r="F24" i="56"/>
  <c r="R23" i="56"/>
  <c r="O23" i="56"/>
  <c r="L23" i="56"/>
  <c r="I23" i="56"/>
  <c r="F23" i="56"/>
  <c r="R22" i="56"/>
  <c r="O22" i="56"/>
  <c r="L22" i="56"/>
  <c r="I22" i="56"/>
  <c r="F22" i="56"/>
  <c r="C22" i="56"/>
  <c r="R21" i="56"/>
  <c r="R26" i="56" s="1"/>
  <c r="R27" i="56" s="1"/>
  <c r="O21" i="56"/>
  <c r="O26" i="56" s="1"/>
  <c r="O27" i="56" s="1"/>
  <c r="L21" i="56"/>
  <c r="L26" i="56" s="1"/>
  <c r="L27" i="56" s="1"/>
  <c r="I21" i="56"/>
  <c r="I26" i="56" s="1"/>
  <c r="I27" i="56" s="1"/>
  <c r="F21" i="56"/>
  <c r="F26" i="56" s="1"/>
  <c r="F27" i="56" s="1"/>
  <c r="C21" i="56"/>
  <c r="R16" i="56"/>
  <c r="O16" i="56"/>
  <c r="L16" i="56"/>
  <c r="I16" i="56"/>
  <c r="F16" i="56"/>
  <c r="R15" i="56"/>
  <c r="O15" i="56"/>
  <c r="L15" i="56"/>
  <c r="I15" i="56"/>
  <c r="F15" i="56"/>
  <c r="R14" i="56"/>
  <c r="O14" i="56"/>
  <c r="L14" i="56"/>
  <c r="I14" i="56"/>
  <c r="F14" i="56"/>
  <c r="R13" i="56"/>
  <c r="O13" i="56"/>
  <c r="L13" i="56"/>
  <c r="I13" i="56"/>
  <c r="F13" i="56"/>
  <c r="C13" i="56"/>
  <c r="R12" i="56"/>
  <c r="R17" i="56" s="1"/>
  <c r="R18" i="56" s="1"/>
  <c r="O12" i="56"/>
  <c r="O17" i="56" s="1"/>
  <c r="O18" i="56" s="1"/>
  <c r="L12" i="56"/>
  <c r="L17" i="56" s="1"/>
  <c r="L18" i="56" s="1"/>
  <c r="I12" i="56"/>
  <c r="I17" i="56" s="1"/>
  <c r="I18" i="56" s="1"/>
  <c r="F12" i="56"/>
  <c r="F17" i="56" s="1"/>
  <c r="F18" i="56" s="1"/>
  <c r="C12" i="56"/>
  <c r="R7" i="56"/>
  <c r="O7" i="56"/>
  <c r="L7" i="56"/>
  <c r="I7" i="56"/>
  <c r="F7" i="56"/>
  <c r="R6" i="56"/>
  <c r="O6" i="56"/>
  <c r="L6" i="56"/>
  <c r="I6" i="56"/>
  <c r="F6" i="56"/>
  <c r="R5" i="56"/>
  <c r="O5" i="56"/>
  <c r="L5" i="56"/>
  <c r="I5" i="56"/>
  <c r="F5" i="56"/>
  <c r="R4" i="56"/>
  <c r="O4" i="56"/>
  <c r="L4" i="56"/>
  <c r="I4" i="56"/>
  <c r="F4" i="56"/>
  <c r="R3" i="56"/>
  <c r="R8" i="56" s="1"/>
  <c r="R9" i="56" s="1"/>
  <c r="O3" i="56"/>
  <c r="O8" i="56" s="1"/>
  <c r="O9" i="56" s="1"/>
  <c r="L3" i="56"/>
  <c r="L8" i="56" s="1"/>
  <c r="L9" i="56" s="1"/>
  <c r="I3" i="56"/>
  <c r="I8" i="56" s="1"/>
  <c r="I9" i="56" s="1"/>
  <c r="F3" i="56"/>
  <c r="F8" i="56" s="1"/>
  <c r="F9" i="56" s="1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F5" i="70"/>
  <c r="F6" i="70" s="1"/>
  <c r="E5" i="70"/>
  <c r="E6" i="70" s="1"/>
  <c r="D5" i="70"/>
  <c r="D6" i="70" s="1"/>
  <c r="C5" i="70"/>
  <c r="C6" i="70" s="1"/>
  <c r="L4" i="70"/>
  <c r="K4" i="70"/>
  <c r="J4" i="70"/>
  <c r="I4" i="70"/>
  <c r="H4" i="70"/>
  <c r="G4" i="70"/>
  <c r="F4" i="70"/>
  <c r="E4" i="70"/>
  <c r="D4" i="70"/>
  <c r="C4" i="70"/>
  <c r="L3" i="70"/>
  <c r="K3" i="70"/>
  <c r="J3" i="70"/>
  <c r="I3" i="70"/>
  <c r="H3" i="70"/>
  <c r="G3" i="70"/>
  <c r="F3" i="70"/>
  <c r="E3" i="70"/>
  <c r="D3" i="70"/>
  <c r="N3" i="70" s="1"/>
  <c r="C3" i="70"/>
  <c r="M3" i="70" s="1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I55" i="62"/>
  <c r="J55" i="62" s="1"/>
  <c r="H55" i="62"/>
  <c r="G55" i="62"/>
  <c r="F55" i="62"/>
  <c r="E55" i="62"/>
  <c r="D55" i="62"/>
  <c r="C55" i="62"/>
  <c r="I54" i="62"/>
  <c r="J54" i="62" s="1"/>
  <c r="I53" i="62"/>
  <c r="J53" i="62" s="1"/>
  <c r="I52" i="62"/>
  <c r="I51" i="62"/>
  <c r="J51" i="62" s="1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5" i="22"/>
  <c r="E144" i="22"/>
  <c r="E143" i="22"/>
  <c r="E142" i="22"/>
  <c r="E147" i="22" s="1"/>
  <c r="E130" i="22"/>
  <c r="E131" i="22" s="1"/>
  <c r="L126" i="22"/>
  <c r="K126" i="22"/>
  <c r="L125" i="22"/>
  <c r="K125" i="22"/>
  <c r="K122" i="22"/>
  <c r="K27" i="88" s="1"/>
  <c r="G122" i="22"/>
  <c r="H27" i="88" s="1"/>
  <c r="M117" i="22"/>
  <c r="N22" i="88" s="1"/>
  <c r="X102" i="22"/>
  <c r="U102" i="22"/>
  <c r="K102" i="22"/>
  <c r="G102" i="22"/>
  <c r="D102" i="22"/>
  <c r="D101" i="22"/>
  <c r="N98" i="22"/>
  <c r="AC90" i="22"/>
  <c r="L90" i="22"/>
  <c r="Z89" i="22"/>
  <c r="Z88" i="22"/>
  <c r="Z87" i="22"/>
  <c r="Z86" i="22"/>
  <c r="Z90" i="22" s="1"/>
  <c r="Z85" i="22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Z70" i="22"/>
  <c r="Z69" i="22"/>
  <c r="Z68" i="22"/>
  <c r="Z67" i="22"/>
  <c r="Z66" i="22"/>
  <c r="Z71" i="22" s="1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AE51" i="22"/>
  <c r="AD51" i="22"/>
  <c r="AC51" i="22"/>
  <c r="AA51" i="22"/>
  <c r="Z51" i="22"/>
  <c r="Y51" i="22"/>
  <c r="X51" i="22"/>
  <c r="W51" i="22"/>
  <c r="V51" i="22"/>
  <c r="U51" i="22"/>
  <c r="AF51" i="22" s="1"/>
  <c r="N51" i="22"/>
  <c r="AB51" i="22" s="1"/>
  <c r="I51" i="22"/>
  <c r="H51" i="22"/>
  <c r="G51" i="22"/>
  <c r="F51" i="22"/>
  <c r="E51" i="22"/>
  <c r="D51" i="22"/>
  <c r="AE50" i="22"/>
  <c r="AD50" i="22"/>
  <c r="AC50" i="22"/>
  <c r="AA50" i="22"/>
  <c r="Z50" i="22"/>
  <c r="Y50" i="22"/>
  <c r="X50" i="22"/>
  <c r="W50" i="22"/>
  <c r="V50" i="22"/>
  <c r="U50" i="22"/>
  <c r="N50" i="22"/>
  <c r="AB50" i="22" s="1"/>
  <c r="I50" i="22"/>
  <c r="H50" i="22"/>
  <c r="G50" i="22"/>
  <c r="F50" i="22"/>
  <c r="E50" i="22"/>
  <c r="D50" i="22"/>
  <c r="AE49" i="22"/>
  <c r="AD49" i="22" s="1"/>
  <c r="AC49" i="22"/>
  <c r="AA49" i="22"/>
  <c r="Z49" i="22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AE48" i="22"/>
  <c r="AD48" i="22"/>
  <c r="AC48" i="22"/>
  <c r="AA48" i="22"/>
  <c r="Z48" i="22"/>
  <c r="Y48" i="22"/>
  <c r="X48" i="22"/>
  <c r="W48" i="22"/>
  <c r="V48" i="22"/>
  <c r="U48" i="22"/>
  <c r="AF48" i="22" s="1"/>
  <c r="N48" i="22"/>
  <c r="AB48" i="22" s="1"/>
  <c r="I48" i="22"/>
  <c r="H48" i="22"/>
  <c r="G48" i="22"/>
  <c r="F48" i="22"/>
  <c r="E48" i="22"/>
  <c r="D48" i="22"/>
  <c r="AE47" i="22"/>
  <c r="AC47" i="22"/>
  <c r="AC52" i="22" s="1"/>
  <c r="AA47" i="22"/>
  <c r="AA52" i="22" s="1"/>
  <c r="Z47" i="22"/>
  <c r="Z52" i="22" s="1"/>
  <c r="Y47" i="22"/>
  <c r="Y52" i="22" s="1"/>
  <c r="X47" i="22"/>
  <c r="X52" i="22" s="1"/>
  <c r="W47" i="22"/>
  <c r="W52" i="22" s="1"/>
  <c r="V47" i="22"/>
  <c r="V52" i="22" s="1"/>
  <c r="U47" i="22"/>
  <c r="N47" i="22"/>
  <c r="I47" i="22"/>
  <c r="I52" i="22" s="1"/>
  <c r="H47" i="22"/>
  <c r="H52" i="22" s="1"/>
  <c r="G47" i="22"/>
  <c r="G52" i="22" s="1"/>
  <c r="F47" i="22"/>
  <c r="F52" i="22" s="1"/>
  <c r="E47" i="22"/>
  <c r="E52" i="22" s="1"/>
  <c r="D47" i="22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AE32" i="22"/>
  <c r="AD32" i="22" s="1"/>
  <c r="AC32" i="22"/>
  <c r="AA32" i="22"/>
  <c r="Z32" i="22"/>
  <c r="Y32" i="22"/>
  <c r="X32" i="22"/>
  <c r="W32" i="22"/>
  <c r="V32" i="22"/>
  <c r="U32" i="22"/>
  <c r="N32" i="22"/>
  <c r="AB32" i="22" s="1"/>
  <c r="I32" i="22"/>
  <c r="H32" i="22"/>
  <c r="G32" i="22"/>
  <c r="F32" i="22"/>
  <c r="E32" i="22"/>
  <c r="D32" i="22"/>
  <c r="AE31" i="22"/>
  <c r="AD31" i="22"/>
  <c r="AC31" i="22"/>
  <c r="AA31" i="22"/>
  <c r="Z31" i="22"/>
  <c r="Y31" i="22"/>
  <c r="X31" i="22"/>
  <c r="W31" i="22"/>
  <c r="V31" i="22"/>
  <c r="U31" i="22"/>
  <c r="N31" i="22"/>
  <c r="AB31" i="22" s="1"/>
  <c r="I31" i="22"/>
  <c r="H31" i="22"/>
  <c r="G31" i="22"/>
  <c r="F31" i="22"/>
  <c r="E31" i="22"/>
  <c r="D31" i="22"/>
  <c r="AE30" i="22"/>
  <c r="AD30" i="22" s="1"/>
  <c r="AC30" i="22"/>
  <c r="AA30" i="22"/>
  <c r="Z30" i="22"/>
  <c r="Y30" i="22"/>
  <c r="X30" i="22"/>
  <c r="W30" i="22"/>
  <c r="V30" i="22"/>
  <c r="U30" i="22"/>
  <c r="AF30" i="22" s="1"/>
  <c r="N30" i="22"/>
  <c r="AB30" i="22" s="1"/>
  <c r="I30" i="22"/>
  <c r="H30" i="22"/>
  <c r="G30" i="22"/>
  <c r="F30" i="22"/>
  <c r="E30" i="22"/>
  <c r="D30" i="22"/>
  <c r="AE29" i="22"/>
  <c r="AD29" i="22" s="1"/>
  <c r="AC29" i="22"/>
  <c r="AA29" i="22"/>
  <c r="Z29" i="22"/>
  <c r="Y29" i="22"/>
  <c r="X29" i="22"/>
  <c r="W29" i="22"/>
  <c r="V29" i="22"/>
  <c r="U29" i="22"/>
  <c r="N29" i="22"/>
  <c r="AB29" i="22" s="1"/>
  <c r="I29" i="22"/>
  <c r="H29" i="22"/>
  <c r="G29" i="22"/>
  <c r="F29" i="22"/>
  <c r="E29" i="22"/>
  <c r="D29" i="22"/>
  <c r="AE28" i="22"/>
  <c r="AC28" i="22"/>
  <c r="AC33" i="22" s="1"/>
  <c r="AA28" i="22"/>
  <c r="AA33" i="22" s="1"/>
  <c r="Z28" i="22"/>
  <c r="Z33" i="22" s="1"/>
  <c r="Y28" i="22"/>
  <c r="Y33" i="22" s="1"/>
  <c r="X28" i="22"/>
  <c r="X33" i="22" s="1"/>
  <c r="W28" i="22"/>
  <c r="W33" i="22" s="1"/>
  <c r="V28" i="22"/>
  <c r="V33" i="22" s="1"/>
  <c r="U28" i="22"/>
  <c r="N28" i="22"/>
  <c r="I28" i="22"/>
  <c r="I33" i="22" s="1"/>
  <c r="H28" i="22"/>
  <c r="H33" i="22" s="1"/>
  <c r="G28" i="22"/>
  <c r="G33" i="22" s="1"/>
  <c r="F28" i="22"/>
  <c r="F33" i="22" s="1"/>
  <c r="E28" i="22"/>
  <c r="E33" i="22" s="1"/>
  <c r="D28" i="22"/>
  <c r="X26" i="22"/>
  <c r="U26" i="22"/>
  <c r="K26" i="22"/>
  <c r="Y26" i="22" s="1"/>
  <c r="G26" i="22"/>
  <c r="V26" i="22" s="1"/>
  <c r="D26" i="22"/>
  <c r="D25" i="22"/>
  <c r="N22" i="22"/>
  <c r="AD22" i="22" s="1"/>
  <c r="AE13" i="22"/>
  <c r="AC13" i="22"/>
  <c r="AA13" i="22"/>
  <c r="Y13" i="22"/>
  <c r="X13" i="22"/>
  <c r="W13" i="22"/>
  <c r="V13" i="22"/>
  <c r="U13" i="22"/>
  <c r="N13" i="22"/>
  <c r="L13" i="22"/>
  <c r="J13" i="22"/>
  <c r="I13" i="22"/>
  <c r="H13" i="22"/>
  <c r="G13" i="22"/>
  <c r="F13" i="22"/>
  <c r="E13" i="22"/>
  <c r="D13" i="22"/>
  <c r="AE12" i="22"/>
  <c r="AC12" i="22"/>
  <c r="AC107" i="22" s="1"/>
  <c r="AA12" i="22"/>
  <c r="Y12" i="22"/>
  <c r="X12" i="22"/>
  <c r="W12" i="22"/>
  <c r="V12" i="22"/>
  <c r="U12" i="22"/>
  <c r="N12" i="22"/>
  <c r="L12" i="22"/>
  <c r="J12" i="22"/>
  <c r="I12" i="22"/>
  <c r="H12" i="22"/>
  <c r="G12" i="22"/>
  <c r="F12" i="22"/>
  <c r="E12" i="22"/>
  <c r="D12" i="22"/>
  <c r="AE11" i="22"/>
  <c r="AC11" i="22"/>
  <c r="AA11" i="22"/>
  <c r="Y11" i="22"/>
  <c r="X11" i="22"/>
  <c r="W11" i="22"/>
  <c r="V11" i="22"/>
  <c r="U11" i="22"/>
  <c r="N11" i="22"/>
  <c r="L11" i="22"/>
  <c r="J11" i="22"/>
  <c r="I11" i="22"/>
  <c r="H11" i="22"/>
  <c r="G11" i="22"/>
  <c r="F11" i="22"/>
  <c r="E11" i="22"/>
  <c r="D11" i="22"/>
  <c r="AE10" i="22"/>
  <c r="AC10" i="22"/>
  <c r="AA10" i="22"/>
  <c r="Y10" i="22"/>
  <c r="X10" i="22"/>
  <c r="W10" i="22"/>
  <c r="V10" i="22"/>
  <c r="U10" i="22"/>
  <c r="N10" i="22"/>
  <c r="L10" i="22"/>
  <c r="J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J9" i="22"/>
  <c r="I9" i="22"/>
  <c r="H9" i="22"/>
  <c r="G9" i="22"/>
  <c r="F9" i="22"/>
  <c r="E9" i="22"/>
  <c r="D9" i="22"/>
  <c r="Y7" i="22"/>
  <c r="X7" i="22"/>
  <c r="V7" i="22"/>
  <c r="U7" i="22"/>
  <c r="AD3" i="22"/>
  <c r="C9" i="87" l="1"/>
  <c r="C15" i="87" s="1"/>
  <c r="L8" i="87"/>
  <c r="E131" i="86"/>
  <c r="E35" i="88"/>
  <c r="I34" i="88"/>
  <c r="G7" i="87"/>
  <c r="E7" i="87"/>
  <c r="K146" i="86"/>
  <c r="H34" i="88"/>
  <c r="K7" i="87"/>
  <c r="D34" i="88"/>
  <c r="I33" i="88"/>
  <c r="G6" i="87"/>
  <c r="E6" i="87"/>
  <c r="K145" i="86"/>
  <c r="H33" i="88"/>
  <c r="K6" i="87"/>
  <c r="D33" i="88"/>
  <c r="G5" i="87"/>
  <c r="I32" i="88"/>
  <c r="K144" i="86"/>
  <c r="E5" i="87"/>
  <c r="H32" i="88"/>
  <c r="D5" i="87"/>
  <c r="H5" i="87" s="1"/>
  <c r="J144" i="86"/>
  <c r="G32" i="88"/>
  <c r="K5" i="87"/>
  <c r="D32" i="88"/>
  <c r="I31" i="88"/>
  <c r="G4" i="87"/>
  <c r="E4" i="87"/>
  <c r="H31" i="88"/>
  <c r="K143" i="86"/>
  <c r="J143" i="86"/>
  <c r="D4" i="87"/>
  <c r="H4" i="87" s="1"/>
  <c r="G31" i="88"/>
  <c r="K4" i="87"/>
  <c r="D31" i="88"/>
  <c r="L30" i="88"/>
  <c r="L36" i="88" s="1"/>
  <c r="L131" i="86"/>
  <c r="L83" i="91" s="1"/>
  <c r="K30" i="88"/>
  <c r="K36" i="88" s="1"/>
  <c r="K131" i="86"/>
  <c r="K83" i="91" s="1"/>
  <c r="G3" i="87"/>
  <c r="G9" i="87" s="1"/>
  <c r="I30" i="88"/>
  <c r="I36" i="88" s="1"/>
  <c r="I131" i="86"/>
  <c r="I83" i="91" s="1"/>
  <c r="H131" i="86"/>
  <c r="H83" i="91" s="1"/>
  <c r="E3" i="87"/>
  <c r="E9" i="87" s="1"/>
  <c r="K142" i="86"/>
  <c r="K147" i="86" s="1"/>
  <c r="H30" i="88"/>
  <c r="H36" i="88" s="1"/>
  <c r="H45" i="88" s="1"/>
  <c r="D3" i="87"/>
  <c r="H3" i="87" s="1"/>
  <c r="G131" i="86"/>
  <c r="G83" i="91" s="1"/>
  <c r="G30" i="88"/>
  <c r="J142" i="86"/>
  <c r="K3" i="87"/>
  <c r="K9" i="87" s="1"/>
  <c r="D30" i="88"/>
  <c r="D36" i="88" s="1"/>
  <c r="D131" i="86"/>
  <c r="D83" i="91" s="1"/>
  <c r="AD108" i="86"/>
  <c r="J13" i="88"/>
  <c r="J12" i="88"/>
  <c r="AD107" i="86"/>
  <c r="J11" i="88"/>
  <c r="AD106" i="86"/>
  <c r="L94" i="90"/>
  <c r="L10" i="88"/>
  <c r="AD105" i="86"/>
  <c r="J94" i="90"/>
  <c r="J10" i="88"/>
  <c r="AC109" i="86"/>
  <c r="AC98" i="90" s="1"/>
  <c r="AC93" i="90"/>
  <c r="AC9" i="88"/>
  <c r="AC14" i="88" s="1"/>
  <c r="L93" i="90"/>
  <c r="L109" i="86"/>
  <c r="L98" i="90" s="1"/>
  <c r="L9" i="88"/>
  <c r="L14" i="88" s="1"/>
  <c r="L44" i="88" s="1"/>
  <c r="J9" i="88"/>
  <c r="J14" i="88" s="1"/>
  <c r="J93" i="90"/>
  <c r="AD104" i="86"/>
  <c r="J109" i="86"/>
  <c r="J98" i="90" s="1"/>
  <c r="Z90" i="86"/>
  <c r="AF85" i="86"/>
  <c r="M85" i="86"/>
  <c r="K90" i="86"/>
  <c r="M7" i="87"/>
  <c r="K70" i="86"/>
  <c r="M70" i="86" s="1"/>
  <c r="O70" i="86" s="1"/>
  <c r="G146" i="86"/>
  <c r="J129" i="86"/>
  <c r="M6" i="87"/>
  <c r="J128" i="86"/>
  <c r="K69" i="86"/>
  <c r="M69" i="86" s="1"/>
  <c r="O69" i="86" s="1"/>
  <c r="G145" i="86"/>
  <c r="AB68" i="86"/>
  <c r="AF68" i="86" s="1"/>
  <c r="AG68" i="86" s="1"/>
  <c r="AH68" i="86" s="1"/>
  <c r="N106" i="86"/>
  <c r="I11" i="88"/>
  <c r="I95" i="90"/>
  <c r="H11" i="88"/>
  <c r="H95" i="90"/>
  <c r="G95" i="90"/>
  <c r="G11" i="88"/>
  <c r="F11" i="88"/>
  <c r="F95" i="90"/>
  <c r="E95" i="90"/>
  <c r="E11" i="88"/>
  <c r="K68" i="86"/>
  <c r="M68" i="86" s="1"/>
  <c r="O68" i="86" s="1"/>
  <c r="J127" i="86"/>
  <c r="G144" i="86"/>
  <c r="M5" i="87"/>
  <c r="D106" i="86"/>
  <c r="AD67" i="86"/>
  <c r="AE105" i="86"/>
  <c r="AA10" i="88"/>
  <c r="AA94" i="90"/>
  <c r="Z10" i="88"/>
  <c r="Z94" i="90"/>
  <c r="Y94" i="90"/>
  <c r="Y10" i="88"/>
  <c r="X10" i="88"/>
  <c r="X94" i="90"/>
  <c r="W10" i="88"/>
  <c r="W94" i="90"/>
  <c r="V10" i="88"/>
  <c r="V94" i="90"/>
  <c r="U105" i="86"/>
  <c r="N105" i="86"/>
  <c r="AB67" i="86"/>
  <c r="AF67" i="86" s="1"/>
  <c r="AG67" i="86" s="1"/>
  <c r="AH67" i="86" s="1"/>
  <c r="I10" i="88"/>
  <c r="I94" i="90"/>
  <c r="H94" i="90"/>
  <c r="H10" i="88"/>
  <c r="G10" i="88"/>
  <c r="G94" i="90"/>
  <c r="F10" i="88"/>
  <c r="F94" i="90"/>
  <c r="E94" i="90"/>
  <c r="E10" i="88"/>
  <c r="J126" i="86"/>
  <c r="G143" i="86"/>
  <c r="M4" i="87"/>
  <c r="K67" i="86"/>
  <c r="M67" i="86" s="1"/>
  <c r="O67" i="86" s="1"/>
  <c r="D105" i="86"/>
  <c r="AE71" i="86"/>
  <c r="AE104" i="86"/>
  <c r="AD66" i="86"/>
  <c r="AD71" i="86" s="1"/>
  <c r="AA104" i="86"/>
  <c r="AA71" i="86"/>
  <c r="Z104" i="86"/>
  <c r="Z71" i="86"/>
  <c r="Y104" i="86"/>
  <c r="Y71" i="86"/>
  <c r="X104" i="86"/>
  <c r="X71" i="86"/>
  <c r="W104" i="86"/>
  <c r="W71" i="86"/>
  <c r="V71" i="86"/>
  <c r="V104" i="86"/>
  <c r="U104" i="86"/>
  <c r="U71" i="86"/>
  <c r="Y73" i="86" s="1"/>
  <c r="N104" i="86"/>
  <c r="N71" i="86"/>
  <c r="AB66" i="86"/>
  <c r="AF66" i="86" s="1"/>
  <c r="I104" i="86"/>
  <c r="I71" i="86"/>
  <c r="H71" i="86"/>
  <c r="H104" i="86"/>
  <c r="G104" i="86"/>
  <c r="G71" i="86"/>
  <c r="F104" i="86"/>
  <c r="F71" i="86"/>
  <c r="E104" i="86"/>
  <c r="E71" i="86"/>
  <c r="G142" i="86"/>
  <c r="D104" i="86"/>
  <c r="D71" i="86"/>
  <c r="M3" i="87"/>
  <c r="J125" i="86"/>
  <c r="K66" i="86"/>
  <c r="AD51" i="86"/>
  <c r="AE108" i="86"/>
  <c r="AA97" i="90"/>
  <c r="AA13" i="88"/>
  <c r="Z13" i="88"/>
  <c r="Z97" i="90"/>
  <c r="Y13" i="88"/>
  <c r="Y97" i="90"/>
  <c r="X13" i="88"/>
  <c r="X97" i="90"/>
  <c r="W13" i="88"/>
  <c r="W97" i="90"/>
  <c r="V13" i="88"/>
  <c r="V97" i="90"/>
  <c r="U108" i="86"/>
  <c r="AB51" i="86"/>
  <c r="AF51" i="86" s="1"/>
  <c r="AG51" i="86" s="1"/>
  <c r="AH51" i="86" s="1"/>
  <c r="N108" i="86"/>
  <c r="I13" i="88"/>
  <c r="I97" i="90"/>
  <c r="H97" i="90"/>
  <c r="H13" i="88"/>
  <c r="G13" i="88"/>
  <c r="G97" i="90"/>
  <c r="F97" i="90"/>
  <c r="F13" i="88"/>
  <c r="E13" i="88"/>
  <c r="E97" i="90"/>
  <c r="D108" i="86"/>
  <c r="K51" i="86"/>
  <c r="G129" i="86"/>
  <c r="AD50" i="86"/>
  <c r="AE107" i="86"/>
  <c r="AA96" i="90"/>
  <c r="AA12" i="88"/>
  <c r="Z12" i="88"/>
  <c r="Z96" i="90"/>
  <c r="Y12" i="88"/>
  <c r="Y96" i="90"/>
  <c r="X12" i="88"/>
  <c r="X96" i="90"/>
  <c r="W12" i="88"/>
  <c r="W96" i="90"/>
  <c r="V96" i="90"/>
  <c r="V12" i="88"/>
  <c r="U107" i="86"/>
  <c r="N52" i="86"/>
  <c r="N107" i="86"/>
  <c r="AB50" i="86"/>
  <c r="AF50" i="86" s="1"/>
  <c r="I107" i="86"/>
  <c r="I52" i="86"/>
  <c r="H52" i="86"/>
  <c r="H107" i="86"/>
  <c r="G52" i="86"/>
  <c r="G107" i="86"/>
  <c r="F52" i="86"/>
  <c r="F107" i="86"/>
  <c r="E52" i="86"/>
  <c r="E107" i="86"/>
  <c r="K50" i="86"/>
  <c r="M50" i="86" s="1"/>
  <c r="O50" i="86" s="1"/>
  <c r="D52" i="86"/>
  <c r="D107" i="86"/>
  <c r="G128" i="86"/>
  <c r="AE106" i="86"/>
  <c r="AD49" i="86"/>
  <c r="AE52" i="86"/>
  <c r="AA52" i="86"/>
  <c r="AA106" i="86"/>
  <c r="Z52" i="86"/>
  <c r="Z106" i="86"/>
  <c r="Y106" i="86"/>
  <c r="Y52" i="86"/>
  <c r="X106" i="86"/>
  <c r="X52" i="86"/>
  <c r="W106" i="86"/>
  <c r="W52" i="86"/>
  <c r="V52" i="86"/>
  <c r="V106" i="86"/>
  <c r="U106" i="86"/>
  <c r="U52" i="86"/>
  <c r="Y54" i="86" s="1"/>
  <c r="AF49" i="86"/>
  <c r="AG49" i="86" s="1"/>
  <c r="AH49" i="86" s="1"/>
  <c r="M47" i="86"/>
  <c r="U33" i="86"/>
  <c r="Y35" i="86" s="1"/>
  <c r="N33" i="86"/>
  <c r="AB28" i="86"/>
  <c r="D33" i="86"/>
  <c r="K28" i="86"/>
  <c r="U14" i="86"/>
  <c r="Y16" i="86" s="1"/>
  <c r="AB9" i="86"/>
  <c r="AF9" i="86" s="1"/>
  <c r="N14" i="86"/>
  <c r="K9" i="86"/>
  <c r="D14" i="86"/>
  <c r="K26" i="86"/>
  <c r="Y26" i="86" s="1"/>
  <c r="K45" i="86"/>
  <c r="Y45" i="86" s="1"/>
  <c r="Y7" i="86"/>
  <c r="G45" i="86"/>
  <c r="V45" i="86" s="1"/>
  <c r="G26" i="86"/>
  <c r="V26" i="86" s="1"/>
  <c r="V7" i="86"/>
  <c r="D26" i="86"/>
  <c r="D45" i="86"/>
  <c r="D25" i="86"/>
  <c r="D44" i="86"/>
  <c r="N41" i="86"/>
  <c r="AD41" i="86" s="1"/>
  <c r="AD3" i="86"/>
  <c r="N22" i="86"/>
  <c r="AD22" i="86" s="1"/>
  <c r="C9" i="83"/>
  <c r="H147" i="85"/>
  <c r="G3" i="83"/>
  <c r="G9" i="83" s="1"/>
  <c r="H23" i="36" s="1"/>
  <c r="E68" i="91"/>
  <c r="E35" i="82"/>
  <c r="L8" i="83"/>
  <c r="E131" i="85"/>
  <c r="L67" i="91"/>
  <c r="L34" i="82"/>
  <c r="K34" i="82"/>
  <c r="K67" i="91"/>
  <c r="I34" i="82"/>
  <c r="I67" i="91"/>
  <c r="D34" i="82"/>
  <c r="K7" i="83"/>
  <c r="H33" i="82"/>
  <c r="K145" i="85"/>
  <c r="K6" i="83"/>
  <c r="D33" i="82"/>
  <c r="H32" i="82"/>
  <c r="K144" i="85"/>
  <c r="D32" i="82"/>
  <c r="K5" i="83"/>
  <c r="K4" i="83"/>
  <c r="D31" i="82"/>
  <c r="L131" i="85"/>
  <c r="L69" i="91" s="1"/>
  <c r="L30" i="82"/>
  <c r="L36" i="82" s="1"/>
  <c r="L45" i="82" s="1"/>
  <c r="K131" i="85"/>
  <c r="K69" i="91" s="1"/>
  <c r="K30" i="82"/>
  <c r="K36" i="82" s="1"/>
  <c r="K45" i="82" s="1"/>
  <c r="I30" i="82"/>
  <c r="I36" i="82" s="1"/>
  <c r="I131" i="85"/>
  <c r="D3" i="83"/>
  <c r="G30" i="82"/>
  <c r="J142" i="85"/>
  <c r="K3" i="83"/>
  <c r="K9" i="83" s="1"/>
  <c r="L23" i="36" s="1"/>
  <c r="D30" i="82"/>
  <c r="D36" i="82" s="1"/>
  <c r="D131" i="85"/>
  <c r="L13" i="82"/>
  <c r="L80" i="90"/>
  <c r="J13" i="82"/>
  <c r="AD108" i="85"/>
  <c r="J80" i="90"/>
  <c r="L79" i="90"/>
  <c r="L12" i="82"/>
  <c r="AD107" i="85"/>
  <c r="J79" i="90"/>
  <c r="J12" i="82"/>
  <c r="L11" i="82"/>
  <c r="L78" i="90"/>
  <c r="AD106" i="85"/>
  <c r="J78" i="90"/>
  <c r="J11" i="82"/>
  <c r="L77" i="90"/>
  <c r="L10" i="82"/>
  <c r="J77" i="90"/>
  <c r="J10" i="82"/>
  <c r="AD105" i="85"/>
  <c r="L9" i="82"/>
  <c r="L14" i="82" s="1"/>
  <c r="L44" i="82" s="1"/>
  <c r="L76" i="90"/>
  <c r="L109" i="85"/>
  <c r="L81" i="90" s="1"/>
  <c r="J9" i="82"/>
  <c r="J14" i="82" s="1"/>
  <c r="J76" i="90"/>
  <c r="J109" i="85"/>
  <c r="J81" i="90" s="1"/>
  <c r="AF90" i="85"/>
  <c r="K90" i="85"/>
  <c r="M85" i="85"/>
  <c r="K51" i="85"/>
  <c r="M51" i="85" s="1"/>
  <c r="O51" i="85" s="1"/>
  <c r="G129" i="85"/>
  <c r="G128" i="85"/>
  <c r="K50" i="85"/>
  <c r="M50" i="85" s="1"/>
  <c r="O50" i="85" s="1"/>
  <c r="G127" i="85"/>
  <c r="K49" i="85"/>
  <c r="M49" i="85" s="1"/>
  <c r="O49" i="85" s="1"/>
  <c r="AD48" i="85"/>
  <c r="AD52" i="85" s="1"/>
  <c r="AE52" i="85"/>
  <c r="U52" i="85"/>
  <c r="Y54" i="85" s="1"/>
  <c r="AB48" i="85"/>
  <c r="N52" i="85"/>
  <c r="M47" i="85"/>
  <c r="E6" i="83"/>
  <c r="K31" i="85"/>
  <c r="M31" i="85" s="1"/>
  <c r="O31" i="85" s="1"/>
  <c r="AG31" i="85" s="1"/>
  <c r="AH31" i="85" s="1"/>
  <c r="E4" i="83"/>
  <c r="K29" i="85"/>
  <c r="M29" i="85" s="1"/>
  <c r="O29" i="85" s="1"/>
  <c r="F143" i="85"/>
  <c r="H126" i="85"/>
  <c r="U33" i="85"/>
  <c r="Y35" i="85" s="1"/>
  <c r="N33" i="85"/>
  <c r="AB28" i="85"/>
  <c r="F142" i="85"/>
  <c r="K28" i="85"/>
  <c r="E3" i="83"/>
  <c r="H125" i="85"/>
  <c r="D33" i="85"/>
  <c r="AE13" i="82"/>
  <c r="AE80" i="90"/>
  <c r="AC13" i="82"/>
  <c r="AC80" i="90"/>
  <c r="AA13" i="82"/>
  <c r="AA80" i="90"/>
  <c r="Z13" i="82"/>
  <c r="Z80" i="90"/>
  <c r="Y13" i="82"/>
  <c r="Y80" i="90"/>
  <c r="X13" i="82"/>
  <c r="X80" i="90"/>
  <c r="W13" i="82"/>
  <c r="W80" i="90"/>
  <c r="V13" i="82"/>
  <c r="V80" i="90"/>
  <c r="U108" i="85"/>
  <c r="N108" i="85"/>
  <c r="AB13" i="85"/>
  <c r="I13" i="82"/>
  <c r="I80" i="90"/>
  <c r="H13" i="82"/>
  <c r="H80" i="90"/>
  <c r="G13" i="82"/>
  <c r="G80" i="90"/>
  <c r="F13" i="82"/>
  <c r="F80" i="90"/>
  <c r="E13" i="82"/>
  <c r="E80" i="90"/>
  <c r="D108" i="85"/>
  <c r="K13" i="85"/>
  <c r="M13" i="85" s="1"/>
  <c r="O13" i="85" s="1"/>
  <c r="AE12" i="82"/>
  <c r="AE79" i="90"/>
  <c r="AC12" i="82"/>
  <c r="AC79" i="90"/>
  <c r="AA12" i="82"/>
  <c r="AA79" i="90"/>
  <c r="Z12" i="82"/>
  <c r="Z79" i="90"/>
  <c r="Y12" i="82"/>
  <c r="Y79" i="90"/>
  <c r="X12" i="82"/>
  <c r="X79" i="90"/>
  <c r="W12" i="82"/>
  <c r="W79" i="90"/>
  <c r="V12" i="82"/>
  <c r="V79" i="90"/>
  <c r="U107" i="85"/>
  <c r="N107" i="85"/>
  <c r="AB12" i="85"/>
  <c r="I12" i="82"/>
  <c r="I79" i="90"/>
  <c r="H12" i="82"/>
  <c r="H79" i="90"/>
  <c r="G12" i="82"/>
  <c r="G79" i="90"/>
  <c r="F12" i="82"/>
  <c r="F79" i="90"/>
  <c r="E12" i="82"/>
  <c r="E79" i="90"/>
  <c r="D107" i="85"/>
  <c r="K12" i="85"/>
  <c r="M12" i="85" s="1"/>
  <c r="O12" i="85" s="1"/>
  <c r="AE11" i="82"/>
  <c r="AE78" i="90"/>
  <c r="AC11" i="82"/>
  <c r="AC78" i="90"/>
  <c r="AA11" i="82"/>
  <c r="AA78" i="90"/>
  <c r="Z11" i="82"/>
  <c r="Z78" i="90"/>
  <c r="Y78" i="90"/>
  <c r="Y11" i="82"/>
  <c r="X11" i="82"/>
  <c r="X78" i="90"/>
  <c r="W78" i="90"/>
  <c r="W11" i="82"/>
  <c r="V11" i="82"/>
  <c r="V78" i="90"/>
  <c r="U106" i="85"/>
  <c r="AB11" i="85"/>
  <c r="N106" i="85"/>
  <c r="I11" i="82"/>
  <c r="I78" i="90"/>
  <c r="H78" i="90"/>
  <c r="H11" i="82"/>
  <c r="G11" i="82"/>
  <c r="G78" i="90"/>
  <c r="F78" i="90"/>
  <c r="F11" i="82"/>
  <c r="E78" i="90"/>
  <c r="E11" i="82"/>
  <c r="D106" i="85"/>
  <c r="K11" i="85"/>
  <c r="M11" i="85" s="1"/>
  <c r="O11" i="85" s="1"/>
  <c r="AE10" i="82"/>
  <c r="AE77" i="90"/>
  <c r="AC10" i="82"/>
  <c r="AC77" i="90"/>
  <c r="AA10" i="82"/>
  <c r="AA77" i="90"/>
  <c r="Z77" i="90"/>
  <c r="Z10" i="82"/>
  <c r="Y10" i="82"/>
  <c r="Y77" i="90"/>
  <c r="X77" i="90"/>
  <c r="X10" i="82"/>
  <c r="W77" i="90"/>
  <c r="W10" i="82"/>
  <c r="V77" i="90"/>
  <c r="V10" i="82"/>
  <c r="U105" i="85"/>
  <c r="AB10" i="85"/>
  <c r="N105" i="85"/>
  <c r="I77" i="90"/>
  <c r="I10" i="82"/>
  <c r="H10" i="82"/>
  <c r="H77" i="90"/>
  <c r="G77" i="90"/>
  <c r="G10" i="82"/>
  <c r="F10" i="82"/>
  <c r="F77" i="90"/>
  <c r="E10" i="82"/>
  <c r="E77" i="90"/>
  <c r="K10" i="85"/>
  <c r="M10" i="85" s="1"/>
  <c r="O10" i="85" s="1"/>
  <c r="D105" i="85"/>
  <c r="AE104" i="85"/>
  <c r="AD104" i="85" s="1"/>
  <c r="AE14" i="85"/>
  <c r="AC104" i="85"/>
  <c r="AC14" i="85"/>
  <c r="AA104" i="85"/>
  <c r="AA14" i="85"/>
  <c r="Z104" i="85"/>
  <c r="Z14" i="85"/>
  <c r="Y104" i="85"/>
  <c r="Y14" i="85"/>
  <c r="X104" i="85"/>
  <c r="X14" i="85"/>
  <c r="W104" i="85"/>
  <c r="W14" i="85"/>
  <c r="V14" i="85"/>
  <c r="V104" i="85"/>
  <c r="U104" i="85"/>
  <c r="U14" i="85"/>
  <c r="Y16" i="85" s="1"/>
  <c r="N104" i="85"/>
  <c r="AB9" i="85"/>
  <c r="AF9" i="85" s="1"/>
  <c r="N14" i="85"/>
  <c r="I14" i="85"/>
  <c r="I104" i="85"/>
  <c r="H14" i="85"/>
  <c r="H104" i="85"/>
  <c r="G104" i="85"/>
  <c r="G14" i="85"/>
  <c r="F14" i="85"/>
  <c r="F104" i="85"/>
  <c r="E104" i="85"/>
  <c r="E14" i="85"/>
  <c r="K9" i="85"/>
  <c r="D104" i="85"/>
  <c r="D14" i="85"/>
  <c r="K122" i="85"/>
  <c r="K27" i="82" s="1"/>
  <c r="K64" i="85"/>
  <c r="Y64" i="85" s="1"/>
  <c r="Y7" i="85"/>
  <c r="K83" i="85"/>
  <c r="Y83" i="85" s="1"/>
  <c r="K45" i="85"/>
  <c r="Y45" i="85" s="1"/>
  <c r="K102" i="85"/>
  <c r="K26" i="85"/>
  <c r="Y26" i="85" s="1"/>
  <c r="G64" i="85"/>
  <c r="V64" i="85" s="1"/>
  <c r="G45" i="85"/>
  <c r="V45" i="85" s="1"/>
  <c r="G122" i="85"/>
  <c r="H27" i="82" s="1"/>
  <c r="V7" i="85"/>
  <c r="G83" i="85"/>
  <c r="V83" i="85" s="1"/>
  <c r="G102" i="85"/>
  <c r="G26" i="85"/>
  <c r="V26" i="85" s="1"/>
  <c r="D64" i="85"/>
  <c r="D102" i="85"/>
  <c r="D7" i="82" s="1"/>
  <c r="D45" i="85"/>
  <c r="D83" i="85"/>
  <c r="D26" i="85"/>
  <c r="D82" i="85"/>
  <c r="D101" i="85"/>
  <c r="D6" i="82" s="1"/>
  <c r="D63" i="85"/>
  <c r="D44" i="85"/>
  <c r="D25" i="85"/>
  <c r="N98" i="85"/>
  <c r="AD3" i="85"/>
  <c r="N41" i="85"/>
  <c r="AD41" i="85" s="1"/>
  <c r="N60" i="85"/>
  <c r="AD60" i="85" s="1"/>
  <c r="M117" i="85"/>
  <c r="N22" i="82" s="1"/>
  <c r="N79" i="85"/>
  <c r="AD79" i="85" s="1"/>
  <c r="N22" i="85"/>
  <c r="AD22" i="85" s="1"/>
  <c r="C9" i="98"/>
  <c r="E35" i="99"/>
  <c r="L8" i="98"/>
  <c r="E131" i="97"/>
  <c r="E54" i="91"/>
  <c r="L34" i="99"/>
  <c r="L53" i="91"/>
  <c r="K34" i="99"/>
  <c r="K53" i="91"/>
  <c r="D53" i="91"/>
  <c r="D34" i="99"/>
  <c r="K7" i="98"/>
  <c r="L33" i="99"/>
  <c r="L52" i="91"/>
  <c r="K33" i="99"/>
  <c r="K52" i="91"/>
  <c r="I33" i="99"/>
  <c r="I52" i="91"/>
  <c r="D145" i="97"/>
  <c r="K6" i="98"/>
  <c r="D33" i="99"/>
  <c r="D52" i="91"/>
  <c r="L32" i="99"/>
  <c r="L51" i="91"/>
  <c r="K32" i="99"/>
  <c r="K51" i="91"/>
  <c r="D32" i="99"/>
  <c r="K5" i="98"/>
  <c r="D51" i="91"/>
  <c r="L31" i="99"/>
  <c r="L50" i="91"/>
  <c r="K31" i="99"/>
  <c r="K50" i="91"/>
  <c r="I50" i="91"/>
  <c r="I31" i="99"/>
  <c r="G31" i="99"/>
  <c r="G50" i="91"/>
  <c r="J143" i="97"/>
  <c r="D4" i="98"/>
  <c r="D50" i="91"/>
  <c r="D31" i="99"/>
  <c r="K4" i="98"/>
  <c r="L30" i="99"/>
  <c r="L36" i="99" s="1"/>
  <c r="L49" i="91"/>
  <c r="L131" i="97"/>
  <c r="L55" i="91" s="1"/>
  <c r="K30" i="99"/>
  <c r="K36" i="99" s="1"/>
  <c r="K131" i="97"/>
  <c r="K49" i="91"/>
  <c r="D49" i="91"/>
  <c r="D30" i="99"/>
  <c r="D36" i="99" s="1"/>
  <c r="D131" i="97"/>
  <c r="K3" i="98"/>
  <c r="K9" i="98" s="1"/>
  <c r="L22" i="36" s="1"/>
  <c r="L13" i="99"/>
  <c r="L64" i="90"/>
  <c r="AD63" i="90"/>
  <c r="AD12" i="99"/>
  <c r="L12" i="99"/>
  <c r="L63" i="90"/>
  <c r="J12" i="99"/>
  <c r="J63" i="90"/>
  <c r="L11" i="99"/>
  <c r="L62" i="90"/>
  <c r="L10" i="99"/>
  <c r="L61" i="90"/>
  <c r="J10" i="99"/>
  <c r="J61" i="90"/>
  <c r="AD105" i="97"/>
  <c r="L9" i="99"/>
  <c r="L14" i="99" s="1"/>
  <c r="L60" i="90"/>
  <c r="L109" i="97"/>
  <c r="L65" i="90" s="1"/>
  <c r="K69" i="97"/>
  <c r="M69" i="97" s="1"/>
  <c r="O69" i="97" s="1"/>
  <c r="M6" i="98"/>
  <c r="J128" i="97"/>
  <c r="G145" i="97"/>
  <c r="K68" i="97"/>
  <c r="M68" i="97" s="1"/>
  <c r="O68" i="97" s="1"/>
  <c r="AG68" i="97" s="1"/>
  <c r="AH68" i="97" s="1"/>
  <c r="G144" i="97"/>
  <c r="M5" i="98"/>
  <c r="J127" i="97"/>
  <c r="K67" i="97"/>
  <c r="M67" i="97" s="1"/>
  <c r="O67" i="97" s="1"/>
  <c r="M4" i="98"/>
  <c r="G143" i="97"/>
  <c r="J126" i="97"/>
  <c r="K51" i="97"/>
  <c r="M51" i="97" s="1"/>
  <c r="O51" i="97" s="1"/>
  <c r="AG51" i="97" s="1"/>
  <c r="AH51" i="97" s="1"/>
  <c r="G129" i="97"/>
  <c r="G128" i="97"/>
  <c r="K50" i="97"/>
  <c r="M50" i="97" s="1"/>
  <c r="O50" i="97" s="1"/>
  <c r="AG50" i="97" s="1"/>
  <c r="AH50" i="97" s="1"/>
  <c r="K49" i="97"/>
  <c r="M49" i="97" s="1"/>
  <c r="O49" i="97" s="1"/>
  <c r="G127" i="97"/>
  <c r="AD47" i="97"/>
  <c r="AD52" i="97" s="1"/>
  <c r="AE52" i="97"/>
  <c r="N52" i="97"/>
  <c r="AB47" i="97"/>
  <c r="K47" i="97"/>
  <c r="D52" i="97"/>
  <c r="G125" i="97"/>
  <c r="E7" i="98"/>
  <c r="H129" i="97"/>
  <c r="F146" i="97"/>
  <c r="K32" i="97"/>
  <c r="M32" i="97" s="1"/>
  <c r="O32" i="97" s="1"/>
  <c r="K31" i="97"/>
  <c r="M31" i="97" s="1"/>
  <c r="O31" i="97" s="1"/>
  <c r="E6" i="98"/>
  <c r="F145" i="97"/>
  <c r="H128" i="97"/>
  <c r="K30" i="97"/>
  <c r="M30" i="97" s="1"/>
  <c r="O30" i="97" s="1"/>
  <c r="AG30" i="97" s="1"/>
  <c r="AH30" i="97" s="1"/>
  <c r="E5" i="98"/>
  <c r="H127" i="97"/>
  <c r="F144" i="97"/>
  <c r="K29" i="97"/>
  <c r="M29" i="97" s="1"/>
  <c r="O29" i="97" s="1"/>
  <c r="F143" i="97"/>
  <c r="E4" i="98"/>
  <c r="H126" i="97"/>
  <c r="U33" i="97"/>
  <c r="AB28" i="97"/>
  <c r="N33" i="97"/>
  <c r="K28" i="97"/>
  <c r="D33" i="97"/>
  <c r="H125" i="97"/>
  <c r="F142" i="97"/>
  <c r="F147" i="97" s="1"/>
  <c r="E3" i="98"/>
  <c r="E9" i="98" s="1"/>
  <c r="F22" i="36" s="1"/>
  <c r="AD13" i="97"/>
  <c r="AB13" i="97"/>
  <c r="AF13" i="97" s="1"/>
  <c r="AG13" i="97" s="1"/>
  <c r="AH13" i="97" s="1"/>
  <c r="K13" i="97"/>
  <c r="M13" i="97" s="1"/>
  <c r="O13" i="97" s="1"/>
  <c r="AE12" i="99"/>
  <c r="AE63" i="90"/>
  <c r="AC63" i="90"/>
  <c r="AC12" i="99"/>
  <c r="AA63" i="90"/>
  <c r="AA12" i="99"/>
  <c r="Z12" i="99"/>
  <c r="Z63" i="90"/>
  <c r="Y63" i="90"/>
  <c r="Y12" i="99"/>
  <c r="X12" i="99"/>
  <c r="X63" i="90"/>
  <c r="W12" i="99"/>
  <c r="W63" i="90"/>
  <c r="V12" i="99"/>
  <c r="V63" i="90"/>
  <c r="U107" i="97"/>
  <c r="AB12" i="97"/>
  <c r="N107" i="97"/>
  <c r="I63" i="90"/>
  <c r="I12" i="99"/>
  <c r="H63" i="90"/>
  <c r="H12" i="99"/>
  <c r="G12" i="99"/>
  <c r="G63" i="90"/>
  <c r="F63" i="90"/>
  <c r="F12" i="99"/>
  <c r="E12" i="99"/>
  <c r="E63" i="90"/>
  <c r="D107" i="97"/>
  <c r="K12" i="97"/>
  <c r="M12" i="97" s="1"/>
  <c r="O12" i="97" s="1"/>
  <c r="AE106" i="97"/>
  <c r="AD11" i="97"/>
  <c r="AC62" i="90"/>
  <c r="AC11" i="99"/>
  <c r="Y11" i="99"/>
  <c r="Y62" i="90"/>
  <c r="X11" i="99"/>
  <c r="X62" i="90"/>
  <c r="W11" i="99"/>
  <c r="W62" i="90"/>
  <c r="V11" i="99"/>
  <c r="V62" i="90"/>
  <c r="U106" i="97"/>
  <c r="AB11" i="97"/>
  <c r="AF11" i="97" s="1"/>
  <c r="AG11" i="97" s="1"/>
  <c r="AH11" i="97" s="1"/>
  <c r="I11" i="99"/>
  <c r="I62" i="90"/>
  <c r="H11" i="99"/>
  <c r="H62" i="90"/>
  <c r="G11" i="99"/>
  <c r="G62" i="90"/>
  <c r="F11" i="99"/>
  <c r="F62" i="90"/>
  <c r="E62" i="90"/>
  <c r="E11" i="99"/>
  <c r="D106" i="97"/>
  <c r="K11" i="97"/>
  <c r="M11" i="97" s="1"/>
  <c r="O11" i="97" s="1"/>
  <c r="AE10" i="99"/>
  <c r="AE61" i="90"/>
  <c r="AC10" i="99"/>
  <c r="AC61" i="90"/>
  <c r="AA10" i="99"/>
  <c r="AA61" i="90"/>
  <c r="Z10" i="99"/>
  <c r="Z61" i="90"/>
  <c r="Y10" i="99"/>
  <c r="Y61" i="90"/>
  <c r="X61" i="90"/>
  <c r="X10" i="99"/>
  <c r="W10" i="99"/>
  <c r="W61" i="90"/>
  <c r="V10" i="99"/>
  <c r="V61" i="90"/>
  <c r="U105" i="97"/>
  <c r="N105" i="97"/>
  <c r="AB10" i="97"/>
  <c r="I61" i="90"/>
  <c r="I10" i="99"/>
  <c r="H10" i="99"/>
  <c r="H61" i="90"/>
  <c r="G61" i="90"/>
  <c r="G10" i="99"/>
  <c r="F10" i="99"/>
  <c r="F61" i="90"/>
  <c r="E10" i="99"/>
  <c r="E61" i="90"/>
  <c r="D105" i="97"/>
  <c r="K10" i="97"/>
  <c r="M10" i="97" s="1"/>
  <c r="O10" i="97" s="1"/>
  <c r="AE104" i="97"/>
  <c r="AD9" i="97"/>
  <c r="AD14" i="97" s="1"/>
  <c r="AE14" i="97"/>
  <c r="AC104" i="97"/>
  <c r="AC14" i="97"/>
  <c r="AA104" i="97"/>
  <c r="AA14" i="97"/>
  <c r="Z14" i="97"/>
  <c r="Y104" i="97"/>
  <c r="Y14" i="97"/>
  <c r="X104" i="97"/>
  <c r="X14" i="97"/>
  <c r="W14" i="97"/>
  <c r="W104" i="97"/>
  <c r="V104" i="97"/>
  <c r="V14" i="97"/>
  <c r="U14" i="97"/>
  <c r="Y16" i="97" s="1"/>
  <c r="U104" i="97"/>
  <c r="AB9" i="97"/>
  <c r="AF9" i="97" s="1"/>
  <c r="N14" i="97"/>
  <c r="I104" i="97"/>
  <c r="I14" i="97"/>
  <c r="H104" i="97"/>
  <c r="H14" i="97"/>
  <c r="G14" i="97"/>
  <c r="G104" i="97"/>
  <c r="F104" i="97"/>
  <c r="F14" i="97"/>
  <c r="E14" i="97"/>
  <c r="E104" i="97"/>
  <c r="D14" i="97"/>
  <c r="K9" i="97"/>
  <c r="D104" i="97"/>
  <c r="K102" i="97"/>
  <c r="K83" i="97"/>
  <c r="Y83" i="97" s="1"/>
  <c r="K26" i="97"/>
  <c r="Y26" i="97" s="1"/>
  <c r="K122" i="97"/>
  <c r="K27" i="99" s="1"/>
  <c r="K64" i="97"/>
  <c r="Y64" i="97" s="1"/>
  <c r="K45" i="97"/>
  <c r="Y45" i="97" s="1"/>
  <c r="Y7" i="97"/>
  <c r="G45" i="97"/>
  <c r="V45" i="97" s="1"/>
  <c r="G122" i="97"/>
  <c r="H27" i="99" s="1"/>
  <c r="G64" i="97"/>
  <c r="V64" i="97" s="1"/>
  <c r="V7" i="97"/>
  <c r="G26" i="97"/>
  <c r="V26" i="97" s="1"/>
  <c r="G83" i="97"/>
  <c r="V83" i="97" s="1"/>
  <c r="G102" i="97"/>
  <c r="D64" i="97"/>
  <c r="D83" i="97"/>
  <c r="D102" i="97"/>
  <c r="D7" i="99" s="1"/>
  <c r="D26" i="97"/>
  <c r="D45" i="97"/>
  <c r="D63" i="97"/>
  <c r="D44" i="97"/>
  <c r="D25" i="97"/>
  <c r="D101" i="97"/>
  <c r="D6" i="99" s="1"/>
  <c r="D82" i="97"/>
  <c r="N79" i="97"/>
  <c r="AD79" i="97" s="1"/>
  <c r="N41" i="97"/>
  <c r="AD41" i="97" s="1"/>
  <c r="N22" i="97"/>
  <c r="AD22" i="97" s="1"/>
  <c r="N60" i="97"/>
  <c r="AD60" i="97" s="1"/>
  <c r="AD3" i="97"/>
  <c r="N98" i="97"/>
  <c r="M117" i="97"/>
  <c r="N22" i="99" s="1"/>
  <c r="C9" i="80"/>
  <c r="E41" i="91"/>
  <c r="E36" i="81"/>
  <c r="E46" i="81" s="1"/>
  <c r="D5" i="80"/>
  <c r="J144" i="79"/>
  <c r="J143" i="79"/>
  <c r="D4" i="80"/>
  <c r="K142" i="79"/>
  <c r="K147" i="79" s="1"/>
  <c r="H131" i="79"/>
  <c r="J142" i="79"/>
  <c r="D3" i="80"/>
  <c r="K3" i="80"/>
  <c r="K9" i="80" s="1"/>
  <c r="L21" i="36" s="1"/>
  <c r="D131" i="79"/>
  <c r="AG46" i="90"/>
  <c r="AH107" i="79"/>
  <c r="AB51" i="79"/>
  <c r="AF51" i="79" s="1"/>
  <c r="AG51" i="79" s="1"/>
  <c r="AH51" i="79" s="1"/>
  <c r="G129" i="79"/>
  <c r="K51" i="79"/>
  <c r="M51" i="79" s="1"/>
  <c r="O51" i="79" s="1"/>
  <c r="AE52" i="79"/>
  <c r="AE107" i="79"/>
  <c r="AC107" i="79"/>
  <c r="AC52" i="79"/>
  <c r="AA52" i="79"/>
  <c r="AA107" i="79"/>
  <c r="Y52" i="79"/>
  <c r="Y107" i="79"/>
  <c r="X52" i="79"/>
  <c r="X107" i="79"/>
  <c r="W52" i="79"/>
  <c r="W107" i="79"/>
  <c r="V52" i="79"/>
  <c r="V107" i="79"/>
  <c r="U107" i="79"/>
  <c r="U52" i="79"/>
  <c r="Y54" i="79" s="1"/>
  <c r="N107" i="79"/>
  <c r="AB50" i="79"/>
  <c r="AF50" i="79" s="1"/>
  <c r="AG50" i="79" s="1"/>
  <c r="AH50" i="79" s="1"/>
  <c r="N52" i="79"/>
  <c r="M47" i="79"/>
  <c r="F146" i="79"/>
  <c r="F147" i="79" s="1"/>
  <c r="K32" i="79"/>
  <c r="M32" i="79" s="1"/>
  <c r="O32" i="79" s="1"/>
  <c r="E5" i="80"/>
  <c r="K30" i="79"/>
  <c r="M30" i="79" s="1"/>
  <c r="O30" i="79" s="1"/>
  <c r="E4" i="80"/>
  <c r="K29" i="79"/>
  <c r="M29" i="79" s="1"/>
  <c r="O29" i="79" s="1"/>
  <c r="U33" i="79"/>
  <c r="Y35" i="79" s="1"/>
  <c r="AB28" i="79"/>
  <c r="N33" i="79"/>
  <c r="E3" i="80"/>
  <c r="E9" i="80" s="1"/>
  <c r="F21" i="36" s="1"/>
  <c r="K28" i="79"/>
  <c r="D33" i="79"/>
  <c r="U14" i="79"/>
  <c r="Y16" i="79" s="1"/>
  <c r="AB9" i="79"/>
  <c r="N14" i="79"/>
  <c r="D14" i="79"/>
  <c r="K45" i="79"/>
  <c r="Y45" i="79" s="1"/>
  <c r="K26" i="79"/>
  <c r="Y26" i="79" s="1"/>
  <c r="Y7" i="79"/>
  <c r="V7" i="79"/>
  <c r="G45" i="79"/>
  <c r="V45" i="79" s="1"/>
  <c r="G26" i="79"/>
  <c r="V26" i="79" s="1"/>
  <c r="D26" i="79"/>
  <c r="D45" i="79"/>
  <c r="D44" i="79"/>
  <c r="D25" i="79"/>
  <c r="AD3" i="79"/>
  <c r="N41" i="79"/>
  <c r="AD41" i="79" s="1"/>
  <c r="N22" i="79"/>
  <c r="AD22" i="79" s="1"/>
  <c r="C9" i="77"/>
  <c r="G3" i="77"/>
  <c r="L8" i="77"/>
  <c r="E35" i="76"/>
  <c r="E26" i="91"/>
  <c r="E131" i="75"/>
  <c r="L25" i="91"/>
  <c r="L34" i="76"/>
  <c r="K25" i="91"/>
  <c r="K34" i="76"/>
  <c r="I34" i="76"/>
  <c r="I25" i="91"/>
  <c r="D7" i="77"/>
  <c r="G34" i="76"/>
  <c r="G25" i="91"/>
  <c r="J146" i="75"/>
  <c r="K7" i="77"/>
  <c r="D34" i="76"/>
  <c r="D25" i="91"/>
  <c r="L24" i="91"/>
  <c r="L33" i="76"/>
  <c r="K33" i="76"/>
  <c r="K24" i="91"/>
  <c r="D33" i="76"/>
  <c r="D24" i="91"/>
  <c r="K6" i="77"/>
  <c r="L32" i="76"/>
  <c r="L23" i="91"/>
  <c r="K23" i="91"/>
  <c r="K32" i="76"/>
  <c r="I23" i="91"/>
  <c r="I32" i="76"/>
  <c r="K5" i="77"/>
  <c r="D23" i="91"/>
  <c r="D32" i="76"/>
  <c r="L22" i="91"/>
  <c r="L31" i="76"/>
  <c r="K22" i="91"/>
  <c r="K31" i="76"/>
  <c r="D22" i="91"/>
  <c r="D31" i="76"/>
  <c r="K4" i="77"/>
  <c r="L131" i="75"/>
  <c r="L27" i="91" s="1"/>
  <c r="L21" i="91"/>
  <c r="L30" i="76"/>
  <c r="K21" i="91"/>
  <c r="K30" i="76"/>
  <c r="K131" i="75"/>
  <c r="K27" i="91" s="1"/>
  <c r="I30" i="76"/>
  <c r="I21" i="91"/>
  <c r="D30" i="76"/>
  <c r="D131" i="75"/>
  <c r="K3" i="77"/>
  <c r="D21" i="91"/>
  <c r="L13" i="76"/>
  <c r="L30" i="90"/>
  <c r="AD108" i="75"/>
  <c r="J30" i="90"/>
  <c r="J13" i="76"/>
  <c r="L12" i="76"/>
  <c r="L29" i="90"/>
  <c r="L28" i="90"/>
  <c r="L11" i="76"/>
  <c r="J28" i="90"/>
  <c r="J11" i="76"/>
  <c r="L27" i="90"/>
  <c r="L10" i="76"/>
  <c r="L109" i="75"/>
  <c r="L31" i="90" s="1"/>
  <c r="L26" i="90"/>
  <c r="L9" i="76"/>
  <c r="L14" i="76" s="1"/>
  <c r="L44" i="76" s="1"/>
  <c r="Z90" i="75"/>
  <c r="J129" i="75"/>
  <c r="G146" i="75"/>
  <c r="M7" i="77"/>
  <c r="K70" i="75"/>
  <c r="M70" i="75" s="1"/>
  <c r="O70" i="75" s="1"/>
  <c r="K68" i="75"/>
  <c r="M68" i="75" s="1"/>
  <c r="O68" i="75" s="1"/>
  <c r="J127" i="75"/>
  <c r="M5" i="77"/>
  <c r="G144" i="75"/>
  <c r="U71" i="75"/>
  <c r="AB66" i="75"/>
  <c r="N71" i="75"/>
  <c r="M3" i="77"/>
  <c r="J125" i="75"/>
  <c r="D71" i="75"/>
  <c r="G142" i="75"/>
  <c r="K66" i="75"/>
  <c r="K50" i="75"/>
  <c r="M50" i="75" s="1"/>
  <c r="O50" i="75" s="1"/>
  <c r="AG50" i="75" s="1"/>
  <c r="AH50" i="75" s="1"/>
  <c r="G128" i="75"/>
  <c r="K49" i="75"/>
  <c r="M49" i="75" s="1"/>
  <c r="O49" i="75" s="1"/>
  <c r="G127" i="75"/>
  <c r="G126" i="75"/>
  <c r="K48" i="75"/>
  <c r="M48" i="75" s="1"/>
  <c r="O48" i="75" s="1"/>
  <c r="AE52" i="75"/>
  <c r="AD47" i="75"/>
  <c r="AD52" i="75" s="1"/>
  <c r="U52" i="75"/>
  <c r="Y54" i="75" s="1"/>
  <c r="N52" i="75"/>
  <c r="AB47" i="75"/>
  <c r="D52" i="75"/>
  <c r="G125" i="75"/>
  <c r="K47" i="75"/>
  <c r="K32" i="75"/>
  <c r="M32" i="75" s="1"/>
  <c r="O32" i="75" s="1"/>
  <c r="E7" i="77"/>
  <c r="H129" i="75"/>
  <c r="F146" i="75"/>
  <c r="E6" i="77"/>
  <c r="H128" i="75"/>
  <c r="F145" i="75"/>
  <c r="K31" i="75"/>
  <c r="M31" i="75" s="1"/>
  <c r="O31" i="75" s="1"/>
  <c r="H127" i="75"/>
  <c r="F144" i="75"/>
  <c r="K30" i="75"/>
  <c r="M30" i="75" s="1"/>
  <c r="O30" i="75" s="1"/>
  <c r="E5" i="77"/>
  <c r="F143" i="75"/>
  <c r="E4" i="77"/>
  <c r="H126" i="75"/>
  <c r="K29" i="75"/>
  <c r="M29" i="75" s="1"/>
  <c r="O29" i="75" s="1"/>
  <c r="AE33" i="75"/>
  <c r="AD28" i="75"/>
  <c r="AD33" i="75" s="1"/>
  <c r="U33" i="75"/>
  <c r="Y35" i="75" s="1"/>
  <c r="AB28" i="75"/>
  <c r="N33" i="75"/>
  <c r="H125" i="75"/>
  <c r="E3" i="77"/>
  <c r="K28" i="75"/>
  <c r="D33" i="75"/>
  <c r="F142" i="75"/>
  <c r="AE13" i="76"/>
  <c r="AE30" i="90"/>
  <c r="AC13" i="76"/>
  <c r="AC30" i="90"/>
  <c r="AA13" i="76"/>
  <c r="AA30" i="90"/>
  <c r="Z13" i="76"/>
  <c r="Z30" i="90"/>
  <c r="Y13" i="76"/>
  <c r="Y30" i="90"/>
  <c r="X13" i="76"/>
  <c r="X30" i="90"/>
  <c r="W13" i="76"/>
  <c r="W30" i="90"/>
  <c r="V13" i="76"/>
  <c r="V30" i="90"/>
  <c r="U108" i="75"/>
  <c r="N108" i="75"/>
  <c r="AB13" i="75"/>
  <c r="I13" i="76"/>
  <c r="I30" i="90"/>
  <c r="H13" i="76"/>
  <c r="H30" i="90"/>
  <c r="G13" i="76"/>
  <c r="G30" i="90"/>
  <c r="F13" i="76"/>
  <c r="F30" i="90"/>
  <c r="E13" i="76"/>
  <c r="E30" i="90"/>
  <c r="K13" i="75"/>
  <c r="M13" i="75" s="1"/>
  <c r="O13" i="75" s="1"/>
  <c r="D108" i="75"/>
  <c r="AC12" i="76"/>
  <c r="AC29" i="90"/>
  <c r="Z12" i="76"/>
  <c r="Z29" i="90"/>
  <c r="AB12" i="75"/>
  <c r="AF12" i="75" s="1"/>
  <c r="AG12" i="75" s="1"/>
  <c r="AH12" i="75" s="1"/>
  <c r="K12" i="75"/>
  <c r="M12" i="75" s="1"/>
  <c r="O12" i="75" s="1"/>
  <c r="AE106" i="75"/>
  <c r="AD106" i="75" s="1"/>
  <c r="AD11" i="75"/>
  <c r="AD14" i="75" s="1"/>
  <c r="AC11" i="76"/>
  <c r="AC28" i="90"/>
  <c r="AA11" i="76"/>
  <c r="AA28" i="90"/>
  <c r="Z11" i="76"/>
  <c r="Z28" i="90"/>
  <c r="Y11" i="76"/>
  <c r="Y28" i="90"/>
  <c r="X11" i="76"/>
  <c r="X28" i="90"/>
  <c r="W11" i="76"/>
  <c r="W28" i="90"/>
  <c r="V11" i="76"/>
  <c r="V28" i="90"/>
  <c r="U106" i="75"/>
  <c r="AB11" i="75"/>
  <c r="N106" i="75"/>
  <c r="I11" i="76"/>
  <c r="I28" i="90"/>
  <c r="H11" i="76"/>
  <c r="H28" i="90"/>
  <c r="G11" i="76"/>
  <c r="G28" i="90"/>
  <c r="F11" i="76"/>
  <c r="F28" i="90"/>
  <c r="E11" i="76"/>
  <c r="E28" i="90"/>
  <c r="D106" i="75"/>
  <c r="K11" i="75"/>
  <c r="M11" i="75" s="1"/>
  <c r="O11" i="75" s="1"/>
  <c r="AC10" i="76"/>
  <c r="AC27" i="90"/>
  <c r="Z10" i="76"/>
  <c r="Z27" i="90"/>
  <c r="AB10" i="75"/>
  <c r="AF10" i="75" s="1"/>
  <c r="AG10" i="75" s="1"/>
  <c r="AH10" i="75" s="1"/>
  <c r="K10" i="75"/>
  <c r="M10" i="75" s="1"/>
  <c r="O10" i="75" s="1"/>
  <c r="AE104" i="75"/>
  <c r="AE14" i="75"/>
  <c r="AC14" i="75"/>
  <c r="AC104" i="75"/>
  <c r="AA104" i="75"/>
  <c r="AA14" i="75"/>
  <c r="Z104" i="75"/>
  <c r="Z14" i="75"/>
  <c r="Y104" i="75"/>
  <c r="Y14" i="75"/>
  <c r="X104" i="75"/>
  <c r="X14" i="75"/>
  <c r="W104" i="75"/>
  <c r="W14" i="75"/>
  <c r="V14" i="75"/>
  <c r="V104" i="75"/>
  <c r="U104" i="75"/>
  <c r="U14" i="75"/>
  <c r="Y16" i="75" s="1"/>
  <c r="N104" i="75"/>
  <c r="N14" i="75"/>
  <c r="AB9" i="75"/>
  <c r="AF9" i="75" s="1"/>
  <c r="I104" i="75"/>
  <c r="I14" i="75"/>
  <c r="H104" i="75"/>
  <c r="H14" i="75"/>
  <c r="G14" i="75"/>
  <c r="G104" i="75"/>
  <c r="F104" i="75"/>
  <c r="F14" i="75"/>
  <c r="E104" i="75"/>
  <c r="E14" i="75"/>
  <c r="D104" i="75"/>
  <c r="K9" i="75"/>
  <c r="D14" i="75"/>
  <c r="K64" i="75"/>
  <c r="Y64" i="75" s="1"/>
  <c r="K83" i="75"/>
  <c r="Y83" i="75" s="1"/>
  <c r="K122" i="75"/>
  <c r="K27" i="76" s="1"/>
  <c r="K26" i="75"/>
  <c r="Y26" i="75" s="1"/>
  <c r="K45" i="75"/>
  <c r="Y45" i="75" s="1"/>
  <c r="Y7" i="75"/>
  <c r="K102" i="75"/>
  <c r="G64" i="75"/>
  <c r="V64" i="75" s="1"/>
  <c r="G26" i="75"/>
  <c r="V26" i="75" s="1"/>
  <c r="G45" i="75"/>
  <c r="V45" i="75" s="1"/>
  <c r="G122" i="75"/>
  <c r="H27" i="76" s="1"/>
  <c r="G83" i="75"/>
  <c r="V83" i="75" s="1"/>
  <c r="G102" i="75"/>
  <c r="D64" i="75"/>
  <c r="D45" i="75"/>
  <c r="D83" i="75"/>
  <c r="D26" i="75"/>
  <c r="D102" i="75"/>
  <c r="D7" i="76" s="1"/>
  <c r="D25" i="75"/>
  <c r="D44" i="75"/>
  <c r="D82" i="75"/>
  <c r="D63" i="75"/>
  <c r="D101" i="75"/>
  <c r="D6" i="76" s="1"/>
  <c r="M117" i="75"/>
  <c r="N22" i="76" s="1"/>
  <c r="N41" i="75"/>
  <c r="AD41" i="75" s="1"/>
  <c r="AD3" i="75"/>
  <c r="N79" i="75"/>
  <c r="AD79" i="75" s="1"/>
  <c r="N60" i="75"/>
  <c r="AD60" i="75" s="1"/>
  <c r="N22" i="75"/>
  <c r="AD22" i="75" s="1"/>
  <c r="N98" i="75"/>
  <c r="C9" i="36"/>
  <c r="C15" i="36" s="1"/>
  <c r="P17" i="89"/>
  <c r="T19" i="89" s="1"/>
  <c r="U12" i="89"/>
  <c r="U17" i="89" s="1"/>
  <c r="D17" i="89"/>
  <c r="J12" i="89"/>
  <c r="R31" i="95"/>
  <c r="K32" i="95"/>
  <c r="O31" i="95"/>
  <c r="Z89" i="97"/>
  <c r="Z108" i="97" s="1"/>
  <c r="Z89" i="79"/>
  <c r="J89" i="97"/>
  <c r="J108" i="97" s="1"/>
  <c r="J89" i="79"/>
  <c r="J89" i="22"/>
  <c r="J88" i="75"/>
  <c r="J88" i="22"/>
  <c r="Z87" i="79"/>
  <c r="Z87" i="97"/>
  <c r="J87" i="79"/>
  <c r="J87" i="22"/>
  <c r="J87" i="97"/>
  <c r="J86" i="75"/>
  <c r="J86" i="22"/>
  <c r="Z52" i="69"/>
  <c r="Z85" i="79"/>
  <c r="Z90" i="79" s="1"/>
  <c r="Z85" i="97"/>
  <c r="Z104" i="97" s="1"/>
  <c r="J85" i="22"/>
  <c r="J85" i="97"/>
  <c r="J52" i="69"/>
  <c r="J85" i="75"/>
  <c r="J85" i="79"/>
  <c r="J90" i="79" s="1"/>
  <c r="K26" i="69"/>
  <c r="Y26" i="69" s="1"/>
  <c r="Y7" i="69"/>
  <c r="K45" i="69"/>
  <c r="Y45" i="69" s="1"/>
  <c r="H26" i="69"/>
  <c r="V26" i="69" s="1"/>
  <c r="V7" i="69"/>
  <c r="H45" i="69"/>
  <c r="V45" i="69" s="1"/>
  <c r="D26" i="69"/>
  <c r="D45" i="69"/>
  <c r="D44" i="69"/>
  <c r="D25" i="69"/>
  <c r="N41" i="69"/>
  <c r="AC41" i="69" s="1"/>
  <c r="AC3" i="69"/>
  <c r="N22" i="69"/>
  <c r="AC22" i="69" s="1"/>
  <c r="AD33" i="69"/>
  <c r="AC28" i="69"/>
  <c r="AC33" i="69" s="1"/>
  <c r="U33" i="69"/>
  <c r="Y35" i="69" s="1"/>
  <c r="AE28" i="69"/>
  <c r="AB28" i="69"/>
  <c r="AB33" i="69" s="1"/>
  <c r="N33" i="69"/>
  <c r="K28" i="69"/>
  <c r="D33" i="69"/>
  <c r="AC13" i="69"/>
  <c r="AC51" i="69" s="1"/>
  <c r="AD51" i="69"/>
  <c r="AA89" i="79"/>
  <c r="AA89" i="97"/>
  <c r="AA89" i="22"/>
  <c r="AA108" i="22" s="1"/>
  <c r="Y89" i="79"/>
  <c r="Y89" i="97"/>
  <c r="Y90" i="97" s="1"/>
  <c r="Y89" i="22"/>
  <c r="Y108" i="22" s="1"/>
  <c r="X89" i="22"/>
  <c r="X108" i="22" s="1"/>
  <c r="X89" i="79"/>
  <c r="X89" i="97"/>
  <c r="X90" i="97" s="1"/>
  <c r="W89" i="79"/>
  <c r="W89" i="97"/>
  <c r="W90" i="97" s="1"/>
  <c r="W89" i="22"/>
  <c r="W108" i="22" s="1"/>
  <c r="V89" i="22"/>
  <c r="V108" i="22" s="1"/>
  <c r="V89" i="79"/>
  <c r="V89" i="97"/>
  <c r="V90" i="97" s="1"/>
  <c r="U51" i="69"/>
  <c r="AE13" i="69"/>
  <c r="N51" i="69"/>
  <c r="AB13" i="69"/>
  <c r="AB51" i="69" s="1"/>
  <c r="I89" i="22"/>
  <c r="I108" i="22" s="1"/>
  <c r="I89" i="79"/>
  <c r="I89" i="97"/>
  <c r="I90" i="97" s="1"/>
  <c r="H89" i="22"/>
  <c r="H108" i="22" s="1"/>
  <c r="H89" i="79"/>
  <c r="H89" i="97"/>
  <c r="H90" i="97" s="1"/>
  <c r="G89" i="22"/>
  <c r="G108" i="22" s="1"/>
  <c r="G89" i="97"/>
  <c r="G90" i="97" s="1"/>
  <c r="G89" i="79"/>
  <c r="F89" i="79"/>
  <c r="F89" i="97"/>
  <c r="F90" i="97" s="1"/>
  <c r="F89" i="22"/>
  <c r="F108" i="22" s="1"/>
  <c r="K13" i="69"/>
  <c r="M13" i="69" s="1"/>
  <c r="O13" i="69" s="1"/>
  <c r="D51" i="69"/>
  <c r="AD50" i="69"/>
  <c r="AC12" i="69"/>
  <c r="AC50" i="69" s="1"/>
  <c r="U50" i="69"/>
  <c r="N50" i="69"/>
  <c r="AB12" i="69"/>
  <c r="D50" i="69"/>
  <c r="K12" i="69"/>
  <c r="M12" i="69" s="1"/>
  <c r="O12" i="69" s="1"/>
  <c r="AD49" i="69"/>
  <c r="AC11" i="69"/>
  <c r="AC49" i="69" s="1"/>
  <c r="AD87" i="79" s="1"/>
  <c r="U49" i="69"/>
  <c r="AB11" i="69"/>
  <c r="N49" i="69"/>
  <c r="K11" i="69"/>
  <c r="M11" i="69" s="1"/>
  <c r="O11" i="69" s="1"/>
  <c r="D49" i="69"/>
  <c r="AD48" i="69"/>
  <c r="AC10" i="69"/>
  <c r="AC48" i="69" s="1"/>
  <c r="U48" i="69"/>
  <c r="N48" i="69"/>
  <c r="AB10" i="69"/>
  <c r="D48" i="69"/>
  <c r="K10" i="69"/>
  <c r="M10" i="69" s="1"/>
  <c r="O10" i="69" s="1"/>
  <c r="AD14" i="69"/>
  <c r="AC9" i="69"/>
  <c r="AD47" i="69"/>
  <c r="AA14" i="69"/>
  <c r="AA47" i="69"/>
  <c r="Y14" i="69"/>
  <c r="Y47" i="69"/>
  <c r="X14" i="69"/>
  <c r="X47" i="69"/>
  <c r="W47" i="69"/>
  <c r="W14" i="69"/>
  <c r="V47" i="69"/>
  <c r="V14" i="69"/>
  <c r="U14" i="69"/>
  <c r="Y16" i="69" s="1"/>
  <c r="U47" i="69"/>
  <c r="AB9" i="69"/>
  <c r="AE9" i="69" s="1"/>
  <c r="N47" i="69"/>
  <c r="N14" i="69"/>
  <c r="I47" i="69"/>
  <c r="I14" i="69"/>
  <c r="H47" i="69"/>
  <c r="H14" i="69"/>
  <c r="G47" i="69"/>
  <c r="G14" i="69"/>
  <c r="F47" i="69"/>
  <c r="F14" i="69"/>
  <c r="E14" i="69"/>
  <c r="E47" i="69"/>
  <c r="K9" i="69"/>
  <c r="D47" i="69"/>
  <c r="D14" i="69"/>
  <c r="K70" i="85"/>
  <c r="M70" i="85" s="1"/>
  <c r="O70" i="85" s="1"/>
  <c r="AG70" i="85" s="1"/>
  <c r="AH70" i="85" s="1"/>
  <c r="J129" i="85"/>
  <c r="G146" i="85"/>
  <c r="M7" i="83"/>
  <c r="K70" i="97"/>
  <c r="M70" i="97" s="1"/>
  <c r="O70" i="97" s="1"/>
  <c r="AG70" i="97" s="1"/>
  <c r="AH70" i="97" s="1"/>
  <c r="J129" i="97"/>
  <c r="M7" i="98"/>
  <c r="G146" i="97"/>
  <c r="K70" i="79"/>
  <c r="M70" i="79" s="1"/>
  <c r="O70" i="79" s="1"/>
  <c r="AG70" i="79" s="1"/>
  <c r="AH70" i="79" s="1"/>
  <c r="J129" i="79"/>
  <c r="G146" i="79"/>
  <c r="M7" i="80"/>
  <c r="K70" i="22"/>
  <c r="M70" i="22" s="1"/>
  <c r="O70" i="22" s="1"/>
  <c r="AG70" i="22" s="1"/>
  <c r="AH70" i="22" s="1"/>
  <c r="J129" i="22"/>
  <c r="G146" i="22"/>
  <c r="M7" i="36"/>
  <c r="K69" i="85"/>
  <c r="M69" i="85" s="1"/>
  <c r="O69" i="85" s="1"/>
  <c r="AG69" i="85" s="1"/>
  <c r="AH69" i="85" s="1"/>
  <c r="J128" i="85"/>
  <c r="G145" i="85"/>
  <c r="M6" i="83"/>
  <c r="K69" i="79"/>
  <c r="M69" i="79" s="1"/>
  <c r="O69" i="79" s="1"/>
  <c r="AG69" i="79" s="1"/>
  <c r="AH69" i="79" s="1"/>
  <c r="J128" i="79"/>
  <c r="G145" i="79"/>
  <c r="M6" i="80"/>
  <c r="K69" i="75"/>
  <c r="M69" i="75" s="1"/>
  <c r="O69" i="75" s="1"/>
  <c r="AG69" i="75" s="1"/>
  <c r="AH69" i="75" s="1"/>
  <c r="J128" i="75"/>
  <c r="G145" i="75"/>
  <c r="M6" i="77"/>
  <c r="K69" i="22"/>
  <c r="M69" i="22" s="1"/>
  <c r="O69" i="22" s="1"/>
  <c r="AG69" i="22" s="1"/>
  <c r="AH69" i="22" s="1"/>
  <c r="J128" i="22"/>
  <c r="G145" i="22"/>
  <c r="M6" i="36"/>
  <c r="J127" i="85"/>
  <c r="G144" i="85"/>
  <c r="M5" i="83"/>
  <c r="K68" i="85"/>
  <c r="M68" i="85" s="1"/>
  <c r="O68" i="85" s="1"/>
  <c r="AG68" i="85" s="1"/>
  <c r="AH68" i="85" s="1"/>
  <c r="AD68" i="79"/>
  <c r="AC45" i="90"/>
  <c r="AC11" i="81"/>
  <c r="AB68" i="79"/>
  <c r="AF68" i="79"/>
  <c r="K68" i="79"/>
  <c r="M68" i="79" s="1"/>
  <c r="O68" i="79" s="1"/>
  <c r="J127" i="79"/>
  <c r="G144" i="79"/>
  <c r="M5" i="80"/>
  <c r="K68" i="22"/>
  <c r="M68" i="22" s="1"/>
  <c r="O68" i="22" s="1"/>
  <c r="AG68" i="22" s="1"/>
  <c r="AH68" i="22" s="1"/>
  <c r="J127" i="22"/>
  <c r="G144" i="22"/>
  <c r="M5" i="36"/>
  <c r="J126" i="85"/>
  <c r="G143" i="85"/>
  <c r="M4" i="83"/>
  <c r="K67" i="85"/>
  <c r="M67" i="85" s="1"/>
  <c r="O67" i="85" s="1"/>
  <c r="AG67" i="85" s="1"/>
  <c r="AH67" i="85" s="1"/>
  <c r="AE105" i="79"/>
  <c r="AD67" i="79"/>
  <c r="AC10" i="81"/>
  <c r="AC44" i="90"/>
  <c r="AB67" i="79"/>
  <c r="AB105" i="79" s="1"/>
  <c r="N105" i="79"/>
  <c r="AA10" i="81"/>
  <c r="AA44" i="90"/>
  <c r="Y44" i="90"/>
  <c r="Y10" i="81"/>
  <c r="X44" i="90"/>
  <c r="X10" i="81"/>
  <c r="W10" i="81"/>
  <c r="W44" i="90"/>
  <c r="V10" i="81"/>
  <c r="V44" i="90"/>
  <c r="AF67" i="79"/>
  <c r="U105" i="79"/>
  <c r="I10" i="81"/>
  <c r="I44" i="90"/>
  <c r="H10" i="81"/>
  <c r="H44" i="90"/>
  <c r="G10" i="81"/>
  <c r="G44" i="90"/>
  <c r="F10" i="81"/>
  <c r="F44" i="90"/>
  <c r="E10" i="81"/>
  <c r="E44" i="90"/>
  <c r="K67" i="79"/>
  <c r="M67" i="79" s="1"/>
  <c r="O67" i="79" s="1"/>
  <c r="D105" i="79"/>
  <c r="J126" i="79"/>
  <c r="G143" i="79"/>
  <c r="M4" i="80"/>
  <c r="K67" i="75"/>
  <c r="M67" i="75" s="1"/>
  <c r="O67" i="75" s="1"/>
  <c r="AG67" i="75" s="1"/>
  <c r="AH67" i="75" s="1"/>
  <c r="J126" i="75"/>
  <c r="G143" i="75"/>
  <c r="M4" i="77"/>
  <c r="N67" i="22"/>
  <c r="AB67" i="22" s="1"/>
  <c r="AF67" i="22" s="1"/>
  <c r="D67" i="22"/>
  <c r="AE71" i="85"/>
  <c r="AD66" i="85"/>
  <c r="AD71" i="85" s="1"/>
  <c r="AB66" i="85"/>
  <c r="AB71" i="85" s="1"/>
  <c r="N71" i="85"/>
  <c r="AF66" i="85"/>
  <c r="U71" i="85"/>
  <c r="Y73" i="85" s="1"/>
  <c r="D71" i="85"/>
  <c r="J125" i="85"/>
  <c r="G142" i="85"/>
  <c r="G147" i="85" s="1"/>
  <c r="M3" i="83"/>
  <c r="M9" i="83" s="1"/>
  <c r="N23" i="36" s="1"/>
  <c r="K66" i="85"/>
  <c r="AD66" i="97"/>
  <c r="AD71" i="97" s="1"/>
  <c r="AE71" i="97"/>
  <c r="AB66" i="97"/>
  <c r="AB71" i="97" s="1"/>
  <c r="N71" i="97"/>
  <c r="U71" i="97"/>
  <c r="Y73" i="97" s="1"/>
  <c r="AF66" i="97"/>
  <c r="J125" i="97"/>
  <c r="M3" i="98"/>
  <c r="M9" i="98" s="1"/>
  <c r="N22" i="36" s="1"/>
  <c r="D71" i="97"/>
  <c r="K66" i="97"/>
  <c r="G142" i="97"/>
  <c r="G147" i="97" s="1"/>
  <c r="AE71" i="79"/>
  <c r="AD66" i="79"/>
  <c r="AD71" i="79" s="1"/>
  <c r="AC71" i="79"/>
  <c r="AC104" i="79"/>
  <c r="AB66" i="79"/>
  <c r="AB71" i="79" s="1"/>
  <c r="N71" i="79"/>
  <c r="AA71" i="79"/>
  <c r="Y71" i="79"/>
  <c r="X71" i="79"/>
  <c r="W71" i="79"/>
  <c r="V71" i="79"/>
  <c r="AF66" i="79"/>
  <c r="U71" i="79"/>
  <c r="Y73" i="79" s="1"/>
  <c r="I71" i="79"/>
  <c r="H71" i="79"/>
  <c r="G71" i="79"/>
  <c r="F71" i="79"/>
  <c r="E71" i="79"/>
  <c r="K66" i="79"/>
  <c r="D71" i="79"/>
  <c r="J125" i="79"/>
  <c r="G142" i="79"/>
  <c r="G147" i="79" s="1"/>
  <c r="M3" i="80"/>
  <c r="M9" i="80" s="1"/>
  <c r="N21" i="36" s="1"/>
  <c r="AE66" i="22"/>
  <c r="D394" i="61"/>
  <c r="Q393" i="61"/>
  <c r="AC66" i="22"/>
  <c r="AC71" i="22" s="1"/>
  <c r="P393" i="61"/>
  <c r="N66" i="22"/>
  <c r="AA66" i="22"/>
  <c r="AA71" i="22" s="1"/>
  <c r="O393" i="61"/>
  <c r="N393" i="61"/>
  <c r="Y66" i="22"/>
  <c r="Y71" i="22" s="1"/>
  <c r="X66" i="22"/>
  <c r="X71" i="22" s="1"/>
  <c r="M393" i="61"/>
  <c r="W66" i="22"/>
  <c r="W71" i="22" s="1"/>
  <c r="L393" i="61"/>
  <c r="V66" i="22"/>
  <c r="V71" i="22" s="1"/>
  <c r="K393" i="61"/>
  <c r="J393" i="61"/>
  <c r="U66" i="22"/>
  <c r="I66" i="22"/>
  <c r="I71" i="22" s="1"/>
  <c r="I393" i="61"/>
  <c r="H66" i="22"/>
  <c r="H71" i="22" s="1"/>
  <c r="H393" i="61"/>
  <c r="G66" i="22"/>
  <c r="G71" i="22" s="1"/>
  <c r="G393" i="61"/>
  <c r="F393" i="61"/>
  <c r="F66" i="22"/>
  <c r="F71" i="22" s="1"/>
  <c r="E66" i="22"/>
  <c r="E71" i="22" s="1"/>
  <c r="E393" i="61"/>
  <c r="D66" i="22"/>
  <c r="D393" i="61"/>
  <c r="K32" i="85"/>
  <c r="M32" i="85" s="1"/>
  <c r="O32" i="85" s="1"/>
  <c r="AG32" i="85" s="1"/>
  <c r="AH32" i="85" s="1"/>
  <c r="H129" i="85"/>
  <c r="F146" i="85"/>
  <c r="E7" i="83"/>
  <c r="I52" i="79"/>
  <c r="I107" i="79"/>
  <c r="H52" i="79"/>
  <c r="H107" i="79"/>
  <c r="G52" i="79"/>
  <c r="G107" i="79"/>
  <c r="F52" i="79"/>
  <c r="F107" i="79"/>
  <c r="E52" i="79"/>
  <c r="E107" i="79"/>
  <c r="K50" i="79"/>
  <c r="D52" i="79"/>
  <c r="D107" i="79"/>
  <c r="G128" i="79"/>
  <c r="G131" i="79" s="1"/>
  <c r="G126" i="85"/>
  <c r="G131" i="85" s="1"/>
  <c r="K48" i="85"/>
  <c r="D52" i="85"/>
  <c r="F12" i="64"/>
  <c r="F13" i="64"/>
  <c r="I7" i="64"/>
  <c r="I6" i="64"/>
  <c r="I5" i="64"/>
  <c r="I4" i="64"/>
  <c r="F9" i="64"/>
  <c r="I9" i="64" s="1"/>
  <c r="I3" i="64"/>
  <c r="L5" i="70"/>
  <c r="L6" i="70" s="1"/>
  <c r="C25" i="56"/>
  <c r="L129" i="22" s="1"/>
  <c r="K5" i="70"/>
  <c r="K6" i="70" s="1"/>
  <c r="C16" i="56"/>
  <c r="K129" i="22" s="1"/>
  <c r="J5" i="70"/>
  <c r="J6" i="70" s="1"/>
  <c r="C24" i="56"/>
  <c r="L128" i="22" s="1"/>
  <c r="C15" i="56"/>
  <c r="K128" i="22" s="1"/>
  <c r="I5" i="70"/>
  <c r="I6" i="70" s="1"/>
  <c r="H5" i="70"/>
  <c r="H6" i="70" s="1"/>
  <c r="N4" i="70"/>
  <c r="C23" i="56"/>
  <c r="C14" i="56"/>
  <c r="M4" i="70"/>
  <c r="M5" i="70" s="1"/>
  <c r="M6" i="70" s="1"/>
  <c r="G5" i="70"/>
  <c r="G6" i="70" s="1"/>
  <c r="N5" i="70"/>
  <c r="N6" i="70" s="1"/>
  <c r="E79" i="62"/>
  <c r="I146" i="85" s="1"/>
  <c r="F7" i="83" s="1"/>
  <c r="D79" i="62"/>
  <c r="D78" i="62"/>
  <c r="E78" i="62"/>
  <c r="I145" i="85" s="1"/>
  <c r="F6" i="83" s="1"/>
  <c r="E77" i="62"/>
  <c r="I144" i="85" s="1"/>
  <c r="F5" i="83" s="1"/>
  <c r="D77" i="62"/>
  <c r="E76" i="62"/>
  <c r="I143" i="85" s="1"/>
  <c r="F4" i="83" s="1"/>
  <c r="D76" i="62"/>
  <c r="D75" i="62"/>
  <c r="E75" i="62"/>
  <c r="I142" i="85" s="1"/>
  <c r="D73" i="62"/>
  <c r="E73" i="62"/>
  <c r="I146" i="97" s="1"/>
  <c r="F7" i="98" s="1"/>
  <c r="D72" i="62"/>
  <c r="E72" i="62"/>
  <c r="J52" i="62"/>
  <c r="C7" i="56"/>
  <c r="D129" i="22" s="1"/>
  <c r="D71" i="62"/>
  <c r="E71" i="62"/>
  <c r="I145" i="97" s="1"/>
  <c r="F6" i="98" s="1"/>
  <c r="E69" i="62"/>
  <c r="D69" i="62"/>
  <c r="D70" i="62"/>
  <c r="E70" i="62"/>
  <c r="I145" i="79" s="1"/>
  <c r="F6" i="80" s="1"/>
  <c r="J42" i="62"/>
  <c r="C6" i="56"/>
  <c r="D128" i="22" s="1"/>
  <c r="I45" i="62"/>
  <c r="J45" i="62" s="1"/>
  <c r="J41" i="62"/>
  <c r="E68" i="62"/>
  <c r="I144" i="97" s="1"/>
  <c r="F5" i="98" s="1"/>
  <c r="D68" i="62"/>
  <c r="E67" i="62"/>
  <c r="D67" i="62"/>
  <c r="J33" i="62"/>
  <c r="C5" i="56"/>
  <c r="D127" i="22" s="1"/>
  <c r="J32" i="62"/>
  <c r="I36" i="62"/>
  <c r="J36" i="62" s="1"/>
  <c r="D66" i="62"/>
  <c r="E66" i="62"/>
  <c r="I143" i="97" s="1"/>
  <c r="F4" i="98" s="1"/>
  <c r="D64" i="62"/>
  <c r="E64" i="62"/>
  <c r="E65" i="62"/>
  <c r="I143" i="79" s="1"/>
  <c r="F4" i="80" s="1"/>
  <c r="D65" i="62"/>
  <c r="C4" i="56"/>
  <c r="D126" i="22" s="1"/>
  <c r="J24" i="62"/>
  <c r="J23" i="62"/>
  <c r="I27" i="62"/>
  <c r="J27" i="62" s="1"/>
  <c r="E63" i="62"/>
  <c r="I142" i="97" s="1"/>
  <c r="D63" i="62"/>
  <c r="E62" i="62"/>
  <c r="D62" i="62"/>
  <c r="C3" i="56"/>
  <c r="J14" i="62"/>
  <c r="I17" i="62"/>
  <c r="J17" i="62" s="1"/>
  <c r="J13" i="62"/>
  <c r="I2" i="62"/>
  <c r="I6" i="62" s="1"/>
  <c r="I7" i="62" s="1"/>
  <c r="C6" i="62"/>
  <c r="C7" i="62" s="1"/>
  <c r="J32" i="36"/>
  <c r="J33" i="36" s="1"/>
  <c r="E36" i="39"/>
  <c r="E45" i="39" s="1"/>
  <c r="E12" i="91"/>
  <c r="K7" i="88"/>
  <c r="Y7" i="88" s="1"/>
  <c r="K7" i="39"/>
  <c r="Y7" i="39" s="1"/>
  <c r="Y102" i="22"/>
  <c r="G7" i="88"/>
  <c r="V7" i="88" s="1"/>
  <c r="V102" i="22"/>
  <c r="G7" i="39"/>
  <c r="V7" i="39" s="1"/>
  <c r="D7" i="39"/>
  <c r="D7" i="88"/>
  <c r="D6" i="88"/>
  <c r="D6" i="39"/>
  <c r="N3" i="39"/>
  <c r="AD3" i="39" s="1"/>
  <c r="N3" i="88"/>
  <c r="AD3" i="88" s="1"/>
  <c r="AD98" i="22"/>
  <c r="K51" i="22"/>
  <c r="M51" i="22" s="1"/>
  <c r="O51" i="22" s="1"/>
  <c r="AG51" i="22" s="1"/>
  <c r="AH51" i="22" s="1"/>
  <c r="G129" i="22"/>
  <c r="K50" i="22"/>
  <c r="M50" i="22" s="1"/>
  <c r="O50" i="22" s="1"/>
  <c r="G128" i="22"/>
  <c r="K49" i="22"/>
  <c r="M49" i="22" s="1"/>
  <c r="O49" i="22" s="1"/>
  <c r="G127" i="22"/>
  <c r="G126" i="22"/>
  <c r="K48" i="22"/>
  <c r="M48" i="22" s="1"/>
  <c r="O48" i="22" s="1"/>
  <c r="AG48" i="22" s="1"/>
  <c r="AH48" i="22" s="1"/>
  <c r="AD47" i="22"/>
  <c r="AD52" i="22" s="1"/>
  <c r="AE52" i="22"/>
  <c r="U52" i="22"/>
  <c r="Y54" i="22" s="1"/>
  <c r="AB47" i="22"/>
  <c r="N52" i="22"/>
  <c r="D52" i="22"/>
  <c r="K47" i="22"/>
  <c r="G125" i="22"/>
  <c r="K32" i="22"/>
  <c r="M32" i="22" s="1"/>
  <c r="O32" i="22" s="1"/>
  <c r="H129" i="22"/>
  <c r="F146" i="22"/>
  <c r="F145" i="22"/>
  <c r="H128" i="22"/>
  <c r="K31" i="22"/>
  <c r="M31" i="22" s="1"/>
  <c r="O31" i="22" s="1"/>
  <c r="H127" i="22"/>
  <c r="K30" i="22"/>
  <c r="M30" i="22" s="1"/>
  <c r="O30" i="22" s="1"/>
  <c r="AG30" i="22" s="1"/>
  <c r="AH30" i="22" s="1"/>
  <c r="F144" i="22"/>
  <c r="K29" i="22"/>
  <c r="M29" i="22" s="1"/>
  <c r="O29" i="22" s="1"/>
  <c r="H126" i="22"/>
  <c r="F143" i="22"/>
  <c r="AE33" i="22"/>
  <c r="AD28" i="22"/>
  <c r="AD33" i="22" s="1"/>
  <c r="U33" i="22"/>
  <c r="Y35" i="22" s="1"/>
  <c r="AB28" i="22"/>
  <c r="N33" i="22"/>
  <c r="F142" i="22"/>
  <c r="F147" i="22" s="1"/>
  <c r="H125" i="22"/>
  <c r="K28" i="22"/>
  <c r="D33" i="22"/>
  <c r="AB13" i="22"/>
  <c r="Z13" i="22"/>
  <c r="L108" i="22"/>
  <c r="L13" i="79"/>
  <c r="AD13" i="22"/>
  <c r="J13" i="79"/>
  <c r="J108" i="22"/>
  <c r="K13" i="22"/>
  <c r="M13" i="22" s="1"/>
  <c r="O13" i="22" s="1"/>
  <c r="AC12" i="39"/>
  <c r="AC12" i="90"/>
  <c r="AB12" i="22"/>
  <c r="Z12" i="22"/>
  <c r="L12" i="79"/>
  <c r="L107" i="22"/>
  <c r="J12" i="79"/>
  <c r="AD12" i="22"/>
  <c r="J107" i="22"/>
  <c r="K12" i="22"/>
  <c r="M12" i="22" s="1"/>
  <c r="O12" i="22" s="1"/>
  <c r="AB11" i="22"/>
  <c r="Z11" i="22"/>
  <c r="L106" i="22"/>
  <c r="L11" i="79"/>
  <c r="J11" i="79"/>
  <c r="AD11" i="22"/>
  <c r="J106" i="22"/>
  <c r="K11" i="22"/>
  <c r="M11" i="22" s="1"/>
  <c r="O11" i="22" s="1"/>
  <c r="AB10" i="22"/>
  <c r="Z10" i="22"/>
  <c r="L10" i="79"/>
  <c r="L105" i="22"/>
  <c r="J10" i="79"/>
  <c r="J105" i="22"/>
  <c r="AD10" i="22"/>
  <c r="K10" i="22"/>
  <c r="M10" i="22" s="1"/>
  <c r="O10" i="22" s="1"/>
  <c r="AE14" i="22"/>
  <c r="AC104" i="22"/>
  <c r="AC14" i="22"/>
  <c r="AA14" i="22"/>
  <c r="Y14" i="22"/>
  <c r="X14" i="22"/>
  <c r="W14" i="22"/>
  <c r="V14" i="22"/>
  <c r="U14" i="22"/>
  <c r="Y16" i="22" s="1"/>
  <c r="AB9" i="22"/>
  <c r="N14" i="22"/>
  <c r="L9" i="79"/>
  <c r="Z9" i="22"/>
  <c r="AF9" i="22" s="1"/>
  <c r="L14" i="22"/>
  <c r="L104" i="22"/>
  <c r="J14" i="22"/>
  <c r="J104" i="22"/>
  <c r="J9" i="79"/>
  <c r="K9" i="79" s="1"/>
  <c r="AD9" i="22"/>
  <c r="AD14" i="22" s="1"/>
  <c r="I14" i="22"/>
  <c r="H14" i="22"/>
  <c r="G14" i="22"/>
  <c r="F14" i="22"/>
  <c r="E14" i="22"/>
  <c r="K9" i="22"/>
  <c r="D14" i="22"/>
  <c r="AF29" i="86"/>
  <c r="AG29" i="86" s="1"/>
  <c r="AH29" i="86" s="1"/>
  <c r="AF13" i="86"/>
  <c r="AG13" i="86" s="1"/>
  <c r="AH13" i="86" s="1"/>
  <c r="AB108" i="86"/>
  <c r="AF12" i="86"/>
  <c r="AG12" i="86" s="1"/>
  <c r="AH12" i="86" s="1"/>
  <c r="AB107" i="86"/>
  <c r="AF11" i="86"/>
  <c r="AG11" i="86" s="1"/>
  <c r="AH11" i="86" s="1"/>
  <c r="AB106" i="86"/>
  <c r="AF10" i="86"/>
  <c r="AG10" i="86" s="1"/>
  <c r="AH10" i="86" s="1"/>
  <c r="AB105" i="86"/>
  <c r="AF49" i="85"/>
  <c r="AG49" i="85" s="1"/>
  <c r="AH49" i="85" s="1"/>
  <c r="AG48" i="97"/>
  <c r="AH48" i="97" s="1"/>
  <c r="AG88" i="97"/>
  <c r="AH88" i="97" s="1"/>
  <c r="AG86" i="97"/>
  <c r="AH86" i="97" s="1"/>
  <c r="AF29" i="97"/>
  <c r="AG29" i="97" s="1"/>
  <c r="AH29" i="97" s="1"/>
  <c r="AE33" i="97"/>
  <c r="AD33" i="97"/>
  <c r="AC33" i="97"/>
  <c r="AA33" i="97"/>
  <c r="Y33" i="97"/>
  <c r="X33" i="97"/>
  <c r="W33" i="97"/>
  <c r="V33" i="97"/>
  <c r="I33" i="97"/>
  <c r="H33" i="97"/>
  <c r="AC108" i="97"/>
  <c r="AA108" i="97"/>
  <c r="Y108" i="97"/>
  <c r="X108" i="97"/>
  <c r="W108" i="97"/>
  <c r="V108" i="97"/>
  <c r="I108" i="97"/>
  <c r="H108" i="97"/>
  <c r="G108" i="97"/>
  <c r="F108" i="97"/>
  <c r="L46" i="81"/>
  <c r="K46" i="81"/>
  <c r="AG88" i="79"/>
  <c r="AH88" i="79" s="1"/>
  <c r="AG86" i="79"/>
  <c r="AH86" i="79" s="1"/>
  <c r="AC108" i="79"/>
  <c r="AA108" i="79"/>
  <c r="Y108" i="79"/>
  <c r="X108" i="79"/>
  <c r="W108" i="79"/>
  <c r="V108" i="79"/>
  <c r="I108" i="79"/>
  <c r="H108" i="79"/>
  <c r="G108" i="79"/>
  <c r="F108" i="79"/>
  <c r="AF49" i="79"/>
  <c r="AG49" i="79" s="1"/>
  <c r="AH49" i="79" s="1"/>
  <c r="AF48" i="79"/>
  <c r="AG48" i="79" s="1"/>
  <c r="AH48" i="79" s="1"/>
  <c r="AF47" i="79"/>
  <c r="AF32" i="79"/>
  <c r="AG32" i="79" s="1"/>
  <c r="AH32" i="79" s="1"/>
  <c r="AF31" i="79"/>
  <c r="AG31" i="79" s="1"/>
  <c r="AH31" i="79" s="1"/>
  <c r="AF30" i="79"/>
  <c r="AG30" i="79" s="1"/>
  <c r="AH30" i="79" s="1"/>
  <c r="AF29" i="79"/>
  <c r="AG29" i="79" s="1"/>
  <c r="AH29" i="79" s="1"/>
  <c r="AG89" i="75"/>
  <c r="AH89" i="75" s="1"/>
  <c r="AG87" i="75"/>
  <c r="AH87" i="75" s="1"/>
  <c r="AF70" i="75"/>
  <c r="AG70" i="75" s="1"/>
  <c r="AH70" i="75" s="1"/>
  <c r="AF68" i="75"/>
  <c r="AG68" i="75" s="1"/>
  <c r="AH68" i="75" s="1"/>
  <c r="AE71" i="75"/>
  <c r="AD71" i="75"/>
  <c r="AC71" i="75"/>
  <c r="AA71" i="75"/>
  <c r="Y71" i="75"/>
  <c r="X71" i="75"/>
  <c r="W71" i="75"/>
  <c r="V71" i="75"/>
  <c r="I71" i="75"/>
  <c r="H71" i="75"/>
  <c r="G71" i="75"/>
  <c r="F71" i="75"/>
  <c r="E71" i="75"/>
  <c r="AG51" i="75"/>
  <c r="AH51" i="75" s="1"/>
  <c r="AF49" i="75"/>
  <c r="AG49" i="75" s="1"/>
  <c r="AH49" i="75" s="1"/>
  <c r="AF48" i="75"/>
  <c r="AG48" i="75" s="1"/>
  <c r="AH48" i="75" s="1"/>
  <c r="AF32" i="75"/>
  <c r="AG32" i="75" s="1"/>
  <c r="AH32" i="75" s="1"/>
  <c r="AF31" i="75"/>
  <c r="AG31" i="75" s="1"/>
  <c r="AH31" i="75" s="1"/>
  <c r="AF30" i="75"/>
  <c r="AG30" i="75" s="1"/>
  <c r="AH30" i="75" s="1"/>
  <c r="AF29" i="75"/>
  <c r="AG29" i="75" s="1"/>
  <c r="AH29" i="75" s="1"/>
  <c r="V16" i="89"/>
  <c r="W16" i="89" s="1"/>
  <c r="AE32" i="69"/>
  <c r="AF32" i="69" s="1"/>
  <c r="AG32" i="69" s="1"/>
  <c r="AE31" i="69"/>
  <c r="AF31" i="69" s="1"/>
  <c r="AG31" i="69" s="1"/>
  <c r="AE30" i="69"/>
  <c r="AF30" i="69" s="1"/>
  <c r="AG30" i="69" s="1"/>
  <c r="AE29" i="69"/>
  <c r="AF29" i="69" s="1"/>
  <c r="AG29" i="69" s="1"/>
  <c r="E51" i="69"/>
  <c r="AA50" i="69"/>
  <c r="Y50" i="69"/>
  <c r="X50" i="69"/>
  <c r="W50" i="69"/>
  <c r="V50" i="69"/>
  <c r="I50" i="69"/>
  <c r="H50" i="69"/>
  <c r="G50" i="69"/>
  <c r="F50" i="69"/>
  <c r="E50" i="69"/>
  <c r="AA49" i="69"/>
  <c r="Y49" i="69"/>
  <c r="X49" i="69"/>
  <c r="W49" i="69"/>
  <c r="V49" i="69"/>
  <c r="I49" i="69"/>
  <c r="H49" i="69"/>
  <c r="G49" i="69"/>
  <c r="F49" i="69"/>
  <c r="E49" i="69"/>
  <c r="AA48" i="69"/>
  <c r="Y48" i="69"/>
  <c r="X48" i="69"/>
  <c r="W48" i="69"/>
  <c r="V48" i="69"/>
  <c r="I48" i="69"/>
  <c r="H48" i="69"/>
  <c r="G48" i="69"/>
  <c r="F48" i="69"/>
  <c r="E48" i="69"/>
  <c r="AC71" i="85"/>
  <c r="AA71" i="85"/>
  <c r="Y71" i="85"/>
  <c r="X71" i="85"/>
  <c r="W71" i="85"/>
  <c r="V71" i="85"/>
  <c r="I71" i="85"/>
  <c r="H71" i="85"/>
  <c r="G71" i="85"/>
  <c r="F71" i="85"/>
  <c r="E71" i="85"/>
  <c r="AF32" i="97"/>
  <c r="AG32" i="97" s="1"/>
  <c r="AH32" i="97" s="1"/>
  <c r="AG86" i="85"/>
  <c r="AH86" i="85" s="1"/>
  <c r="AF51" i="85"/>
  <c r="AG30" i="85"/>
  <c r="AH30" i="85" s="1"/>
  <c r="AF69" i="97"/>
  <c r="AF31" i="97"/>
  <c r="AG31" i="97" s="1"/>
  <c r="AH31" i="97" s="1"/>
  <c r="AC106" i="22"/>
  <c r="AF32" i="22"/>
  <c r="AC108" i="22"/>
  <c r="AC105" i="22"/>
  <c r="AF70" i="86"/>
  <c r="AF48" i="86"/>
  <c r="AG48" i="86" s="1"/>
  <c r="AH48" i="86" s="1"/>
  <c r="AF32" i="86"/>
  <c r="AG32" i="86" s="1"/>
  <c r="AH32" i="86" s="1"/>
  <c r="AF31" i="86"/>
  <c r="AG31" i="86" s="1"/>
  <c r="AH31" i="86" s="1"/>
  <c r="AG89" i="85"/>
  <c r="AH89" i="85" s="1"/>
  <c r="AG87" i="85"/>
  <c r="AH87" i="85" s="1"/>
  <c r="AF29" i="85"/>
  <c r="AF67" i="97"/>
  <c r="AF50" i="22"/>
  <c r="AF49" i="22"/>
  <c r="AF31" i="22"/>
  <c r="AF29" i="22"/>
  <c r="AG88" i="86"/>
  <c r="AH88" i="86" s="1"/>
  <c r="AG86" i="86"/>
  <c r="AH86" i="86" s="1"/>
  <c r="AF69" i="86"/>
  <c r="AF30" i="86"/>
  <c r="AG30" i="86" s="1"/>
  <c r="AH30" i="86" s="1"/>
  <c r="AG88" i="85"/>
  <c r="AH88" i="85" s="1"/>
  <c r="AF50" i="85"/>
  <c r="AF47" i="85"/>
  <c r="AF49" i="97"/>
  <c r="AG49" i="97" s="1"/>
  <c r="AH49" i="97" s="1"/>
  <c r="L9" i="87" l="1"/>
  <c r="N8" i="87"/>
  <c r="O8" i="87" s="1"/>
  <c r="P8" i="87" s="1"/>
  <c r="E45" i="88"/>
  <c r="E83" i="91"/>
  <c r="AD13" i="88"/>
  <c r="AD97" i="90"/>
  <c r="AD12" i="88"/>
  <c r="AD96" i="90"/>
  <c r="AD11" i="88"/>
  <c r="AD95" i="90"/>
  <c r="AD10" i="88"/>
  <c r="AD94" i="90"/>
  <c r="AD109" i="86"/>
  <c r="AD98" i="90" s="1"/>
  <c r="AD93" i="90"/>
  <c r="AD9" i="88"/>
  <c r="AD14" i="88" s="1"/>
  <c r="AF90" i="86"/>
  <c r="O85" i="86"/>
  <c r="M90" i="86"/>
  <c r="J34" i="88"/>
  <c r="J81" i="91"/>
  <c r="J33" i="88"/>
  <c r="J80" i="91"/>
  <c r="J5" i="87"/>
  <c r="N11" i="88"/>
  <c r="N95" i="90"/>
  <c r="J32" i="88"/>
  <c r="J79" i="91"/>
  <c r="I5" i="87"/>
  <c r="N5" i="87" s="1"/>
  <c r="O5" i="87" s="1"/>
  <c r="P5" i="87" s="1"/>
  <c r="D11" i="88"/>
  <c r="K11" i="88" s="1"/>
  <c r="M11" i="88" s="1"/>
  <c r="O11" i="88" s="1"/>
  <c r="D95" i="90"/>
  <c r="K106" i="86"/>
  <c r="D144" i="86"/>
  <c r="L144" i="86" s="1"/>
  <c r="M144" i="86" s="1"/>
  <c r="AE10" i="88"/>
  <c r="AE94" i="90"/>
  <c r="U10" i="88"/>
  <c r="AF10" i="88" s="1"/>
  <c r="U94" i="90"/>
  <c r="AF105" i="86"/>
  <c r="J4" i="87"/>
  <c r="N10" i="88"/>
  <c r="N94" i="90"/>
  <c r="J31" i="88"/>
  <c r="J78" i="91"/>
  <c r="I4" i="87"/>
  <c r="N4" i="87" s="1"/>
  <c r="O4" i="87" s="1"/>
  <c r="P4" i="87" s="1"/>
  <c r="K105" i="86"/>
  <c r="D143" i="86"/>
  <c r="L143" i="86" s="1"/>
  <c r="M143" i="86" s="1"/>
  <c r="D10" i="88"/>
  <c r="K10" i="88" s="1"/>
  <c r="M10" i="88" s="1"/>
  <c r="O10" i="88" s="1"/>
  <c r="D94" i="90"/>
  <c r="AE109" i="86"/>
  <c r="AE98" i="90" s="1"/>
  <c r="AE9" i="88"/>
  <c r="AE14" i="88" s="1"/>
  <c r="AE93" i="90"/>
  <c r="AA109" i="86"/>
  <c r="AA98" i="90" s="1"/>
  <c r="AA93" i="90"/>
  <c r="AA9" i="88"/>
  <c r="AA14" i="88" s="1"/>
  <c r="Z109" i="86"/>
  <c r="Z98" i="90" s="1"/>
  <c r="Z9" i="88"/>
  <c r="Z14" i="88" s="1"/>
  <c r="Z93" i="90"/>
  <c r="Y109" i="86"/>
  <c r="Y98" i="90" s="1"/>
  <c r="Y9" i="88"/>
  <c r="Y14" i="88" s="1"/>
  <c r="Y93" i="90"/>
  <c r="X109" i="86"/>
  <c r="X98" i="90" s="1"/>
  <c r="X9" i="88"/>
  <c r="X14" i="88" s="1"/>
  <c r="X93" i="90"/>
  <c r="W109" i="86"/>
  <c r="W98" i="90" s="1"/>
  <c r="W93" i="90"/>
  <c r="W9" i="88"/>
  <c r="W14" i="88" s="1"/>
  <c r="V109" i="86"/>
  <c r="V98" i="90" s="1"/>
  <c r="V9" i="88"/>
  <c r="V93" i="90"/>
  <c r="U109" i="86"/>
  <c r="U9" i="88"/>
  <c r="U93" i="90"/>
  <c r="AF71" i="86"/>
  <c r="N109" i="86"/>
  <c r="N98" i="90" s="1"/>
  <c r="J3" i="87"/>
  <c r="N9" i="88"/>
  <c r="N93" i="90"/>
  <c r="I109" i="86"/>
  <c r="I98" i="90" s="1"/>
  <c r="I93" i="90"/>
  <c r="I9" i="88"/>
  <c r="H9" i="88"/>
  <c r="H93" i="90"/>
  <c r="H109" i="86"/>
  <c r="H98" i="90" s="1"/>
  <c r="G109" i="86"/>
  <c r="G98" i="90" s="1"/>
  <c r="G9" i="88"/>
  <c r="G93" i="90"/>
  <c r="F9" i="88"/>
  <c r="F109" i="86"/>
  <c r="F98" i="90" s="1"/>
  <c r="F93" i="90"/>
  <c r="E9" i="88"/>
  <c r="E93" i="90"/>
  <c r="E109" i="86"/>
  <c r="E98" i="90" s="1"/>
  <c r="K104" i="86"/>
  <c r="D109" i="86"/>
  <c r="D98" i="90" s="1"/>
  <c r="D142" i="86"/>
  <c r="D9" i="88"/>
  <c r="D93" i="90"/>
  <c r="I3" i="87"/>
  <c r="J131" i="86"/>
  <c r="J83" i="91" s="1"/>
  <c r="J30" i="88"/>
  <c r="J77" i="91"/>
  <c r="K71" i="86"/>
  <c r="M66" i="86"/>
  <c r="AE13" i="88"/>
  <c r="AE97" i="90"/>
  <c r="AF108" i="86"/>
  <c r="U97" i="90"/>
  <c r="U13" i="88"/>
  <c r="J7" i="87"/>
  <c r="N97" i="90"/>
  <c r="N13" i="88"/>
  <c r="K108" i="86"/>
  <c r="D146" i="86"/>
  <c r="D13" i="88"/>
  <c r="K13" i="88" s="1"/>
  <c r="M13" i="88" s="1"/>
  <c r="O13" i="88" s="1"/>
  <c r="I7" i="87"/>
  <c r="N7" i="87" s="1"/>
  <c r="D97" i="90"/>
  <c r="G34" i="88"/>
  <c r="J146" i="86"/>
  <c r="D7" i="87"/>
  <c r="H7" i="87" s="1"/>
  <c r="O7" i="87" s="1"/>
  <c r="P7" i="87" s="1"/>
  <c r="G81" i="91"/>
  <c r="AE12" i="88"/>
  <c r="AE96" i="90"/>
  <c r="AF107" i="86"/>
  <c r="U12" i="88"/>
  <c r="U96" i="90"/>
  <c r="J6" i="87"/>
  <c r="N12" i="88"/>
  <c r="N96" i="90"/>
  <c r="I96" i="90"/>
  <c r="I12" i="88"/>
  <c r="H12" i="88"/>
  <c r="H96" i="90"/>
  <c r="G12" i="88"/>
  <c r="G96" i="90"/>
  <c r="F12" i="88"/>
  <c r="F96" i="90"/>
  <c r="E12" i="88"/>
  <c r="E96" i="90"/>
  <c r="K107" i="86"/>
  <c r="D145" i="86"/>
  <c r="D96" i="90"/>
  <c r="I6" i="87"/>
  <c r="N6" i="87" s="1"/>
  <c r="D12" i="88"/>
  <c r="K12" i="88" s="1"/>
  <c r="M12" i="88" s="1"/>
  <c r="O12" i="88" s="1"/>
  <c r="J145" i="86"/>
  <c r="J147" i="86" s="1"/>
  <c r="D6" i="87"/>
  <c r="G80" i="91"/>
  <c r="G33" i="88"/>
  <c r="G36" i="88" s="1"/>
  <c r="G45" i="88" s="1"/>
  <c r="AE11" i="88"/>
  <c r="AE95" i="90"/>
  <c r="AA95" i="90"/>
  <c r="AA11" i="88"/>
  <c r="Z11" i="88"/>
  <c r="Z95" i="90"/>
  <c r="Y11" i="88"/>
  <c r="Y95" i="90"/>
  <c r="X11" i="88"/>
  <c r="X95" i="90"/>
  <c r="W95" i="90"/>
  <c r="W11" i="88"/>
  <c r="V11" i="88"/>
  <c r="V95" i="90"/>
  <c r="U11" i="88"/>
  <c r="AF106" i="86"/>
  <c r="U95" i="90"/>
  <c r="O47" i="86"/>
  <c r="M52" i="86"/>
  <c r="M28" i="86"/>
  <c r="K33" i="86"/>
  <c r="AF14" i="86"/>
  <c r="AB14" i="86"/>
  <c r="AB104" i="86"/>
  <c r="AF104" i="86" s="1"/>
  <c r="M9" i="86"/>
  <c r="K14" i="86"/>
  <c r="C15" i="83"/>
  <c r="D23" i="36"/>
  <c r="L9" i="83"/>
  <c r="M23" i="36" s="1"/>
  <c r="N8" i="83"/>
  <c r="O8" i="83" s="1"/>
  <c r="P8" i="83" s="1"/>
  <c r="E36" i="82"/>
  <c r="E45" i="82" s="1"/>
  <c r="E69" i="91"/>
  <c r="I69" i="91"/>
  <c r="M32" i="36"/>
  <c r="G69" i="91"/>
  <c r="K32" i="36"/>
  <c r="D69" i="91"/>
  <c r="I32" i="36"/>
  <c r="AD13" i="82"/>
  <c r="AD80" i="90"/>
  <c r="AD12" i="82"/>
  <c r="AD79" i="90"/>
  <c r="AD11" i="82"/>
  <c r="AD78" i="90"/>
  <c r="AD10" i="82"/>
  <c r="AD77" i="90"/>
  <c r="AD109" i="85"/>
  <c r="AD81" i="90" s="1"/>
  <c r="AD9" i="82"/>
  <c r="AD14" i="82" s="1"/>
  <c r="AD76" i="90"/>
  <c r="O85" i="85"/>
  <c r="M90" i="85"/>
  <c r="J146" i="85"/>
  <c r="D7" i="83"/>
  <c r="H7" i="83" s="1"/>
  <c r="O7" i="83" s="1"/>
  <c r="P7" i="83" s="1"/>
  <c r="G34" i="82"/>
  <c r="G67" i="91"/>
  <c r="J145" i="85"/>
  <c r="G33" i="82"/>
  <c r="G66" i="91"/>
  <c r="D6" i="83"/>
  <c r="H6" i="83" s="1"/>
  <c r="O6" i="83" s="1"/>
  <c r="P6" i="83" s="1"/>
  <c r="J144" i="85"/>
  <c r="D5" i="83"/>
  <c r="H5" i="83" s="1"/>
  <c r="O5" i="83" s="1"/>
  <c r="P5" i="83" s="1"/>
  <c r="G32" i="82"/>
  <c r="G65" i="91"/>
  <c r="O47" i="85"/>
  <c r="O52" i="85" s="1"/>
  <c r="M52" i="85"/>
  <c r="K143" i="85"/>
  <c r="H31" i="82"/>
  <c r="H64" i="91"/>
  <c r="M28" i="85"/>
  <c r="K33" i="85"/>
  <c r="H131" i="85"/>
  <c r="K142" i="85"/>
  <c r="H30" i="82"/>
  <c r="H63" i="91"/>
  <c r="AF108" i="85"/>
  <c r="U13" i="82"/>
  <c r="U80" i="90"/>
  <c r="J7" i="83"/>
  <c r="N13" i="82"/>
  <c r="N80" i="90"/>
  <c r="K108" i="85"/>
  <c r="D146" i="85"/>
  <c r="I7" i="83"/>
  <c r="N7" i="83" s="1"/>
  <c r="D13" i="82"/>
  <c r="K13" i="82" s="1"/>
  <c r="M13" i="82" s="1"/>
  <c r="O13" i="82" s="1"/>
  <c r="D80" i="90"/>
  <c r="AF107" i="85"/>
  <c r="U12" i="82"/>
  <c r="U79" i="90"/>
  <c r="J6" i="83"/>
  <c r="N12" i="82"/>
  <c r="N79" i="90"/>
  <c r="K107" i="85"/>
  <c r="D145" i="85"/>
  <c r="I6" i="83"/>
  <c r="N6" i="83" s="1"/>
  <c r="D12" i="82"/>
  <c r="K12" i="82" s="1"/>
  <c r="M12" i="82" s="1"/>
  <c r="O12" i="82" s="1"/>
  <c r="D79" i="90"/>
  <c r="U78" i="90"/>
  <c r="AF106" i="85"/>
  <c r="U11" i="82"/>
  <c r="N78" i="90"/>
  <c r="J5" i="83"/>
  <c r="N11" i="82"/>
  <c r="K106" i="85"/>
  <c r="D144" i="85"/>
  <c r="I5" i="83"/>
  <c r="N5" i="83" s="1"/>
  <c r="D11" i="82"/>
  <c r="K11" i="82" s="1"/>
  <c r="M11" i="82" s="1"/>
  <c r="O11" i="82" s="1"/>
  <c r="D78" i="90"/>
  <c r="U10" i="82"/>
  <c r="AF105" i="85"/>
  <c r="U77" i="90"/>
  <c r="J4" i="83"/>
  <c r="N10" i="82"/>
  <c r="N77" i="90"/>
  <c r="K105" i="85"/>
  <c r="D77" i="90"/>
  <c r="D143" i="85"/>
  <c r="I4" i="83"/>
  <c r="N4" i="83" s="1"/>
  <c r="D10" i="82"/>
  <c r="K10" i="82" s="1"/>
  <c r="M10" i="82" s="1"/>
  <c r="O10" i="82" s="1"/>
  <c r="AE76" i="90"/>
  <c r="AE109" i="85"/>
  <c r="AE81" i="90" s="1"/>
  <c r="AE9" i="82"/>
  <c r="AE14" i="82" s="1"/>
  <c r="AC76" i="90"/>
  <c r="AC109" i="85"/>
  <c r="AC81" i="90" s="1"/>
  <c r="AC9" i="82"/>
  <c r="AC14" i="82" s="1"/>
  <c r="AA76" i="90"/>
  <c r="AA109" i="85"/>
  <c r="AA81" i="90" s="1"/>
  <c r="AA9" i="82"/>
  <c r="AA14" i="82" s="1"/>
  <c r="Z109" i="85"/>
  <c r="Z81" i="90" s="1"/>
  <c r="Z9" i="82"/>
  <c r="Z14" i="82" s="1"/>
  <c r="Z76" i="90"/>
  <c r="Y76" i="90"/>
  <c r="Y109" i="85"/>
  <c r="Y81" i="90" s="1"/>
  <c r="Y9" i="82"/>
  <c r="Y14" i="82" s="1"/>
  <c r="X76" i="90"/>
  <c r="X109" i="85"/>
  <c r="X81" i="90" s="1"/>
  <c r="X9" i="82"/>
  <c r="X14" i="82" s="1"/>
  <c r="W76" i="90"/>
  <c r="W109" i="85"/>
  <c r="W81" i="90" s="1"/>
  <c r="W9" i="82"/>
  <c r="W14" i="82" s="1"/>
  <c r="V109" i="85"/>
  <c r="V81" i="90" s="1"/>
  <c r="V9" i="82"/>
  <c r="V14" i="82" s="1"/>
  <c r="V76" i="90"/>
  <c r="U76" i="90"/>
  <c r="U109" i="85"/>
  <c r="U9" i="82"/>
  <c r="N109" i="85"/>
  <c r="J3" i="83"/>
  <c r="N9" i="82"/>
  <c r="N76" i="90"/>
  <c r="AB14" i="85"/>
  <c r="AB104" i="85"/>
  <c r="AF104" i="85" s="1"/>
  <c r="I76" i="90"/>
  <c r="I109" i="85"/>
  <c r="I81" i="90" s="1"/>
  <c r="I9" i="82"/>
  <c r="I14" i="82" s="1"/>
  <c r="I44" i="82" s="1"/>
  <c r="H109" i="85"/>
  <c r="H81" i="90" s="1"/>
  <c r="H9" i="82"/>
  <c r="H14" i="82" s="1"/>
  <c r="H44" i="82" s="1"/>
  <c r="H76" i="90"/>
  <c r="G76" i="90"/>
  <c r="G109" i="85"/>
  <c r="G81" i="90" s="1"/>
  <c r="G9" i="82"/>
  <c r="G14" i="82" s="1"/>
  <c r="G44" i="82" s="1"/>
  <c r="F109" i="85"/>
  <c r="F81" i="90" s="1"/>
  <c r="F9" i="82"/>
  <c r="F14" i="82" s="1"/>
  <c r="F44" i="82" s="1"/>
  <c r="F76" i="90"/>
  <c r="E76" i="90"/>
  <c r="E109" i="85"/>
  <c r="E81" i="90" s="1"/>
  <c r="E9" i="82"/>
  <c r="E14" i="82" s="1"/>
  <c r="E44" i="82" s="1"/>
  <c r="M9" i="85"/>
  <c r="K14" i="85"/>
  <c r="K104" i="85"/>
  <c r="D109" i="85"/>
  <c r="D142" i="85"/>
  <c r="I3" i="83"/>
  <c r="D9" i="82"/>
  <c r="D76" i="90"/>
  <c r="K7" i="82"/>
  <c r="Y7" i="82" s="1"/>
  <c r="Y102" i="85"/>
  <c r="V102" i="85"/>
  <c r="G7" i="82"/>
  <c r="V7" i="82" s="1"/>
  <c r="AD98" i="85"/>
  <c r="N3" i="82"/>
  <c r="AD3" i="82" s="1"/>
  <c r="C15" i="98"/>
  <c r="D22" i="36"/>
  <c r="L9" i="98"/>
  <c r="M22" i="36" s="1"/>
  <c r="N8" i="98"/>
  <c r="O8" i="98" s="1"/>
  <c r="P8" i="98" s="1"/>
  <c r="E36" i="99"/>
  <c r="E46" i="99" s="1"/>
  <c r="E55" i="91"/>
  <c r="K55" i="91"/>
  <c r="O31" i="36"/>
  <c r="D55" i="91"/>
  <c r="I31" i="36"/>
  <c r="AD10" i="99"/>
  <c r="AD61" i="90"/>
  <c r="J33" i="99"/>
  <c r="J52" i="91"/>
  <c r="J32" i="99"/>
  <c r="J51" i="91"/>
  <c r="J31" i="99"/>
  <c r="J50" i="91"/>
  <c r="G34" i="99"/>
  <c r="G53" i="91"/>
  <c r="J146" i="97"/>
  <c r="D7" i="98"/>
  <c r="J145" i="97"/>
  <c r="G33" i="99"/>
  <c r="G52" i="91"/>
  <c r="D6" i="98"/>
  <c r="H6" i="98" s="1"/>
  <c r="D5" i="98"/>
  <c r="G32" i="99"/>
  <c r="J144" i="97"/>
  <c r="G51" i="91"/>
  <c r="AF47" i="97"/>
  <c r="AB52" i="97"/>
  <c r="K52" i="97"/>
  <c r="M47" i="97"/>
  <c r="G30" i="99"/>
  <c r="G36" i="99" s="1"/>
  <c r="G131" i="97"/>
  <c r="J142" i="97"/>
  <c r="J147" i="97" s="1"/>
  <c r="G49" i="91"/>
  <c r="D3" i="98"/>
  <c r="K146" i="97"/>
  <c r="H34" i="99"/>
  <c r="H53" i="91"/>
  <c r="H52" i="91"/>
  <c r="K145" i="97"/>
  <c r="H33" i="99"/>
  <c r="K144" i="97"/>
  <c r="H32" i="99"/>
  <c r="H51" i="91"/>
  <c r="H31" i="99"/>
  <c r="K143" i="97"/>
  <c r="H50" i="91"/>
  <c r="M28" i="97"/>
  <c r="K33" i="97"/>
  <c r="K142" i="97"/>
  <c r="K147" i="97" s="1"/>
  <c r="H30" i="99"/>
  <c r="H36" i="99" s="1"/>
  <c r="H131" i="97"/>
  <c r="H49" i="91"/>
  <c r="U12" i="99"/>
  <c r="U63" i="90"/>
  <c r="J6" i="98"/>
  <c r="N12" i="99"/>
  <c r="N63" i="90"/>
  <c r="K107" i="97"/>
  <c r="I6" i="98"/>
  <c r="N6" i="98" s="1"/>
  <c r="D12" i="99"/>
  <c r="K12" i="99" s="1"/>
  <c r="M12" i="99" s="1"/>
  <c r="O12" i="99" s="1"/>
  <c r="D63" i="90"/>
  <c r="AE11" i="99"/>
  <c r="AE62" i="90"/>
  <c r="U11" i="99"/>
  <c r="U62" i="90"/>
  <c r="D11" i="99"/>
  <c r="D62" i="90"/>
  <c r="I5" i="98"/>
  <c r="AF105" i="97"/>
  <c r="U10" i="99"/>
  <c r="U61" i="90"/>
  <c r="J4" i="98"/>
  <c r="N10" i="99"/>
  <c r="N61" i="90"/>
  <c r="D143" i="97"/>
  <c r="L143" i="97" s="1"/>
  <c r="M143" i="97" s="1"/>
  <c r="I4" i="98"/>
  <c r="N4" i="98" s="1"/>
  <c r="D10" i="99"/>
  <c r="K10" i="99" s="1"/>
  <c r="M10" i="99" s="1"/>
  <c r="O10" i="99" s="1"/>
  <c r="D61" i="90"/>
  <c r="K105" i="97"/>
  <c r="AE9" i="99"/>
  <c r="AE60" i="90"/>
  <c r="AC9" i="99"/>
  <c r="AC60" i="90"/>
  <c r="AC109" i="97"/>
  <c r="AC65" i="90" s="1"/>
  <c r="AA60" i="90"/>
  <c r="AA9" i="99"/>
  <c r="Z9" i="99"/>
  <c r="Z60" i="90"/>
  <c r="Y9" i="99"/>
  <c r="Y60" i="90"/>
  <c r="Y109" i="97"/>
  <c r="Y65" i="90" s="1"/>
  <c r="X60" i="90"/>
  <c r="X109" i="97"/>
  <c r="X65" i="90" s="1"/>
  <c r="X9" i="99"/>
  <c r="W9" i="99"/>
  <c r="W109" i="97"/>
  <c r="W65" i="90" s="1"/>
  <c r="W60" i="90"/>
  <c r="V109" i="97"/>
  <c r="V65" i="90" s="1"/>
  <c r="V9" i="99"/>
  <c r="V60" i="90"/>
  <c r="U9" i="99"/>
  <c r="U60" i="90"/>
  <c r="AB14" i="97"/>
  <c r="I109" i="97"/>
  <c r="I65" i="90" s="1"/>
  <c r="I9" i="99"/>
  <c r="I60" i="90"/>
  <c r="H9" i="99"/>
  <c r="H60" i="90"/>
  <c r="H109" i="97"/>
  <c r="H65" i="90" s="1"/>
  <c r="G9" i="99"/>
  <c r="G109" i="97"/>
  <c r="G65" i="90" s="1"/>
  <c r="G60" i="90"/>
  <c r="F60" i="90"/>
  <c r="F109" i="97"/>
  <c r="F65" i="90" s="1"/>
  <c r="F9" i="99"/>
  <c r="E9" i="99"/>
  <c r="E60" i="90"/>
  <c r="M9" i="97"/>
  <c r="K14" i="97"/>
  <c r="D9" i="99"/>
  <c r="K104" i="97"/>
  <c r="I3" i="98"/>
  <c r="D60" i="90"/>
  <c r="Y102" i="97"/>
  <c r="K7" i="99"/>
  <c r="Y7" i="99" s="1"/>
  <c r="G7" i="99"/>
  <c r="V7" i="99" s="1"/>
  <c r="V102" i="97"/>
  <c r="N3" i="99"/>
  <c r="AD3" i="99" s="1"/>
  <c r="AD98" i="97"/>
  <c r="C15" i="80"/>
  <c r="D21" i="36"/>
  <c r="H46" i="81"/>
  <c r="H41" i="91"/>
  <c r="L30" i="36"/>
  <c r="G41" i="91"/>
  <c r="K30" i="36"/>
  <c r="D46" i="81"/>
  <c r="D41" i="91"/>
  <c r="I30" i="36"/>
  <c r="J146" i="79"/>
  <c r="D7" i="80"/>
  <c r="D9" i="80" s="1"/>
  <c r="E21" i="36" s="1"/>
  <c r="G34" i="81"/>
  <c r="G39" i="91"/>
  <c r="AE12" i="81"/>
  <c r="AE46" i="90"/>
  <c r="AC12" i="81"/>
  <c r="AC46" i="90"/>
  <c r="AC113" i="90" s="1"/>
  <c r="AA12" i="81"/>
  <c r="AA46" i="90"/>
  <c r="Y12" i="81"/>
  <c r="Y46" i="90"/>
  <c r="X12" i="81"/>
  <c r="X46" i="90"/>
  <c r="W12" i="81"/>
  <c r="W46" i="90"/>
  <c r="V12" i="81"/>
  <c r="V46" i="90"/>
  <c r="U46" i="90"/>
  <c r="U12" i="81"/>
  <c r="N12" i="81"/>
  <c r="N46" i="90"/>
  <c r="J6" i="80"/>
  <c r="AB107" i="79"/>
  <c r="AB52" i="79"/>
  <c r="O47" i="79"/>
  <c r="O52" i="79" s="1"/>
  <c r="M52" i="79"/>
  <c r="M28" i="79"/>
  <c r="K33" i="79"/>
  <c r="AB14" i="79"/>
  <c r="M9" i="79"/>
  <c r="K14" i="79"/>
  <c r="C15" i="77"/>
  <c r="D20" i="36"/>
  <c r="N8" i="77"/>
  <c r="O8" i="77" s="1"/>
  <c r="P8" i="77" s="1"/>
  <c r="L9" i="77"/>
  <c r="M20" i="36" s="1"/>
  <c r="M24" i="36" s="1"/>
  <c r="M25" i="36" s="1"/>
  <c r="E36" i="76"/>
  <c r="E45" i="76" s="1"/>
  <c r="E27" i="91"/>
  <c r="D27" i="91"/>
  <c r="I29" i="36"/>
  <c r="AD13" i="76"/>
  <c r="AD30" i="90"/>
  <c r="AD11" i="76"/>
  <c r="AD28" i="90"/>
  <c r="J34" i="76"/>
  <c r="J25" i="91"/>
  <c r="J32" i="76"/>
  <c r="J23" i="91"/>
  <c r="J131" i="75"/>
  <c r="J30" i="76"/>
  <c r="J36" i="76" s="1"/>
  <c r="J45" i="76" s="1"/>
  <c r="J21" i="91"/>
  <c r="K71" i="75"/>
  <c r="M66" i="75"/>
  <c r="J145" i="75"/>
  <c r="D6" i="77"/>
  <c r="G33" i="76"/>
  <c r="G24" i="91"/>
  <c r="J144" i="75"/>
  <c r="D5" i="77"/>
  <c r="H5" i="77" s="1"/>
  <c r="G32" i="76"/>
  <c r="G23" i="91"/>
  <c r="J143" i="75"/>
  <c r="D4" i="77"/>
  <c r="G31" i="76"/>
  <c r="G22" i="91"/>
  <c r="G131" i="75"/>
  <c r="J142" i="75"/>
  <c r="J147" i="75" s="1"/>
  <c r="D3" i="77"/>
  <c r="G30" i="76"/>
  <c r="G36" i="76" s="1"/>
  <c r="G45" i="76" s="1"/>
  <c r="G21" i="91"/>
  <c r="M47" i="75"/>
  <c r="K52" i="75"/>
  <c r="K146" i="75"/>
  <c r="H34" i="76"/>
  <c r="H25" i="91"/>
  <c r="K145" i="75"/>
  <c r="H33" i="76"/>
  <c r="H24" i="91"/>
  <c r="K144" i="75"/>
  <c r="H32" i="76"/>
  <c r="H23" i="91"/>
  <c r="K143" i="75"/>
  <c r="H31" i="76"/>
  <c r="H22" i="91"/>
  <c r="H131" i="75"/>
  <c r="K142" i="75"/>
  <c r="K147" i="75" s="1"/>
  <c r="H30" i="76"/>
  <c r="H36" i="76" s="1"/>
  <c r="H45" i="76" s="1"/>
  <c r="H21" i="91"/>
  <c r="M28" i="75"/>
  <c r="K33" i="75"/>
  <c r="AF108" i="75"/>
  <c r="U13" i="76"/>
  <c r="U30" i="90"/>
  <c r="J7" i="77"/>
  <c r="N13" i="76"/>
  <c r="N30" i="90"/>
  <c r="K108" i="75"/>
  <c r="D146" i="75"/>
  <c r="L146" i="75" s="1"/>
  <c r="M146" i="75" s="1"/>
  <c r="I7" i="77"/>
  <c r="N7" i="77" s="1"/>
  <c r="D13" i="76"/>
  <c r="K13" i="76" s="1"/>
  <c r="M13" i="76" s="1"/>
  <c r="O13" i="76" s="1"/>
  <c r="D30" i="90"/>
  <c r="AE11" i="76"/>
  <c r="AE28" i="90"/>
  <c r="AF106" i="75"/>
  <c r="U11" i="76"/>
  <c r="U28" i="90"/>
  <c r="J5" i="77"/>
  <c r="N11" i="76"/>
  <c r="N28" i="90"/>
  <c r="K106" i="75"/>
  <c r="D144" i="75"/>
  <c r="L144" i="75" s="1"/>
  <c r="M144" i="75" s="1"/>
  <c r="I5" i="77"/>
  <c r="N5" i="77" s="1"/>
  <c r="D11" i="76"/>
  <c r="K11" i="76" s="1"/>
  <c r="M11" i="76" s="1"/>
  <c r="O11" i="76" s="1"/>
  <c r="D28" i="90"/>
  <c r="AE9" i="76"/>
  <c r="AE26" i="90"/>
  <c r="AC109" i="75"/>
  <c r="AC31" i="90" s="1"/>
  <c r="AC9" i="76"/>
  <c r="AC14" i="76" s="1"/>
  <c r="AC26" i="90"/>
  <c r="AA9" i="76"/>
  <c r="AA26" i="90"/>
  <c r="Z109" i="75"/>
  <c r="Z31" i="90" s="1"/>
  <c r="Z9" i="76"/>
  <c r="Z14" i="76" s="1"/>
  <c r="Z26" i="90"/>
  <c r="Y9" i="76"/>
  <c r="Y26" i="90"/>
  <c r="X9" i="76"/>
  <c r="X26" i="90"/>
  <c r="W9" i="76"/>
  <c r="W26" i="90"/>
  <c r="V9" i="76"/>
  <c r="V26" i="90"/>
  <c r="U9" i="76"/>
  <c r="U26" i="90"/>
  <c r="J3" i="77"/>
  <c r="N9" i="76"/>
  <c r="N26" i="90"/>
  <c r="AB14" i="75"/>
  <c r="AB104" i="75"/>
  <c r="I9" i="76"/>
  <c r="I26" i="90"/>
  <c r="H9" i="76"/>
  <c r="H26" i="90"/>
  <c r="G9" i="76"/>
  <c r="G26" i="90"/>
  <c r="F9" i="76"/>
  <c r="F26" i="90"/>
  <c r="E9" i="76"/>
  <c r="E26" i="90"/>
  <c r="D142" i="75"/>
  <c r="I3" i="77"/>
  <c r="D9" i="76"/>
  <c r="D26" i="90"/>
  <c r="M9" i="75"/>
  <c r="K14" i="75"/>
  <c r="Y102" i="75"/>
  <c r="K7" i="76"/>
  <c r="Y7" i="76" s="1"/>
  <c r="V102" i="75"/>
  <c r="G7" i="76"/>
  <c r="V7" i="76" s="1"/>
  <c r="AD98" i="75"/>
  <c r="N3" i="76"/>
  <c r="AD3" i="76" s="1"/>
  <c r="V12" i="89"/>
  <c r="J17" i="89"/>
  <c r="J20" i="89"/>
  <c r="Z13" i="99"/>
  <c r="Z64" i="90"/>
  <c r="J13" i="99"/>
  <c r="J64" i="90"/>
  <c r="AD88" i="75"/>
  <c r="J107" i="75"/>
  <c r="Z106" i="97"/>
  <c r="J106" i="97"/>
  <c r="K106" i="97" s="1"/>
  <c r="K87" i="97"/>
  <c r="M87" i="97" s="1"/>
  <c r="O87" i="97" s="1"/>
  <c r="AD86" i="75"/>
  <c r="J105" i="75"/>
  <c r="Z90" i="97"/>
  <c r="AD85" i="22"/>
  <c r="J90" i="22"/>
  <c r="K85" i="97"/>
  <c r="J104" i="97"/>
  <c r="J90" i="97"/>
  <c r="K85" i="75"/>
  <c r="AD85" i="75"/>
  <c r="J90" i="75"/>
  <c r="J104" i="75"/>
  <c r="K104" i="75" s="1"/>
  <c r="AE33" i="69"/>
  <c r="M28" i="69"/>
  <c r="K33" i="69"/>
  <c r="AD89" i="79"/>
  <c r="AD89" i="97"/>
  <c r="AD90" i="97" s="1"/>
  <c r="AE89" i="97"/>
  <c r="AE89" i="22"/>
  <c r="AE89" i="79"/>
  <c r="AE108" i="79" s="1"/>
  <c r="U89" i="97"/>
  <c r="U89" i="22"/>
  <c r="AE51" i="69"/>
  <c r="U89" i="79"/>
  <c r="N89" i="97"/>
  <c r="N108" i="97" s="1"/>
  <c r="N89" i="22"/>
  <c r="N89" i="79"/>
  <c r="N108" i="79" s="1"/>
  <c r="AB89" i="79"/>
  <c r="AB108" i="79" s="1"/>
  <c r="AB89" i="97"/>
  <c r="AB108" i="97" s="1"/>
  <c r="D89" i="97"/>
  <c r="D89" i="22"/>
  <c r="K51" i="69"/>
  <c r="M51" i="69" s="1"/>
  <c r="O51" i="69" s="1"/>
  <c r="D89" i="79"/>
  <c r="AE88" i="22"/>
  <c r="AE88" i="75"/>
  <c r="AE107" i="75" s="1"/>
  <c r="AE50" i="69"/>
  <c r="U88" i="22"/>
  <c r="U88" i="75"/>
  <c r="N88" i="22"/>
  <c r="N88" i="75"/>
  <c r="D88" i="75"/>
  <c r="K50" i="69"/>
  <c r="M50" i="69" s="1"/>
  <c r="O50" i="69" s="1"/>
  <c r="D88" i="22"/>
  <c r="AE87" i="22"/>
  <c r="AE87" i="79"/>
  <c r="AE106" i="79" s="1"/>
  <c r="U87" i="79"/>
  <c r="AE49" i="69"/>
  <c r="U87" i="22"/>
  <c r="N87" i="79"/>
  <c r="N106" i="79" s="1"/>
  <c r="N87" i="22"/>
  <c r="N87" i="97"/>
  <c r="D87" i="79"/>
  <c r="K49" i="69"/>
  <c r="M49" i="69" s="1"/>
  <c r="O49" i="69" s="1"/>
  <c r="D87" i="22"/>
  <c r="AE86" i="22"/>
  <c r="AE86" i="75"/>
  <c r="AE48" i="69"/>
  <c r="U86" i="22"/>
  <c r="U86" i="75"/>
  <c r="N86" i="22"/>
  <c r="N86" i="75"/>
  <c r="K48" i="69"/>
  <c r="M48" i="69" s="1"/>
  <c r="O48" i="69" s="1"/>
  <c r="D86" i="22"/>
  <c r="D86" i="75"/>
  <c r="AC14" i="69"/>
  <c r="AC47" i="69"/>
  <c r="AE85" i="22"/>
  <c r="AE85" i="79"/>
  <c r="AD52" i="69"/>
  <c r="AA52" i="69"/>
  <c r="AA85" i="79"/>
  <c r="AA85" i="22"/>
  <c r="Y52" i="69"/>
  <c r="Y85" i="79"/>
  <c r="Y85" i="22"/>
  <c r="X85" i="79"/>
  <c r="X52" i="69"/>
  <c r="X85" i="22"/>
  <c r="W85" i="79"/>
  <c r="W52" i="69"/>
  <c r="W85" i="22"/>
  <c r="V85" i="79"/>
  <c r="V52" i="69"/>
  <c r="V85" i="22"/>
  <c r="AE47" i="69"/>
  <c r="U52" i="69"/>
  <c r="Y54" i="69" s="1"/>
  <c r="U85" i="79"/>
  <c r="U85" i="22"/>
  <c r="AB14" i="69"/>
  <c r="AB47" i="69"/>
  <c r="N85" i="97"/>
  <c r="N85" i="22"/>
  <c r="N85" i="79"/>
  <c r="N52" i="69"/>
  <c r="I85" i="22"/>
  <c r="I52" i="69"/>
  <c r="I85" i="79"/>
  <c r="H85" i="22"/>
  <c r="H85" i="79"/>
  <c r="H52" i="69"/>
  <c r="G52" i="69"/>
  <c r="G85" i="79"/>
  <c r="G85" i="22"/>
  <c r="F85" i="22"/>
  <c r="F85" i="79"/>
  <c r="F52" i="69"/>
  <c r="E52" i="69"/>
  <c r="E85" i="79"/>
  <c r="E85" i="22"/>
  <c r="K14" i="69"/>
  <c r="M9" i="69"/>
  <c r="K47" i="69"/>
  <c r="D85" i="79"/>
  <c r="D52" i="69"/>
  <c r="D85" i="22"/>
  <c r="J34" i="82"/>
  <c r="J67" i="91"/>
  <c r="J34" i="99"/>
  <c r="J53" i="91"/>
  <c r="J34" i="81"/>
  <c r="J39" i="91"/>
  <c r="J34" i="39"/>
  <c r="J10" i="91"/>
  <c r="J33" i="82"/>
  <c r="J66" i="91"/>
  <c r="J38" i="91"/>
  <c r="J33" i="81"/>
  <c r="J33" i="76"/>
  <c r="J24" i="91"/>
  <c r="J33" i="39"/>
  <c r="J9" i="91"/>
  <c r="J32" i="82"/>
  <c r="J65" i="91"/>
  <c r="AE45" i="90"/>
  <c r="AE11" i="81"/>
  <c r="J5" i="80"/>
  <c r="N11" i="81"/>
  <c r="N45" i="90"/>
  <c r="J37" i="91"/>
  <c r="J32" i="81"/>
  <c r="J32" i="39"/>
  <c r="J8" i="91"/>
  <c r="J31" i="82"/>
  <c r="J64" i="91"/>
  <c r="AE44" i="90"/>
  <c r="AE10" i="81"/>
  <c r="AB10" i="81"/>
  <c r="AB44" i="90"/>
  <c r="J4" i="80"/>
  <c r="N44" i="90"/>
  <c r="N10" i="81"/>
  <c r="U10" i="81"/>
  <c r="U44" i="90"/>
  <c r="D143" i="79"/>
  <c r="L143" i="79" s="1"/>
  <c r="M143" i="79" s="1"/>
  <c r="I4" i="80"/>
  <c r="N4" i="80" s="1"/>
  <c r="D44" i="90"/>
  <c r="D10" i="81"/>
  <c r="J31" i="81"/>
  <c r="J36" i="91"/>
  <c r="J31" i="76"/>
  <c r="J22" i="91"/>
  <c r="K67" i="22"/>
  <c r="M67" i="22" s="1"/>
  <c r="O67" i="22" s="1"/>
  <c r="AG67" i="22" s="1"/>
  <c r="AH67" i="22" s="1"/>
  <c r="J126" i="22"/>
  <c r="G143" i="22"/>
  <c r="M4" i="36"/>
  <c r="AF71" i="85"/>
  <c r="J131" i="85"/>
  <c r="J30" i="82"/>
  <c r="J36" i="82" s="1"/>
  <c r="J45" i="82" s="1"/>
  <c r="J63" i="91"/>
  <c r="M66" i="85"/>
  <c r="K71" i="85"/>
  <c r="AF71" i="97"/>
  <c r="J30" i="99"/>
  <c r="J36" i="99" s="1"/>
  <c r="J46" i="99" s="1"/>
  <c r="J49" i="91"/>
  <c r="J131" i="97"/>
  <c r="K71" i="97"/>
  <c r="M66" i="97"/>
  <c r="AC109" i="79"/>
  <c r="AC48" i="90" s="1"/>
  <c r="AC43" i="90"/>
  <c r="AC9" i="81"/>
  <c r="AF71" i="79"/>
  <c r="M66" i="79"/>
  <c r="K71" i="79"/>
  <c r="J131" i="79"/>
  <c r="J30" i="81"/>
  <c r="J35" i="91"/>
  <c r="AE71" i="22"/>
  <c r="AD66" i="22"/>
  <c r="AD71" i="22" s="1"/>
  <c r="AB66" i="22"/>
  <c r="AB71" i="22" s="1"/>
  <c r="N71" i="22"/>
  <c r="U71" i="22"/>
  <c r="Y73" i="22" s="1"/>
  <c r="AF66" i="22"/>
  <c r="K66" i="22"/>
  <c r="D71" i="22"/>
  <c r="J125" i="22"/>
  <c r="G142" i="22"/>
  <c r="M3" i="36"/>
  <c r="K146" i="85"/>
  <c r="H34" i="82"/>
  <c r="H67" i="91"/>
  <c r="I12" i="81"/>
  <c r="I46" i="90"/>
  <c r="H12" i="81"/>
  <c r="H46" i="90"/>
  <c r="G12" i="81"/>
  <c r="G46" i="90"/>
  <c r="F46" i="90"/>
  <c r="F12" i="81"/>
  <c r="E12" i="81"/>
  <c r="E46" i="90"/>
  <c r="D145" i="79"/>
  <c r="I6" i="80"/>
  <c r="D12" i="81"/>
  <c r="D46" i="90"/>
  <c r="J145" i="79"/>
  <c r="G33" i="81"/>
  <c r="G38" i="91"/>
  <c r="D6" i="80"/>
  <c r="H6" i="80" s="1"/>
  <c r="J143" i="85"/>
  <c r="D4" i="83"/>
  <c r="G31" i="82"/>
  <c r="G64" i="91"/>
  <c r="L34" i="39"/>
  <c r="L10" i="91"/>
  <c r="L96" i="91" s="1"/>
  <c r="K34" i="39"/>
  <c r="K10" i="91"/>
  <c r="K96" i="91" s="1"/>
  <c r="L33" i="39"/>
  <c r="L9" i="91"/>
  <c r="L95" i="91" s="1"/>
  <c r="K33" i="39"/>
  <c r="K9" i="91"/>
  <c r="K95" i="91" s="1"/>
  <c r="C26" i="56"/>
  <c r="C27" i="56" s="1"/>
  <c r="L127" i="22"/>
  <c r="C17" i="56"/>
  <c r="C18" i="56" s="1"/>
  <c r="K127" i="22"/>
  <c r="I147" i="85"/>
  <c r="O32" i="36" s="1"/>
  <c r="F3" i="83"/>
  <c r="I146" i="22"/>
  <c r="F7" i="36" s="1"/>
  <c r="I146" i="79"/>
  <c r="F7" i="80" s="1"/>
  <c r="D34" i="39"/>
  <c r="K7" i="36"/>
  <c r="D10" i="91"/>
  <c r="D96" i="91" s="1"/>
  <c r="I145" i="22"/>
  <c r="F6" i="36" s="1"/>
  <c r="I145" i="75"/>
  <c r="F6" i="77" s="1"/>
  <c r="K6" i="36"/>
  <c r="D33" i="39"/>
  <c r="D9" i="91"/>
  <c r="D95" i="91" s="1"/>
  <c r="I144" i="22"/>
  <c r="F5" i="36" s="1"/>
  <c r="I144" i="79"/>
  <c r="F5" i="80" s="1"/>
  <c r="K5" i="36"/>
  <c r="D32" i="39"/>
  <c r="D8" i="91"/>
  <c r="D94" i="91" s="1"/>
  <c r="I143" i="22"/>
  <c r="F4" i="36" s="1"/>
  <c r="I143" i="75"/>
  <c r="K4" i="36"/>
  <c r="D31" i="39"/>
  <c r="D7" i="91"/>
  <c r="D93" i="91" s="1"/>
  <c r="I147" i="97"/>
  <c r="F3" i="98"/>
  <c r="F9" i="98" s="1"/>
  <c r="G22" i="36" s="1"/>
  <c r="I142" i="22"/>
  <c r="I142" i="79"/>
  <c r="D125" i="22"/>
  <c r="C8" i="56"/>
  <c r="C9" i="56" s="1"/>
  <c r="G34" i="39"/>
  <c r="D7" i="36"/>
  <c r="G10" i="91"/>
  <c r="J146" i="22"/>
  <c r="J145" i="22"/>
  <c r="D6" i="36"/>
  <c r="G33" i="39"/>
  <c r="G9" i="91"/>
  <c r="D5" i="36"/>
  <c r="G32" i="39"/>
  <c r="G8" i="91"/>
  <c r="J144" i="22"/>
  <c r="J143" i="22"/>
  <c r="D4" i="36"/>
  <c r="G31" i="39"/>
  <c r="G7" i="91"/>
  <c r="K52" i="22"/>
  <c r="M47" i="22"/>
  <c r="G131" i="22"/>
  <c r="G12" i="91" s="1"/>
  <c r="J142" i="22"/>
  <c r="J147" i="22" s="1"/>
  <c r="D3" i="36"/>
  <c r="G30" i="39"/>
  <c r="G36" i="39" s="1"/>
  <c r="G45" i="39" s="1"/>
  <c r="G6" i="91"/>
  <c r="K146" i="22"/>
  <c r="H34" i="39"/>
  <c r="H10" i="91"/>
  <c r="K145" i="22"/>
  <c r="H33" i="39"/>
  <c r="H9" i="91"/>
  <c r="K144" i="22"/>
  <c r="H32" i="39"/>
  <c r="H8" i="91"/>
  <c r="K143" i="22"/>
  <c r="H31" i="39"/>
  <c r="H7" i="91"/>
  <c r="H131" i="22"/>
  <c r="H12" i="91" s="1"/>
  <c r="K142" i="22"/>
  <c r="K147" i="22" s="1"/>
  <c r="H30" i="39"/>
  <c r="H36" i="39" s="1"/>
  <c r="H45" i="39" s="1"/>
  <c r="H6" i="91"/>
  <c r="M28" i="22"/>
  <c r="K33" i="22"/>
  <c r="Q30" i="95"/>
  <c r="S30" i="95" s="1"/>
  <c r="L13" i="39"/>
  <c r="L27" i="93"/>
  <c r="L36" i="93" s="1"/>
  <c r="L13" i="90"/>
  <c r="Z13" i="79"/>
  <c r="L108" i="79"/>
  <c r="K13" i="79"/>
  <c r="M13" i="79" s="1"/>
  <c r="O13" i="79" s="1"/>
  <c r="AD13" i="79"/>
  <c r="J108" i="79"/>
  <c r="J13" i="39"/>
  <c r="J27" i="93"/>
  <c r="J36" i="93" s="1"/>
  <c r="J13" i="90"/>
  <c r="E23" i="64"/>
  <c r="Z12" i="79"/>
  <c r="L107" i="79"/>
  <c r="L12" i="39"/>
  <c r="Q29" i="95"/>
  <c r="S29" i="95" s="1"/>
  <c r="L26" i="93"/>
  <c r="L35" i="93" s="1"/>
  <c r="L12" i="90"/>
  <c r="K12" i="79"/>
  <c r="M12" i="79" s="1"/>
  <c r="O12" i="79" s="1"/>
  <c r="AD12" i="79"/>
  <c r="J107" i="79"/>
  <c r="K107" i="79" s="1"/>
  <c r="E22" i="64"/>
  <c r="J12" i="39"/>
  <c r="J26" i="93"/>
  <c r="J35" i="93" s="1"/>
  <c r="J12" i="90"/>
  <c r="Q28" i="95"/>
  <c r="S28" i="95" s="1"/>
  <c r="L11" i="39"/>
  <c r="L25" i="93"/>
  <c r="L34" i="93" s="1"/>
  <c r="L11" i="90"/>
  <c r="Z11" i="79"/>
  <c r="L106" i="79"/>
  <c r="K11" i="79"/>
  <c r="M11" i="79" s="1"/>
  <c r="O11" i="79" s="1"/>
  <c r="AD11" i="79"/>
  <c r="J106" i="79"/>
  <c r="E21" i="64"/>
  <c r="J11" i="39"/>
  <c r="J25" i="93"/>
  <c r="J34" i="93" s="1"/>
  <c r="J11" i="90"/>
  <c r="Z10" i="79"/>
  <c r="L105" i="79"/>
  <c r="L10" i="39"/>
  <c r="L24" i="93"/>
  <c r="L33" i="93" s="1"/>
  <c r="L10" i="90"/>
  <c r="Q27" i="95"/>
  <c r="S27" i="95" s="1"/>
  <c r="K10" i="79"/>
  <c r="M10" i="79" s="1"/>
  <c r="O10" i="79" s="1"/>
  <c r="AD10" i="79"/>
  <c r="J105" i="79"/>
  <c r="K105" i="79" s="1"/>
  <c r="E20" i="64"/>
  <c r="J10" i="39"/>
  <c r="J24" i="93"/>
  <c r="J33" i="93" s="1"/>
  <c r="J10" i="90"/>
  <c r="AC9" i="39"/>
  <c r="AC9" i="90"/>
  <c r="AC109" i="22"/>
  <c r="AC14" i="90" s="1"/>
  <c r="AB14" i="22"/>
  <c r="Z9" i="79"/>
  <c r="L14" i="79"/>
  <c r="L104" i="79"/>
  <c r="Z104" i="22"/>
  <c r="Z14" i="22"/>
  <c r="L109" i="22"/>
  <c r="L9" i="39"/>
  <c r="L14" i="39" s="1"/>
  <c r="L44" i="39" s="1"/>
  <c r="L23" i="93"/>
  <c r="L32" i="93" s="1"/>
  <c r="L9" i="90"/>
  <c r="Q26" i="95"/>
  <c r="S26" i="95" s="1"/>
  <c r="J109" i="22"/>
  <c r="J9" i="39"/>
  <c r="J14" i="39" s="1"/>
  <c r="J44" i="39" s="1"/>
  <c r="J23" i="93"/>
  <c r="J32" i="93" s="1"/>
  <c r="J9" i="90"/>
  <c r="E19" i="64"/>
  <c r="AD9" i="79"/>
  <c r="AD14" i="79" s="1"/>
  <c r="J14" i="79"/>
  <c r="J104" i="79"/>
  <c r="K14" i="22"/>
  <c r="M9" i="22"/>
  <c r="AB97" i="90"/>
  <c r="AB13" i="88"/>
  <c r="AB96" i="90"/>
  <c r="AB12" i="88"/>
  <c r="AB95" i="90"/>
  <c r="AB11" i="88"/>
  <c r="AB94" i="90"/>
  <c r="AB10" i="88"/>
  <c r="AC64" i="90"/>
  <c r="AC13" i="99"/>
  <c r="AA64" i="90"/>
  <c r="AA13" i="99"/>
  <c r="Y64" i="90"/>
  <c r="Y13" i="99"/>
  <c r="X64" i="90"/>
  <c r="X13" i="99"/>
  <c r="W64" i="90"/>
  <c r="W13" i="99"/>
  <c r="V64" i="90"/>
  <c r="V13" i="99"/>
  <c r="I13" i="99"/>
  <c r="I64" i="90"/>
  <c r="H64" i="90"/>
  <c r="H13" i="99"/>
  <c r="G64" i="90"/>
  <c r="G13" i="99"/>
  <c r="F13" i="99"/>
  <c r="F64" i="90"/>
  <c r="AE13" i="81"/>
  <c r="AE47" i="90"/>
  <c r="AC47" i="90"/>
  <c r="AC13" i="81"/>
  <c r="AA47" i="90"/>
  <c r="AA13" i="81"/>
  <c r="Y47" i="90"/>
  <c r="Y13" i="81"/>
  <c r="X13" i="81"/>
  <c r="X47" i="90"/>
  <c r="W13" i="81"/>
  <c r="W47" i="90"/>
  <c r="V47" i="90"/>
  <c r="V13" i="81"/>
  <c r="I47" i="90"/>
  <c r="I13" i="81"/>
  <c r="H47" i="90"/>
  <c r="H13" i="81"/>
  <c r="G47" i="90"/>
  <c r="G13" i="81"/>
  <c r="F13" i="81"/>
  <c r="F47" i="90"/>
  <c r="AF52" i="79"/>
  <c r="AG47" i="79"/>
  <c r="E89" i="79"/>
  <c r="E108" i="79" s="1"/>
  <c r="E89" i="22"/>
  <c r="E108" i="22" s="1"/>
  <c r="E89" i="97"/>
  <c r="AA88" i="75"/>
  <c r="AA107" i="75" s="1"/>
  <c r="AA88" i="22"/>
  <c r="AA107" i="22" s="1"/>
  <c r="Y88" i="75"/>
  <c r="Y107" i="75" s="1"/>
  <c r="Y88" i="22"/>
  <c r="Y107" i="22" s="1"/>
  <c r="X88" i="75"/>
  <c r="X107" i="75" s="1"/>
  <c r="X88" i="22"/>
  <c r="X107" i="22" s="1"/>
  <c r="W88" i="75"/>
  <c r="W107" i="75" s="1"/>
  <c r="W88" i="22"/>
  <c r="W107" i="22" s="1"/>
  <c r="V88" i="75"/>
  <c r="V107" i="75" s="1"/>
  <c r="V88" i="22"/>
  <c r="V107" i="22" s="1"/>
  <c r="I88" i="75"/>
  <c r="I107" i="75" s="1"/>
  <c r="I88" i="22"/>
  <c r="I107" i="22" s="1"/>
  <c r="H88" i="75"/>
  <c r="H107" i="75" s="1"/>
  <c r="H88" i="22"/>
  <c r="H107" i="22" s="1"/>
  <c r="G88" i="75"/>
  <c r="G107" i="75" s="1"/>
  <c r="G88" i="22"/>
  <c r="G107" i="22" s="1"/>
  <c r="F88" i="75"/>
  <c r="F107" i="75" s="1"/>
  <c r="F88" i="22"/>
  <c r="F107" i="22" s="1"/>
  <c r="E88" i="75"/>
  <c r="E107" i="75" s="1"/>
  <c r="E88" i="22"/>
  <c r="E107" i="22" s="1"/>
  <c r="AA87" i="22"/>
  <c r="AA106" i="22" s="1"/>
  <c r="AA87" i="97"/>
  <c r="AA87" i="79"/>
  <c r="AA106" i="79" s="1"/>
  <c r="Y87" i="22"/>
  <c r="Y106" i="22" s="1"/>
  <c r="Y87" i="79"/>
  <c r="Y106" i="79" s="1"/>
  <c r="X87" i="79"/>
  <c r="X106" i="79" s="1"/>
  <c r="X87" i="22"/>
  <c r="X106" i="22" s="1"/>
  <c r="W87" i="79"/>
  <c r="W106" i="79" s="1"/>
  <c r="W87" i="22"/>
  <c r="W106" i="22" s="1"/>
  <c r="V87" i="79"/>
  <c r="V106" i="79" s="1"/>
  <c r="V87" i="22"/>
  <c r="V106" i="22" s="1"/>
  <c r="I87" i="22"/>
  <c r="I106" i="22" s="1"/>
  <c r="I87" i="79"/>
  <c r="I106" i="79" s="1"/>
  <c r="H87" i="79"/>
  <c r="H106" i="79" s="1"/>
  <c r="H87" i="22"/>
  <c r="H106" i="22" s="1"/>
  <c r="G87" i="79"/>
  <c r="G106" i="79" s="1"/>
  <c r="G87" i="22"/>
  <c r="G106" i="22" s="1"/>
  <c r="F87" i="22"/>
  <c r="F106" i="22" s="1"/>
  <c r="F87" i="79"/>
  <c r="F106" i="79" s="1"/>
  <c r="E87" i="79"/>
  <c r="E106" i="79" s="1"/>
  <c r="E87" i="22"/>
  <c r="E106" i="22" s="1"/>
  <c r="AA86" i="75"/>
  <c r="AA86" i="22"/>
  <c r="AA105" i="22" s="1"/>
  <c r="Y86" i="75"/>
  <c r="Y86" i="22"/>
  <c r="Y105" i="22" s="1"/>
  <c r="X86" i="75"/>
  <c r="X86" i="22"/>
  <c r="X105" i="22" s="1"/>
  <c r="W86" i="75"/>
  <c r="W86" i="22"/>
  <c r="W105" i="22" s="1"/>
  <c r="V86" i="75"/>
  <c r="V86" i="22"/>
  <c r="V105" i="22" s="1"/>
  <c r="I86" i="22"/>
  <c r="I105" i="22" s="1"/>
  <c r="I86" i="75"/>
  <c r="H86" i="75"/>
  <c r="H86" i="22"/>
  <c r="H105" i="22" s="1"/>
  <c r="G86" i="75"/>
  <c r="G86" i="22"/>
  <c r="G105" i="22" s="1"/>
  <c r="F86" i="22"/>
  <c r="F105" i="22" s="1"/>
  <c r="F86" i="75"/>
  <c r="E86" i="75"/>
  <c r="E86" i="22"/>
  <c r="E105" i="22" s="1"/>
  <c r="V13" i="90"/>
  <c r="V114" i="90" s="1"/>
  <c r="E20" i="94"/>
  <c r="E28" i="94" s="1"/>
  <c r="V13" i="39"/>
  <c r="AC11" i="90"/>
  <c r="AC112" i="90" s="1"/>
  <c r="AC11" i="39"/>
  <c r="X11" i="90"/>
  <c r="G18" i="94"/>
  <c r="G26" i="94" s="1"/>
  <c r="X11" i="39"/>
  <c r="I11" i="90"/>
  <c r="I25" i="93"/>
  <c r="I34" i="93" s="1"/>
  <c r="I11" i="39"/>
  <c r="G11" i="90"/>
  <c r="G25" i="93"/>
  <c r="G34" i="93" s="1"/>
  <c r="G11" i="39"/>
  <c r="Y10" i="90"/>
  <c r="H17" i="94"/>
  <c r="H25" i="94" s="1"/>
  <c r="Y10" i="39"/>
  <c r="W10" i="90"/>
  <c r="F17" i="94"/>
  <c r="F25" i="94" s="1"/>
  <c r="W10" i="39"/>
  <c r="I10" i="90"/>
  <c r="I24" i="93"/>
  <c r="I33" i="93" s="1"/>
  <c r="I10" i="39"/>
  <c r="E10" i="90"/>
  <c r="E24" i="93"/>
  <c r="E33" i="93" s="1"/>
  <c r="E10" i="39"/>
  <c r="AC13" i="90"/>
  <c r="AC114" i="90" s="1"/>
  <c r="AC13" i="39"/>
  <c r="AA13" i="90"/>
  <c r="AA114" i="90" s="1"/>
  <c r="J20" i="94"/>
  <c r="J28" i="94" s="1"/>
  <c r="AA13" i="39"/>
  <c r="Y13" i="90"/>
  <c r="Y114" i="90" s="1"/>
  <c r="H20" i="94"/>
  <c r="H28" i="94" s="1"/>
  <c r="Y13" i="39"/>
  <c r="W13" i="90"/>
  <c r="W114" i="90" s="1"/>
  <c r="F20" i="94"/>
  <c r="F28" i="94" s="1"/>
  <c r="W13" i="39"/>
  <c r="H13" i="90"/>
  <c r="H114" i="90" s="1"/>
  <c r="H27" i="93"/>
  <c r="H36" i="93" s="1"/>
  <c r="H13" i="39"/>
  <c r="F13" i="90"/>
  <c r="F114" i="90" s="1"/>
  <c r="F27" i="93"/>
  <c r="F36" i="93" s="1"/>
  <c r="F13" i="39"/>
  <c r="Y11" i="90"/>
  <c r="H18" i="94"/>
  <c r="H26" i="94" s="1"/>
  <c r="Y11" i="39"/>
  <c r="V11" i="90"/>
  <c r="E18" i="94"/>
  <c r="E26" i="94" s="1"/>
  <c r="V11" i="39"/>
  <c r="F11" i="90"/>
  <c r="F25" i="93"/>
  <c r="F34" i="93" s="1"/>
  <c r="F11" i="39"/>
  <c r="AC10" i="90"/>
  <c r="AC111" i="90" s="1"/>
  <c r="AC10" i="39"/>
  <c r="X10" i="90"/>
  <c r="G17" i="94"/>
  <c r="G25" i="94" s="1"/>
  <c r="X10" i="39"/>
  <c r="V10" i="90"/>
  <c r="E17" i="94"/>
  <c r="E25" i="94" s="1"/>
  <c r="V10" i="39"/>
  <c r="G10" i="90"/>
  <c r="G24" i="93"/>
  <c r="G33" i="93" s="1"/>
  <c r="G10" i="39"/>
  <c r="X13" i="90"/>
  <c r="X114" i="90" s="1"/>
  <c r="G20" i="94"/>
  <c r="G28" i="94" s="1"/>
  <c r="X13" i="39"/>
  <c r="I13" i="90"/>
  <c r="I114" i="90" s="1"/>
  <c r="I27" i="93"/>
  <c r="I36" i="93" s="1"/>
  <c r="I13" i="39"/>
  <c r="G13" i="90"/>
  <c r="G114" i="90" s="1"/>
  <c r="G27" i="93"/>
  <c r="G36" i="93" s="1"/>
  <c r="G13" i="39"/>
  <c r="E13" i="90"/>
  <c r="E27" i="93"/>
  <c r="E36" i="93" s="1"/>
  <c r="E13" i="39"/>
  <c r="AA11" i="90"/>
  <c r="J18" i="94"/>
  <c r="J26" i="94" s="1"/>
  <c r="AA11" i="39"/>
  <c r="W11" i="90"/>
  <c r="F18" i="94"/>
  <c r="F26" i="94" s="1"/>
  <c r="W11" i="39"/>
  <c r="H11" i="90"/>
  <c r="H25" i="93"/>
  <c r="H34" i="93" s="1"/>
  <c r="H11" i="39"/>
  <c r="E11" i="90"/>
  <c r="E25" i="93"/>
  <c r="E34" i="93" s="1"/>
  <c r="E11" i="39"/>
  <c r="AA10" i="90"/>
  <c r="J17" i="94"/>
  <c r="J25" i="94" s="1"/>
  <c r="AA10" i="39"/>
  <c r="H10" i="90"/>
  <c r="H24" i="93"/>
  <c r="H33" i="93" s="1"/>
  <c r="H10" i="39"/>
  <c r="F10" i="90"/>
  <c r="F24" i="93"/>
  <c r="F33" i="93" s="1"/>
  <c r="F10" i="39"/>
  <c r="AG47" i="85"/>
  <c r="AB71" i="86"/>
  <c r="G147" i="86"/>
  <c r="M9" i="87"/>
  <c r="E9" i="83"/>
  <c r="F23" i="36" s="1"/>
  <c r="AB52" i="86"/>
  <c r="AD52" i="86"/>
  <c r="I45" i="82"/>
  <c r="D45" i="82"/>
  <c r="J44" i="82"/>
  <c r="F147" i="85"/>
  <c r="L145" i="97"/>
  <c r="M145" i="97" s="1"/>
  <c r="H4" i="98"/>
  <c r="O4" i="98" s="1"/>
  <c r="P4" i="98" s="1"/>
  <c r="L46" i="99"/>
  <c r="K46" i="99"/>
  <c r="D46" i="99"/>
  <c r="L45" i="99"/>
  <c r="Y35" i="97"/>
  <c r="E97" i="91"/>
  <c r="H7" i="77"/>
  <c r="O7" i="77" s="1"/>
  <c r="P7" i="77" s="1"/>
  <c r="H4" i="80"/>
  <c r="O4" i="80" s="1"/>
  <c r="P4" i="80" s="1"/>
  <c r="L93" i="91"/>
  <c r="K93" i="91"/>
  <c r="L92" i="91"/>
  <c r="L36" i="76"/>
  <c r="L45" i="76" s="1"/>
  <c r="K92" i="91"/>
  <c r="K36" i="76"/>
  <c r="K45" i="76" s="1"/>
  <c r="D36" i="76"/>
  <c r="D45" i="76" s="1"/>
  <c r="K9" i="77"/>
  <c r="L20" i="36" s="1"/>
  <c r="L24" i="36" s="1"/>
  <c r="Y73" i="75"/>
  <c r="M9" i="77"/>
  <c r="N20" i="36" s="1"/>
  <c r="N24" i="36" s="1"/>
  <c r="G147" i="75"/>
  <c r="AG67" i="79"/>
  <c r="AH67" i="79" s="1"/>
  <c r="E9" i="77"/>
  <c r="F20" i="36" s="1"/>
  <c r="F24" i="36" s="1"/>
  <c r="F25" i="36" s="1"/>
  <c r="F147" i="75"/>
  <c r="AG68" i="79"/>
  <c r="AH68" i="79" s="1"/>
  <c r="AF13" i="69"/>
  <c r="AG13" i="69" s="1"/>
  <c r="AG51" i="85"/>
  <c r="AH51" i="85" s="1"/>
  <c r="AG69" i="97"/>
  <c r="AH69" i="97" s="1"/>
  <c r="AG32" i="22"/>
  <c r="AH32" i="22" s="1"/>
  <c r="AG70" i="86"/>
  <c r="AH70" i="86" s="1"/>
  <c r="AG29" i="85"/>
  <c r="AH29" i="85" s="1"/>
  <c r="AG67" i="97"/>
  <c r="AH67" i="97" s="1"/>
  <c r="AG50" i="22"/>
  <c r="AH50" i="22" s="1"/>
  <c r="AG49" i="22"/>
  <c r="AH49" i="22" s="1"/>
  <c r="AG31" i="22"/>
  <c r="AH31" i="22" s="1"/>
  <c r="AG29" i="22"/>
  <c r="AH29" i="22" s="1"/>
  <c r="AG69" i="86"/>
  <c r="AH69" i="86" s="1"/>
  <c r="AG50" i="85"/>
  <c r="AH50" i="85" s="1"/>
  <c r="L45" i="88"/>
  <c r="K45" i="88"/>
  <c r="I45" i="88"/>
  <c r="D45" i="88"/>
  <c r="J44" i="88"/>
  <c r="M51" i="86"/>
  <c r="O51" i="86" s="1"/>
  <c r="K52" i="86"/>
  <c r="AF52" i="86"/>
  <c r="AG50" i="86"/>
  <c r="AH50" i="86" s="1"/>
  <c r="AB33" i="86"/>
  <c r="AF28" i="86"/>
  <c r="AB52" i="85"/>
  <c r="AF48" i="85"/>
  <c r="AB33" i="85"/>
  <c r="AF28" i="85"/>
  <c r="AB108" i="85"/>
  <c r="AF13" i="85"/>
  <c r="AG13" i="85" s="1"/>
  <c r="AH13" i="85" s="1"/>
  <c r="AB107" i="85"/>
  <c r="AF12" i="85"/>
  <c r="AG12" i="85" s="1"/>
  <c r="AH12" i="85" s="1"/>
  <c r="AB106" i="85"/>
  <c r="AF11" i="85"/>
  <c r="AG11" i="85" s="1"/>
  <c r="AH11" i="85" s="1"/>
  <c r="AB105" i="85"/>
  <c r="AF10" i="85"/>
  <c r="AB33" i="97"/>
  <c r="AF28" i="97"/>
  <c r="AB107" i="97"/>
  <c r="AF12" i="97"/>
  <c r="AG12" i="97" s="1"/>
  <c r="AH12" i="97" s="1"/>
  <c r="AB105" i="97"/>
  <c r="AF10" i="97"/>
  <c r="AB33" i="79"/>
  <c r="AF28" i="79"/>
  <c r="AB71" i="75"/>
  <c r="AF66" i="75"/>
  <c r="AB52" i="75"/>
  <c r="AF47" i="75"/>
  <c r="AB33" i="75"/>
  <c r="AF28" i="75"/>
  <c r="AB108" i="75"/>
  <c r="AF13" i="75"/>
  <c r="AG13" i="75" s="1"/>
  <c r="AH13" i="75" s="1"/>
  <c r="AB106" i="75"/>
  <c r="AF11" i="75"/>
  <c r="AB50" i="69"/>
  <c r="AE12" i="69"/>
  <c r="AF12" i="69" s="1"/>
  <c r="AG12" i="69" s="1"/>
  <c r="AB49" i="69"/>
  <c r="AE11" i="69"/>
  <c r="AF11" i="69" s="1"/>
  <c r="AG11" i="69" s="1"/>
  <c r="AB48" i="69"/>
  <c r="AE10" i="69"/>
  <c r="M50" i="79"/>
  <c r="O50" i="79" s="1"/>
  <c r="K52" i="79"/>
  <c r="M48" i="85"/>
  <c r="O48" i="85" s="1"/>
  <c r="K52" i="85"/>
  <c r="AB52" i="22"/>
  <c r="AF47" i="22"/>
  <c r="AB33" i="22"/>
  <c r="AF28" i="22"/>
  <c r="Z108" i="22"/>
  <c r="AF13" i="22"/>
  <c r="AG13" i="22" s="1"/>
  <c r="AH13" i="22" s="1"/>
  <c r="Z107" i="22"/>
  <c r="AF12" i="22"/>
  <c r="AG12" i="22" s="1"/>
  <c r="AH12" i="22" s="1"/>
  <c r="Z106" i="22"/>
  <c r="AF11" i="22"/>
  <c r="AG11" i="22" s="1"/>
  <c r="AH11" i="22" s="1"/>
  <c r="Z105" i="22"/>
  <c r="AF10" i="22"/>
  <c r="M106" i="86" l="1"/>
  <c r="K95" i="90"/>
  <c r="AF94" i="90"/>
  <c r="M105" i="86"/>
  <c r="K94" i="90"/>
  <c r="AF109" i="86"/>
  <c r="AF98" i="90" s="1"/>
  <c r="AF93" i="90"/>
  <c r="Y111" i="86"/>
  <c r="U98" i="90"/>
  <c r="U14" i="88"/>
  <c r="Y16" i="88" s="1"/>
  <c r="K109" i="86"/>
  <c r="K98" i="90" s="1"/>
  <c r="K93" i="90"/>
  <c r="M104" i="86"/>
  <c r="L142" i="86"/>
  <c r="D147" i="86"/>
  <c r="K9" i="88"/>
  <c r="D14" i="88"/>
  <c r="D44" i="88" s="1"/>
  <c r="I9" i="87"/>
  <c r="N3" i="87"/>
  <c r="O66" i="86"/>
  <c r="M71" i="86"/>
  <c r="AF97" i="90"/>
  <c r="M108" i="86"/>
  <c r="K97" i="90"/>
  <c r="AF96" i="90"/>
  <c r="M107" i="86"/>
  <c r="K96" i="90"/>
  <c r="D9" i="87"/>
  <c r="H6" i="87"/>
  <c r="AF95" i="90"/>
  <c r="AG47" i="86"/>
  <c r="O52" i="86"/>
  <c r="O28" i="86"/>
  <c r="O33" i="86" s="1"/>
  <c r="M33" i="86"/>
  <c r="AB109" i="86"/>
  <c r="AB98" i="90" s="1"/>
  <c r="AB9" i="88"/>
  <c r="AB93" i="90"/>
  <c r="O9" i="86"/>
  <c r="M14" i="86"/>
  <c r="AG85" i="85"/>
  <c r="O90" i="85"/>
  <c r="O28" i="85"/>
  <c r="O33" i="85" s="1"/>
  <c r="M33" i="85"/>
  <c r="H69" i="91"/>
  <c r="L32" i="36"/>
  <c r="AF80" i="90"/>
  <c r="M108" i="85"/>
  <c r="K80" i="90"/>
  <c r="AF79" i="90"/>
  <c r="M107" i="85"/>
  <c r="K79" i="90"/>
  <c r="AF78" i="90"/>
  <c r="M106" i="85"/>
  <c r="K78" i="90"/>
  <c r="AF77" i="90"/>
  <c r="M105" i="85"/>
  <c r="K77" i="90"/>
  <c r="AF76" i="90"/>
  <c r="AF109" i="85"/>
  <c r="AF81" i="90" s="1"/>
  <c r="Y111" i="85"/>
  <c r="U81" i="90"/>
  <c r="U14" i="82"/>
  <c r="Y16" i="82" s="1"/>
  <c r="N81" i="90"/>
  <c r="E32" i="36"/>
  <c r="AB109" i="85"/>
  <c r="AB81" i="90" s="1"/>
  <c r="AB9" i="82"/>
  <c r="AF9" i="82" s="1"/>
  <c r="AB76" i="90"/>
  <c r="O9" i="85"/>
  <c r="M14" i="85"/>
  <c r="K109" i="85"/>
  <c r="K81" i="90" s="1"/>
  <c r="M104" i="85"/>
  <c r="K76" i="90"/>
  <c r="D81" i="90"/>
  <c r="D32" i="36"/>
  <c r="F32" i="36" s="1"/>
  <c r="G32" i="36" s="1"/>
  <c r="L142" i="85"/>
  <c r="D147" i="85"/>
  <c r="N3" i="83"/>
  <c r="N9" i="83" s="1"/>
  <c r="O23" i="36" s="1"/>
  <c r="I9" i="83"/>
  <c r="J23" i="36" s="1"/>
  <c r="K9" i="82"/>
  <c r="D14" i="82"/>
  <c r="D44" i="82" s="1"/>
  <c r="AF52" i="97"/>
  <c r="O47" i="97"/>
  <c r="M52" i="97"/>
  <c r="G55" i="91"/>
  <c r="K31" i="36"/>
  <c r="D9" i="98"/>
  <c r="E22" i="36" s="1"/>
  <c r="O28" i="97"/>
  <c r="O33" i="97" s="1"/>
  <c r="M33" i="97"/>
  <c r="H55" i="91"/>
  <c r="L31" i="36"/>
  <c r="K63" i="90"/>
  <c r="M107" i="97"/>
  <c r="M106" i="97"/>
  <c r="K62" i="90"/>
  <c r="AF61" i="90"/>
  <c r="M105" i="97"/>
  <c r="K61" i="90"/>
  <c r="O9" i="97"/>
  <c r="M14" i="97"/>
  <c r="K9" i="99"/>
  <c r="M104" i="97"/>
  <c r="K60" i="90"/>
  <c r="AB46" i="90"/>
  <c r="AB12" i="81"/>
  <c r="O28" i="79"/>
  <c r="M33" i="79"/>
  <c r="O9" i="79"/>
  <c r="O14" i="79" s="1"/>
  <c r="M14" i="79"/>
  <c r="D24" i="36"/>
  <c r="I33" i="36"/>
  <c r="J27" i="91"/>
  <c r="N29" i="36"/>
  <c r="O66" i="75"/>
  <c r="O71" i="75" s="1"/>
  <c r="M71" i="75"/>
  <c r="K29" i="36"/>
  <c r="G27" i="91"/>
  <c r="H3" i="77"/>
  <c r="D9" i="77"/>
  <c r="E20" i="36" s="1"/>
  <c r="O47" i="75"/>
  <c r="O52" i="75" s="1"/>
  <c r="M52" i="75"/>
  <c r="H27" i="91"/>
  <c r="L29" i="36"/>
  <c r="O28" i="75"/>
  <c r="O33" i="75" s="1"/>
  <c r="M33" i="75"/>
  <c r="AF30" i="90"/>
  <c r="M108" i="75"/>
  <c r="K30" i="90"/>
  <c r="AF28" i="90"/>
  <c r="M106" i="75"/>
  <c r="K28" i="90"/>
  <c r="AB9" i="76"/>
  <c r="AB26" i="90"/>
  <c r="M104" i="75"/>
  <c r="K26" i="90"/>
  <c r="L142" i="75"/>
  <c r="N3" i="77"/>
  <c r="O9" i="75"/>
  <c r="M14" i="75"/>
  <c r="W12" i="89"/>
  <c r="V17" i="89"/>
  <c r="W17" i="89" s="1"/>
  <c r="AD107" i="75"/>
  <c r="J12" i="76"/>
  <c r="J29" i="90"/>
  <c r="Z62" i="90"/>
  <c r="Z11" i="99"/>
  <c r="AD106" i="97"/>
  <c r="J62" i="90"/>
  <c r="J11" i="99"/>
  <c r="K11" i="99" s="1"/>
  <c r="M11" i="99" s="1"/>
  <c r="J10" i="76"/>
  <c r="J27" i="90"/>
  <c r="M85" i="97"/>
  <c r="AD104" i="97"/>
  <c r="J109" i="97"/>
  <c r="J65" i="90" s="1"/>
  <c r="J9" i="99"/>
  <c r="J14" i="99" s="1"/>
  <c r="J45" i="99" s="1"/>
  <c r="J60" i="90"/>
  <c r="M85" i="75"/>
  <c r="AF85" i="75"/>
  <c r="AD90" i="75"/>
  <c r="AD104" i="75"/>
  <c r="J109" i="75"/>
  <c r="J31" i="90" s="1"/>
  <c r="J9" i="76"/>
  <c r="J26" i="90"/>
  <c r="J110" i="90" s="1"/>
  <c r="O28" i="69"/>
  <c r="M35" i="69" s="1"/>
  <c r="M33" i="69"/>
  <c r="AE108" i="97"/>
  <c r="AE90" i="97"/>
  <c r="AE108" i="22"/>
  <c r="AD89" i="22"/>
  <c r="U108" i="97"/>
  <c r="AF89" i="97"/>
  <c r="U90" i="97"/>
  <c r="Y92" i="97" s="1"/>
  <c r="U108" i="22"/>
  <c r="U108" i="79"/>
  <c r="AF89" i="79"/>
  <c r="N13" i="99"/>
  <c r="N64" i="90"/>
  <c r="J7" i="98"/>
  <c r="N108" i="22"/>
  <c r="AB89" i="22"/>
  <c r="N13" i="81"/>
  <c r="J7" i="80"/>
  <c r="N47" i="90"/>
  <c r="AB13" i="81"/>
  <c r="AB47" i="90"/>
  <c r="AB13" i="99"/>
  <c r="AB64" i="90"/>
  <c r="D108" i="97"/>
  <c r="K89" i="97"/>
  <c r="D90" i="97"/>
  <c r="I129" i="97"/>
  <c r="H146" i="97"/>
  <c r="G7" i="98" s="1"/>
  <c r="H7" i="98" s="1"/>
  <c r="D108" i="22"/>
  <c r="H146" i="22"/>
  <c r="G7" i="36" s="1"/>
  <c r="H7" i="36" s="1"/>
  <c r="K89" i="22"/>
  <c r="M89" i="22" s="1"/>
  <c r="O89" i="22" s="1"/>
  <c r="I129" i="22"/>
  <c r="D108" i="79"/>
  <c r="K89" i="79"/>
  <c r="M89" i="79" s="1"/>
  <c r="O89" i="79" s="1"/>
  <c r="I129" i="79"/>
  <c r="H146" i="79"/>
  <c r="G7" i="80" s="1"/>
  <c r="H7" i="80" s="1"/>
  <c r="AD88" i="22"/>
  <c r="AE107" i="22"/>
  <c r="AE29" i="90"/>
  <c r="AE12" i="76"/>
  <c r="U107" i="22"/>
  <c r="U107" i="75"/>
  <c r="N107" i="22"/>
  <c r="AB88" i="22"/>
  <c r="N107" i="75"/>
  <c r="AB88" i="75"/>
  <c r="D107" i="75"/>
  <c r="K88" i="75"/>
  <c r="M88" i="75" s="1"/>
  <c r="O88" i="75" s="1"/>
  <c r="I128" i="75"/>
  <c r="H145" i="75"/>
  <c r="G6" i="77" s="1"/>
  <c r="H6" i="77" s="1"/>
  <c r="D107" i="22"/>
  <c r="K88" i="22"/>
  <c r="M88" i="22" s="1"/>
  <c r="O88" i="22" s="1"/>
  <c r="I128" i="22"/>
  <c r="H145" i="22"/>
  <c r="G6" i="36" s="1"/>
  <c r="H6" i="36" s="1"/>
  <c r="AE106" i="22"/>
  <c r="AD87" i="22"/>
  <c r="U106" i="79"/>
  <c r="AF87" i="79"/>
  <c r="U106" i="22"/>
  <c r="N106" i="22"/>
  <c r="AB87" i="22"/>
  <c r="N106" i="97"/>
  <c r="H144" i="97"/>
  <c r="G5" i="98" s="1"/>
  <c r="H5" i="98" s="1"/>
  <c r="I127" i="97"/>
  <c r="D106" i="79"/>
  <c r="K87" i="79"/>
  <c r="M87" i="79" s="1"/>
  <c r="O87" i="79" s="1"/>
  <c r="I127" i="79"/>
  <c r="H144" i="79"/>
  <c r="G5" i="80" s="1"/>
  <c r="H5" i="80" s="1"/>
  <c r="D106" i="22"/>
  <c r="I127" i="22"/>
  <c r="K87" i="22"/>
  <c r="M87" i="22" s="1"/>
  <c r="O87" i="22" s="1"/>
  <c r="H144" i="22"/>
  <c r="G5" i="36" s="1"/>
  <c r="H5" i="36" s="1"/>
  <c r="AE105" i="22"/>
  <c r="AD86" i="22"/>
  <c r="AD90" i="22" s="1"/>
  <c r="AE105" i="75"/>
  <c r="AD105" i="75" s="1"/>
  <c r="AE90" i="75"/>
  <c r="U105" i="22"/>
  <c r="U105" i="75"/>
  <c r="U90" i="75"/>
  <c r="Y92" i="75" s="1"/>
  <c r="N105" i="22"/>
  <c r="AB86" i="22"/>
  <c r="N105" i="75"/>
  <c r="AB86" i="75"/>
  <c r="AF86" i="75" s="1"/>
  <c r="AG86" i="75" s="1"/>
  <c r="AH86" i="75" s="1"/>
  <c r="N90" i="75"/>
  <c r="D105" i="22"/>
  <c r="K86" i="22"/>
  <c r="M86" i="22" s="1"/>
  <c r="O86" i="22" s="1"/>
  <c r="I126" i="22"/>
  <c r="H143" i="22"/>
  <c r="G4" i="36" s="1"/>
  <c r="H4" i="36" s="1"/>
  <c r="D105" i="75"/>
  <c r="K86" i="75"/>
  <c r="D90" i="75"/>
  <c r="I126" i="75"/>
  <c r="H143" i="75"/>
  <c r="AC52" i="69"/>
  <c r="AD85" i="79"/>
  <c r="AD90" i="79" s="1"/>
  <c r="AE104" i="22"/>
  <c r="AE90" i="22"/>
  <c r="AE104" i="79"/>
  <c r="AD104" i="79" s="1"/>
  <c r="AE90" i="79"/>
  <c r="AA104" i="79"/>
  <c r="AA90" i="79"/>
  <c r="AA104" i="22"/>
  <c r="AA90" i="22"/>
  <c r="Y104" i="79"/>
  <c r="Y90" i="79"/>
  <c r="Y104" i="22"/>
  <c r="Y90" i="22"/>
  <c r="X104" i="79"/>
  <c r="X90" i="79"/>
  <c r="X104" i="22"/>
  <c r="X90" i="22"/>
  <c r="W104" i="79"/>
  <c r="W90" i="79"/>
  <c r="W104" i="22"/>
  <c r="W90" i="22"/>
  <c r="V104" i="79"/>
  <c r="V90" i="79"/>
  <c r="V104" i="22"/>
  <c r="V90" i="22"/>
  <c r="AE52" i="69"/>
  <c r="U104" i="79"/>
  <c r="U90" i="79"/>
  <c r="Y92" i="79" s="1"/>
  <c r="U104" i="22"/>
  <c r="U90" i="22"/>
  <c r="Y92" i="22" s="1"/>
  <c r="AB85" i="79"/>
  <c r="AF85" i="79" s="1"/>
  <c r="AB85" i="97"/>
  <c r="AB52" i="69"/>
  <c r="N104" i="97"/>
  <c r="N90" i="97"/>
  <c r="H142" i="97"/>
  <c r="I125" i="97"/>
  <c r="N104" i="22"/>
  <c r="AB85" i="22"/>
  <c r="AF85" i="22" s="1"/>
  <c r="N90" i="22"/>
  <c r="N104" i="79"/>
  <c r="N90" i="79"/>
  <c r="I104" i="22"/>
  <c r="I90" i="22"/>
  <c r="I104" i="79"/>
  <c r="I90" i="79"/>
  <c r="H104" i="22"/>
  <c r="H90" i="22"/>
  <c r="H104" i="79"/>
  <c r="H90" i="79"/>
  <c r="G104" i="79"/>
  <c r="G90" i="79"/>
  <c r="G104" i="22"/>
  <c r="G90" i="22"/>
  <c r="F104" i="22"/>
  <c r="F90" i="22"/>
  <c r="F104" i="79"/>
  <c r="F90" i="79"/>
  <c r="E104" i="79"/>
  <c r="E90" i="79"/>
  <c r="E104" i="22"/>
  <c r="E90" i="22"/>
  <c r="O9" i="69"/>
  <c r="M14" i="69"/>
  <c r="M47" i="69"/>
  <c r="K52" i="69"/>
  <c r="D104" i="79"/>
  <c r="K85" i="79"/>
  <c r="D90" i="79"/>
  <c r="I125" i="79"/>
  <c r="H142" i="79"/>
  <c r="D104" i="22"/>
  <c r="K85" i="22"/>
  <c r="H142" i="22"/>
  <c r="D90" i="22"/>
  <c r="I125" i="22"/>
  <c r="M105" i="79"/>
  <c r="K44" i="90"/>
  <c r="J31" i="39"/>
  <c r="J7" i="91"/>
  <c r="J93" i="91" s="1"/>
  <c r="J69" i="91"/>
  <c r="N32" i="36"/>
  <c r="O66" i="85"/>
  <c r="M71" i="85"/>
  <c r="J55" i="91"/>
  <c r="N31" i="36"/>
  <c r="M71" i="97"/>
  <c r="O66" i="97"/>
  <c r="O66" i="79"/>
  <c r="M71" i="79"/>
  <c r="J41" i="91"/>
  <c r="N30" i="36"/>
  <c r="AF71" i="22"/>
  <c r="M66" i="22"/>
  <c r="K71" i="22"/>
  <c r="J131" i="22"/>
  <c r="J12" i="91" s="1"/>
  <c r="J98" i="91" s="1"/>
  <c r="J30" i="39"/>
  <c r="J36" i="39" s="1"/>
  <c r="J6" i="91"/>
  <c r="J92" i="91" s="1"/>
  <c r="M107" i="79"/>
  <c r="K46" i="90"/>
  <c r="D9" i="83"/>
  <c r="E23" i="36" s="1"/>
  <c r="H4" i="83"/>
  <c r="O4" i="83" s="1"/>
  <c r="P4" i="83" s="1"/>
  <c r="L131" i="22"/>
  <c r="L32" i="39"/>
  <c r="L36" i="39" s="1"/>
  <c r="L45" i="39" s="1"/>
  <c r="L8" i="91"/>
  <c r="L94" i="91" s="1"/>
  <c r="K131" i="22"/>
  <c r="K12" i="91" s="1"/>
  <c r="K98" i="91" s="1"/>
  <c r="K32" i="39"/>
  <c r="K36" i="39" s="1"/>
  <c r="K8" i="91"/>
  <c r="K94" i="91" s="1"/>
  <c r="H3" i="83"/>
  <c r="F9" i="83"/>
  <c r="G23" i="36" s="1"/>
  <c r="I147" i="75"/>
  <c r="O29" i="36" s="1"/>
  <c r="F4" i="77"/>
  <c r="I147" i="22"/>
  <c r="F3" i="36"/>
  <c r="F9" i="36" s="1"/>
  <c r="I147" i="79"/>
  <c r="O30" i="36" s="1"/>
  <c r="F3" i="80"/>
  <c r="D131" i="22"/>
  <c r="D12" i="91" s="1"/>
  <c r="D98" i="91" s="1"/>
  <c r="K3" i="36"/>
  <c r="K9" i="36" s="1"/>
  <c r="L25" i="36" s="1"/>
  <c r="D30" i="39"/>
  <c r="D36" i="39" s="1"/>
  <c r="D45" i="39" s="1"/>
  <c r="D6" i="91"/>
  <c r="D92" i="91" s="1"/>
  <c r="O47" i="22"/>
  <c r="M52" i="22"/>
  <c r="D9" i="36"/>
  <c r="O28" i="22"/>
  <c r="M33" i="22"/>
  <c r="AF13" i="79"/>
  <c r="AG13" i="79" s="1"/>
  <c r="AH13" i="79" s="1"/>
  <c r="Z108" i="79"/>
  <c r="L13" i="81"/>
  <c r="L47" i="90"/>
  <c r="L114" i="90" s="1"/>
  <c r="AD108" i="79"/>
  <c r="J13" i="81"/>
  <c r="J47" i="90"/>
  <c r="J114" i="90" s="1"/>
  <c r="F23" i="64"/>
  <c r="G23" i="64"/>
  <c r="H23" i="64"/>
  <c r="AF12" i="79"/>
  <c r="AG12" i="79" s="1"/>
  <c r="AH12" i="79" s="1"/>
  <c r="Z107" i="79"/>
  <c r="L12" i="81"/>
  <c r="L46" i="90"/>
  <c r="L113" i="90" s="1"/>
  <c r="AD107" i="79"/>
  <c r="J12" i="81"/>
  <c r="K12" i="81" s="1"/>
  <c r="M12" i="81" s="1"/>
  <c r="O12" i="81" s="1"/>
  <c r="J46" i="90"/>
  <c r="F22" i="64"/>
  <c r="G22" i="64"/>
  <c r="H22" i="64"/>
  <c r="AF11" i="79"/>
  <c r="AG11" i="79" s="1"/>
  <c r="AH11" i="79" s="1"/>
  <c r="Z106" i="79"/>
  <c r="L45" i="90"/>
  <c r="L112" i="90" s="1"/>
  <c r="L11" i="81"/>
  <c r="AD106" i="79"/>
  <c r="J11" i="81"/>
  <c r="J45" i="90"/>
  <c r="G21" i="64"/>
  <c r="F21" i="64"/>
  <c r="H21" i="64"/>
  <c r="AF10" i="79"/>
  <c r="AG10" i="79" s="1"/>
  <c r="AH10" i="79" s="1"/>
  <c r="Z105" i="79"/>
  <c r="L10" i="81"/>
  <c r="L44" i="90"/>
  <c r="L111" i="90" s="1"/>
  <c r="AD105" i="79"/>
  <c r="J10" i="81"/>
  <c r="K10" i="81" s="1"/>
  <c r="M10" i="81" s="1"/>
  <c r="O10" i="81" s="1"/>
  <c r="J44" i="90"/>
  <c r="F20" i="64"/>
  <c r="G20" i="64"/>
  <c r="H20" i="64"/>
  <c r="AF9" i="79"/>
  <c r="Z14" i="79"/>
  <c r="Z104" i="79"/>
  <c r="L109" i="79"/>
  <c r="L48" i="90" s="1"/>
  <c r="L43" i="90"/>
  <c r="L110" i="90" s="1"/>
  <c r="L9" i="81"/>
  <c r="L14" i="81" s="1"/>
  <c r="L45" i="81" s="1"/>
  <c r="Z109" i="22"/>
  <c r="Z9" i="39"/>
  <c r="I16" i="94"/>
  <c r="I24" i="94" s="1"/>
  <c r="Z9" i="90"/>
  <c r="Q31" i="95"/>
  <c r="S31" i="95" s="1"/>
  <c r="L28" i="93"/>
  <c r="L14" i="90"/>
  <c r="J28" i="93"/>
  <c r="J14" i="90"/>
  <c r="G19" i="64"/>
  <c r="H19" i="64"/>
  <c r="F19" i="64"/>
  <c r="E24" i="64"/>
  <c r="J109" i="79"/>
  <c r="J48" i="90" s="1"/>
  <c r="J9" i="81"/>
  <c r="J43" i="90"/>
  <c r="O9" i="22"/>
  <c r="M14" i="22"/>
  <c r="AH47" i="79"/>
  <c r="AG52" i="79"/>
  <c r="AH52" i="79" s="1"/>
  <c r="E13" i="81"/>
  <c r="E47" i="90"/>
  <c r="E108" i="97"/>
  <c r="E90" i="97"/>
  <c r="AA29" i="90"/>
  <c r="AA12" i="76"/>
  <c r="AA12" i="90"/>
  <c r="AA113" i="90" s="1"/>
  <c r="J19" i="94"/>
  <c r="J27" i="94" s="1"/>
  <c r="AA12" i="39"/>
  <c r="Y29" i="90"/>
  <c r="Y12" i="76"/>
  <c r="Y12" i="90"/>
  <c r="Y113" i="90" s="1"/>
  <c r="H19" i="94"/>
  <c r="H27" i="94" s="1"/>
  <c r="Y12" i="39"/>
  <c r="X29" i="90"/>
  <c r="X12" i="76"/>
  <c r="X12" i="90"/>
  <c r="X113" i="90" s="1"/>
  <c r="G19" i="94"/>
  <c r="G27" i="94" s="1"/>
  <c r="X12" i="39"/>
  <c r="W29" i="90"/>
  <c r="W12" i="76"/>
  <c r="W12" i="90"/>
  <c r="W113" i="90" s="1"/>
  <c r="F19" i="94"/>
  <c r="F27" i="94" s="1"/>
  <c r="W12" i="39"/>
  <c r="V29" i="90"/>
  <c r="V12" i="76"/>
  <c r="V12" i="90"/>
  <c r="V113" i="90" s="1"/>
  <c r="E19" i="94"/>
  <c r="E27" i="94" s="1"/>
  <c r="V12" i="39"/>
  <c r="I29" i="90"/>
  <c r="I12" i="76"/>
  <c r="I12" i="90"/>
  <c r="I113" i="90" s="1"/>
  <c r="I26" i="93"/>
  <c r="I35" i="93" s="1"/>
  <c r="I12" i="39"/>
  <c r="H29" i="90"/>
  <c r="H12" i="76"/>
  <c r="H12" i="90"/>
  <c r="H113" i="90" s="1"/>
  <c r="H26" i="93"/>
  <c r="H35" i="93" s="1"/>
  <c r="H12" i="39"/>
  <c r="G29" i="90"/>
  <c r="G12" i="76"/>
  <c r="G12" i="90"/>
  <c r="G113" i="90" s="1"/>
  <c r="G26" i="93"/>
  <c r="G35" i="93" s="1"/>
  <c r="G12" i="39"/>
  <c r="F29" i="90"/>
  <c r="F12" i="76"/>
  <c r="F12" i="90"/>
  <c r="F113" i="90" s="1"/>
  <c r="F26" i="93"/>
  <c r="F35" i="93" s="1"/>
  <c r="F12" i="39"/>
  <c r="E29" i="90"/>
  <c r="E12" i="76"/>
  <c r="E12" i="90"/>
  <c r="E113" i="90" s="1"/>
  <c r="E26" i="93"/>
  <c r="E35" i="93" s="1"/>
  <c r="E12" i="39"/>
  <c r="AA106" i="97"/>
  <c r="AA90" i="97"/>
  <c r="AA11" i="81"/>
  <c r="AA45" i="90"/>
  <c r="Y11" i="81"/>
  <c r="Y45" i="90"/>
  <c r="Y112" i="90" s="1"/>
  <c r="X45" i="90"/>
  <c r="X112" i="90" s="1"/>
  <c r="X11" i="81"/>
  <c r="W45" i="90"/>
  <c r="W112" i="90" s="1"/>
  <c r="W11" i="81"/>
  <c r="V11" i="81"/>
  <c r="V45" i="90"/>
  <c r="V112" i="90" s="1"/>
  <c r="I45" i="90"/>
  <c r="I112" i="90" s="1"/>
  <c r="I11" i="81"/>
  <c r="H11" i="81"/>
  <c r="H45" i="90"/>
  <c r="H112" i="90" s="1"/>
  <c r="G45" i="90"/>
  <c r="G112" i="90" s="1"/>
  <c r="G11" i="81"/>
  <c r="F45" i="90"/>
  <c r="F112" i="90" s="1"/>
  <c r="F11" i="81"/>
  <c r="E45" i="90"/>
  <c r="E112" i="90" s="1"/>
  <c r="E11" i="81"/>
  <c r="AA105" i="75"/>
  <c r="AA90" i="75"/>
  <c r="Y105" i="75"/>
  <c r="Y90" i="75"/>
  <c r="X105" i="75"/>
  <c r="X90" i="75"/>
  <c r="W105" i="75"/>
  <c r="W90" i="75"/>
  <c r="V105" i="75"/>
  <c r="V90" i="75"/>
  <c r="I105" i="75"/>
  <c r="I90" i="75"/>
  <c r="H105" i="75"/>
  <c r="H90" i="75"/>
  <c r="G105" i="75"/>
  <c r="G90" i="75"/>
  <c r="F105" i="75"/>
  <c r="F90" i="75"/>
  <c r="E105" i="75"/>
  <c r="E90" i="75"/>
  <c r="AH47" i="85"/>
  <c r="AG52" i="85"/>
  <c r="AH52" i="85" s="1"/>
  <c r="AF33" i="86"/>
  <c r="AG28" i="86"/>
  <c r="AF33" i="85"/>
  <c r="AG28" i="85"/>
  <c r="AB80" i="90"/>
  <c r="AB13" i="82"/>
  <c r="AF13" i="82" s="1"/>
  <c r="AG13" i="82" s="1"/>
  <c r="AH13" i="82" s="1"/>
  <c r="AB79" i="90"/>
  <c r="AB12" i="82"/>
  <c r="AF12" i="82" s="1"/>
  <c r="AG12" i="82" s="1"/>
  <c r="AH12" i="82" s="1"/>
  <c r="AB11" i="82"/>
  <c r="AF11" i="82" s="1"/>
  <c r="AG11" i="82" s="1"/>
  <c r="AH11" i="82" s="1"/>
  <c r="AB78" i="90"/>
  <c r="AB10" i="82"/>
  <c r="AF10" i="82" s="1"/>
  <c r="AG10" i="82" s="1"/>
  <c r="AH10" i="82" s="1"/>
  <c r="AB77" i="90"/>
  <c r="AG28" i="97"/>
  <c r="AF33" i="97"/>
  <c r="AB63" i="90"/>
  <c r="AB12" i="99"/>
  <c r="AF12" i="99" s="1"/>
  <c r="AG12" i="99" s="1"/>
  <c r="AH12" i="99" s="1"/>
  <c r="AB10" i="99"/>
  <c r="AF10" i="99" s="1"/>
  <c r="AG10" i="99" s="1"/>
  <c r="AH10" i="99" s="1"/>
  <c r="AB61" i="90"/>
  <c r="AF33" i="79"/>
  <c r="AG66" i="75"/>
  <c r="AF71" i="75"/>
  <c r="AF52" i="75"/>
  <c r="AG47" i="75"/>
  <c r="AF33" i="75"/>
  <c r="AG28" i="75"/>
  <c r="AB30" i="90"/>
  <c r="AB13" i="76"/>
  <c r="AF13" i="76" s="1"/>
  <c r="AG13" i="76" s="1"/>
  <c r="AH13" i="76" s="1"/>
  <c r="AB28" i="90"/>
  <c r="AB11" i="76"/>
  <c r="AF11" i="76" s="1"/>
  <c r="AG11" i="76" s="1"/>
  <c r="AH11" i="76" s="1"/>
  <c r="AB87" i="79"/>
  <c r="AB106" i="79" s="1"/>
  <c r="AB87" i="97"/>
  <c r="AF52" i="22"/>
  <c r="AF33" i="22"/>
  <c r="Z13" i="90"/>
  <c r="I20" i="94"/>
  <c r="I28" i="94" s="1"/>
  <c r="Z13" i="39"/>
  <c r="Z12" i="90"/>
  <c r="I19" i="94"/>
  <c r="I27" i="94" s="1"/>
  <c r="Z12" i="39"/>
  <c r="Z11" i="90"/>
  <c r="I18" i="94"/>
  <c r="I26" i="94" s="1"/>
  <c r="Z11" i="39"/>
  <c r="Z10" i="90"/>
  <c r="I17" i="94"/>
  <c r="I25" i="94" s="1"/>
  <c r="Z10" i="39"/>
  <c r="V14" i="88"/>
  <c r="J9" i="87"/>
  <c r="N14" i="88"/>
  <c r="N44" i="88" s="1"/>
  <c r="I14" i="88"/>
  <c r="I44" i="88" s="1"/>
  <c r="H14" i="88"/>
  <c r="H44" i="88" s="1"/>
  <c r="G14" i="88"/>
  <c r="G44" i="88" s="1"/>
  <c r="F14" i="88"/>
  <c r="F44" i="88" s="1"/>
  <c r="E14" i="88"/>
  <c r="E44" i="88" s="1"/>
  <c r="J36" i="88"/>
  <c r="J45" i="88" s="1"/>
  <c r="AF13" i="88"/>
  <c r="AG13" i="88" s="1"/>
  <c r="AH13" i="88" s="1"/>
  <c r="L146" i="86"/>
  <c r="M146" i="86" s="1"/>
  <c r="AF12" i="88"/>
  <c r="AG12" i="88" s="1"/>
  <c r="AH12" i="88" s="1"/>
  <c r="L145" i="86"/>
  <c r="M145" i="86" s="1"/>
  <c r="AF11" i="88"/>
  <c r="AG11" i="88" s="1"/>
  <c r="AH11" i="88" s="1"/>
  <c r="K147" i="85"/>
  <c r="H36" i="82"/>
  <c r="H45" i="82" s="1"/>
  <c r="L146" i="85"/>
  <c r="M146" i="85" s="1"/>
  <c r="L145" i="85"/>
  <c r="M145" i="85" s="1"/>
  <c r="L144" i="85"/>
  <c r="M144" i="85" s="1"/>
  <c r="L143" i="85"/>
  <c r="M143" i="85" s="1"/>
  <c r="Y14" i="99"/>
  <c r="X14" i="99"/>
  <c r="H14" i="99"/>
  <c r="H45" i="99" s="1"/>
  <c r="F14" i="99"/>
  <c r="F45" i="99" s="1"/>
  <c r="J9" i="83"/>
  <c r="K23" i="36" s="1"/>
  <c r="N14" i="82"/>
  <c r="N44" i="82" s="1"/>
  <c r="O6" i="98"/>
  <c r="P6" i="98" s="1"/>
  <c r="G46" i="99"/>
  <c r="H46" i="99"/>
  <c r="AC14" i="99"/>
  <c r="W14" i="99"/>
  <c r="V14" i="99"/>
  <c r="I14" i="99"/>
  <c r="I45" i="99" s="1"/>
  <c r="G14" i="99"/>
  <c r="G45" i="99" s="1"/>
  <c r="E98" i="91"/>
  <c r="O5" i="77"/>
  <c r="P5" i="77" s="1"/>
  <c r="AG10" i="88"/>
  <c r="AH10" i="88" s="1"/>
  <c r="AF51" i="69"/>
  <c r="AG51" i="69" s="1"/>
  <c r="AF50" i="69"/>
  <c r="AG50" i="69" s="1"/>
  <c r="AF49" i="69"/>
  <c r="AG49" i="69" s="1"/>
  <c r="AF48" i="69"/>
  <c r="AG48" i="69" s="1"/>
  <c r="J96" i="91"/>
  <c r="G96" i="91"/>
  <c r="G95" i="91"/>
  <c r="G94" i="91"/>
  <c r="G93" i="91"/>
  <c r="H95" i="91"/>
  <c r="H94" i="91"/>
  <c r="H93" i="91"/>
  <c r="AC115" i="90"/>
  <c r="J95" i="91"/>
  <c r="J94" i="91"/>
  <c r="G92" i="91"/>
  <c r="AC110" i="90"/>
  <c r="AC14" i="81"/>
  <c r="J36" i="81"/>
  <c r="J46" i="81" s="1"/>
  <c r="G147" i="22"/>
  <c r="M9" i="36"/>
  <c r="L145" i="79"/>
  <c r="M145" i="79" s="1"/>
  <c r="N6" i="80"/>
  <c r="O6" i="80" s="1"/>
  <c r="P6" i="80" s="1"/>
  <c r="J147" i="79"/>
  <c r="G36" i="81"/>
  <c r="G46" i="81" s="1"/>
  <c r="J147" i="85"/>
  <c r="G36" i="82"/>
  <c r="G45" i="82" s="1"/>
  <c r="H96" i="91"/>
  <c r="H92" i="91"/>
  <c r="AC14" i="39"/>
  <c r="O90" i="86"/>
  <c r="AG85" i="86"/>
  <c r="Z109" i="97"/>
  <c r="Z65" i="90" s="1"/>
  <c r="AG48" i="85"/>
  <c r="AH48" i="85" s="1"/>
  <c r="AF52" i="85"/>
  <c r="AG10" i="85"/>
  <c r="AH10" i="85" s="1"/>
  <c r="AF14" i="85"/>
  <c r="AG10" i="97"/>
  <c r="AH10" i="97" s="1"/>
  <c r="AF14" i="97"/>
  <c r="AG11" i="75"/>
  <c r="AH11" i="75" s="1"/>
  <c r="AF14" i="75"/>
  <c r="AF10" i="69"/>
  <c r="AG10" i="69" s="1"/>
  <c r="AE14" i="69"/>
  <c r="AG10" i="22"/>
  <c r="AH10" i="22" s="1"/>
  <c r="AF14" i="22"/>
  <c r="O106" i="86" l="1"/>
  <c r="M95" i="90"/>
  <c r="O105" i="86"/>
  <c r="M94" i="90"/>
  <c r="O104" i="86"/>
  <c r="M109" i="86"/>
  <c r="M98" i="90" s="1"/>
  <c r="M93" i="90"/>
  <c r="M142" i="86"/>
  <c r="L147" i="86"/>
  <c r="M147" i="86" s="1"/>
  <c r="M9" i="88"/>
  <c r="K14" i="88"/>
  <c r="K44" i="88" s="1"/>
  <c r="O3" i="87"/>
  <c r="N9" i="87"/>
  <c r="AG66" i="86"/>
  <c r="O71" i="86"/>
  <c r="O108" i="86"/>
  <c r="M97" i="90"/>
  <c r="O107" i="86"/>
  <c r="M96" i="90"/>
  <c r="H9" i="87"/>
  <c r="O6" i="87"/>
  <c r="P6" i="87" s="1"/>
  <c r="AG52" i="86"/>
  <c r="AH52" i="86" s="1"/>
  <c r="AH47" i="86"/>
  <c r="AG9" i="86"/>
  <c r="O14" i="86"/>
  <c r="AH85" i="85"/>
  <c r="AG90" i="85"/>
  <c r="AH90" i="85" s="1"/>
  <c r="O108" i="85"/>
  <c r="M80" i="90"/>
  <c r="O107" i="85"/>
  <c r="M79" i="90"/>
  <c r="O106" i="85"/>
  <c r="M78" i="90"/>
  <c r="M77" i="90"/>
  <c r="O105" i="85"/>
  <c r="AF14" i="82"/>
  <c r="AG9" i="85"/>
  <c r="O14" i="85"/>
  <c r="O104" i="85"/>
  <c r="M76" i="90"/>
  <c r="M109" i="85"/>
  <c r="M81" i="90" s="1"/>
  <c r="M142" i="85"/>
  <c r="L147" i="85"/>
  <c r="M147" i="85" s="1"/>
  <c r="M9" i="82"/>
  <c r="K14" i="82"/>
  <c r="K44" i="82" s="1"/>
  <c r="O107" i="97"/>
  <c r="O63" i="90" s="1"/>
  <c r="M63" i="90"/>
  <c r="O106" i="97"/>
  <c r="O62" i="90" s="1"/>
  <c r="M62" i="90"/>
  <c r="O105" i="97"/>
  <c r="M61" i="90"/>
  <c r="AG9" i="97"/>
  <c r="O14" i="97"/>
  <c r="M9" i="99"/>
  <c r="O104" i="97"/>
  <c r="M60" i="90"/>
  <c r="D25" i="36"/>
  <c r="O3" i="77"/>
  <c r="O108" i="75"/>
  <c r="M30" i="90"/>
  <c r="O106" i="75"/>
  <c r="M28" i="90"/>
  <c r="O104" i="75"/>
  <c r="M26" i="90"/>
  <c r="M142" i="75"/>
  <c r="AG9" i="75"/>
  <c r="O14" i="75"/>
  <c r="AD12" i="76"/>
  <c r="AD29" i="90"/>
  <c r="Z14" i="99"/>
  <c r="AD62" i="90"/>
  <c r="AD11" i="99"/>
  <c r="AD10" i="76"/>
  <c r="AD27" i="90"/>
  <c r="O85" i="97"/>
  <c r="O90" i="97" s="1"/>
  <c r="M90" i="97"/>
  <c r="AD9" i="99"/>
  <c r="AD60" i="90"/>
  <c r="O85" i="75"/>
  <c r="O90" i="75" s="1"/>
  <c r="M90" i="75"/>
  <c r="AF90" i="75"/>
  <c r="AG85" i="75"/>
  <c r="AF104" i="75"/>
  <c r="AD109" i="75"/>
  <c r="AD31" i="90" s="1"/>
  <c r="AD9" i="76"/>
  <c r="AD26" i="90"/>
  <c r="AF28" i="69"/>
  <c r="O33" i="69"/>
  <c r="AD108" i="97"/>
  <c r="AD109" i="97" s="1"/>
  <c r="AD65" i="90" s="1"/>
  <c r="AE109" i="97"/>
  <c r="AE65" i="90" s="1"/>
  <c r="AE13" i="99"/>
  <c r="AE14" i="99" s="1"/>
  <c r="AE64" i="90"/>
  <c r="AD108" i="22"/>
  <c r="AF108" i="22" s="1"/>
  <c r="AE13" i="39"/>
  <c r="L20" i="94"/>
  <c r="AE13" i="90"/>
  <c r="AE114" i="90" s="1"/>
  <c r="U109" i="97"/>
  <c r="AF108" i="97"/>
  <c r="U64" i="90"/>
  <c r="U13" i="99"/>
  <c r="U13" i="90"/>
  <c r="D20" i="94"/>
  <c r="D28" i="94" s="1"/>
  <c r="U13" i="39"/>
  <c r="U47" i="90"/>
  <c r="U13" i="81"/>
  <c r="AF108" i="79"/>
  <c r="N13" i="90"/>
  <c r="N114" i="90" s="1"/>
  <c r="N27" i="93"/>
  <c r="N36" i="93" s="1"/>
  <c r="K28" i="94" s="1"/>
  <c r="N13" i="39"/>
  <c r="J7" i="36"/>
  <c r="D109" i="97"/>
  <c r="K108" i="97"/>
  <c r="D64" i="90"/>
  <c r="D13" i="99"/>
  <c r="D146" i="97"/>
  <c r="L146" i="97" s="1"/>
  <c r="M146" i="97" s="1"/>
  <c r="I7" i="98"/>
  <c r="I53" i="91"/>
  <c r="I34" i="99"/>
  <c r="K108" i="22"/>
  <c r="D13" i="90"/>
  <c r="D27" i="93"/>
  <c r="D36" i="93" s="1"/>
  <c r="D13" i="39"/>
  <c r="K13" i="39" s="1"/>
  <c r="M13" i="39" s="1"/>
  <c r="O13" i="39" s="1"/>
  <c r="I7" i="36"/>
  <c r="N7" i="36" s="1"/>
  <c r="O7" i="36" s="1"/>
  <c r="P7" i="36" s="1"/>
  <c r="D146" i="22"/>
  <c r="L146" i="22" s="1"/>
  <c r="M146" i="22" s="1"/>
  <c r="I34" i="39"/>
  <c r="I10" i="91"/>
  <c r="D47" i="90"/>
  <c r="D13" i="81"/>
  <c r="K13" i="81" s="1"/>
  <c r="M13" i="81" s="1"/>
  <c r="O13" i="81" s="1"/>
  <c r="I7" i="80"/>
  <c r="N7" i="80" s="1"/>
  <c r="O7" i="80" s="1"/>
  <c r="P7" i="80" s="1"/>
  <c r="D146" i="79"/>
  <c r="L146" i="79" s="1"/>
  <c r="M146" i="79" s="1"/>
  <c r="K108" i="79"/>
  <c r="I39" i="91"/>
  <c r="I34" i="81"/>
  <c r="AD107" i="22"/>
  <c r="AE12" i="90"/>
  <c r="AE113" i="90" s="1"/>
  <c r="L19" i="94"/>
  <c r="AE12" i="39"/>
  <c r="U12" i="90"/>
  <c r="D19" i="94"/>
  <c r="D27" i="94" s="1"/>
  <c r="U12" i="39"/>
  <c r="AF107" i="22"/>
  <c r="U29" i="90"/>
  <c r="U12" i="76"/>
  <c r="AF107" i="75"/>
  <c r="N12" i="90"/>
  <c r="N113" i="90" s="1"/>
  <c r="N26" i="93"/>
  <c r="N35" i="93" s="1"/>
  <c r="K27" i="94" s="1"/>
  <c r="J6" i="36"/>
  <c r="N12" i="39"/>
  <c r="N29" i="90"/>
  <c r="N12" i="76"/>
  <c r="J6" i="77"/>
  <c r="D29" i="90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K107" i="75"/>
  <c r="I33" i="76"/>
  <c r="I24" i="91"/>
  <c r="D12" i="90"/>
  <c r="D113" i="90" s="1"/>
  <c r="D26" i="93"/>
  <c r="D35" i="93" s="1"/>
  <c r="D12" i="39"/>
  <c r="K12" i="39" s="1"/>
  <c r="M12" i="39" s="1"/>
  <c r="O12" i="39" s="1"/>
  <c r="I6" i="36"/>
  <c r="N6" i="36" s="1"/>
  <c r="O6" i="36" s="1"/>
  <c r="P6" i="36" s="1"/>
  <c r="D145" i="22"/>
  <c r="L145" i="22" s="1"/>
  <c r="M145" i="22" s="1"/>
  <c r="K107" i="22"/>
  <c r="I33" i="39"/>
  <c r="I9" i="91"/>
  <c r="I95" i="91" s="1"/>
  <c r="AD106" i="22"/>
  <c r="AE11" i="39"/>
  <c r="L18" i="94"/>
  <c r="AE11" i="90"/>
  <c r="AE112" i="90" s="1"/>
  <c r="U45" i="90"/>
  <c r="U11" i="81"/>
  <c r="AF106" i="79"/>
  <c r="AF106" i="22"/>
  <c r="U11" i="90"/>
  <c r="U112" i="90" s="1"/>
  <c r="D18" i="94"/>
  <c r="D26" i="94" s="1"/>
  <c r="U11" i="39"/>
  <c r="N11" i="90"/>
  <c r="N25" i="93"/>
  <c r="N34" i="93" s="1"/>
  <c r="K26" i="94" s="1"/>
  <c r="N11" i="39"/>
  <c r="J5" i="36"/>
  <c r="D144" i="97"/>
  <c r="L144" i="97" s="1"/>
  <c r="M144" i="97" s="1"/>
  <c r="N62" i="90"/>
  <c r="N11" i="99"/>
  <c r="O11" i="99" s="1"/>
  <c r="J5" i="98"/>
  <c r="N5" i="98" s="1"/>
  <c r="O5" i="98" s="1"/>
  <c r="P5" i="98" s="1"/>
  <c r="I32" i="99"/>
  <c r="I51" i="91"/>
  <c r="D11" i="81"/>
  <c r="K11" i="81" s="1"/>
  <c r="M11" i="81" s="1"/>
  <c r="O11" i="81" s="1"/>
  <c r="D45" i="90"/>
  <c r="I5" i="80"/>
  <c r="N5" i="80" s="1"/>
  <c r="O5" i="80" s="1"/>
  <c r="P5" i="80" s="1"/>
  <c r="D144" i="79"/>
  <c r="L144" i="79" s="1"/>
  <c r="M144" i="79" s="1"/>
  <c r="K106" i="79"/>
  <c r="I32" i="81"/>
  <c r="I37" i="91"/>
  <c r="D144" i="22"/>
  <c r="L144" i="22" s="1"/>
  <c r="M144" i="22" s="1"/>
  <c r="D11" i="90"/>
  <c r="D25" i="93"/>
  <c r="D34" i="93" s="1"/>
  <c r="D11" i="39"/>
  <c r="K11" i="39" s="1"/>
  <c r="M11" i="39" s="1"/>
  <c r="I5" i="36"/>
  <c r="K106" i="22"/>
  <c r="I32" i="39"/>
  <c r="I8" i="91"/>
  <c r="AD105" i="22"/>
  <c r="AE10" i="39"/>
  <c r="L17" i="94"/>
  <c r="AE10" i="90"/>
  <c r="AE109" i="75"/>
  <c r="AE31" i="90" s="1"/>
  <c r="AE27" i="90"/>
  <c r="AE10" i="76"/>
  <c r="AE14" i="76" s="1"/>
  <c r="U10" i="90"/>
  <c r="D17" i="94"/>
  <c r="D25" i="94" s="1"/>
  <c r="U10" i="39"/>
  <c r="AF105" i="22"/>
  <c r="U109" i="75"/>
  <c r="U27" i="90"/>
  <c r="U10" i="76"/>
  <c r="N10" i="90"/>
  <c r="N24" i="93"/>
  <c r="N33" i="93" s="1"/>
  <c r="K25" i="94" s="1"/>
  <c r="N10" i="39"/>
  <c r="J4" i="36"/>
  <c r="N109" i="75"/>
  <c r="N27" i="90"/>
  <c r="N10" i="76"/>
  <c r="J4" i="77"/>
  <c r="AB105" i="75"/>
  <c r="AF105" i="75" s="1"/>
  <c r="AB90" i="75"/>
  <c r="D143" i="22"/>
  <c r="L143" i="22" s="1"/>
  <c r="M143" i="22" s="1"/>
  <c r="D10" i="90"/>
  <c r="D24" i="93"/>
  <c r="D33" i="93" s="1"/>
  <c r="D10" i="39"/>
  <c r="K10" i="39" s="1"/>
  <c r="M10" i="39" s="1"/>
  <c r="O10" i="39" s="1"/>
  <c r="I4" i="36"/>
  <c r="N4" i="36" s="1"/>
  <c r="O4" i="36" s="1"/>
  <c r="P4" i="36" s="1"/>
  <c r="K105" i="22"/>
  <c r="I31" i="39"/>
  <c r="I7" i="91"/>
  <c r="I93" i="91" s="1"/>
  <c r="D109" i="75"/>
  <c r="D27" i="90"/>
  <c r="D10" i="76"/>
  <c r="I4" i="77"/>
  <c r="D143" i="75"/>
  <c r="K105" i="75"/>
  <c r="I131" i="75"/>
  <c r="I31" i="76"/>
  <c r="I22" i="91"/>
  <c r="H147" i="75"/>
  <c r="G4" i="77"/>
  <c r="G9" i="77" s="1"/>
  <c r="H20" i="36" s="1"/>
  <c r="AD104" i="22"/>
  <c r="AE9" i="90"/>
  <c r="L16" i="94"/>
  <c r="AE9" i="39"/>
  <c r="AE109" i="22"/>
  <c r="AE43" i="90"/>
  <c r="AE9" i="81"/>
  <c r="AE14" i="81" s="1"/>
  <c r="AE109" i="79"/>
  <c r="AE48" i="90" s="1"/>
  <c r="AA43" i="90"/>
  <c r="AA9" i="81"/>
  <c r="AA14" i="81" s="1"/>
  <c r="AA109" i="79"/>
  <c r="AA48" i="90" s="1"/>
  <c r="AA9" i="90"/>
  <c r="AA110" i="90" s="1"/>
  <c r="J16" i="94"/>
  <c r="J24" i="94" s="1"/>
  <c r="AA9" i="39"/>
  <c r="AA14" i="39" s="1"/>
  <c r="AA109" i="22"/>
  <c r="Y43" i="90"/>
  <c r="Y9" i="81"/>
  <c r="Y14" i="81" s="1"/>
  <c r="Y109" i="79"/>
  <c r="Y48" i="90" s="1"/>
  <c r="Y109" i="22"/>
  <c r="Y9" i="90"/>
  <c r="Y110" i="90" s="1"/>
  <c r="H16" i="94"/>
  <c r="H24" i="94" s="1"/>
  <c r="Y9" i="39"/>
  <c r="Y14" i="39" s="1"/>
  <c r="X9" i="81"/>
  <c r="X14" i="81" s="1"/>
  <c r="X43" i="90"/>
  <c r="X109" i="79"/>
  <c r="X48" i="90" s="1"/>
  <c r="X9" i="90"/>
  <c r="X110" i="90" s="1"/>
  <c r="G16" i="94"/>
  <c r="G24" i="94" s="1"/>
  <c r="X9" i="39"/>
  <c r="X14" i="39" s="1"/>
  <c r="X109" i="22"/>
  <c r="W43" i="90"/>
  <c r="W9" i="81"/>
  <c r="W14" i="81" s="1"/>
  <c r="W109" i="79"/>
  <c r="W48" i="90" s="1"/>
  <c r="W9" i="90"/>
  <c r="W110" i="90" s="1"/>
  <c r="F16" i="94"/>
  <c r="F24" i="94" s="1"/>
  <c r="W9" i="39"/>
  <c r="W14" i="39" s="1"/>
  <c r="W109" i="22"/>
  <c r="V43" i="90"/>
  <c r="V9" i="81"/>
  <c r="V14" i="81" s="1"/>
  <c r="V109" i="79"/>
  <c r="V48" i="90" s="1"/>
  <c r="V9" i="90"/>
  <c r="V110" i="90" s="1"/>
  <c r="E16" i="94"/>
  <c r="E24" i="94" s="1"/>
  <c r="V9" i="39"/>
  <c r="V14" i="39" s="1"/>
  <c r="V109" i="22"/>
  <c r="U9" i="81"/>
  <c r="U43" i="90"/>
  <c r="U109" i="79"/>
  <c r="AF90" i="79"/>
  <c r="U9" i="90"/>
  <c r="U110" i="90" s="1"/>
  <c r="D16" i="94"/>
  <c r="D24" i="94" s="1"/>
  <c r="U9" i="39"/>
  <c r="U109" i="22"/>
  <c r="AF90" i="22"/>
  <c r="AB104" i="79"/>
  <c r="AF104" i="79" s="1"/>
  <c r="AB90" i="79"/>
  <c r="AF85" i="97"/>
  <c r="AB104" i="97"/>
  <c r="AB90" i="97"/>
  <c r="D142" i="97"/>
  <c r="N60" i="90"/>
  <c r="N109" i="97"/>
  <c r="N9" i="99"/>
  <c r="J3" i="98"/>
  <c r="G3" i="98"/>
  <c r="H147" i="97"/>
  <c r="I30" i="99"/>
  <c r="I49" i="91"/>
  <c r="I131" i="97"/>
  <c r="N9" i="90"/>
  <c r="N23" i="93"/>
  <c r="N32" i="93" s="1"/>
  <c r="K24" i="94" s="1"/>
  <c r="N9" i="39"/>
  <c r="J3" i="36"/>
  <c r="N109" i="22"/>
  <c r="AB104" i="22"/>
  <c r="AF104" i="22" s="1"/>
  <c r="AB90" i="22"/>
  <c r="N43" i="90"/>
  <c r="N9" i="81"/>
  <c r="N14" i="81" s="1"/>
  <c r="J3" i="80"/>
  <c r="J9" i="80" s="1"/>
  <c r="K21" i="36" s="1"/>
  <c r="N109" i="79"/>
  <c r="I9" i="90"/>
  <c r="I23" i="93"/>
  <c r="I32" i="93" s="1"/>
  <c r="I9" i="39"/>
  <c r="I14" i="39" s="1"/>
  <c r="I109" i="22"/>
  <c r="I43" i="90"/>
  <c r="I9" i="81"/>
  <c r="I14" i="81" s="1"/>
  <c r="I45" i="81" s="1"/>
  <c r="I109" i="79"/>
  <c r="I48" i="90" s="1"/>
  <c r="H9" i="90"/>
  <c r="H23" i="93"/>
  <c r="H32" i="93" s="1"/>
  <c r="H9" i="39"/>
  <c r="H14" i="39" s="1"/>
  <c r="H44" i="39" s="1"/>
  <c r="H109" i="22"/>
  <c r="H43" i="90"/>
  <c r="H9" i="81"/>
  <c r="H14" i="81" s="1"/>
  <c r="H45" i="81" s="1"/>
  <c r="H109" i="79"/>
  <c r="H48" i="90" s="1"/>
  <c r="G43" i="90"/>
  <c r="G9" i="81"/>
  <c r="G14" i="81" s="1"/>
  <c r="G45" i="81" s="1"/>
  <c r="G109" i="79"/>
  <c r="G48" i="90" s="1"/>
  <c r="G9" i="90"/>
  <c r="G110" i="90" s="1"/>
  <c r="G23" i="93"/>
  <c r="G32" i="93" s="1"/>
  <c r="G9" i="39"/>
  <c r="G14" i="39" s="1"/>
  <c r="G109" i="22"/>
  <c r="F109" i="22"/>
  <c r="F9" i="90"/>
  <c r="F110" i="90" s="1"/>
  <c r="F23" i="93"/>
  <c r="F32" i="93" s="1"/>
  <c r="F9" i="39"/>
  <c r="F14" i="39" s="1"/>
  <c r="F43" i="90"/>
  <c r="F9" i="81"/>
  <c r="F14" i="81" s="1"/>
  <c r="F45" i="81" s="1"/>
  <c r="F109" i="79"/>
  <c r="F48" i="90" s="1"/>
  <c r="E43" i="90"/>
  <c r="E9" i="81"/>
  <c r="E14" i="81" s="1"/>
  <c r="E45" i="81" s="1"/>
  <c r="E109" i="79"/>
  <c r="E48" i="90" s="1"/>
  <c r="E9" i="90"/>
  <c r="E110" i="90" s="1"/>
  <c r="E23" i="93"/>
  <c r="E32" i="93" s="1"/>
  <c r="E9" i="39"/>
  <c r="E14" i="39" s="1"/>
  <c r="E109" i="22"/>
  <c r="AF9" i="69"/>
  <c r="O14" i="69"/>
  <c r="M52" i="69"/>
  <c r="O47" i="69"/>
  <c r="D43" i="90"/>
  <c r="D9" i="81"/>
  <c r="I3" i="80"/>
  <c r="D142" i="79"/>
  <c r="D109" i="79"/>
  <c r="K104" i="79"/>
  <c r="M85" i="79"/>
  <c r="K90" i="79"/>
  <c r="I131" i="79"/>
  <c r="I35" i="91"/>
  <c r="I30" i="81"/>
  <c r="I36" i="81" s="1"/>
  <c r="I46" i="81" s="1"/>
  <c r="H147" i="79"/>
  <c r="G3" i="80"/>
  <c r="G9" i="80" s="1"/>
  <c r="H21" i="36" s="1"/>
  <c r="D142" i="22"/>
  <c r="D109" i="22"/>
  <c r="K104" i="22"/>
  <c r="D9" i="90"/>
  <c r="D110" i="90" s="1"/>
  <c r="D23" i="93"/>
  <c r="D32" i="93" s="1"/>
  <c r="I3" i="36"/>
  <c r="D9" i="39"/>
  <c r="M85" i="22"/>
  <c r="K90" i="22"/>
  <c r="H147" i="22"/>
  <c r="G3" i="36"/>
  <c r="I131" i="22"/>
  <c r="I12" i="91" s="1"/>
  <c r="I30" i="39"/>
  <c r="I6" i="91"/>
  <c r="I92" i="91" s="1"/>
  <c r="O105" i="79"/>
  <c r="O44" i="90" s="1"/>
  <c r="M44" i="90"/>
  <c r="AG66" i="85"/>
  <c r="O71" i="85"/>
  <c r="AG66" i="97"/>
  <c r="O71" i="97"/>
  <c r="AG66" i="79"/>
  <c r="O71" i="79"/>
  <c r="M71" i="22"/>
  <c r="O66" i="22"/>
  <c r="O107" i="79"/>
  <c r="O46" i="90" s="1"/>
  <c r="M46" i="90"/>
  <c r="P4" i="70"/>
  <c r="L12" i="91"/>
  <c r="L98" i="91" s="1"/>
  <c r="K45" i="39"/>
  <c r="J45" i="39"/>
  <c r="H9" i="83"/>
  <c r="I23" i="36" s="1"/>
  <c r="O3" i="83"/>
  <c r="H4" i="77"/>
  <c r="H9" i="77" s="1"/>
  <c r="I20" i="36" s="1"/>
  <c r="F9" i="77"/>
  <c r="G20" i="36" s="1"/>
  <c r="H3" i="80"/>
  <c r="F9" i="80"/>
  <c r="G21" i="36" s="1"/>
  <c r="Z47" i="90"/>
  <c r="Z114" i="90" s="1"/>
  <c r="Z13" i="81"/>
  <c r="AD47" i="90"/>
  <c r="AD13" i="81"/>
  <c r="AF107" i="79"/>
  <c r="AF46" i="90" s="1"/>
  <c r="Z46" i="90"/>
  <c r="Z113" i="90" s="1"/>
  <c r="Z12" i="81"/>
  <c r="AF12" i="81" s="1"/>
  <c r="AG12" i="81" s="1"/>
  <c r="AH12" i="81" s="1"/>
  <c r="AD12" i="81"/>
  <c r="AD46" i="90"/>
  <c r="Z11" i="81"/>
  <c r="Z45" i="90"/>
  <c r="Z112" i="90" s="1"/>
  <c r="AD11" i="81"/>
  <c r="AD45" i="90"/>
  <c r="AF105" i="79"/>
  <c r="Z10" i="81"/>
  <c r="Z44" i="90"/>
  <c r="Z111" i="90" s="1"/>
  <c r="AD10" i="81"/>
  <c r="AD44" i="90"/>
  <c r="AF14" i="79"/>
  <c r="AG9" i="79"/>
  <c r="Z109" i="79"/>
  <c r="Z48" i="90" s="1"/>
  <c r="Z43" i="90"/>
  <c r="Z110" i="90" s="1"/>
  <c r="Z9" i="81"/>
  <c r="Z14" i="81" s="1"/>
  <c r="I21" i="94"/>
  <c r="I29" i="94" s="1"/>
  <c r="Z14" i="90"/>
  <c r="Z115" i="90" s="1"/>
  <c r="F24" i="64"/>
  <c r="G24" i="64"/>
  <c r="H24" i="64"/>
  <c r="AD109" i="79"/>
  <c r="AD48" i="90" s="1"/>
  <c r="AD9" i="81"/>
  <c r="AD14" i="81" s="1"/>
  <c r="AD43" i="90"/>
  <c r="AG9" i="22"/>
  <c r="O14" i="22"/>
  <c r="E109" i="97"/>
  <c r="E65" i="90" s="1"/>
  <c r="E64" i="90"/>
  <c r="E114" i="90" s="1"/>
  <c r="E13" i="99"/>
  <c r="E14" i="99" s="1"/>
  <c r="E45" i="99" s="1"/>
  <c r="AA109" i="97"/>
  <c r="AA65" i="90" s="1"/>
  <c r="AA11" i="99"/>
  <c r="AA62" i="90"/>
  <c r="AA112" i="90" s="1"/>
  <c r="AA109" i="75"/>
  <c r="AA31" i="90" s="1"/>
  <c r="AA27" i="90"/>
  <c r="AA111" i="90" s="1"/>
  <c r="AA10" i="76"/>
  <c r="AA14" i="76" s="1"/>
  <c r="Y109" i="75"/>
  <c r="Y31" i="90" s="1"/>
  <c r="Y27" i="90"/>
  <c r="Y111" i="90" s="1"/>
  <c r="Y10" i="76"/>
  <c r="Y14" i="76" s="1"/>
  <c r="X109" i="75"/>
  <c r="X31" i="90" s="1"/>
  <c r="X27" i="90"/>
  <c r="X111" i="90" s="1"/>
  <c r="X10" i="76"/>
  <c r="X14" i="76" s="1"/>
  <c r="W109" i="75"/>
  <c r="W31" i="90" s="1"/>
  <c r="W27" i="90"/>
  <c r="W111" i="90" s="1"/>
  <c r="W10" i="76"/>
  <c r="W14" i="76" s="1"/>
  <c r="V109" i="75"/>
  <c r="V31" i="90" s="1"/>
  <c r="V27" i="90"/>
  <c r="V111" i="90" s="1"/>
  <c r="V10" i="76"/>
  <c r="V14" i="76" s="1"/>
  <c r="I109" i="75"/>
  <c r="I31" i="90" s="1"/>
  <c r="I27" i="90"/>
  <c r="I111" i="90" s="1"/>
  <c r="I10" i="76"/>
  <c r="I14" i="76" s="1"/>
  <c r="I44" i="76" s="1"/>
  <c r="H109" i="75"/>
  <c r="H31" i="90" s="1"/>
  <c r="H27" i="90"/>
  <c r="H111" i="90" s="1"/>
  <c r="H10" i="76"/>
  <c r="H14" i="76" s="1"/>
  <c r="H44" i="76" s="1"/>
  <c r="G109" i="75"/>
  <c r="G31" i="90" s="1"/>
  <c r="G27" i="90"/>
  <c r="G111" i="90" s="1"/>
  <c r="G10" i="76"/>
  <c r="G14" i="76" s="1"/>
  <c r="G44" i="76" s="1"/>
  <c r="F109" i="75"/>
  <c r="F31" i="90" s="1"/>
  <c r="F27" i="90"/>
  <c r="F111" i="90" s="1"/>
  <c r="F10" i="76"/>
  <c r="F14" i="76" s="1"/>
  <c r="F44" i="76" s="1"/>
  <c r="E109" i="75"/>
  <c r="E31" i="90" s="1"/>
  <c r="E27" i="90"/>
  <c r="E111" i="90" s="1"/>
  <c r="E10" i="76"/>
  <c r="E14" i="76" s="1"/>
  <c r="E44" i="76" s="1"/>
  <c r="AH28" i="86"/>
  <c r="AG33" i="86"/>
  <c r="AH33" i="86" s="1"/>
  <c r="AH28" i="85"/>
  <c r="AG33" i="85"/>
  <c r="AH33" i="85" s="1"/>
  <c r="AG33" i="97"/>
  <c r="AH33" i="97" s="1"/>
  <c r="AH28" i="97"/>
  <c r="AH66" i="75"/>
  <c r="AG71" i="75"/>
  <c r="AH71" i="75" s="1"/>
  <c r="AH47" i="75"/>
  <c r="AG52" i="75"/>
  <c r="AH52" i="75" s="1"/>
  <c r="AH28" i="75"/>
  <c r="AG33" i="75"/>
  <c r="AH33" i="75" s="1"/>
  <c r="AB11" i="81"/>
  <c r="AB45" i="90"/>
  <c r="AF87" i="97"/>
  <c r="AG87" i="97" s="1"/>
  <c r="AH87" i="97" s="1"/>
  <c r="AB106" i="97"/>
  <c r="N25" i="36"/>
  <c r="P3" i="70"/>
  <c r="AH85" i="86"/>
  <c r="AG90" i="86"/>
  <c r="AH90" i="86" s="1"/>
  <c r="P32" i="36"/>
  <c r="Q32" i="36" s="1"/>
  <c r="AB14" i="82"/>
  <c r="AG87" i="79"/>
  <c r="AH87" i="79" s="1"/>
  <c r="N33" i="36"/>
  <c r="K33" i="36"/>
  <c r="G98" i="91"/>
  <c r="E24" i="36"/>
  <c r="E25" i="36" s="1"/>
  <c r="H98" i="91"/>
  <c r="L33" i="36"/>
  <c r="J113" i="90"/>
  <c r="J112" i="90"/>
  <c r="J111" i="90"/>
  <c r="AG89" i="79"/>
  <c r="AH89" i="79" s="1"/>
  <c r="O33" i="36"/>
  <c r="Z14" i="39"/>
  <c r="L115" i="90"/>
  <c r="J115" i="90"/>
  <c r="J14" i="81"/>
  <c r="J45" i="81" s="1"/>
  <c r="AB14" i="88"/>
  <c r="AF9" i="88"/>
  <c r="O52" i="97"/>
  <c r="AG47" i="97"/>
  <c r="O33" i="79"/>
  <c r="AG28" i="79"/>
  <c r="J14" i="76"/>
  <c r="J44" i="76" s="1"/>
  <c r="K9" i="76"/>
  <c r="AB108" i="22"/>
  <c r="AF89" i="22"/>
  <c r="AG89" i="22" s="1"/>
  <c r="AH89" i="22" s="1"/>
  <c r="M89" i="97"/>
  <c r="O89" i="97" s="1"/>
  <c r="AG89" i="97" s="1"/>
  <c r="AH89" i="97" s="1"/>
  <c r="K90" i="97"/>
  <c r="AB107" i="22"/>
  <c r="AF88" i="22"/>
  <c r="AG88" i="22" s="1"/>
  <c r="AH88" i="22" s="1"/>
  <c r="AB107" i="75"/>
  <c r="AF88" i="75"/>
  <c r="AG88" i="75" s="1"/>
  <c r="AH88" i="75" s="1"/>
  <c r="AB106" i="22"/>
  <c r="AF87" i="22"/>
  <c r="AG87" i="22" s="1"/>
  <c r="AH87" i="22" s="1"/>
  <c r="AB105" i="22"/>
  <c r="AF86" i="22"/>
  <c r="AG86" i="22" s="1"/>
  <c r="AH86" i="22" s="1"/>
  <c r="M86" i="75"/>
  <c r="O86" i="75" s="1"/>
  <c r="K90" i="75"/>
  <c r="O52" i="22"/>
  <c r="AG47" i="22"/>
  <c r="O33" i="22"/>
  <c r="AG28" i="22"/>
  <c r="AG106" i="86" l="1"/>
  <c r="O95" i="90"/>
  <c r="AG105" i="86"/>
  <c r="O94" i="90"/>
  <c r="AG104" i="86"/>
  <c r="O93" i="90"/>
  <c r="O109" i="86"/>
  <c r="O98" i="90" s="1"/>
  <c r="M14" i="88"/>
  <c r="M44" i="88" s="1"/>
  <c r="O9" i="88"/>
  <c r="O14" i="88" s="1"/>
  <c r="O44" i="88" s="1"/>
  <c r="O9" i="87"/>
  <c r="P9" i="87" s="1"/>
  <c r="P3" i="87"/>
  <c r="AH66" i="86"/>
  <c r="AG71" i="86"/>
  <c r="AH71" i="86" s="1"/>
  <c r="AG108" i="86"/>
  <c r="O97" i="90"/>
  <c r="AG107" i="86"/>
  <c r="O96" i="90"/>
  <c r="AG14" i="86"/>
  <c r="AH14" i="86" s="1"/>
  <c r="AH9" i="86"/>
  <c r="AG108" i="85"/>
  <c r="O80" i="90"/>
  <c r="AG107" i="85"/>
  <c r="O79" i="90"/>
  <c r="AG106" i="85"/>
  <c r="O78" i="90"/>
  <c r="AG105" i="85"/>
  <c r="O77" i="90"/>
  <c r="AG14" i="85"/>
  <c r="AH14" i="85" s="1"/>
  <c r="AH9" i="85"/>
  <c r="AG104" i="85"/>
  <c r="O76" i="90"/>
  <c r="O109" i="85"/>
  <c r="O81" i="90" s="1"/>
  <c r="O9" i="82"/>
  <c r="M14" i="82"/>
  <c r="M44" i="82" s="1"/>
  <c r="AG105" i="97"/>
  <c r="AH105" i="97" s="1"/>
  <c r="O61" i="90"/>
  <c r="AG14" i="97"/>
  <c r="AH14" i="97" s="1"/>
  <c r="AH9" i="97"/>
  <c r="O9" i="99"/>
  <c r="O60" i="90"/>
  <c r="P3" i="77"/>
  <c r="AG108" i="75"/>
  <c r="O30" i="90"/>
  <c r="AG106" i="75"/>
  <c r="O28" i="90"/>
  <c r="O26" i="90"/>
  <c r="AG14" i="75"/>
  <c r="AH14" i="75" s="1"/>
  <c r="AH9" i="75"/>
  <c r="AH85" i="75"/>
  <c r="AG90" i="75"/>
  <c r="AH90" i="75" s="1"/>
  <c r="AF26" i="90"/>
  <c r="AF109" i="75"/>
  <c r="AF31" i="90" s="1"/>
  <c r="AG104" i="75"/>
  <c r="AF9" i="76"/>
  <c r="AD14" i="76"/>
  <c r="AF33" i="69"/>
  <c r="AG33" i="69" s="1"/>
  <c r="AG28" i="69"/>
  <c r="AD64" i="90"/>
  <c r="AD13" i="99"/>
  <c r="AD14" i="99" s="1"/>
  <c r="AD13" i="90"/>
  <c r="AD114" i="90" s="1"/>
  <c r="M20" i="94"/>
  <c r="M28" i="94" s="1"/>
  <c r="AD13" i="39"/>
  <c r="N28" i="94"/>
  <c r="L28" i="94"/>
  <c r="Y111" i="97"/>
  <c r="U65" i="90"/>
  <c r="AF64" i="90"/>
  <c r="U14" i="99"/>
  <c r="Y16" i="99" s="1"/>
  <c r="AF13" i="99"/>
  <c r="N20" i="94"/>
  <c r="O28" i="94" s="1"/>
  <c r="AF13" i="90"/>
  <c r="AF47" i="90"/>
  <c r="D31" i="36"/>
  <c r="D65" i="90"/>
  <c r="K109" i="97"/>
  <c r="K65" i="90" s="1"/>
  <c r="K64" i="90"/>
  <c r="M108" i="97"/>
  <c r="D14" i="99"/>
  <c r="D45" i="99" s="1"/>
  <c r="K13" i="99"/>
  <c r="I9" i="98"/>
  <c r="J22" i="36" s="1"/>
  <c r="N7" i="98"/>
  <c r="O7" i="98" s="1"/>
  <c r="P7" i="98" s="1"/>
  <c r="M108" i="22"/>
  <c r="K27" i="93"/>
  <c r="K36" i="93" s="1"/>
  <c r="K13" i="90"/>
  <c r="M108" i="79"/>
  <c r="K47" i="90"/>
  <c r="AD12" i="90"/>
  <c r="AD113" i="90" s="1"/>
  <c r="M19" i="94"/>
  <c r="M27" i="94" s="1"/>
  <c r="AD12" i="39"/>
  <c r="L27" i="94"/>
  <c r="N27" i="94"/>
  <c r="N19" i="94"/>
  <c r="O27" i="94" s="1"/>
  <c r="AF12" i="90"/>
  <c r="AF29" i="90"/>
  <c r="M107" i="75"/>
  <c r="K29" i="90"/>
  <c r="M107" i="22"/>
  <c r="K26" i="93"/>
  <c r="K35" i="93" s="1"/>
  <c r="K12" i="90"/>
  <c r="K113" i="90" s="1"/>
  <c r="AD11" i="90"/>
  <c r="AD112" i="90" s="1"/>
  <c r="M18" i="94"/>
  <c r="M26" i="94" s="1"/>
  <c r="AD11" i="39"/>
  <c r="L26" i="94"/>
  <c r="N26" i="94"/>
  <c r="AF45" i="90"/>
  <c r="N18" i="94"/>
  <c r="O26" i="94" s="1"/>
  <c r="AF11" i="90"/>
  <c r="M106" i="79"/>
  <c r="K45" i="90"/>
  <c r="K25" i="93"/>
  <c r="K34" i="93" s="1"/>
  <c r="K11" i="90"/>
  <c r="K112" i="90" s="1"/>
  <c r="M106" i="22"/>
  <c r="AD10" i="90"/>
  <c r="AD111" i="90" s="1"/>
  <c r="M17" i="94"/>
  <c r="M25" i="94" s="1"/>
  <c r="AD10" i="39"/>
  <c r="L25" i="94"/>
  <c r="N25" i="94"/>
  <c r="N17" i="94"/>
  <c r="O25" i="94" s="1"/>
  <c r="AF10" i="90"/>
  <c r="U31" i="90"/>
  <c r="Y111" i="75"/>
  <c r="U14" i="76"/>
  <c r="Y16" i="76" s="1"/>
  <c r="AF27" i="90"/>
  <c r="E29" i="36"/>
  <c r="N31" i="90"/>
  <c r="AB109" i="75"/>
  <c r="AB31" i="90" s="1"/>
  <c r="AB27" i="90"/>
  <c r="AB10" i="76"/>
  <c r="AF10" i="76" s="1"/>
  <c r="AG10" i="76" s="1"/>
  <c r="AH10" i="76" s="1"/>
  <c r="M105" i="22"/>
  <c r="K24" i="93"/>
  <c r="K33" i="93" s="1"/>
  <c r="K10" i="90"/>
  <c r="K111" i="90" s="1"/>
  <c r="D31" i="90"/>
  <c r="D29" i="36"/>
  <c r="D14" i="76"/>
  <c r="D44" i="76" s="1"/>
  <c r="K10" i="76"/>
  <c r="M10" i="76" s="1"/>
  <c r="O10" i="76" s="1"/>
  <c r="I9" i="77"/>
  <c r="J20" i="36" s="1"/>
  <c r="N4" i="77"/>
  <c r="D147" i="75"/>
  <c r="L143" i="75"/>
  <c r="K109" i="75"/>
  <c r="K31" i="90" s="1"/>
  <c r="M105" i="75"/>
  <c r="K27" i="90"/>
  <c r="M29" i="36"/>
  <c r="I27" i="91"/>
  <c r="AD9" i="90"/>
  <c r="AD110" i="90" s="1"/>
  <c r="M16" i="94"/>
  <c r="M24" i="94" s="1"/>
  <c r="AD9" i="39"/>
  <c r="AD109" i="22"/>
  <c r="N24" i="94"/>
  <c r="L24" i="94"/>
  <c r="L21" i="94"/>
  <c r="AE14" i="90"/>
  <c r="AE115" i="90" s="1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E21" i="94"/>
  <c r="E29" i="94" s="1"/>
  <c r="V14" i="90"/>
  <c r="V115" i="90" s="1"/>
  <c r="U14" i="81"/>
  <c r="Y16" i="81" s="1"/>
  <c r="Y111" i="79"/>
  <c r="U48" i="90"/>
  <c r="AF109" i="79"/>
  <c r="AF48" i="90" s="1"/>
  <c r="AF43" i="90"/>
  <c r="AF109" i="22"/>
  <c r="N16" i="94"/>
  <c r="O24" i="94" s="1"/>
  <c r="AF9" i="90"/>
  <c r="U14" i="39"/>
  <c r="Y16" i="39" s="1"/>
  <c r="AF9" i="39"/>
  <c r="D21" i="94"/>
  <c r="D29" i="94" s="1"/>
  <c r="U14" i="90"/>
  <c r="Y111" i="22"/>
  <c r="AB43" i="90"/>
  <c r="AB9" i="81"/>
  <c r="AB109" i="79"/>
  <c r="AB48" i="90" s="1"/>
  <c r="AG85" i="97"/>
  <c r="AF90" i="97"/>
  <c r="AB60" i="90"/>
  <c r="AB9" i="99"/>
  <c r="AB109" i="97"/>
  <c r="AB65" i="90" s="1"/>
  <c r="AF104" i="97"/>
  <c r="L142" i="97"/>
  <c r="D147" i="97"/>
  <c r="N65" i="90"/>
  <c r="E31" i="36"/>
  <c r="N3" i="98"/>
  <c r="N9" i="98" s="1"/>
  <c r="O22" i="36" s="1"/>
  <c r="J9" i="98"/>
  <c r="K22" i="36" s="1"/>
  <c r="H3" i="98"/>
  <c r="G9" i="98"/>
  <c r="H22" i="36" s="1"/>
  <c r="I55" i="91"/>
  <c r="M31" i="36"/>
  <c r="P31" i="36" s="1"/>
  <c r="N28" i="93"/>
  <c r="N14" i="90"/>
  <c r="N115" i="90" s="1"/>
  <c r="AB9" i="90"/>
  <c r="AB110" i="90" s="1"/>
  <c r="K16" i="94"/>
  <c r="AB9" i="39"/>
  <c r="AB109" i="22"/>
  <c r="N48" i="90"/>
  <c r="E30" i="36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F14" i="69"/>
  <c r="AG14" i="69" s="1"/>
  <c r="AG9" i="69"/>
  <c r="AF47" i="69"/>
  <c r="O52" i="69"/>
  <c r="K9" i="81"/>
  <c r="D14" i="81"/>
  <c r="D45" i="81" s="1"/>
  <c r="N3" i="80"/>
  <c r="N9" i="80" s="1"/>
  <c r="O21" i="36" s="1"/>
  <c r="I9" i="80"/>
  <c r="J21" i="36" s="1"/>
  <c r="L142" i="79"/>
  <c r="D147" i="79"/>
  <c r="D48" i="90"/>
  <c r="D30" i="36"/>
  <c r="F30" i="36" s="1"/>
  <c r="G30" i="36" s="1"/>
  <c r="M104" i="79"/>
  <c r="K109" i="79"/>
  <c r="K48" i="90" s="1"/>
  <c r="K43" i="90"/>
  <c r="O85" i="79"/>
  <c r="M90" i="79"/>
  <c r="I41" i="91"/>
  <c r="M30" i="36"/>
  <c r="P30" i="36" s="1"/>
  <c r="D147" i="22"/>
  <c r="L147" i="22" s="1"/>
  <c r="M147" i="22" s="1"/>
  <c r="L142" i="22"/>
  <c r="M142" i="22" s="1"/>
  <c r="D28" i="93"/>
  <c r="D14" i="90"/>
  <c r="D115" i="90" s="1"/>
  <c r="K109" i="22"/>
  <c r="M104" i="22"/>
  <c r="K23" i="93"/>
  <c r="K32" i="93" s="1"/>
  <c r="K9" i="90"/>
  <c r="K110" i="90" s="1"/>
  <c r="I9" i="36"/>
  <c r="N3" i="36"/>
  <c r="D14" i="39"/>
  <c r="D44" i="39" s="1"/>
  <c r="K9" i="39"/>
  <c r="O85" i="22"/>
  <c r="M90" i="22"/>
  <c r="H3" i="36"/>
  <c r="G9" i="36"/>
  <c r="AG71" i="85"/>
  <c r="AH71" i="85" s="1"/>
  <c r="AH66" i="85"/>
  <c r="AH66" i="97"/>
  <c r="AG71" i="97"/>
  <c r="AH71" i="97" s="1"/>
  <c r="AG71" i="79"/>
  <c r="AH71" i="79" s="1"/>
  <c r="AH66" i="79"/>
  <c r="AG66" i="22"/>
  <c r="O71" i="22"/>
  <c r="P3" i="83"/>
  <c r="O9" i="83"/>
  <c r="P9" i="83" s="1"/>
  <c r="O3" i="80"/>
  <c r="H9" i="80"/>
  <c r="I21" i="36" s="1"/>
  <c r="AF44" i="90"/>
  <c r="AG105" i="79"/>
  <c r="AH9" i="79"/>
  <c r="AG14" i="79"/>
  <c r="AH14" i="79" s="1"/>
  <c r="AH9" i="22"/>
  <c r="AG14" i="22"/>
  <c r="AH14" i="22" s="1"/>
  <c r="AF106" i="97"/>
  <c r="AB62" i="90"/>
  <c r="AB11" i="99"/>
  <c r="AF11" i="99" s="1"/>
  <c r="AG11" i="99" s="1"/>
  <c r="AH11" i="99" s="1"/>
  <c r="AF14" i="88"/>
  <c r="AG9" i="88"/>
  <c r="AG52" i="97"/>
  <c r="AH52" i="97" s="1"/>
  <c r="AH47" i="97"/>
  <c r="AG33" i="79"/>
  <c r="AH33" i="79" s="1"/>
  <c r="AH28" i="79"/>
  <c r="K14" i="76"/>
  <c r="K44" i="76" s="1"/>
  <c r="M9" i="76"/>
  <c r="AB13" i="39"/>
  <c r="AF13" i="39" s="1"/>
  <c r="AG13" i="39" s="1"/>
  <c r="AH13" i="39" s="1"/>
  <c r="K20" i="94"/>
  <c r="AB13" i="90"/>
  <c r="AB114" i="90" s="1"/>
  <c r="AB12" i="39"/>
  <c r="AF12" i="39" s="1"/>
  <c r="AG12" i="39" s="1"/>
  <c r="AH12" i="39" s="1"/>
  <c r="K19" i="94"/>
  <c r="AB12" i="90"/>
  <c r="AB12" i="76"/>
  <c r="AF12" i="76" s="1"/>
  <c r="AG12" i="76" s="1"/>
  <c r="AH12" i="76" s="1"/>
  <c r="AB29" i="90"/>
  <c r="AB11" i="39"/>
  <c r="AF11" i="39" s="1"/>
  <c r="K18" i="94"/>
  <c r="AB11" i="90"/>
  <c r="AB112" i="90" s="1"/>
  <c r="AB10" i="39"/>
  <c r="AF10" i="39" s="1"/>
  <c r="AG10" i="39" s="1"/>
  <c r="AH10" i="39" s="1"/>
  <c r="K17" i="94"/>
  <c r="AB10" i="90"/>
  <c r="AB111" i="90" s="1"/>
  <c r="AH47" i="22"/>
  <c r="AG52" i="22"/>
  <c r="AH52" i="22" s="1"/>
  <c r="AH28" i="22"/>
  <c r="AG33" i="22"/>
  <c r="AH33" i="22" s="1"/>
  <c r="U114" i="90"/>
  <c r="AF13" i="81"/>
  <c r="AG13" i="81" s="1"/>
  <c r="AH13" i="81" s="1"/>
  <c r="D114" i="90"/>
  <c r="I96" i="91"/>
  <c r="U113" i="90"/>
  <c r="N112" i="90"/>
  <c r="D112" i="90"/>
  <c r="O11" i="39"/>
  <c r="N5" i="36"/>
  <c r="O5" i="36" s="1"/>
  <c r="P5" i="36" s="1"/>
  <c r="I94" i="91"/>
  <c r="AE111" i="90"/>
  <c r="U111" i="90"/>
  <c r="N111" i="90"/>
  <c r="N14" i="76"/>
  <c r="N44" i="76" s="1"/>
  <c r="J9" i="77"/>
  <c r="K20" i="36" s="1"/>
  <c r="K24" i="36" s="1"/>
  <c r="K25" i="36" s="1"/>
  <c r="D111" i="90"/>
  <c r="I36" i="76"/>
  <c r="I45" i="76" s="1"/>
  <c r="H24" i="36"/>
  <c r="H25" i="36" s="1"/>
  <c r="AE110" i="90"/>
  <c r="AE14" i="39"/>
  <c r="N14" i="99"/>
  <c r="N45" i="99" s="1"/>
  <c r="I110" i="90"/>
  <c r="I44" i="39"/>
  <c r="I36" i="39"/>
  <c r="I45" i="39" s="1"/>
  <c r="G24" i="36"/>
  <c r="G25" i="36" s="1"/>
  <c r="AF10" i="81"/>
  <c r="AG10" i="81" s="1"/>
  <c r="AH10" i="81" s="1"/>
  <c r="I36" i="99"/>
  <c r="I46" i="99" s="1"/>
  <c r="N110" i="90"/>
  <c r="N14" i="39"/>
  <c r="N44" i="39" s="1"/>
  <c r="J9" i="36"/>
  <c r="N45" i="81"/>
  <c r="H110" i="90"/>
  <c r="G44" i="39"/>
  <c r="E44" i="39"/>
  <c r="F44" i="39"/>
  <c r="AF11" i="81"/>
  <c r="AG11" i="81" s="1"/>
  <c r="AH11" i="81" s="1"/>
  <c r="AA14" i="99"/>
  <c r="AG95" i="90" l="1"/>
  <c r="AH106" i="86"/>
  <c r="AG94" i="90"/>
  <c r="AH105" i="86"/>
  <c r="AG93" i="90"/>
  <c r="AG109" i="86"/>
  <c r="AH104" i="86"/>
  <c r="AG97" i="90"/>
  <c r="AH108" i="86"/>
  <c r="AG96" i="90"/>
  <c r="AH107" i="86"/>
  <c r="AG80" i="90"/>
  <c r="AH108" i="85"/>
  <c r="AG79" i="90"/>
  <c r="AH107" i="85"/>
  <c r="AG78" i="90"/>
  <c r="AH106" i="85"/>
  <c r="AG77" i="90"/>
  <c r="AH105" i="85"/>
  <c r="AG76" i="90"/>
  <c r="AG109" i="85"/>
  <c r="AH104" i="85"/>
  <c r="AG9" i="82"/>
  <c r="O14" i="82"/>
  <c r="O44" i="82" s="1"/>
  <c r="AG30" i="90"/>
  <c r="AH108" i="75"/>
  <c r="AG28" i="90"/>
  <c r="AH106" i="75"/>
  <c r="AH104" i="75"/>
  <c r="AG26" i="90"/>
  <c r="AF14" i="76"/>
  <c r="M109" i="97"/>
  <c r="M65" i="90" s="1"/>
  <c r="O108" i="97"/>
  <c r="M64" i="90"/>
  <c r="K14" i="99"/>
  <c r="K45" i="99" s="1"/>
  <c r="M13" i="99"/>
  <c r="O108" i="22"/>
  <c r="M27" i="93"/>
  <c r="M36" i="93" s="1"/>
  <c r="M13" i="90"/>
  <c r="O108" i="79"/>
  <c r="M47" i="90"/>
  <c r="O107" i="75"/>
  <c r="M29" i="90"/>
  <c r="O107" i="22"/>
  <c r="M26" i="93"/>
  <c r="M35" i="93" s="1"/>
  <c r="M12" i="90"/>
  <c r="M113" i="90" s="1"/>
  <c r="O106" i="79"/>
  <c r="M45" i="90"/>
  <c r="O106" i="22"/>
  <c r="M25" i="93"/>
  <c r="M34" i="93" s="1"/>
  <c r="M11" i="90"/>
  <c r="M112" i="90" s="1"/>
  <c r="O105" i="22"/>
  <c r="M24" i="93"/>
  <c r="M33" i="93" s="1"/>
  <c r="M10" i="90"/>
  <c r="F29" i="36"/>
  <c r="D33" i="36"/>
  <c r="D34" i="36" s="1"/>
  <c r="O4" i="77"/>
  <c r="N9" i="77"/>
  <c r="O20" i="36" s="1"/>
  <c r="O24" i="36" s="1"/>
  <c r="O25" i="36" s="1"/>
  <c r="L147" i="75"/>
  <c r="M147" i="75" s="1"/>
  <c r="M143" i="75"/>
  <c r="M109" i="75"/>
  <c r="M31" i="90" s="1"/>
  <c r="O105" i="75"/>
  <c r="M27" i="90"/>
  <c r="P29" i="36"/>
  <c r="P33" i="36" s="1"/>
  <c r="M33" i="36"/>
  <c r="M21" i="94"/>
  <c r="M29" i="94" s="1"/>
  <c r="AD14" i="90"/>
  <c r="AD115" i="90" s="1"/>
  <c r="L29" i="94"/>
  <c r="N29" i="94"/>
  <c r="N21" i="94"/>
  <c r="O29" i="94" s="1"/>
  <c r="AF14" i="90"/>
  <c r="AF115" i="90" s="1"/>
  <c r="AF14" i="39"/>
  <c r="AG90" i="97"/>
  <c r="AH90" i="97" s="1"/>
  <c r="AH85" i="97"/>
  <c r="AF9" i="99"/>
  <c r="AB14" i="99"/>
  <c r="AF60" i="90"/>
  <c r="AF110" i="90" s="1"/>
  <c r="AG104" i="97"/>
  <c r="AF109" i="97"/>
  <c r="AF65" i="90" s="1"/>
  <c r="L147" i="97"/>
  <c r="M147" i="97" s="1"/>
  <c r="M142" i="97"/>
  <c r="O3" i="98"/>
  <c r="H9" i="98"/>
  <c r="I22" i="36" s="1"/>
  <c r="I24" i="36" s="1"/>
  <c r="K21" i="94"/>
  <c r="K29" i="94" s="1"/>
  <c r="AB14" i="90"/>
  <c r="AB115" i="90" s="1"/>
  <c r="AF52" i="69"/>
  <c r="AG52" i="69" s="1"/>
  <c r="AG47" i="69"/>
  <c r="M9" i="81"/>
  <c r="K14" i="81"/>
  <c r="K45" i="81" s="1"/>
  <c r="M142" i="79"/>
  <c r="L147" i="79"/>
  <c r="M147" i="79" s="1"/>
  <c r="O104" i="79"/>
  <c r="M109" i="79"/>
  <c r="M48" i="90" s="1"/>
  <c r="M43" i="90"/>
  <c r="AG85" i="79"/>
  <c r="O90" i="79"/>
  <c r="K28" i="93"/>
  <c r="K14" i="90"/>
  <c r="K115" i="90" s="1"/>
  <c r="O104" i="22"/>
  <c r="M23" i="93"/>
  <c r="M9" i="90"/>
  <c r="M110" i="90" s="1"/>
  <c r="M109" i="22"/>
  <c r="M9" i="39"/>
  <c r="K14" i="39"/>
  <c r="K44" i="39" s="1"/>
  <c r="AG85" i="22"/>
  <c r="O90" i="22"/>
  <c r="H9" i="36"/>
  <c r="O3" i="36"/>
  <c r="AG71" i="22"/>
  <c r="AH71" i="22" s="1"/>
  <c r="AH66" i="22"/>
  <c r="P3" i="80"/>
  <c r="O9" i="80"/>
  <c r="P9" i="80" s="1"/>
  <c r="AH105" i="79"/>
  <c r="AG44" i="90"/>
  <c r="AG106" i="97"/>
  <c r="AH106" i="97" s="1"/>
  <c r="AF62" i="90"/>
  <c r="AF112" i="90" s="1"/>
  <c r="AG14" i="88"/>
  <c r="AH14" i="88" s="1"/>
  <c r="AH9" i="88"/>
  <c r="O9" i="76"/>
  <c r="M14" i="76"/>
  <c r="AF114" i="90"/>
  <c r="F31" i="36"/>
  <c r="G31" i="36" s="1"/>
  <c r="Q31" i="36" s="1"/>
  <c r="K114" i="90"/>
  <c r="AF113" i="90"/>
  <c r="AG11" i="39"/>
  <c r="AH11" i="39" s="1"/>
  <c r="AF111" i="90"/>
  <c r="E33" i="36"/>
  <c r="E34" i="36" s="1"/>
  <c r="AB14" i="76"/>
  <c r="J24" i="36"/>
  <c r="J25" i="36" s="1"/>
  <c r="I98" i="91"/>
  <c r="AD14" i="39"/>
  <c r="U115" i="90"/>
  <c r="AB14" i="39"/>
  <c r="Q30" i="36"/>
  <c r="N9" i="36"/>
  <c r="AB113" i="90"/>
  <c r="AB14" i="81"/>
  <c r="AF9" i="81"/>
  <c r="AG98" i="90" l="1"/>
  <c r="AH109" i="86"/>
  <c r="AH109" i="85"/>
  <c r="AG81" i="90"/>
  <c r="AG14" i="82"/>
  <c r="AH14" i="82" s="1"/>
  <c r="AH9" i="82"/>
  <c r="AG108" i="97"/>
  <c r="O109" i="97"/>
  <c r="O65" i="90" s="1"/>
  <c r="O64" i="90"/>
  <c r="M14" i="99"/>
  <c r="M45" i="99" s="1"/>
  <c r="O13" i="99"/>
  <c r="AG108" i="22"/>
  <c r="O27" i="93"/>
  <c r="O36" i="93" s="1"/>
  <c r="O13" i="90"/>
  <c r="O114" i="90" s="1"/>
  <c r="AG108" i="79"/>
  <c r="O47" i="90"/>
  <c r="AG107" i="75"/>
  <c r="O29" i="90"/>
  <c r="AG107" i="22"/>
  <c r="O26" i="93"/>
  <c r="O35" i="93" s="1"/>
  <c r="O12" i="90"/>
  <c r="O113" i="90" s="1"/>
  <c r="AG106" i="79"/>
  <c r="O45" i="90"/>
  <c r="AG106" i="22"/>
  <c r="O25" i="93"/>
  <c r="O34" i="93" s="1"/>
  <c r="O11" i="90"/>
  <c r="O112" i="90" s="1"/>
  <c r="AG105" i="22"/>
  <c r="O24" i="93"/>
  <c r="O33" i="93" s="1"/>
  <c r="O10" i="90"/>
  <c r="G29" i="36"/>
  <c r="Q29" i="36" s="1"/>
  <c r="Q33" i="36" s="1"/>
  <c r="F33" i="36"/>
  <c r="O9" i="77"/>
  <c r="P9" i="77" s="1"/>
  <c r="P4" i="77"/>
  <c r="O109" i="75"/>
  <c r="AG105" i="75"/>
  <c r="O27" i="90"/>
  <c r="AG9" i="99"/>
  <c r="AF14" i="99"/>
  <c r="AH104" i="97"/>
  <c r="P3" i="98"/>
  <c r="O9" i="98"/>
  <c r="P9" i="98" s="1"/>
  <c r="O9" i="81"/>
  <c r="O14" i="81" s="1"/>
  <c r="M14" i="81"/>
  <c r="M45" i="81" s="1"/>
  <c r="AG104" i="79"/>
  <c r="O109" i="79"/>
  <c r="O48" i="90" s="1"/>
  <c r="O43" i="90"/>
  <c r="AG90" i="79"/>
  <c r="AH90" i="79" s="1"/>
  <c r="AH85" i="79"/>
  <c r="AG104" i="22"/>
  <c r="O23" i="93"/>
  <c r="O32" i="93" s="1"/>
  <c r="O9" i="90"/>
  <c r="O110" i="90" s="1"/>
  <c r="O109" i="22"/>
  <c r="M28" i="93"/>
  <c r="M14" i="90"/>
  <c r="M115" i="90" s="1"/>
  <c r="O9" i="39"/>
  <c r="M14" i="39"/>
  <c r="M44" i="39" s="1"/>
  <c r="AH85" i="22"/>
  <c r="AG90" i="22"/>
  <c r="AH90" i="22" s="1"/>
  <c r="P3" i="36"/>
  <c r="O9" i="36"/>
  <c r="P9" i="36" s="1"/>
  <c r="AG9" i="81"/>
  <c r="AF14" i="81"/>
  <c r="M114" i="90"/>
  <c r="M111" i="90"/>
  <c r="I25" i="36"/>
  <c r="M44" i="76"/>
  <c r="O14" i="76"/>
  <c r="AG9" i="76"/>
  <c r="AG13" i="99" l="1"/>
  <c r="O14" i="99"/>
  <c r="O45" i="99" s="1"/>
  <c r="AG13" i="90"/>
  <c r="AG114" i="90" s="1"/>
  <c r="O20" i="94"/>
  <c r="AH108" i="22"/>
  <c r="AG47" i="90"/>
  <c r="AH108" i="79"/>
  <c r="AG29" i="90"/>
  <c r="AH107" i="75"/>
  <c r="AH107" i="22"/>
  <c r="AG12" i="90"/>
  <c r="AG113" i="90" s="1"/>
  <c r="O19" i="94"/>
  <c r="AG45" i="90"/>
  <c r="AH106" i="79"/>
  <c r="AG11" i="90"/>
  <c r="AG112" i="90" s="1"/>
  <c r="O18" i="94"/>
  <c r="AH106" i="22"/>
  <c r="AG10" i="90"/>
  <c r="O17" i="94"/>
  <c r="AH105" i="22"/>
  <c r="G33" i="36"/>
  <c r="P35" i="36" s="1"/>
  <c r="F34" i="36"/>
  <c r="O44" i="76"/>
  <c r="O31" i="90"/>
  <c r="AG109" i="75"/>
  <c r="AG27" i="90"/>
  <c r="AH105" i="75"/>
  <c r="AH9" i="99"/>
  <c r="AG43" i="90"/>
  <c r="AG109" i="79"/>
  <c r="AH104" i="79"/>
  <c r="AH104" i="22"/>
  <c r="AG9" i="90"/>
  <c r="AG110" i="90" s="1"/>
  <c r="O16" i="94"/>
  <c r="AG109" i="22"/>
  <c r="O28" i="93"/>
  <c r="O14" i="90"/>
  <c r="O115" i="90" s="1"/>
  <c r="AG9" i="39"/>
  <c r="O14" i="39"/>
  <c r="O44" i="39" s="1"/>
  <c r="AH9" i="81"/>
  <c r="AG14" i="81"/>
  <c r="AH14" i="81" s="1"/>
  <c r="AG14" i="76"/>
  <c r="AH14" i="76" s="1"/>
  <c r="AH9" i="76"/>
  <c r="O111" i="90"/>
  <c r="O45" i="81"/>
  <c r="AH108" i="97"/>
  <c r="AG109" i="97"/>
  <c r="AH109" i="97" s="1"/>
  <c r="AG31" i="90" l="1"/>
  <c r="AH109" i="75"/>
  <c r="AH109" i="79"/>
  <c r="AG48" i="90"/>
  <c r="AH109" i="22"/>
  <c r="O21" i="94"/>
  <c r="AG14" i="90"/>
  <c r="AG14" i="39"/>
  <c r="AH14" i="39" s="1"/>
  <c r="AH9" i="39"/>
  <c r="AG111" i="90"/>
  <c r="AH13" i="99"/>
  <c r="AG14" i="99"/>
  <c r="AH14" i="99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<sst xmlns="http://schemas.openxmlformats.org/spreadsheetml/2006/main" count="7997" uniqueCount="345">
  <si>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</si>
  <si>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</si>
  <si>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</si>
  <si>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</si>
  <si>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</si>
  <si>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</si>
  <si>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</si>
  <si>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</si>
  <si>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</si>
  <si>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</si>
  <si>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</si>
  <si>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</si>
  <si>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</si>
  <si>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</si>
  <si>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</si>
  <si>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</si>
  <si>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</si>
  <si>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</si>
  <si>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</si>
  <si>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</si>
  <si>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</si>
  <si>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</si>
  <si>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</si>
  <si>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</si>
  <si>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</si>
  <si>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</si>
  <si>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</si>
  <si>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</si>
  <si>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</si>
  <si>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</si>
  <si>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</si>
  <si>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</si>
  <si>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</si>
  <si>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</si>
  <si>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</si>
  <si>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</si>
  <si>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</si>
  <si>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</si>
  <si>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</si>
  <si>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</si>
  <si>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</si>
  <si>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</si>
  <si>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</si>
  <si>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</si>
  <si>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</si>
  <si>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</si>
  <si>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</si>
  <si>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</si>
  <si>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</si>
  <si>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</si>
  <si>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</si>
  <si>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</si>
  <si>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</si>
  <si>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</si>
  <si>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</si>
  <si>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</si>
  <si>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</si>
  <si>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</si>
  <si>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</si>
  <si>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</si>
  <si>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</si>
  <si>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</si>
  <si>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</si>
  <si>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</si>
  <si>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</si>
  <si>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</si>
  <si>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</si>
  <si>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</si>
  <si>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</si>
  <si>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</si>
  <si>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</si>
  <si>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</si>
  <si>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</si>
  <si>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</si>
  <si>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</si>
  <si>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</si>
  <si>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</si>
  <si>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</si>
  <si>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</si>
  <si>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</si>
  <si>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</si>
  <si>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</si>
  <si>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</si>
  <si>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</si>
  <si>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</si>
  <si>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</si>
  <si>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</si>
  <si>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</si>
  <si>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</si>
  <si>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</si>
  <si>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</si>
  <si>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</si>
  <si>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</si>
  <si>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</si>
  <si>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</si>
  <si>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</si>
  <si>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</si>
  <si>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</si>
  <si>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</si>
  <si>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</si>
  <si>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</si>
  <si>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</si>
  <si>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</si>
  <si>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</si>
  <si>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</si>
  <si>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</si>
  <si>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</si>
  <si>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</si>
  <si>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</si>
  <si>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</si>
  <si>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</si>
  <si>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</si>
  <si>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</si>
  <si>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</si>
  <si>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</si>
  <si>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</si>
  <si>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</si>
  <si>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</si>
  <si>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</si>
  <si>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</si>
  <si>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</si>
  <si>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</si>
  <si>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</si>
  <si>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</si>
  <si>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</si>
  <si>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</si>
  <si>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</si>
  <si>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</si>
  <si>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</si>
  <si>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</si>
  <si>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</si>
  <si>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</si>
  <si>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</si>
  <si>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</si>
  <si>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</si>
  <si>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</si>
  <si>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</si>
  <si>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</si>
  <si>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</si>
  <si>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</si>
  <si>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</si>
  <si>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</si>
  <si>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</si>
  <si>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</si>
  <si>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</si>
  <si>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</si>
  <si>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</si>
  <si>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</si>
  <si>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</si>
  <si>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</si>
  <si>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</si>
  <si>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</si>
  <si>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</si>
  <si>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</si>
  <si>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</si>
  <si>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</si>
  <si>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</si>
  <si>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</si>
  <si>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</si>
  <si>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</si>
  <si>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</si>
  <si>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</si>
  <si>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</si>
  <si>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</si>
  <si>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</si>
  <si>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</si>
  <si>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</si>
  <si>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</si>
  <si>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</si>
  <si>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</si>
  <si>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</si>
  <si>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</si>
  <si>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</si>
  <si>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</si>
  <si>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</si>
  <si>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</si>
  <si>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</si>
  <si>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</si>
  <si>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</si>
  <si>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</si>
  <si>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</si>
  <si>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</si>
  <si>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</si>
  <si>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</si>
  <si>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</si>
  <si>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</si>
  <si>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</si>
  <si>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</si>
  <si>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</si>
  <si>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</si>
  <si>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</si>
  <si>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</si>
  <si>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</si>
  <si>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</si>
  <si>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</si>
  <si>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</si>
  <si>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</si>
  <si>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</si>
  <si>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</si>
  <si>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</si>
  <si>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</si>
  <si>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</si>
  <si>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</si>
  <si>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</si>
  <si>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</si>
  <si>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</si>
  <si>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</si>
  <si>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</si>
  <si>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</si>
  <si>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</si>
  <si>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</si>
  <si>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</si>
  <si>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</si>
  <si>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</si>
  <si>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</si>
  <si>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</si>
  <si>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</si>
  <si>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</si>
  <si>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</si>
  <si>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</si>
  <si>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</si>
  <si>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</si>
  <si>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</si>
  <si>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</si>
  <si>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</si>
  <si>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</si>
  <si>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</si>
  <si>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</si>
  <si>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</si>
  <si>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</si>
  <si>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</si>
  <si>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</si>
  <si>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</si>
  <si>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</si>
  <si>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</si>
  <si>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</si>
  <si>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</si>
  <si>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</si>
  <si>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</si>
  <si>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</si>
  <si>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</si>
  <si>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</si>
  <si>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</si>
  <si>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</si>
  <si>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</si>
  <si>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</si>
  <si>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</si>
  <si>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</si>
  <si>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</si>
  <si>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</si>
  <si>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</si>
  <si>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</si>
  <si>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</si>
  <si>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</si>
  <si>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</si>
  <si>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</si>
  <si>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</si>
  <si>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</si>
  <si>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</si>
  <si>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</si>
  <si>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</si>
  <si>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</si>
  <si>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</si>
  <si>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</si>
  <si>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</si>
  <si>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</si>
  <si>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</si>
  <si>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</si>
  <si>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</si>
  <si>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</si>
  <si>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</si>
  <si>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</si>
  <si>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</si>
  <si>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</si>
  <si>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</si>
  <si>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</si>
  <si>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</si>
  <si>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</si>
  <si>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</si>
  <si>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</si>
  <si>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</si>
  <si>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</si>
  <si>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</si>
  <si>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</si>
  <si>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</si>
  <si>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</si>
  <si>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</si>
  <si>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</si>
  <si>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</si>
  <si>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</si>
  <si>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</si>
  <si>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</si>
  <si>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</si>
  <si>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</si>
  <si>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</si>
  <si>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</si>
  <si>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</si>
  <si>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</si>
  <si>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</si>
  <si>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</si>
  <si>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</si>
  <si>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</si>
  <si>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</si>
  <si>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</si>
  <si>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</si>
  <si>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</si>
  <si>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</si>
  <si>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</si>
  <si>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</si>
  <si>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</si>
  <si>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</si>
  <si>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</si>
  <si>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</si>
  <si>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</si>
  <si>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</si>
  <si>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</si>
  <si>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</si>
  <si>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</si>
  <si>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</si>
  <si>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</si>
  <si>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</si>
  <si>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</si>
  <si>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</si>
  <si>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</si>
  <si>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</si>
  <si>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</si>
  <si>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</si>
  <si>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</si>
  <si>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</si>
  <si>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</si>
  <si>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</si>
  <si>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</si>
  <si>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</si>
  <si>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</si>
  <si>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</si>
  <si>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</si>
  <si>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</si>
  <si>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</si>
  <si>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</si>
  <si>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2026091</t>
  </si>
  <si>
    <t>17/09/2026</t>
  </si>
  <si>
    <t>08:44 AM</t>
  </si>
  <si>
    <t>01/09/2026</t>
  </si>
  <si>
    <t>15/09/2026</t>
  </si>
  <si>
    <t>* Costos de Interventoría: REMUNERACIÓN 202609-1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</si>
</sst>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11627730</v>
      </c>
      <c r="E4" s="180">
        <v>116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19010440</v>
      </c>
      <c r="E9" s="186">
        <v>182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19010440</v>
      </c>
      <c r="E27" s="186">
        <v>182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16745673525</v>
      </c>
      <c r="E3" s="176">
        <v>356945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12677941411</v>
      </c>
      <c r="E4" s="180">
        <v>247628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10157711962</v>
      </c>
      <c r="E5" s="180">
        <v>233934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10972037248</v>
      </c>
      <c r="E6" s="180">
        <v>193770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8639656940</v>
      </c>
      <c r="E7" s="180">
        <v>172542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59193021086</v>
      </c>
      <c r="E9" s="186">
        <v>1204819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202711553</v>
      </c>
      <c r="E12" s="176">
        <v>2558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73096641</v>
      </c>
      <c r="E13" s="180">
        <v>1473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51248640</v>
      </c>
      <c r="E14" s="180">
        <v>963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62236830</v>
      </c>
      <c r="E15" s="180">
        <v>857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158575115</v>
      </c>
      <c r="E16" s="180">
        <v>2854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547868779</v>
      </c>
      <c r="E18" s="186">
        <v>8705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16948385078</v>
      </c>
      <c r="E21" s="176">
        <v>359503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12751038052</v>
      </c>
      <c r="E22" s="180">
        <v>249101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10208960602</v>
      </c>
      <c r="E23" s="180">
        <v>234897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11034274078</v>
      </c>
      <c r="E24" s="180">
        <v>194627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8798232055</v>
      </c>
      <c r="E25" s="180">
        <v>175396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59740889865</v>
      </c>
      <c r="E27" s="186">
        <v>1213524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137371512</v>
      </c>
      <c r="E7" s="180">
        <v>3020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137371512</v>
      </c>
      <c r="E9" s="186">
        <v>3020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1179300</v>
      </c>
      <c r="E16" s="180">
        <v>6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1179300</v>
      </c>
      <c r="E18" s="186">
        <v>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138550812</v>
      </c>
      <c r="E25" s="180">
        <v>3026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138550812</v>
      </c>
      <c r="E27" s="186">
        <v>3026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510782327</v>
      </c>
      <c r="E3" s="176">
        <v>2083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1360190364</v>
      </c>
      <c r="E4" s="180">
        <v>4795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650826874</v>
      </c>
      <c r="E5" s="180">
        <v>1469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515587332</v>
      </c>
      <c r="E6" s="180">
        <v>3012</v>
      </c>
      <c r="F6" s="180">
        <v>0</v>
      </c>
      <c r="G6" s="181">
        <v>0</v>
      </c>
    </row>
    <row r="7" spans="2:13" x14ac:dyDescent="0.25">
      <c r="C7" s="178">
        <v>5</v>
      </c>
      <c r="D7" s="278">
        <v>224557157</v>
      </c>
      <c r="E7" s="180">
        <v>1221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3261944054</v>
      </c>
      <c r="E9" s="186">
        <v>12580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23795111</v>
      </c>
      <c r="E12" s="191">
        <v>50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62759499</v>
      </c>
      <c r="E13" s="180">
        <v>134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48196023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78">
        <v>5014320</v>
      </c>
      <c r="E15" s="180">
        <v>32</v>
      </c>
      <c r="F15" s="180">
        <v>0</v>
      </c>
      <c r="G15" s="181">
        <v>0</v>
      </c>
    </row>
    <row r="16" spans="2:13" x14ac:dyDescent="0.25">
      <c r="C16" s="193">
        <v>5</v>
      </c>
      <c r="D16" s="278">
        <v>14004529</v>
      </c>
      <c r="E16" s="180">
        <v>30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153769482</v>
      </c>
      <c r="E18" s="198">
        <v>301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534577438</v>
      </c>
      <c r="E21" s="282">
        <v>2133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1422949863</v>
      </c>
      <c r="E22" s="283">
        <v>4929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699022897</v>
      </c>
      <c r="E23" s="283">
        <v>1524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520601652</v>
      </c>
      <c r="E24" s="283">
        <v>3044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238561686</v>
      </c>
      <c r="E25" s="283">
        <v>1251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3415713536</v>
      </c>
      <c r="E27" s="186">
        <v>12881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325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59646927181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5603210</v>
      </c>
      <c r="G2" s="249">
        <f t="shared" si="0"/>
        <v>137170902</v>
      </c>
      <c r="H2" s="249">
        <f t="shared" si="0"/>
        <v>3250701927.2400002</v>
      </c>
      <c r="I2" s="250">
        <f>SUM(C2:H2)</f>
        <v>63040403220.239998</v>
      </c>
    </row>
    <row r="3" spans="1:10" x14ac:dyDescent="0.25">
      <c r="B3" t="s">
        <v>98</v>
      </c>
      <c r="C3" s="249">
        <f>C14+C24+C33+C42+C52</f>
        <v>95923744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13407230</v>
      </c>
      <c r="G3" s="249">
        <f t="shared" ref="G3" si="2">G14+G24+G33+G42+G52</f>
        <v>1379910</v>
      </c>
      <c r="H3" s="249">
        <f t="shared" si="1"/>
        <v>75193897.960000008</v>
      </c>
      <c r="I3" s="250">
        <f>SUM(C3:H3)</f>
        <v>185904781.96000001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89817710.799999997</v>
      </c>
      <c r="I4" s="250">
        <f>SUM(C4:H4)</f>
        <v>89817710.799999997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59742850925</v>
      </c>
      <c r="D6" s="250">
        <f t="shared" ref="D6:H6" si="5">SUM(D2:D5)</f>
        <v>0</v>
      </c>
      <c r="E6" s="250">
        <f t="shared" si="5"/>
        <v>0</v>
      </c>
      <c r="F6" s="250">
        <f t="shared" si="5"/>
        <v>19010440</v>
      </c>
      <c r="G6" s="250">
        <f t="shared" si="5"/>
        <v>138550812</v>
      </c>
      <c r="H6" s="250">
        <f t="shared" si="5"/>
        <v>3415713536.0000005</v>
      </c>
      <c r="I6" s="250">
        <f>SUM(I2:I5)</f>
        <v>63316125713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325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16922955923</v>
      </c>
      <c r="D13" s="244">
        <v>0</v>
      </c>
      <c r="E13" s="244">
        <v>0</v>
      </c>
      <c r="F13" s="244">
        <v>0</v>
      </c>
      <c r="G13" s="244">
        <v>0</v>
      </c>
      <c r="H13" s="244">
        <v>521287159.45999998</v>
      </c>
      <c r="I13" s="246">
        <f>SUM(C13:H13)</f>
        <v>17444243082.459999</v>
      </c>
      <c r="J13" s="251" t="b">
        <f>SUM(C13:H13)=I13</f>
        <v>1</v>
      </c>
    </row>
    <row r="14" spans="1:10" x14ac:dyDescent="0.25">
      <c r="B14" s="89" t="s">
        <v>98</v>
      </c>
      <c r="C14" s="244">
        <v>25429155</v>
      </c>
      <c r="D14" s="244">
        <v>0</v>
      </c>
      <c r="E14" s="244">
        <v>0</v>
      </c>
      <c r="F14" s="244">
        <v>0</v>
      </c>
      <c r="G14" s="244">
        <v>0</v>
      </c>
      <c r="H14" s="244">
        <v>7990275.4900000002</v>
      </c>
      <c r="I14" s="246">
        <f t="shared" ref="I14:I16" si="7">SUM(C14:H14)</f>
        <v>33419430.490000002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5300003.05</v>
      </c>
      <c r="I15" s="246">
        <f t="shared" si="7"/>
        <v>5300003.05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16948385078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534577438</v>
      </c>
      <c r="I17" s="247">
        <f t="shared" si="9"/>
        <v>17482962516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325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12724393063</v>
      </c>
      <c r="D23" s="244">
        <v>0</v>
      </c>
      <c r="E23" s="244">
        <v>0</v>
      </c>
      <c r="F23" s="244">
        <v>3445900</v>
      </c>
      <c r="G23" s="244">
        <v>0</v>
      </c>
      <c r="H23" s="244">
        <v>1361674149.6199999</v>
      </c>
      <c r="I23" s="246">
        <f>SUM(C23:H23)</f>
        <v>14089513112.619999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27050219</v>
      </c>
      <c r="D24" s="244">
        <v>0</v>
      </c>
      <c r="E24" s="244">
        <v>0</v>
      </c>
      <c r="F24" s="244">
        <v>8181830</v>
      </c>
      <c r="G24" s="244">
        <v>0</v>
      </c>
      <c r="H24" s="244">
        <v>52788864.75</v>
      </c>
      <c r="I24" s="246">
        <f t="shared" ref="I24:I26" si="11">SUM(C24:H24)</f>
        <v>88020913.75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8486848.6300000008</v>
      </c>
      <c r="I25" s="246">
        <f t="shared" si="11"/>
        <v>8486848.6300000008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12751443282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11627730</v>
      </c>
      <c r="G27" s="244">
        <f>SUM(G23:G26)</f>
        <v>0</v>
      </c>
      <c r="H27" s="244">
        <f>SUM(H23:H26)</f>
        <v>1422949863</v>
      </c>
      <c r="I27" s="247">
        <f>SUM(I23:I26)</f>
        <v>14186020874.999998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325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10203127061</v>
      </c>
      <c r="D32" s="244">
        <v>0</v>
      </c>
      <c r="E32" s="244">
        <v>0</v>
      </c>
      <c r="F32" s="244">
        <v>0</v>
      </c>
      <c r="G32" s="244">
        <v>0</v>
      </c>
      <c r="H32" s="244">
        <v>693485018.07000005</v>
      </c>
      <c r="I32" s="246">
        <f>SUM(C32:H32)</f>
        <v>10896612079.07</v>
      </c>
      <c r="J32" s="251" t="b">
        <f>SUM(C32:H32)=I32</f>
        <v>1</v>
      </c>
    </row>
    <row r="33" spans="2:10" x14ac:dyDescent="0.25">
      <c r="B33" s="89" t="s">
        <v>98</v>
      </c>
      <c r="C33" s="244">
        <v>6025131</v>
      </c>
      <c r="D33" s="244">
        <v>0</v>
      </c>
      <c r="E33" s="244">
        <v>0</v>
      </c>
      <c r="F33" s="244">
        <v>0</v>
      </c>
      <c r="G33" s="244">
        <v>0</v>
      </c>
      <c r="H33" s="244">
        <v>2921040</v>
      </c>
      <c r="I33" s="246">
        <f>SUM(C33:H33)</f>
        <v>8946171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2616838.9300000002</v>
      </c>
      <c r="I34" s="246">
        <f t="shared" ref="I34:I35" si="14">SUM(C34:H34)</f>
        <v>2616838.9300000002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10209152192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699022897</v>
      </c>
      <c r="I36" s="247">
        <f>SUM(I32:I35)</f>
        <v>10908175089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325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11007626472</v>
      </c>
      <c r="D41" s="244">
        <v>0</v>
      </c>
      <c r="E41" s="244">
        <v>0</v>
      </c>
      <c r="F41" s="244">
        <v>2157310</v>
      </c>
      <c r="G41" s="244">
        <v>0</v>
      </c>
      <c r="H41" s="244">
        <v>441532359.04000002</v>
      </c>
      <c r="I41" s="246">
        <f t="shared" ref="I41:I44" si="16">SUM(C41:H41)</f>
        <v>11451316141.040001</v>
      </c>
      <c r="J41" s="251" t="b">
        <f>SUM(C41:H41)=I41</f>
        <v>1</v>
      </c>
    </row>
    <row r="42" spans="2:10" x14ac:dyDescent="0.25">
      <c r="B42" s="89" t="s">
        <v>98</v>
      </c>
      <c r="C42" s="244">
        <v>27660196</v>
      </c>
      <c r="D42" s="244">
        <v>0</v>
      </c>
      <c r="E42" s="244">
        <v>0</v>
      </c>
      <c r="F42" s="244">
        <v>5225400</v>
      </c>
      <c r="G42" s="244">
        <v>0</v>
      </c>
      <c r="H42" s="244">
        <v>8186683.7199999997</v>
      </c>
      <c r="I42" s="246">
        <f t="shared" si="16"/>
        <v>41072279.719999999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70882609.239999995</v>
      </c>
      <c r="I43" s="246">
        <f t="shared" si="16"/>
        <v>70882609.239999995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11035286668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7382710</v>
      </c>
      <c r="G45" s="244">
        <f>SUM(G41:G44)</f>
        <v>0</v>
      </c>
      <c r="H45" s="244">
        <f>SUM(H41:H44)</f>
        <v>520601652.00000006</v>
      </c>
      <c r="I45" s="247">
        <f>SUM(I41:I44)</f>
        <v>11563271030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325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8788824662</v>
      </c>
      <c r="D51" s="244">
        <v>0</v>
      </c>
      <c r="E51" s="244">
        <v>0</v>
      </c>
      <c r="F51" s="244">
        <v>0</v>
      </c>
      <c r="G51" s="244">
        <v>137170902</v>
      </c>
      <c r="H51" s="590">
        <v>232723241.05000001</v>
      </c>
      <c r="I51" s="246">
        <f t="shared" ref="I51:I54" si="19">SUM(C51:H51)</f>
        <v>9158718805.0499992</v>
      </c>
      <c r="J51" s="251" t="b">
        <f>SUM(C51:H51)=I51</f>
        <v>1</v>
      </c>
    </row>
    <row r="52" spans="2:10" x14ac:dyDescent="0.25">
      <c r="B52" s="89" t="s">
        <v>98</v>
      </c>
      <c r="C52" s="590">
        <v>9759043</v>
      </c>
      <c r="D52" s="244">
        <v>0</v>
      </c>
      <c r="E52" s="244">
        <v>0</v>
      </c>
      <c r="F52" s="244">
        <v>0</v>
      </c>
      <c r="G52" s="244">
        <v>1379910</v>
      </c>
      <c r="H52" s="590">
        <v>3307034</v>
      </c>
      <c r="I52" s="246">
        <f>SUM(C52:H52)</f>
        <v>14445987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2531410.9500000002</v>
      </c>
      <c r="I53" s="246">
        <f t="shared" si="19"/>
        <v>2531410.9500000002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8798583705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138550812</v>
      </c>
      <c r="H55" s="244">
        <f>SUM(H51:H54)</f>
        <v>238561686</v>
      </c>
      <c r="I55" s="247">
        <f>SUM(I51:I54)</f>
        <v>9175696203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332</v>
      </c>
      <c r="C59" s="209">
        <v>1</v>
      </c>
      <c r="D59" s="744" t="s">
        <v>333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16948385078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334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11627730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323</v>
      </c>
      <c r="C65" s="749">
        <f>IF($C$59=1,'Recaudo ENEL'!D22,'Recaudo ENEL'!F22)</f>
        <v>12751038052</v>
      </c>
      <c r="D65" s="748" t="b">
        <f>C27=C65</f>
        <v>0</v>
      </c>
      <c r="E65" s="750">
        <f>C27-C65</f>
        <v>405230</v>
      </c>
      <c r="F65" s="142"/>
    </row>
    <row r="66" spans="2:7" x14ac:dyDescent="0.25">
      <c r="B66" s="748" t="s">
        <v>335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10208960602</v>
      </c>
      <c r="D67" s="745" t="b">
        <f>C36=C67</f>
        <v>0</v>
      </c>
      <c r="E67" s="747">
        <f>C36-C67</f>
        <v>191590</v>
      </c>
      <c r="F67" s="760"/>
    </row>
    <row r="68" spans="2:7" x14ac:dyDescent="0.25">
      <c r="B68" s="745" t="s">
        <v>336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7382710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324</v>
      </c>
      <c r="C70" s="749">
        <f>IF($C$59=1,'Recaudo ENEL'!D24,'Recaudo ENEL'!F24)</f>
        <v>11034274078</v>
      </c>
      <c r="D70" s="748" t="b">
        <f>C45=C70</f>
        <v>0</v>
      </c>
      <c r="E70" s="750">
        <f>C45-C70</f>
        <v>1012590</v>
      </c>
      <c r="F70" s="142"/>
    </row>
    <row r="71" spans="2:7" x14ac:dyDescent="0.25">
      <c r="B71" s="748" t="s">
        <v>337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8798232055</v>
      </c>
      <c r="D72" s="745" t="b">
        <f>C55=C72</f>
        <v>0</v>
      </c>
      <c r="E72" s="747">
        <f>C55-C72</f>
        <v>351650</v>
      </c>
      <c r="F72" s="142"/>
    </row>
    <row r="73" spans="2:7" x14ac:dyDescent="0.25">
      <c r="B73" s="745" t="s">
        <v>326</v>
      </c>
      <c r="C73" s="746">
        <f>IF($C$59=1,'Recaudo ENERBIT'!D25,'Recaudo ENERBIT'!F25)</f>
        <v>138550812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534577438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1422949863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699022897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520601652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238561686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325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325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33419430.490000002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25429155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7990275.4900000002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88020913.75</v>
      </c>
      <c r="E4" s="16">
        <v>2</v>
      </c>
      <c r="F4" s="15">
        <f>'REPORTE RECAUDO x BANCO'!F24</f>
        <v>8181830</v>
      </c>
      <c r="H4" s="16">
        <v>2</v>
      </c>
      <c r="I4" s="15">
        <f>'REPORTE RECAUDO x BANCO'!C24</f>
        <v>27050219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52788864.75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8946171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6025131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2921040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41072279.719999999</v>
      </c>
      <c r="E6" s="16">
        <v>4</v>
      </c>
      <c r="F6" s="15">
        <f>'REPORTE RECAUDO x BANCO'!F42</f>
        <v>5225400</v>
      </c>
      <c r="H6" s="16">
        <v>4</v>
      </c>
      <c r="I6" s="15">
        <f>'REPORTE RECAUDO x BANCO'!C42</f>
        <v>27660196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8186683.7199999997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14445987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9759043</v>
      </c>
      <c r="K7" s="19">
        <v>5</v>
      </c>
      <c r="L7" s="15">
        <f>'REPORTE RECAUDO x BANCO'!G52</f>
        <v>1379910</v>
      </c>
      <c r="N7" s="19">
        <v>5</v>
      </c>
      <c r="O7" s="15">
        <f>'REPORTE RECAUDO x BANCO'!H52</f>
        <v>3307034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185904781.96000001</v>
      </c>
      <c r="E8" s="21"/>
      <c r="F8" s="47">
        <f>SUM(F3:F7)</f>
        <v>13407230</v>
      </c>
      <c r="H8" s="21"/>
      <c r="I8" s="47">
        <f>SUM(I3:I7)</f>
        <v>95923744</v>
      </c>
      <c r="K8" s="21"/>
      <c r="L8" s="47">
        <f>SUM(L3:L7)</f>
        <v>1379910</v>
      </c>
      <c r="N8" s="21"/>
      <c r="O8" s="47">
        <f>SUM(O3:O7)</f>
        <v>75193897.960000008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-1214431106.6099999</v>
      </c>
      <c r="E3" s="592">
        <v>3803766823.1500001</v>
      </c>
      <c r="F3" s="593">
        <f>D3+E3</f>
        <v>2589335716.54</v>
      </c>
      <c r="G3" s="499"/>
      <c r="H3" s="612">
        <f>DetRetri2026091!J9</f>
        <v>2589335717</v>
      </c>
      <c r="I3" s="276">
        <f>F3-H3</f>
        <v>-0.46000003814697266</v>
      </c>
    </row>
    <row r="4" spans="1:17" x14ac:dyDescent="0.25">
      <c r="C4" s="124">
        <v>2</v>
      </c>
      <c r="D4" s="602">
        <v>-7020229276.9499998</v>
      </c>
      <c r="E4" s="602">
        <v>1926969479.73</v>
      </c>
      <c r="F4" s="593">
        <f>D4+E4</f>
        <v>-5093259797.2199993</v>
      </c>
      <c r="G4" s="499"/>
      <c r="H4" s="613">
        <f>DetRetri2026091!J10</f>
        <v>-5093259797</v>
      </c>
      <c r="I4" s="276">
        <f t="shared" ref="I4:I7" si="0">F4-H4</f>
        <v>-0.21999931335449219</v>
      </c>
    </row>
    <row r="5" spans="1:17" x14ac:dyDescent="0.25">
      <c r="C5" s="124">
        <v>3</v>
      </c>
      <c r="D5" s="602">
        <v>-3133698635.4699998</v>
      </c>
      <c r="E5" s="602">
        <v>1903301637.03</v>
      </c>
      <c r="F5" s="593">
        <f>D5+E5</f>
        <v>-1230396998.4399998</v>
      </c>
      <c r="G5" s="499"/>
      <c r="H5" s="613">
        <f>DetRetri2026091!J11</f>
        <v>-1230396998</v>
      </c>
      <c r="I5" s="276">
        <f t="shared" si="0"/>
        <v>-0.43999981880187988</v>
      </c>
    </row>
    <row r="6" spans="1:17" x14ac:dyDescent="0.25">
      <c r="C6" s="124">
        <v>4</v>
      </c>
      <c r="D6" s="602">
        <v>-447905736.62</v>
      </c>
      <c r="E6" s="602">
        <v>486039642.42000002</v>
      </c>
      <c r="F6" s="593">
        <f>D6+E6</f>
        <v>38133905.800000012</v>
      </c>
      <c r="G6" s="499"/>
      <c r="H6" s="613">
        <f>DetRetri2026091!J12</f>
        <v>38133906</v>
      </c>
      <c r="I6" s="276">
        <f t="shared" si="0"/>
        <v>-0.19999998807907104</v>
      </c>
    </row>
    <row r="7" spans="1:17" ht="13.8" thickBot="1" x14ac:dyDescent="0.3">
      <c r="C7" s="125">
        <v>5</v>
      </c>
      <c r="D7" s="603">
        <v>-2535461418.3200002</v>
      </c>
      <c r="E7" s="603">
        <v>1311360727.8599999</v>
      </c>
      <c r="F7" s="594">
        <f>D7+E7</f>
        <v>-1224100690.4600003</v>
      </c>
      <c r="G7" s="499"/>
      <c r="H7" s="614">
        <f>DetRetri2026091!J13</f>
        <v>-1224100690</v>
      </c>
      <c r="I7" s="276">
        <f t="shared" si="0"/>
        <v>-0.46000027656555176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-4920287863.7799988</v>
      </c>
      <c r="G9" s="499"/>
      <c r="H9" s="615">
        <f>SUM(H3:H7)</f>
        <v>-4920287862</v>
      </c>
      <c r="I9" s="276">
        <f>F9-H9</f>
        <v>-1.779998779296875</v>
      </c>
    </row>
    <row r="10" spans="1:17" ht="13.8" thickBot="1" x14ac:dyDescent="0.3">
      <c r="D10" s="144"/>
      <c r="E10" s="144"/>
      <c r="F10" s="144"/>
      <c r="G10" s="500"/>
      <c r="H10" s="265" t="b">
        <f>H9=DetRetri2026091!J14</f>
        <v>1</v>
      </c>
    </row>
    <row r="11" spans="1:17" ht="13.8" thickBot="1" x14ac:dyDescent="0.3">
      <c r="D11" s="264">
        <f>SUM(D3:D7)</f>
        <v>-14351726173.969999</v>
      </c>
      <c r="E11" s="264">
        <f t="shared" ref="E11" si="1">SUM(E3:E7)</f>
        <v>9431438310.1900005</v>
      </c>
      <c r="F11" s="264">
        <f>SUM(D3:E7)</f>
        <v>-4920287863.7799997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2589335716.54</v>
      </c>
      <c r="F19" s="514" t="b">
        <f>E19=F3</f>
        <v>1</v>
      </c>
      <c r="G19" s="514" t="b">
        <f>E19=H3</f>
        <v>0</v>
      </c>
      <c r="H19" s="515">
        <f>E19-H3</f>
        <v>-0.46000003814697266</v>
      </c>
      <c r="I19" s="137"/>
    </row>
    <row r="20" spans="4:9" x14ac:dyDescent="0.25">
      <c r="D20" s="511">
        <v>2</v>
      </c>
      <c r="E20" s="516">
        <f>'CONSOLIDADO_TOTAL RECAUDO'!J105</f>
        <v>-5093259797.2199993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-0.21999931335449219</v>
      </c>
      <c r="I20" s="137"/>
    </row>
    <row r="21" spans="4:9" x14ac:dyDescent="0.25">
      <c r="D21" s="511">
        <v>3</v>
      </c>
      <c r="E21" s="516">
        <f>'CONSOLIDADO_TOTAL RECAUDO'!J106</f>
        <v>-1230396998.4399998</v>
      </c>
      <c r="F21" s="505" t="b">
        <f t="shared" si="2"/>
        <v>1</v>
      </c>
      <c r="G21" s="505" t="b">
        <f t="shared" si="3"/>
        <v>0</v>
      </c>
      <c r="H21" s="261">
        <f t="shared" si="4"/>
        <v>-0.43999981880187988</v>
      </c>
    </row>
    <row r="22" spans="4:9" x14ac:dyDescent="0.25">
      <c r="D22" s="511">
        <v>4</v>
      </c>
      <c r="E22" s="516">
        <f>'CONSOLIDADO_TOTAL RECAUDO'!J107</f>
        <v>38133905.800000012</v>
      </c>
      <c r="F22" s="505" t="b">
        <f t="shared" si="2"/>
        <v>1</v>
      </c>
      <c r="G22" s="505" t="b">
        <f t="shared" si="3"/>
        <v>0</v>
      </c>
      <c r="H22" s="261">
        <f t="shared" si="4"/>
        <v>-0.19999998807907104</v>
      </c>
    </row>
    <row r="23" spans="4:9" ht="13.8" thickBot="1" x14ac:dyDescent="0.3">
      <c r="D23" s="512">
        <v>5</v>
      </c>
      <c r="E23" s="517">
        <f>'CONSOLIDADO_TOTAL RECAUDO'!J108</f>
        <v>-1224100690.4600003</v>
      </c>
      <c r="F23" s="518" t="b">
        <f t="shared" si="2"/>
        <v>1</v>
      </c>
      <c r="G23" s="518" t="b">
        <f t="shared" si="3"/>
        <v>0</v>
      </c>
      <c r="H23" s="262">
        <f t="shared" si="4"/>
        <v>-0.46000027656555176</v>
      </c>
    </row>
    <row r="24" spans="4:9" ht="13.8" thickBot="1" x14ac:dyDescent="0.3">
      <c r="E24" s="264">
        <f>SUM(E19:E23)</f>
        <v>-4920287863.7799988</v>
      </c>
      <c r="F24" s="506" t="b">
        <f>E24=F9</f>
        <v>1</v>
      </c>
      <c r="G24" s="507" t="b">
        <f>E24=H9</f>
        <v>0</v>
      </c>
      <c r="H24" s="263">
        <f>E24-H9</f>
        <v>-1.779998779296875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-7108.83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-79.58</v>
      </c>
      <c r="L6" s="90">
        <v>0</v>
      </c>
      <c r="M6" s="90">
        <v>-698.02</v>
      </c>
      <c r="N6" s="90">
        <v>-584.16</v>
      </c>
      <c r="O6" s="90">
        <v>-2331.79</v>
      </c>
      <c r="P6" s="90">
        <v>-1243.99</v>
      </c>
      <c r="Q6" s="90">
        <v>-129.84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-7108.83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-79.58</v>
      </c>
      <c r="L7" s="90">
        <v>0</v>
      </c>
      <c r="M7" s="90">
        <v>-698.02</v>
      </c>
      <c r="N7" s="90">
        <v>-584.16</v>
      </c>
      <c r="O7" s="90">
        <v>-2331.79</v>
      </c>
      <c r="P7" s="90">
        <v>-1243.99</v>
      </c>
      <c r="Q7" s="90">
        <v>-129.84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-7108.83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-79.58</v>
      </c>
      <c r="L8" s="230">
        <v>0</v>
      </c>
      <c r="M8" s="230">
        <v>-698.02</v>
      </c>
      <c r="N8" s="230">
        <v>-584.16</v>
      </c>
      <c r="O8" s="230">
        <v>-2331.79</v>
      </c>
      <c r="P8" s="230">
        <v>-1243.99</v>
      </c>
      <c r="Q8" s="230">
        <v>-129.84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-7108.83</v>
      </c>
      <c r="G16" s="90">
        <v>-502.98</v>
      </c>
      <c r="H16" s="90">
        <v>-213.69</v>
      </c>
      <c r="I16" s="90">
        <v>-93.3</v>
      </c>
      <c r="J16" s="90">
        <v>-1231.48</v>
      </c>
      <c r="K16" s="90">
        <v>-79.58</v>
      </c>
      <c r="L16" s="90">
        <v>0</v>
      </c>
      <c r="M16" s="90">
        <v>-698.02</v>
      </c>
      <c r="N16" s="90">
        <v>-584.16</v>
      </c>
      <c r="O16" s="90">
        <v>-2331.79</v>
      </c>
      <c r="P16" s="90">
        <v>-1243.99</v>
      </c>
      <c r="Q16" s="90">
        <v>-129.84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-7108.83</v>
      </c>
      <c r="G17" s="458">
        <v>-502.98</v>
      </c>
      <c r="H17" s="458">
        <v>-213.69</v>
      </c>
      <c r="I17" s="458">
        <v>-93.3</v>
      </c>
      <c r="J17" s="458">
        <v>-1231.48</v>
      </c>
      <c r="K17" s="458">
        <v>-79.58</v>
      </c>
      <c r="L17" s="458">
        <v>0</v>
      </c>
      <c r="M17" s="458">
        <v>-698.02</v>
      </c>
      <c r="N17" s="458">
        <v>-584.16</v>
      </c>
      <c r="O17" s="458">
        <v>-2331.79</v>
      </c>
      <c r="P17" s="458">
        <v>-1243.99</v>
      </c>
      <c r="Q17" s="458">
        <v>-129.84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325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42672.75</v>
      </c>
      <c r="G32" s="90">
        <v>2083.59</v>
      </c>
      <c r="H32" s="90">
        <v>1160.96</v>
      </c>
      <c r="I32" s="90">
        <v>617.46</v>
      </c>
      <c r="J32" s="90">
        <v>10415.64</v>
      </c>
      <c r="K32" s="90">
        <v>383.02</v>
      </c>
      <c r="L32" s="90">
        <v>0</v>
      </c>
      <c r="M32" s="90">
        <v>3359.81</v>
      </c>
      <c r="N32" s="90">
        <v>3220.39</v>
      </c>
      <c r="O32" s="90">
        <v>15117.23</v>
      </c>
      <c r="P32" s="90">
        <v>5690.79</v>
      </c>
      <c r="Q32" s="90">
        <v>624.91999999999996</v>
      </c>
      <c r="R32" s="90">
        <v>-1.06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7.25</v>
      </c>
      <c r="G33" s="90">
        <v>0.35</v>
      </c>
      <c r="H33" s="90">
        <v>0.2</v>
      </c>
      <c r="I33" s="90">
        <v>0.1</v>
      </c>
      <c r="J33" s="90">
        <v>1.77</v>
      </c>
      <c r="K33" s="90">
        <v>7.0000000000000007E-2</v>
      </c>
      <c r="L33" s="90">
        <v>0</v>
      </c>
      <c r="M33" s="90">
        <v>0.56999999999999995</v>
      </c>
      <c r="N33" s="90">
        <v>0.54</v>
      </c>
      <c r="O33" s="90">
        <v>2.57</v>
      </c>
      <c r="P33" s="90">
        <v>0.97</v>
      </c>
      <c r="Q33" s="90">
        <v>0.11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42680</v>
      </c>
      <c r="G34" s="90">
        <v>2083.94</v>
      </c>
      <c r="H34" s="90">
        <v>1161.1600000000001</v>
      </c>
      <c r="I34" s="90">
        <v>617.55999999999995</v>
      </c>
      <c r="J34" s="90">
        <v>10417.41</v>
      </c>
      <c r="K34" s="90">
        <v>383.09</v>
      </c>
      <c r="L34" s="90">
        <v>0</v>
      </c>
      <c r="M34" s="90">
        <v>3360.38</v>
      </c>
      <c r="N34" s="90">
        <v>3220.93</v>
      </c>
      <c r="O34" s="90">
        <v>15119.8</v>
      </c>
      <c r="P34" s="90">
        <v>5691.76</v>
      </c>
      <c r="Q34" s="90">
        <v>625.03</v>
      </c>
      <c r="R34" s="90">
        <v>-1.06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42680</v>
      </c>
      <c r="G35" s="93">
        <v>2083.94</v>
      </c>
      <c r="H35" s="93">
        <v>1161.1600000000001</v>
      </c>
      <c r="I35" s="93">
        <v>617.55999999999995</v>
      </c>
      <c r="J35" s="93">
        <v>10417.41</v>
      </c>
      <c r="K35" s="93">
        <v>383.09</v>
      </c>
      <c r="L35" s="93">
        <v>0</v>
      </c>
      <c r="M35" s="93">
        <v>3360.38</v>
      </c>
      <c r="N35" s="93">
        <v>3220.93</v>
      </c>
      <c r="O35" s="93">
        <v>15119.8</v>
      </c>
      <c r="P35" s="93">
        <v>5691.76</v>
      </c>
      <c r="Q35" s="93">
        <v>625.03</v>
      </c>
      <c r="R35" s="93">
        <v>-1.06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42680</v>
      </c>
      <c r="G36" s="377">
        <v>2083.94</v>
      </c>
      <c r="H36" s="377">
        <v>1161.1600000000001</v>
      </c>
      <c r="I36" s="377">
        <v>617.55999999999995</v>
      </c>
      <c r="J36" s="377">
        <v>10417.41</v>
      </c>
      <c r="K36" s="377">
        <v>383.09</v>
      </c>
      <c r="L36" s="377">
        <v>0</v>
      </c>
      <c r="M36" s="377">
        <v>3360.38</v>
      </c>
      <c r="N36" s="377">
        <v>3220.93</v>
      </c>
      <c r="O36" s="377">
        <v>15119.8</v>
      </c>
      <c r="P36" s="377">
        <v>5691.76</v>
      </c>
      <c r="Q36" s="377">
        <v>625.03</v>
      </c>
      <c r="R36" s="377">
        <v>-1.06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19865857825.860001</v>
      </c>
      <c r="G37" s="90">
        <v>949827539.36000001</v>
      </c>
      <c r="H37" s="90">
        <v>530587819.87</v>
      </c>
      <c r="I37" s="90">
        <v>281179249.56999999</v>
      </c>
      <c r="J37" s="90">
        <v>4811539753.1400003</v>
      </c>
      <c r="K37" s="90">
        <v>180471248.41</v>
      </c>
      <c r="L37" s="90">
        <v>28843603</v>
      </c>
      <c r="M37" s="90">
        <v>1584057437.4100001</v>
      </c>
      <c r="N37" s="90">
        <v>1510956893.3699999</v>
      </c>
      <c r="O37" s="90">
        <v>7108872984.7600002</v>
      </c>
      <c r="P37" s="90">
        <v>2585076969.7199998</v>
      </c>
      <c r="Q37" s="90">
        <v>294490513.72000003</v>
      </c>
      <c r="R37" s="90">
        <v>-46186.47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3221187.2</v>
      </c>
      <c r="G38" s="90">
        <v>191257.04</v>
      </c>
      <c r="H38" s="90">
        <v>96240.8</v>
      </c>
      <c r="I38" s="90">
        <v>48070.33</v>
      </c>
      <c r="J38" s="90">
        <v>691627.43</v>
      </c>
      <c r="K38" s="90">
        <v>30779.35</v>
      </c>
      <c r="L38" s="90">
        <v>1888.23</v>
      </c>
      <c r="M38" s="90">
        <v>270442.28999999998</v>
      </c>
      <c r="N38" s="90">
        <v>245214.4</v>
      </c>
      <c r="O38" s="90">
        <v>1082415.01</v>
      </c>
      <c r="P38" s="90">
        <v>513014.61</v>
      </c>
      <c r="Q38" s="90">
        <v>50206.13</v>
      </c>
      <c r="R38" s="90">
        <v>-5.69</v>
      </c>
      <c r="S38" s="90">
        <v>0</v>
      </c>
      <c r="T38" s="90">
        <v>53.13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-15.86</v>
      </c>
    </row>
    <row r="39" spans="2:26" ht="12.75" customHeight="1" x14ac:dyDescent="0.25">
      <c r="D39" t="s">
        <v>156</v>
      </c>
      <c r="E39" s="89" t="s">
        <v>70</v>
      </c>
      <c r="F39" s="89">
        <v>19869079013.060001</v>
      </c>
      <c r="G39" s="90">
        <v>950018796.39999998</v>
      </c>
      <c r="H39" s="90">
        <v>530684060.67000002</v>
      </c>
      <c r="I39" s="90">
        <v>281227319.89999998</v>
      </c>
      <c r="J39" s="90">
        <v>4812231380.5699997</v>
      </c>
      <c r="K39" s="90">
        <v>180502027.75999999</v>
      </c>
      <c r="L39" s="90">
        <v>28845491.23</v>
      </c>
      <c r="M39" s="90">
        <v>1584327879.7</v>
      </c>
      <c r="N39" s="90">
        <v>1511202107.77</v>
      </c>
      <c r="O39" s="90">
        <v>7109955399.7700005</v>
      </c>
      <c r="P39" s="90">
        <v>2585589984.3299999</v>
      </c>
      <c r="Q39" s="90">
        <v>294540719.85000002</v>
      </c>
      <c r="R39" s="90">
        <v>-46192.160000000003</v>
      </c>
      <c r="S39" s="90">
        <v>0</v>
      </c>
      <c r="T39" s="90">
        <v>53.13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-15.86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19869079013.060001</v>
      </c>
      <c r="G40" s="230">
        <v>950018796.39999998</v>
      </c>
      <c r="H40" s="230">
        <v>530684060.67000002</v>
      </c>
      <c r="I40" s="230">
        <v>281227319.89999998</v>
      </c>
      <c r="J40" s="230">
        <v>4812231380.5699997</v>
      </c>
      <c r="K40" s="230">
        <v>180502027.75999999</v>
      </c>
      <c r="L40" s="230">
        <v>28845491.23</v>
      </c>
      <c r="M40" s="230">
        <v>1584327879.7</v>
      </c>
      <c r="N40" s="230">
        <v>1511202107.77</v>
      </c>
      <c r="O40" s="230">
        <v>7109955399.7700005</v>
      </c>
      <c r="P40" s="230">
        <v>2585589984.3299999</v>
      </c>
      <c r="Q40" s="230">
        <v>294540719.85000002</v>
      </c>
      <c r="R40" s="230">
        <v>-46192.160000000003</v>
      </c>
      <c r="S40" s="230">
        <v>0</v>
      </c>
      <c r="T40" s="230">
        <v>53.13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-15.86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325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34834776.310000002</v>
      </c>
      <c r="G45" s="90">
        <v>3050420.43</v>
      </c>
      <c r="H45" s="90">
        <v>1694569.42</v>
      </c>
      <c r="I45" s="90">
        <v>901684.59</v>
      </c>
      <c r="J45" s="90">
        <v>6258963.79</v>
      </c>
      <c r="K45" s="90">
        <v>206736.51</v>
      </c>
      <c r="L45" s="90">
        <v>0</v>
      </c>
      <c r="M45" s="90">
        <v>1810170.82</v>
      </c>
      <c r="N45" s="90">
        <v>2156347.41</v>
      </c>
      <c r="O45" s="90">
        <v>10098958.66</v>
      </c>
      <c r="P45" s="90">
        <v>8319284.6699999999</v>
      </c>
      <c r="Q45" s="90">
        <v>337911.22</v>
      </c>
      <c r="R45" s="90">
        <v>-271.20999999999998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73612.429999999993</v>
      </c>
      <c r="G46" s="90">
        <v>3963.92</v>
      </c>
      <c r="H46" s="90">
        <v>2089.52</v>
      </c>
      <c r="I46" s="90">
        <v>1132.4000000000001</v>
      </c>
      <c r="J46" s="90">
        <v>18172.87</v>
      </c>
      <c r="K46" s="90">
        <v>548.71</v>
      </c>
      <c r="L46" s="90">
        <v>0</v>
      </c>
      <c r="M46" s="90">
        <v>4821.4399999999996</v>
      </c>
      <c r="N46" s="90">
        <v>5503.49</v>
      </c>
      <c r="O46" s="90">
        <v>25681.1</v>
      </c>
      <c r="P46" s="90">
        <v>10802.17</v>
      </c>
      <c r="Q46" s="90">
        <v>897.07</v>
      </c>
      <c r="R46" s="90">
        <v>-0.3</v>
      </c>
      <c r="S46" s="90">
        <v>0</v>
      </c>
      <c r="T46" s="90">
        <v>0.04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34908388.740000002</v>
      </c>
      <c r="G47" s="90">
        <v>3054384.35</v>
      </c>
      <c r="H47" s="90">
        <v>1696658.94</v>
      </c>
      <c r="I47" s="90">
        <v>902816.99</v>
      </c>
      <c r="J47" s="90">
        <v>6277136.6600000001</v>
      </c>
      <c r="K47" s="90">
        <v>207285.22</v>
      </c>
      <c r="L47" s="90">
        <v>0</v>
      </c>
      <c r="M47" s="90">
        <v>1814992.26</v>
      </c>
      <c r="N47" s="90">
        <v>2161850.9</v>
      </c>
      <c r="O47" s="90">
        <v>10124639.76</v>
      </c>
      <c r="P47" s="90">
        <v>8330086.8399999999</v>
      </c>
      <c r="Q47" s="90">
        <v>338808.29</v>
      </c>
      <c r="R47" s="90">
        <v>-271.51</v>
      </c>
      <c r="S47" s="90">
        <v>0</v>
      </c>
      <c r="T47" s="90">
        <v>0.04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99460670.400000006</v>
      </c>
      <c r="G48" s="90">
        <v>8743467.5099999998</v>
      </c>
      <c r="H48" s="90">
        <v>4501924.45</v>
      </c>
      <c r="I48" s="90">
        <v>2257268.7999999998</v>
      </c>
      <c r="J48" s="90">
        <v>15226576.5</v>
      </c>
      <c r="K48" s="90">
        <v>720340.83</v>
      </c>
      <c r="L48" s="90">
        <v>71191.320000000007</v>
      </c>
      <c r="M48" s="90">
        <v>6347720.0899999999</v>
      </c>
      <c r="N48" s="90">
        <v>6458242.71</v>
      </c>
      <c r="O48" s="90">
        <v>29949150.079999998</v>
      </c>
      <c r="P48" s="90">
        <v>24008686.399999999</v>
      </c>
      <c r="Q48" s="90">
        <v>1175914.72</v>
      </c>
      <c r="R48" s="90">
        <v>186.99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8554575.9900000002</v>
      </c>
      <c r="G49" s="90">
        <v>822696.95</v>
      </c>
      <c r="H49" s="90">
        <v>248641.09</v>
      </c>
      <c r="I49" s="90">
        <v>50902.54</v>
      </c>
      <c r="J49" s="90">
        <v>1306165.8400000001</v>
      </c>
      <c r="K49" s="90">
        <v>80047.98</v>
      </c>
      <c r="L49" s="90">
        <v>0</v>
      </c>
      <c r="M49" s="90">
        <v>702034.32</v>
      </c>
      <c r="N49" s="90">
        <v>586868.46</v>
      </c>
      <c r="O49" s="90">
        <v>2182750.4300000002</v>
      </c>
      <c r="P49" s="90">
        <v>2443333.54</v>
      </c>
      <c r="Q49" s="90">
        <v>130594.62</v>
      </c>
      <c r="R49" s="90">
        <v>184.84</v>
      </c>
      <c r="S49" s="90">
        <v>0</v>
      </c>
      <c r="T49" s="90">
        <v>355.38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108015246.39</v>
      </c>
      <c r="G50" s="90">
        <v>9566164.4600000009</v>
      </c>
      <c r="H50" s="90">
        <v>4750565.54</v>
      </c>
      <c r="I50" s="90">
        <v>2308171.34</v>
      </c>
      <c r="J50" s="90">
        <v>16532742.34</v>
      </c>
      <c r="K50" s="90">
        <v>800388.81</v>
      </c>
      <c r="L50" s="90">
        <v>71191.320000000007</v>
      </c>
      <c r="M50" s="90">
        <v>7049754.4100000001</v>
      </c>
      <c r="N50" s="90">
        <v>7045111.1699999999</v>
      </c>
      <c r="O50" s="90">
        <v>32131900.510000002</v>
      </c>
      <c r="P50" s="90">
        <v>26452019.940000001</v>
      </c>
      <c r="Q50" s="90">
        <v>1306509.3400000001</v>
      </c>
      <c r="R50" s="90">
        <v>371.83</v>
      </c>
      <c r="S50" s="90">
        <v>0</v>
      </c>
      <c r="T50" s="90">
        <v>355.38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237384314.00999999</v>
      </c>
      <c r="G51" s="90">
        <v>38284621.899999999</v>
      </c>
      <c r="H51" s="90">
        <v>21414097.02</v>
      </c>
      <c r="I51" s="90">
        <v>11342632.34</v>
      </c>
      <c r="J51" s="90">
        <v>19779058.390000001</v>
      </c>
      <c r="K51" s="90">
        <v>508140.34</v>
      </c>
      <c r="L51" s="90">
        <v>1717780</v>
      </c>
      <c r="M51" s="90">
        <v>4440916.83</v>
      </c>
      <c r="N51" s="90">
        <v>6082873.4800000004</v>
      </c>
      <c r="O51" s="90">
        <v>28426344.850000001</v>
      </c>
      <c r="P51" s="90">
        <v>104559679.95</v>
      </c>
      <c r="Q51" s="90">
        <v>828965.34</v>
      </c>
      <c r="R51" s="90">
        <v>-796.43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1223054.08</v>
      </c>
      <c r="G52" s="90">
        <v>158799.91</v>
      </c>
      <c r="H52" s="90">
        <v>78943.63</v>
      </c>
      <c r="I52" s="90">
        <v>38013.15</v>
      </c>
      <c r="J52" s="90">
        <v>162199.93</v>
      </c>
      <c r="K52" s="90">
        <v>5653.98</v>
      </c>
      <c r="L52" s="90">
        <v>1207.03</v>
      </c>
      <c r="M52" s="90">
        <v>49618.45</v>
      </c>
      <c r="N52" s="90">
        <v>61442.74</v>
      </c>
      <c r="O52" s="90">
        <v>241587.84</v>
      </c>
      <c r="P52" s="90">
        <v>416341.81</v>
      </c>
      <c r="Q52" s="90">
        <v>9230.5499999999993</v>
      </c>
      <c r="R52" s="90">
        <v>15.01</v>
      </c>
      <c r="S52" s="90">
        <v>-0.06</v>
      </c>
      <c r="T52" s="90">
        <v>0.11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238607368.09</v>
      </c>
      <c r="G53" s="90">
        <v>38443421.810000002</v>
      </c>
      <c r="H53" s="90">
        <v>21493040.649999999</v>
      </c>
      <c r="I53" s="90">
        <v>11380645.49</v>
      </c>
      <c r="J53" s="90">
        <v>19941258.32</v>
      </c>
      <c r="K53" s="90">
        <v>513794.32</v>
      </c>
      <c r="L53" s="90">
        <v>1718987.03</v>
      </c>
      <c r="M53" s="90">
        <v>4490535.28</v>
      </c>
      <c r="N53" s="90">
        <v>6144316.2199999997</v>
      </c>
      <c r="O53" s="90">
        <v>28667932.690000001</v>
      </c>
      <c r="P53" s="90">
        <v>104976021.76000001</v>
      </c>
      <c r="Q53" s="90">
        <v>838195.89</v>
      </c>
      <c r="R53" s="90">
        <v>-781.42</v>
      </c>
      <c r="S53" s="90">
        <v>-0.06</v>
      </c>
      <c r="T53" s="90">
        <v>0.11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381531003.22000003</v>
      </c>
      <c r="G54" s="93">
        <v>51063970.619999997</v>
      </c>
      <c r="H54" s="93">
        <v>27940265.129999999</v>
      </c>
      <c r="I54" s="93">
        <v>14591633.82</v>
      </c>
      <c r="J54" s="93">
        <v>42751137.32</v>
      </c>
      <c r="K54" s="93">
        <v>1521468.35</v>
      </c>
      <c r="L54" s="93">
        <v>1790178.35</v>
      </c>
      <c r="M54" s="93">
        <v>13355281.949999999</v>
      </c>
      <c r="N54" s="93">
        <v>15351278.289999999</v>
      </c>
      <c r="O54" s="93">
        <v>70924472.959999993</v>
      </c>
      <c r="P54" s="93">
        <v>139758128.53999999</v>
      </c>
      <c r="Q54" s="93">
        <v>2483513.52</v>
      </c>
      <c r="R54" s="93">
        <v>-681.1</v>
      </c>
      <c r="S54" s="93">
        <v>-0.06</v>
      </c>
      <c r="T54" s="93">
        <v>355.53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20250610016.279999</v>
      </c>
      <c r="G55" s="100">
        <v>1001082767.02</v>
      </c>
      <c r="H55" s="100">
        <v>558624325.79999995</v>
      </c>
      <c r="I55" s="100">
        <v>295818953.72000003</v>
      </c>
      <c r="J55" s="100">
        <v>4854982517.8900003</v>
      </c>
      <c r="K55" s="100">
        <v>182023496.11000001</v>
      </c>
      <c r="L55" s="100">
        <v>30635669.579999998</v>
      </c>
      <c r="M55" s="100">
        <v>1597683161.6500001</v>
      </c>
      <c r="N55" s="100">
        <v>1526553386.0599999</v>
      </c>
      <c r="O55" s="100">
        <v>7180879872.7299995</v>
      </c>
      <c r="P55" s="100">
        <v>2725348112.8699999</v>
      </c>
      <c r="Q55" s="100">
        <v>297024233.37</v>
      </c>
      <c r="R55" s="100">
        <v>-46873.26</v>
      </c>
      <c r="S55" s="100">
        <v>-0.06</v>
      </c>
      <c r="T55" s="100">
        <v>408.66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-15.86</v>
      </c>
    </row>
    <row r="56" spans="1:26" ht="12.6" customHeight="1" x14ac:dyDescent="0.25">
      <c r="A56" t="s">
        <v>78</v>
      </c>
      <c r="B56" t="s">
        <v>70</v>
      </c>
      <c r="E56" s="89"/>
      <c r="F56" s="89">
        <v>20250652696.279999</v>
      </c>
      <c r="G56" s="90">
        <v>1001084850.96</v>
      </c>
      <c r="H56" s="90">
        <v>558625486.96000004</v>
      </c>
      <c r="I56" s="90">
        <v>295819571.27999997</v>
      </c>
      <c r="J56" s="90">
        <v>4854992935.3000002</v>
      </c>
      <c r="K56" s="90">
        <v>182023879.19999999</v>
      </c>
      <c r="L56" s="90">
        <v>30635669.579999998</v>
      </c>
      <c r="M56" s="90">
        <v>1597686522.03</v>
      </c>
      <c r="N56" s="90">
        <v>1526556606.99</v>
      </c>
      <c r="O56" s="90">
        <v>7180894992.5299997</v>
      </c>
      <c r="P56" s="90">
        <v>2725353804.6300001</v>
      </c>
      <c r="Q56" s="90">
        <v>297024858.39999998</v>
      </c>
      <c r="R56" s="90">
        <v>-46874.32</v>
      </c>
      <c r="S56" s="90">
        <v>-0.06</v>
      </c>
      <c r="T56" s="90">
        <v>408.66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-15.86</v>
      </c>
    </row>
    <row r="57" spans="1:26" x14ac:dyDescent="0.25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325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-2946115981.23</v>
      </c>
      <c r="G71" s="90">
        <v>-66231005.340000004</v>
      </c>
      <c r="H71" s="90">
        <v>-36832734.109999999</v>
      </c>
      <c r="I71" s="90">
        <v>-19652614.050000001</v>
      </c>
      <c r="J71" s="90">
        <v>-827185764.33000004</v>
      </c>
      <c r="K71" s="90">
        <v>-30673428.390000001</v>
      </c>
      <c r="L71" s="90">
        <v>0</v>
      </c>
      <c r="M71" s="90">
        <v>-269377256.72000003</v>
      </c>
      <c r="N71" s="90">
        <v>-257778348.69</v>
      </c>
      <c r="O71" s="90">
        <v>-1210915616.1199999</v>
      </c>
      <c r="P71" s="90">
        <v>-177422939.84</v>
      </c>
      <c r="Q71" s="90">
        <v>-50046273.640000001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-2946115981.23</v>
      </c>
      <c r="G72" s="90">
        <v>-66231005.340000004</v>
      </c>
      <c r="H72" s="90">
        <v>-36832734.109999999</v>
      </c>
      <c r="I72" s="90">
        <v>-19652614.050000001</v>
      </c>
      <c r="J72" s="90">
        <v>-827185764.33000004</v>
      </c>
      <c r="K72" s="90">
        <v>-30673428.390000001</v>
      </c>
      <c r="L72" s="90">
        <v>0</v>
      </c>
      <c r="M72" s="90">
        <v>-269377256.72000003</v>
      </c>
      <c r="N72" s="90">
        <v>-257778348.69</v>
      </c>
      <c r="O72" s="90">
        <v>-1210915616.1199999</v>
      </c>
      <c r="P72" s="90">
        <v>-177422939.84</v>
      </c>
      <c r="Q72" s="90">
        <v>-50046273.640000001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-2946115981.23</v>
      </c>
      <c r="G73" s="230">
        <v>-66231005.340000004</v>
      </c>
      <c r="H73" s="230">
        <v>-36832734.109999999</v>
      </c>
      <c r="I73" s="230">
        <v>-19652614.050000001</v>
      </c>
      <c r="J73" s="230">
        <v>-827185764.33000004</v>
      </c>
      <c r="K73" s="230">
        <v>-30673428.390000001</v>
      </c>
      <c r="L73" s="230">
        <v>0</v>
      </c>
      <c r="M73" s="230">
        <v>-269377256.72000003</v>
      </c>
      <c r="N73" s="230">
        <v>-257778348.69</v>
      </c>
      <c r="O73" s="230">
        <v>-1210915616.1199999</v>
      </c>
      <c r="P73" s="230">
        <v>-177422939.84</v>
      </c>
      <c r="Q73" s="230">
        <v>-50046273.640000001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325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6948561.2599999998</v>
      </c>
      <c r="G77" s="90">
        <v>1410581.2</v>
      </c>
      <c r="H77" s="90">
        <v>792768.83</v>
      </c>
      <c r="I77" s="90">
        <v>419896.52</v>
      </c>
      <c r="J77" s="90">
        <v>180596.23</v>
      </c>
      <c r="K77" s="90">
        <v>-3882.3</v>
      </c>
      <c r="L77" s="90">
        <v>0</v>
      </c>
      <c r="M77" s="90">
        <v>-34057.21</v>
      </c>
      <c r="N77" s="90">
        <v>57414.32</v>
      </c>
      <c r="O77" s="90">
        <v>271593.34999999998</v>
      </c>
      <c r="P77" s="90">
        <v>3859983.64</v>
      </c>
      <c r="Q77" s="90">
        <v>-6333.32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6948561.2599999998</v>
      </c>
      <c r="G78" s="90">
        <v>1410581.2</v>
      </c>
      <c r="H78" s="90">
        <v>792768.83</v>
      </c>
      <c r="I78" s="90">
        <v>419896.52</v>
      </c>
      <c r="J78" s="90">
        <v>180596.23</v>
      </c>
      <c r="K78" s="90">
        <v>-3882.3</v>
      </c>
      <c r="L78" s="90">
        <v>0</v>
      </c>
      <c r="M78" s="90">
        <v>-34057.21</v>
      </c>
      <c r="N78" s="90">
        <v>57414.32</v>
      </c>
      <c r="O78" s="90">
        <v>271593.34999999998</v>
      </c>
      <c r="P78" s="90">
        <v>3859983.64</v>
      </c>
      <c r="Q78" s="90">
        <v>-6333.32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18379766.120000001</v>
      </c>
      <c r="G79" s="90">
        <v>3896523.02</v>
      </c>
      <c r="H79" s="90">
        <v>1932685.53</v>
      </c>
      <c r="I79" s="90">
        <v>904936.27</v>
      </c>
      <c r="J79" s="90">
        <v>174866.47</v>
      </c>
      <c r="K79" s="90">
        <v>-4332.57</v>
      </c>
      <c r="L79" s="90">
        <v>0</v>
      </c>
      <c r="M79" s="90">
        <v>-47024.58</v>
      </c>
      <c r="N79" s="90">
        <v>133689.19</v>
      </c>
      <c r="O79" s="90">
        <v>548414.37</v>
      </c>
      <c r="P79" s="90">
        <v>10847077.07</v>
      </c>
      <c r="Q79" s="90">
        <v>-7068.65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18379766.120000001</v>
      </c>
      <c r="G80" s="90">
        <v>3896523.02</v>
      </c>
      <c r="H80" s="90">
        <v>1932685.53</v>
      </c>
      <c r="I80" s="90">
        <v>904936.27</v>
      </c>
      <c r="J80" s="90">
        <v>174866.47</v>
      </c>
      <c r="K80" s="90">
        <v>-4332.57</v>
      </c>
      <c r="L80" s="90">
        <v>0</v>
      </c>
      <c r="M80" s="90">
        <v>-47024.58</v>
      </c>
      <c r="N80" s="90">
        <v>133689.19</v>
      </c>
      <c r="O80" s="90">
        <v>548414.37</v>
      </c>
      <c r="P80" s="90">
        <v>10847077.07</v>
      </c>
      <c r="Q80" s="90">
        <v>-7068.65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119727831.91</v>
      </c>
      <c r="G81" s="90">
        <v>21174917.870000001</v>
      </c>
      <c r="H81" s="90">
        <v>11896575.210000001</v>
      </c>
      <c r="I81" s="90">
        <v>6266740.54</v>
      </c>
      <c r="J81" s="90">
        <v>7356037.7599999998</v>
      </c>
      <c r="K81" s="90">
        <v>191531.36</v>
      </c>
      <c r="L81" s="90">
        <v>0</v>
      </c>
      <c r="M81" s="90">
        <v>1677524.25</v>
      </c>
      <c r="N81" s="90">
        <v>2303266.9900000002</v>
      </c>
      <c r="O81" s="90">
        <v>10782216.24</v>
      </c>
      <c r="P81" s="90">
        <v>57766394.100000001</v>
      </c>
      <c r="Q81" s="90">
        <v>312627.59000000003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119727831.91</v>
      </c>
      <c r="G82" s="90">
        <v>21174917.870000001</v>
      </c>
      <c r="H82" s="90">
        <v>11896575.210000001</v>
      </c>
      <c r="I82" s="90">
        <v>6266740.54</v>
      </c>
      <c r="J82" s="90">
        <v>7356037.7599999998</v>
      </c>
      <c r="K82" s="90">
        <v>191531.36</v>
      </c>
      <c r="L82" s="90">
        <v>0</v>
      </c>
      <c r="M82" s="90">
        <v>1677524.25</v>
      </c>
      <c r="N82" s="90">
        <v>2303266.9900000002</v>
      </c>
      <c r="O82" s="90">
        <v>10782216.24</v>
      </c>
      <c r="P82" s="90">
        <v>57766394.100000001</v>
      </c>
      <c r="Q82" s="90">
        <v>312627.59000000003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145056159.28999999</v>
      </c>
      <c r="G83" s="93">
        <v>26482022.09</v>
      </c>
      <c r="H83" s="93">
        <v>14622029.57</v>
      </c>
      <c r="I83" s="93">
        <v>7591573.3300000001</v>
      </c>
      <c r="J83" s="93">
        <v>7711500.46</v>
      </c>
      <c r="K83" s="93">
        <v>183316.49</v>
      </c>
      <c r="L83" s="93">
        <v>0</v>
      </c>
      <c r="M83" s="93">
        <v>1596442.46</v>
      </c>
      <c r="N83" s="93">
        <v>2494370.5</v>
      </c>
      <c r="O83" s="93">
        <v>11602223.960000001</v>
      </c>
      <c r="P83" s="93">
        <v>72473454.810000002</v>
      </c>
      <c r="Q83" s="93">
        <v>299225.62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-2801059821.9400001</v>
      </c>
      <c r="G84" s="100">
        <v>-39748983.25</v>
      </c>
      <c r="H84" s="100">
        <v>-22210704.539999999</v>
      </c>
      <c r="I84" s="100">
        <v>-12061040.720000001</v>
      </c>
      <c r="J84" s="100">
        <v>-819474263.87</v>
      </c>
      <c r="K84" s="100">
        <v>-30490111.899999999</v>
      </c>
      <c r="L84" s="100">
        <v>0</v>
      </c>
      <c r="M84" s="100">
        <v>-267780814.25999999</v>
      </c>
      <c r="N84" s="100">
        <v>-255283978.19</v>
      </c>
      <c r="O84" s="100">
        <v>-1199313392.1600001</v>
      </c>
      <c r="P84" s="100">
        <v>-104949485.03</v>
      </c>
      <c r="Q84" s="100">
        <v>-49747048.020000003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-2801059821.9400001</v>
      </c>
      <c r="G85" s="90">
        <v>-39748983.25</v>
      </c>
      <c r="H85" s="90">
        <v>-22210704.539999999</v>
      </c>
      <c r="I85" s="90">
        <v>-12061040.720000001</v>
      </c>
      <c r="J85" s="90">
        <v>-819474263.87</v>
      </c>
      <c r="K85" s="90">
        <v>-30490111.899999999</v>
      </c>
      <c r="L85" s="90">
        <v>0</v>
      </c>
      <c r="M85" s="90">
        <v>-267780814.25999999</v>
      </c>
      <c r="N85" s="90">
        <v>-255283978.19</v>
      </c>
      <c r="O85" s="90">
        <v>-1199313392.1600001</v>
      </c>
      <c r="P85" s="90">
        <v>-104949485.03</v>
      </c>
      <c r="Q85" s="90">
        <v>-49747048.020000003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17449585765.509998</v>
      </c>
      <c r="G86" s="90">
        <v>961335364.73000002</v>
      </c>
      <c r="H86" s="90">
        <v>536414568.73000002</v>
      </c>
      <c r="I86" s="90">
        <v>283758437.25999999</v>
      </c>
      <c r="J86" s="90">
        <v>4035517439.9499998</v>
      </c>
      <c r="K86" s="90">
        <v>151533687.72</v>
      </c>
      <c r="L86" s="90">
        <v>30635669.579999998</v>
      </c>
      <c r="M86" s="90">
        <v>1329905009.75</v>
      </c>
      <c r="N86" s="90">
        <v>1271272044.6400001</v>
      </c>
      <c r="O86" s="90">
        <v>5981579268.5799999</v>
      </c>
      <c r="P86" s="90">
        <v>2620403075.6100001</v>
      </c>
      <c r="Q86" s="90">
        <v>247277680.53999999</v>
      </c>
      <c r="R86" s="90">
        <v>-46874.32</v>
      </c>
      <c r="S86" s="90">
        <v>-0.06</v>
      </c>
      <c r="T86">
        <v>408.66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-15.86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8" t="s">
        <v>2</v>
      </c>
      <c r="D89" s="776" t="s">
        <v>132</v>
      </c>
      <c r="E89" s="98" t="s">
        <v>70</v>
      </c>
      <c r="F89" s="100">
        <f>F55+F84+F16-L16-L55</f>
        <v>17418907415.929996</v>
      </c>
      <c r="G89" s="100">
        <f t="shared" ref="G89:AP89" si="0">G55+G16</f>
        <v>1001082264.04</v>
      </c>
      <c r="H89" s="100">
        <f t="shared" si="0"/>
        <v>558624112.1099999</v>
      </c>
      <c r="I89" s="100">
        <f t="shared" si="0"/>
        <v>295818860.42000002</v>
      </c>
      <c r="J89" s="100">
        <f t="shared" si="0"/>
        <v>4854981286.4100008</v>
      </c>
      <c r="K89" s="100">
        <f t="shared" si="0"/>
        <v>182023416.53</v>
      </c>
      <c r="L89" s="100">
        <f t="shared" si="0"/>
        <v>30635669.579999998</v>
      </c>
      <c r="M89" s="100">
        <f t="shared" si="0"/>
        <v>1597682463.6300001</v>
      </c>
      <c r="N89" s="100">
        <f t="shared" si="0"/>
        <v>1526552801.8999999</v>
      </c>
      <c r="O89" s="100">
        <f t="shared" si="0"/>
        <v>7180877540.9399996</v>
      </c>
      <c r="P89" s="100">
        <f t="shared" si="0"/>
        <v>2725346868.8800001</v>
      </c>
      <c r="Q89" s="100">
        <f t="shared" si="0"/>
        <v>297024103.53000003</v>
      </c>
      <c r="R89" s="100">
        <f t="shared" si="0"/>
        <v>-46873.26</v>
      </c>
      <c r="S89" s="100">
        <f t="shared" si="0"/>
        <v>-0.06</v>
      </c>
      <c r="T89" s="100">
        <f t="shared" si="0"/>
        <v>408.66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-15.86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8"/>
      <c r="D90" s="776"/>
      <c r="E90" s="98" t="s">
        <v>73</v>
      </c>
      <c r="F90" s="100">
        <f>F84</f>
        <v>-2801059821.9400001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8"/>
      <c r="D91" s="776" t="s">
        <v>133</v>
      </c>
      <c r="E91" s="233" t="s">
        <v>70</v>
      </c>
      <c r="F91" s="234">
        <f>F70+F36-L36</f>
        <v>42680</v>
      </c>
      <c r="G91" s="234">
        <f t="shared" ref="G91:AP91" si="1">G36</f>
        <v>2083.94</v>
      </c>
      <c r="H91" s="234">
        <f t="shared" si="1"/>
        <v>1161.1600000000001</v>
      </c>
      <c r="I91" s="234">
        <f t="shared" si="1"/>
        <v>617.55999999999995</v>
      </c>
      <c r="J91" s="234">
        <f t="shared" si="1"/>
        <v>10417.41</v>
      </c>
      <c r="K91" s="234">
        <f t="shared" si="1"/>
        <v>383.09</v>
      </c>
      <c r="L91" s="234">
        <f t="shared" si="1"/>
        <v>0</v>
      </c>
      <c r="M91" s="234">
        <f t="shared" si="1"/>
        <v>3360.38</v>
      </c>
      <c r="N91" s="234">
        <f t="shared" si="1"/>
        <v>3220.93</v>
      </c>
      <c r="O91" s="234">
        <f t="shared" si="1"/>
        <v>15119.8</v>
      </c>
      <c r="P91" s="234">
        <f t="shared" si="1"/>
        <v>5691.76</v>
      </c>
      <c r="Q91" s="234">
        <f t="shared" si="1"/>
        <v>625.03</v>
      </c>
      <c r="R91" s="234">
        <f t="shared" si="1"/>
        <v>-1.06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8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8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8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8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8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8" t="s">
        <v>155</v>
      </c>
      <c r="D99" s="776" t="s">
        <v>132</v>
      </c>
      <c r="E99" s="221" t="s">
        <v>70</v>
      </c>
      <c r="F99" s="222">
        <f>F73+F40+F8-L8-L40</f>
        <v>16894110431.770002</v>
      </c>
      <c r="G99" s="222">
        <f t="shared" ref="G99:AP99" si="2">G40+G8</f>
        <v>950018293.41999996</v>
      </c>
      <c r="H99" s="222">
        <f t="shared" si="2"/>
        <v>530683846.98000002</v>
      </c>
      <c r="I99" s="222">
        <f t="shared" si="2"/>
        <v>281227226.59999996</v>
      </c>
      <c r="J99" s="222">
        <f t="shared" si="2"/>
        <v>4812230149.0900002</v>
      </c>
      <c r="K99" s="222">
        <f t="shared" si="2"/>
        <v>180501948.17999998</v>
      </c>
      <c r="L99" s="222">
        <f t="shared" si="2"/>
        <v>28845491.23</v>
      </c>
      <c r="M99" s="222">
        <f t="shared" si="2"/>
        <v>1584327181.6800001</v>
      </c>
      <c r="N99" s="222">
        <f t="shared" si="2"/>
        <v>1511201523.6099999</v>
      </c>
      <c r="O99" s="222">
        <f t="shared" si="2"/>
        <v>7109953067.9800005</v>
      </c>
      <c r="P99" s="222">
        <f t="shared" si="2"/>
        <v>2585588740.3400002</v>
      </c>
      <c r="Q99" s="222">
        <f t="shared" si="2"/>
        <v>294540590.01000005</v>
      </c>
      <c r="R99" s="222">
        <f t="shared" si="2"/>
        <v>-46192.160000000003</v>
      </c>
      <c r="S99" s="222">
        <f t="shared" si="2"/>
        <v>0</v>
      </c>
      <c r="T99" s="222">
        <f t="shared" si="2"/>
        <v>53.13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-15.86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8"/>
      <c r="D100" s="776"/>
      <c r="E100" s="221" t="s">
        <v>73</v>
      </c>
      <c r="F100" s="222">
        <f>F73</f>
        <v>-2946115981.23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8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8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9" t="s">
        <v>325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9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9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9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8" t="s">
        <v>119</v>
      </c>
      <c r="D109" s="776" t="s">
        <v>132</v>
      </c>
      <c r="E109" s="101" t="s">
        <v>70</v>
      </c>
      <c r="F109" s="93">
        <f>F83+F54+F15-L15-L54</f>
        <v>524796984.15999997</v>
      </c>
      <c r="G109" s="93">
        <f t="shared" ref="G109:AP109" si="6">G54+G15</f>
        <v>51063970.619999997</v>
      </c>
      <c r="H109" s="93">
        <f t="shared" si="6"/>
        <v>27940265.129999999</v>
      </c>
      <c r="I109" s="93">
        <f t="shared" si="6"/>
        <v>14591633.82</v>
      </c>
      <c r="J109" s="93">
        <f t="shared" si="6"/>
        <v>42751137.32</v>
      </c>
      <c r="K109" s="93">
        <f t="shared" si="6"/>
        <v>1521468.35</v>
      </c>
      <c r="L109" s="93">
        <f t="shared" si="6"/>
        <v>1790178.35</v>
      </c>
      <c r="M109" s="93">
        <f t="shared" si="6"/>
        <v>13355281.949999999</v>
      </c>
      <c r="N109" s="93">
        <f t="shared" si="6"/>
        <v>15351278.289999999</v>
      </c>
      <c r="O109" s="93">
        <f t="shared" si="6"/>
        <v>70924472.959999993</v>
      </c>
      <c r="P109" s="93">
        <f t="shared" si="6"/>
        <v>139758128.53999999</v>
      </c>
      <c r="Q109" s="93">
        <f t="shared" si="6"/>
        <v>2483513.52</v>
      </c>
      <c r="R109" s="93">
        <f t="shared" si="6"/>
        <v>-681.1</v>
      </c>
      <c r="S109" s="93">
        <f t="shared" si="6"/>
        <v>-0.06</v>
      </c>
      <c r="T109" s="93">
        <f t="shared" si="6"/>
        <v>355.53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8"/>
      <c r="D110" s="776"/>
      <c r="E110" s="101" t="s">
        <v>73</v>
      </c>
      <c r="F110" s="93">
        <f>F83</f>
        <v>145056159.28999999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8"/>
      <c r="D111" s="776" t="s">
        <v>133</v>
      </c>
      <c r="E111" s="235" t="s">
        <v>70</v>
      </c>
      <c r="F111" s="236">
        <f>F69+F35-L35</f>
        <v>42680</v>
      </c>
      <c r="G111" s="236">
        <f t="shared" ref="G111:AP111" si="7">G35</f>
        <v>2083.94</v>
      </c>
      <c r="H111" s="236">
        <f t="shared" si="7"/>
        <v>1161.1600000000001</v>
      </c>
      <c r="I111" s="236">
        <f t="shared" si="7"/>
        <v>617.55999999999995</v>
      </c>
      <c r="J111" s="236">
        <f t="shared" si="7"/>
        <v>10417.41</v>
      </c>
      <c r="K111" s="236">
        <f t="shared" si="7"/>
        <v>383.09</v>
      </c>
      <c r="L111" s="236">
        <f t="shared" si="7"/>
        <v>0</v>
      </c>
      <c r="M111" s="236">
        <f t="shared" si="7"/>
        <v>3360.38</v>
      </c>
      <c r="N111" s="236">
        <f t="shared" si="7"/>
        <v>3220.93</v>
      </c>
      <c r="O111" s="236">
        <f t="shared" si="7"/>
        <v>15119.8</v>
      </c>
      <c r="P111" s="236">
        <f t="shared" si="7"/>
        <v>5691.76</v>
      </c>
      <c r="Q111" s="236">
        <f t="shared" si="7"/>
        <v>625.03</v>
      </c>
      <c r="R111" s="236">
        <f t="shared" si="7"/>
        <v>-1.06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8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7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7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7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7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-7108.83</v>
      </c>
      <c r="G119" s="460">
        <f t="shared" ref="G119:AP119" si="8">G16</f>
        <v>-502.98</v>
      </c>
      <c r="H119" s="460">
        <f t="shared" si="8"/>
        <v>-213.69</v>
      </c>
      <c r="I119" s="460">
        <f t="shared" si="8"/>
        <v>-93.3</v>
      </c>
      <c r="J119" s="460">
        <f t="shared" si="8"/>
        <v>-1231.48</v>
      </c>
      <c r="K119" s="460">
        <f t="shared" si="8"/>
        <v>-79.58</v>
      </c>
      <c r="L119" s="460">
        <f t="shared" si="8"/>
        <v>0</v>
      </c>
      <c r="M119" s="460">
        <f t="shared" si="8"/>
        <v>-698.02</v>
      </c>
      <c r="N119" s="460">
        <f t="shared" si="8"/>
        <v>-584.16</v>
      </c>
      <c r="O119" s="460">
        <f t="shared" si="8"/>
        <v>-2331.79</v>
      </c>
      <c r="P119" s="460">
        <f t="shared" si="8"/>
        <v>-1243.99</v>
      </c>
      <c r="Q119" s="460">
        <f t="shared" si="8"/>
        <v>-129.84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-248232.18</v>
      </c>
      <c r="G124" s="89">
        <v>-22158.18</v>
      </c>
      <c r="H124" s="89">
        <v>-9413.4699999999993</v>
      </c>
      <c r="I124" s="664">
        <v>-4110.92</v>
      </c>
      <c r="J124" s="89">
        <v>-49703.6</v>
      </c>
      <c r="K124" s="89">
        <v>-2047.9</v>
      </c>
      <c r="L124" s="89">
        <v>0</v>
      </c>
      <c r="M124" s="89">
        <v>-17964.77</v>
      </c>
      <c r="N124" s="89">
        <v>-22519.09</v>
      </c>
      <c r="O124" s="89">
        <v>-75640.009999999995</v>
      </c>
      <c r="P124" s="89">
        <v>-41332.699999999997</v>
      </c>
      <c r="Q124" s="89">
        <v>-3341.54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-248232.18</v>
      </c>
      <c r="G125" s="89">
        <v>-22158.18</v>
      </c>
      <c r="H125" s="89">
        <v>-9413.4699999999993</v>
      </c>
      <c r="I125" s="664">
        <v>-4110.92</v>
      </c>
      <c r="J125" s="89">
        <v>-49703.6</v>
      </c>
      <c r="K125" s="89">
        <v>-2047.9</v>
      </c>
      <c r="L125" s="89">
        <v>0</v>
      </c>
      <c r="M125" s="89">
        <v>-17964.77</v>
      </c>
      <c r="N125" s="89">
        <v>-22519.09</v>
      </c>
      <c r="O125" s="89">
        <v>-75640.009999999995</v>
      </c>
      <c r="P125" s="89">
        <v>-41332.699999999997</v>
      </c>
      <c r="Q125" s="89">
        <v>-3341.54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-248232.18</v>
      </c>
      <c r="G126" s="657">
        <v>-22158.18</v>
      </c>
      <c r="H126" s="657">
        <v>-9413.4699999999993</v>
      </c>
      <c r="I126" s="737">
        <v>-4110.92</v>
      </c>
      <c r="J126" s="657">
        <v>-49703.6</v>
      </c>
      <c r="K126" s="657">
        <v>-2047.9</v>
      </c>
      <c r="L126" s="657">
        <v>0</v>
      </c>
      <c r="M126" s="657">
        <v>-17964.77</v>
      </c>
      <c r="N126" s="657">
        <v>-22519.09</v>
      </c>
      <c r="O126" s="657">
        <v>-75640.009999999995</v>
      </c>
      <c r="P126" s="657">
        <v>-41332.699999999997</v>
      </c>
      <c r="Q126" s="657">
        <v>-3341.54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-3708.89</v>
      </c>
      <c r="G142" s="90">
        <v>-311.76</v>
      </c>
      <c r="H142" s="90">
        <v>-132.43</v>
      </c>
      <c r="I142" s="90">
        <v>-57.84</v>
      </c>
      <c r="J142" s="90">
        <v>-769.62</v>
      </c>
      <c r="K142" s="90">
        <v>-31.73</v>
      </c>
      <c r="L142" s="90">
        <v>0</v>
      </c>
      <c r="M142" s="90">
        <v>-278.16000000000003</v>
      </c>
      <c r="N142" s="90">
        <v>-348.68</v>
      </c>
      <c r="O142" s="90">
        <v>-1171.2</v>
      </c>
      <c r="P142" s="90">
        <v>-555.75</v>
      </c>
      <c r="Q142" s="90">
        <v>-51.72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-3708.89</v>
      </c>
      <c r="G143" s="90">
        <v>-311.76</v>
      </c>
      <c r="H143" s="90">
        <v>-132.43</v>
      </c>
      <c r="I143" s="90">
        <v>-57.84</v>
      </c>
      <c r="J143" s="90">
        <v>-769.62</v>
      </c>
      <c r="K143" s="90">
        <v>-31.73</v>
      </c>
      <c r="L143" s="90">
        <v>0</v>
      </c>
      <c r="M143" s="90">
        <v>-278.16000000000003</v>
      </c>
      <c r="N143" s="90">
        <v>-348.68</v>
      </c>
      <c r="O143" s="90">
        <v>-1171.2</v>
      </c>
      <c r="P143" s="90">
        <v>-555.75</v>
      </c>
      <c r="Q143" s="90">
        <v>-51.72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-22830.34</v>
      </c>
      <c r="G144" s="90">
        <v>-2120.73</v>
      </c>
      <c r="H144" s="90">
        <v>-900.96</v>
      </c>
      <c r="I144" s="90">
        <v>-393.42</v>
      </c>
      <c r="J144" s="90">
        <v>-4489.3599999999997</v>
      </c>
      <c r="K144" s="90">
        <v>-184.98</v>
      </c>
      <c r="L144" s="90">
        <v>0</v>
      </c>
      <c r="M144" s="90">
        <v>-1622.61</v>
      </c>
      <c r="N144" s="90">
        <v>-2033.98</v>
      </c>
      <c r="O144" s="90">
        <v>-6831.99</v>
      </c>
      <c r="P144" s="90">
        <v>-3950.51</v>
      </c>
      <c r="Q144" s="90">
        <v>-301.8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-22830.34</v>
      </c>
      <c r="G145" s="90">
        <v>-2120.73</v>
      </c>
      <c r="H145" s="90">
        <v>-900.96</v>
      </c>
      <c r="I145" s="90">
        <v>-393.42</v>
      </c>
      <c r="J145" s="90">
        <v>-4489.3599999999997</v>
      </c>
      <c r="K145" s="90">
        <v>-184.98</v>
      </c>
      <c r="L145" s="90">
        <v>0</v>
      </c>
      <c r="M145" s="90">
        <v>-1622.61</v>
      </c>
      <c r="N145" s="90">
        <v>-2033.98</v>
      </c>
      <c r="O145" s="90">
        <v>-6831.99</v>
      </c>
      <c r="P145" s="90">
        <v>-3950.51</v>
      </c>
      <c r="Q145" s="90">
        <v>-301.8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-26539.23</v>
      </c>
      <c r="G148" s="93">
        <v>-2432.4899999999998</v>
      </c>
      <c r="H148" s="93">
        <v>-1033.3900000000001</v>
      </c>
      <c r="I148" s="93">
        <v>-451.26</v>
      </c>
      <c r="J148" s="93">
        <v>-5258.98</v>
      </c>
      <c r="K148" s="93">
        <v>-216.71</v>
      </c>
      <c r="L148" s="93">
        <v>0</v>
      </c>
      <c r="M148" s="93">
        <v>-1900.77</v>
      </c>
      <c r="N148" s="93">
        <v>-2382.66</v>
      </c>
      <c r="O148" s="93">
        <v>-8003.19</v>
      </c>
      <c r="P148" s="93">
        <v>-4506.26</v>
      </c>
      <c r="Q148" s="93">
        <v>-353.52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-274771.40999999997</v>
      </c>
      <c r="G149" s="90">
        <v>-24590.67</v>
      </c>
      <c r="H149" s="90">
        <v>-10446.86</v>
      </c>
      <c r="I149" s="90">
        <v>-4562.18</v>
      </c>
      <c r="J149" s="90">
        <v>-54962.58</v>
      </c>
      <c r="K149" s="90">
        <v>-2264.61</v>
      </c>
      <c r="L149" s="90">
        <v>0</v>
      </c>
      <c r="M149" s="90">
        <v>-19865.54</v>
      </c>
      <c r="N149" s="90">
        <v>-24901.75</v>
      </c>
      <c r="O149" s="90">
        <v>-83643.199999999997</v>
      </c>
      <c r="P149" s="90">
        <v>-45838.96</v>
      </c>
      <c r="Q149" s="90">
        <v>-3695.06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-274771.40999999997</v>
      </c>
      <c r="G150" s="460">
        <v>-24590.67</v>
      </c>
      <c r="H150" s="460">
        <v>-10446.86</v>
      </c>
      <c r="I150" s="460">
        <v>-4562.18</v>
      </c>
      <c r="J150" s="460">
        <v>-54962.58</v>
      </c>
      <c r="K150" s="460">
        <v>-2264.61</v>
      </c>
      <c r="L150" s="460">
        <v>0</v>
      </c>
      <c r="M150" s="460">
        <v>-19865.54</v>
      </c>
      <c r="N150" s="460">
        <v>-24901.75</v>
      </c>
      <c r="O150" s="460">
        <v>-83643.199999999997</v>
      </c>
      <c r="P150" s="460">
        <v>-45838.96</v>
      </c>
      <c r="Q150" s="460">
        <v>-3695.06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16685740520.6</v>
      </c>
      <c r="G188" s="90">
        <v>919591019.15999997</v>
      </c>
      <c r="H188" s="90">
        <v>512739511.79000002</v>
      </c>
      <c r="I188" s="90">
        <v>271083437.77999997</v>
      </c>
      <c r="J188" s="90">
        <v>4291799399.9099998</v>
      </c>
      <c r="K188" s="90">
        <v>147082399.47</v>
      </c>
      <c r="L188" s="90">
        <v>12943377.24</v>
      </c>
      <c r="M188" s="90">
        <v>1289340543.1800001</v>
      </c>
      <c r="N188" s="90">
        <v>1264525361.3900001</v>
      </c>
      <c r="O188" s="90">
        <v>5933979600.3299999</v>
      </c>
      <c r="P188" s="90">
        <v>1802212521.97</v>
      </c>
      <c r="Q188" s="90">
        <v>240390838.22999999</v>
      </c>
      <c r="R188" s="90">
        <v>52510.15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78737841.640000001</v>
      </c>
      <c r="G189" s="90">
        <v>9460273.4399999995</v>
      </c>
      <c r="H189" s="90">
        <v>4424900.5199999996</v>
      </c>
      <c r="I189" s="90">
        <v>1934558.97</v>
      </c>
      <c r="J189" s="90">
        <v>14260430.48</v>
      </c>
      <c r="K189" s="90">
        <v>511443.13</v>
      </c>
      <c r="L189" s="90">
        <v>15763.97</v>
      </c>
      <c r="M189" s="90">
        <v>4483671.12</v>
      </c>
      <c r="N189" s="90">
        <v>5230341.7300000004</v>
      </c>
      <c r="O189" s="90">
        <v>19009918.449999999</v>
      </c>
      <c r="P189" s="90">
        <v>18562622.969999999</v>
      </c>
      <c r="Q189" s="90">
        <v>834701.88</v>
      </c>
      <c r="R189" s="90">
        <v>9249.5499999999993</v>
      </c>
      <c r="S189" s="90">
        <v>-4.22</v>
      </c>
      <c r="T189" s="90">
        <v>0.1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-30.45</v>
      </c>
    </row>
    <row r="190" spans="2:26" ht="12.75" customHeight="1" x14ac:dyDescent="0.25">
      <c r="D190" t="s">
        <v>156</v>
      </c>
      <c r="E190" s="89" t="s">
        <v>70</v>
      </c>
      <c r="F190" s="90">
        <v>16764478362.24</v>
      </c>
      <c r="G190" s="90">
        <v>929051292.60000002</v>
      </c>
      <c r="H190" s="90">
        <v>517164412.31</v>
      </c>
      <c r="I190" s="90">
        <v>273017996.75</v>
      </c>
      <c r="J190" s="90">
        <v>4306059830.3900003</v>
      </c>
      <c r="K190" s="90">
        <v>147593842.59999999</v>
      </c>
      <c r="L190" s="90">
        <v>12959141.210000001</v>
      </c>
      <c r="M190" s="90">
        <v>1293824214.3</v>
      </c>
      <c r="N190" s="90">
        <v>1269755703.1199999</v>
      </c>
      <c r="O190" s="90">
        <v>5952989518.7799997</v>
      </c>
      <c r="P190" s="90">
        <v>1820775144.9400001</v>
      </c>
      <c r="Q190" s="90">
        <v>241225540.11000001</v>
      </c>
      <c r="R190" s="90">
        <v>61759.7</v>
      </c>
      <c r="S190" s="90">
        <v>-4.22</v>
      </c>
      <c r="T190" s="90">
        <v>0.1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-30.45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16764478362.24</v>
      </c>
      <c r="G191" s="658">
        <v>929051292.60000002</v>
      </c>
      <c r="H191" s="658">
        <v>517164412.31</v>
      </c>
      <c r="I191" s="658">
        <v>273017996.75</v>
      </c>
      <c r="J191" s="658">
        <v>4306059830.3900003</v>
      </c>
      <c r="K191" s="658">
        <v>147593842.59999999</v>
      </c>
      <c r="L191" s="658">
        <v>12959141.210000001</v>
      </c>
      <c r="M191" s="658">
        <v>1293824214.3</v>
      </c>
      <c r="N191" s="658">
        <v>1269755703.1199999</v>
      </c>
      <c r="O191" s="658">
        <v>5952989518.7799997</v>
      </c>
      <c r="P191" s="658">
        <v>1820775144.9400001</v>
      </c>
      <c r="Q191" s="658">
        <v>241225540.11000001</v>
      </c>
      <c r="R191" s="658">
        <v>61759.7</v>
      </c>
      <c r="S191" s="658">
        <v>-4.22</v>
      </c>
      <c r="T191" s="658">
        <v>0.1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-30.45</v>
      </c>
    </row>
    <row r="192" spans="2:26" ht="12.75" customHeight="1" x14ac:dyDescent="0.25">
      <c r="D192" s="89"/>
      <c r="E192" s="89" t="s">
        <v>72</v>
      </c>
      <c r="F192" s="371">
        <v>801481.23</v>
      </c>
      <c r="G192" s="90">
        <v>65507.33</v>
      </c>
      <c r="H192" s="90">
        <v>33525.01</v>
      </c>
      <c r="I192" s="90">
        <v>16830.45</v>
      </c>
      <c r="J192" s="90">
        <v>178494.6</v>
      </c>
      <c r="K192" s="90">
        <v>6230.79</v>
      </c>
      <c r="L192" s="90">
        <v>0</v>
      </c>
      <c r="M192" s="90">
        <v>54509.86</v>
      </c>
      <c r="N192" s="90">
        <v>57104.800000000003</v>
      </c>
      <c r="O192" s="90">
        <v>249196.3</v>
      </c>
      <c r="P192" s="90">
        <v>129916.42</v>
      </c>
      <c r="Q192" s="90">
        <v>10165.959999999999</v>
      </c>
      <c r="R192" s="90">
        <v>-0.28999999999999998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40975.589999999997</v>
      </c>
      <c r="G193" s="90">
        <v>3240.77</v>
      </c>
      <c r="H193" s="90">
        <v>1616.94</v>
      </c>
      <c r="I193" s="90">
        <v>765.23</v>
      </c>
      <c r="J193" s="90">
        <v>9414.75</v>
      </c>
      <c r="K193" s="90">
        <v>324.5</v>
      </c>
      <c r="L193" s="90">
        <v>0</v>
      </c>
      <c r="M193" s="90">
        <v>2843.79</v>
      </c>
      <c r="N193" s="90">
        <v>3391.48</v>
      </c>
      <c r="O193" s="90">
        <v>12527.15</v>
      </c>
      <c r="P193" s="90">
        <v>6321.75</v>
      </c>
      <c r="Q193" s="90">
        <v>529.49</v>
      </c>
      <c r="R193" s="90">
        <v>-1.68</v>
      </c>
      <c r="S193" s="90">
        <v>1.42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842456.82</v>
      </c>
      <c r="G194" s="90">
        <v>68748.100000000006</v>
      </c>
      <c r="H194" s="90">
        <v>35141.949999999997</v>
      </c>
      <c r="I194" s="90">
        <v>17595.68</v>
      </c>
      <c r="J194" s="90">
        <v>187909.35</v>
      </c>
      <c r="K194" s="90">
        <v>6555.29</v>
      </c>
      <c r="L194" s="90">
        <v>0</v>
      </c>
      <c r="M194" s="90">
        <v>57353.65</v>
      </c>
      <c r="N194" s="90">
        <v>60496.28</v>
      </c>
      <c r="O194" s="90">
        <v>261723.45</v>
      </c>
      <c r="P194" s="90">
        <v>136238.17000000001</v>
      </c>
      <c r="Q194" s="90">
        <v>10695.45</v>
      </c>
      <c r="R194" s="90">
        <v>-1.97</v>
      </c>
      <c r="S194" s="90">
        <v>1.42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143981.13</v>
      </c>
      <c r="G195" s="90">
        <v>12534.22</v>
      </c>
      <c r="H195" s="90">
        <v>10637.79</v>
      </c>
      <c r="I195" s="90">
        <v>5634.58</v>
      </c>
      <c r="J195" s="90">
        <v>35725.67</v>
      </c>
      <c r="K195" s="90">
        <v>880.45</v>
      </c>
      <c r="L195" s="90">
        <v>0</v>
      </c>
      <c r="M195" s="90">
        <v>3402.08</v>
      </c>
      <c r="N195" s="90">
        <v>4736.62</v>
      </c>
      <c r="O195" s="90">
        <v>52366.57</v>
      </c>
      <c r="P195" s="90">
        <v>16629.669999999998</v>
      </c>
      <c r="Q195" s="90">
        <v>1436.53</v>
      </c>
      <c r="R195" s="90">
        <v>-3.05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5018.2</v>
      </c>
      <c r="G196" s="90">
        <v>410.44</v>
      </c>
      <c r="H196" s="90">
        <v>387.85</v>
      </c>
      <c r="I196" s="90">
        <v>206.95</v>
      </c>
      <c r="J196" s="90">
        <v>1339.76</v>
      </c>
      <c r="K196" s="90">
        <v>32.340000000000003</v>
      </c>
      <c r="L196" s="90">
        <v>0</v>
      </c>
      <c r="M196" s="90">
        <v>94.55</v>
      </c>
      <c r="N196" s="90">
        <v>138.61000000000001</v>
      </c>
      <c r="O196" s="90">
        <v>1892.78</v>
      </c>
      <c r="P196" s="90">
        <v>462.17</v>
      </c>
      <c r="Q196" s="90">
        <v>52.75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148999.32999999999</v>
      </c>
      <c r="G197" s="90">
        <v>12944.66</v>
      </c>
      <c r="H197" s="90">
        <v>11025.64</v>
      </c>
      <c r="I197" s="90">
        <v>5841.53</v>
      </c>
      <c r="J197" s="90">
        <v>37065.43</v>
      </c>
      <c r="K197" s="90">
        <v>912.79</v>
      </c>
      <c r="L197" s="90">
        <v>0</v>
      </c>
      <c r="M197" s="90">
        <v>3496.63</v>
      </c>
      <c r="N197" s="90">
        <v>4875.2299999999996</v>
      </c>
      <c r="O197" s="90">
        <v>54259.35</v>
      </c>
      <c r="P197" s="90">
        <v>17091.84</v>
      </c>
      <c r="Q197" s="90">
        <v>1489.28</v>
      </c>
      <c r="R197" s="90">
        <v>-3.05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3596790.29</v>
      </c>
      <c r="G204" s="90">
        <v>184464.34</v>
      </c>
      <c r="H204" s="90">
        <v>101131.59</v>
      </c>
      <c r="I204" s="90">
        <v>54378.84</v>
      </c>
      <c r="J204" s="90">
        <v>952840.52</v>
      </c>
      <c r="K204" s="90">
        <v>28739.95</v>
      </c>
      <c r="L204" s="90">
        <v>0</v>
      </c>
      <c r="M204" s="90">
        <v>251240.84</v>
      </c>
      <c r="N204" s="90">
        <v>284032.07</v>
      </c>
      <c r="O204" s="90">
        <v>1332401.02</v>
      </c>
      <c r="P204" s="90">
        <v>360636.4</v>
      </c>
      <c r="Q204" s="90">
        <v>46891.61</v>
      </c>
      <c r="R204" s="90">
        <v>33.11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24410.77</v>
      </c>
      <c r="G205" s="90">
        <v>1307.03</v>
      </c>
      <c r="H205" s="90">
        <v>654</v>
      </c>
      <c r="I205" s="90">
        <v>363.03</v>
      </c>
      <c r="J205" s="90">
        <v>6808.05</v>
      </c>
      <c r="K205" s="90">
        <v>163.9</v>
      </c>
      <c r="L205" s="90">
        <v>0</v>
      </c>
      <c r="M205" s="90">
        <v>1437.9</v>
      </c>
      <c r="N205" s="90">
        <v>1902.43</v>
      </c>
      <c r="O205" s="90">
        <v>8907.0300000000007</v>
      </c>
      <c r="P205" s="90">
        <v>2599.83</v>
      </c>
      <c r="Q205" s="90">
        <v>267.45999999999998</v>
      </c>
      <c r="R205" s="90">
        <v>0.18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-7.0000000000000007E-2</v>
      </c>
    </row>
    <row r="206" spans="4:26" ht="12.75" customHeight="1" x14ac:dyDescent="0.25">
      <c r="D206" t="s">
        <v>118</v>
      </c>
      <c r="E206" s="89" t="s">
        <v>70</v>
      </c>
      <c r="F206" s="90">
        <v>3621201.06</v>
      </c>
      <c r="G206" s="90">
        <v>185771.37</v>
      </c>
      <c r="H206" s="90">
        <v>101785.59</v>
      </c>
      <c r="I206" s="90">
        <v>54741.87</v>
      </c>
      <c r="J206" s="90">
        <v>959648.57</v>
      </c>
      <c r="K206" s="90">
        <v>28903.85</v>
      </c>
      <c r="L206" s="90">
        <v>0</v>
      </c>
      <c r="M206" s="90">
        <v>252678.74</v>
      </c>
      <c r="N206" s="90">
        <v>285934.5</v>
      </c>
      <c r="O206" s="90">
        <v>1341308.05</v>
      </c>
      <c r="P206" s="90">
        <v>363236.23</v>
      </c>
      <c r="Q206" s="90">
        <v>47159.07</v>
      </c>
      <c r="R206" s="90">
        <v>33.29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-7.0000000000000007E-2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4612657.21</v>
      </c>
      <c r="G213" s="225">
        <v>267464.13</v>
      </c>
      <c r="H213" s="225">
        <v>147953.18</v>
      </c>
      <c r="I213" s="225">
        <v>78179.08</v>
      </c>
      <c r="J213" s="225">
        <v>1184623.3500000001</v>
      </c>
      <c r="K213" s="225">
        <v>36371.93</v>
      </c>
      <c r="L213" s="225">
        <v>0</v>
      </c>
      <c r="M213" s="225">
        <v>313529.02</v>
      </c>
      <c r="N213" s="225">
        <v>351306.01</v>
      </c>
      <c r="O213" s="225">
        <v>1657290.85</v>
      </c>
      <c r="P213" s="225">
        <v>516566.24</v>
      </c>
      <c r="Q213" s="225">
        <v>59343.8</v>
      </c>
      <c r="R213" s="225">
        <v>28.27</v>
      </c>
      <c r="S213" s="225">
        <v>1.42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278655165.42000002</v>
      </c>
      <c r="G214" s="90">
        <v>17004069.460000001</v>
      </c>
      <c r="H214" s="90">
        <v>9519465.1099999994</v>
      </c>
      <c r="I214" s="90">
        <v>5026439.62</v>
      </c>
      <c r="J214" s="90">
        <v>69338748.680000007</v>
      </c>
      <c r="K214" s="90">
        <v>1749839.12</v>
      </c>
      <c r="L214" s="90">
        <v>390000</v>
      </c>
      <c r="M214" s="90">
        <v>15331338.939999999</v>
      </c>
      <c r="N214" s="90">
        <v>21314920.239999998</v>
      </c>
      <c r="O214" s="90">
        <v>102636634.5</v>
      </c>
      <c r="P214" s="90">
        <v>33470803.07</v>
      </c>
      <c r="Q214" s="90">
        <v>2873532.72</v>
      </c>
      <c r="R214" s="90">
        <v>-626.04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2510654.17</v>
      </c>
      <c r="G215" s="90">
        <v>228049.21</v>
      </c>
      <c r="H215" s="90">
        <v>126508.23</v>
      </c>
      <c r="I215" s="90">
        <v>67376.45</v>
      </c>
      <c r="J215" s="90">
        <v>536093.23</v>
      </c>
      <c r="K215" s="90">
        <v>13546.98</v>
      </c>
      <c r="L215" s="90">
        <v>2131.75</v>
      </c>
      <c r="M215" s="90">
        <v>118645.14</v>
      </c>
      <c r="N215" s="90">
        <v>165974.06</v>
      </c>
      <c r="O215" s="90">
        <v>777577.68</v>
      </c>
      <c r="P215" s="90">
        <v>452600.04</v>
      </c>
      <c r="Q215" s="90">
        <v>22150.15</v>
      </c>
      <c r="R215" s="90">
        <v>4.4800000000000004</v>
      </c>
      <c r="S215" s="90">
        <v>-3.17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-0.06</v>
      </c>
    </row>
    <row r="216" spans="2:26" ht="12.75" customHeight="1" x14ac:dyDescent="0.25">
      <c r="D216" t="s">
        <v>82</v>
      </c>
      <c r="E216" s="89" t="s">
        <v>70</v>
      </c>
      <c r="F216" s="90">
        <v>281165819.58999997</v>
      </c>
      <c r="G216" s="90">
        <v>17232118.670000002</v>
      </c>
      <c r="H216" s="90">
        <v>9645973.3399999999</v>
      </c>
      <c r="I216" s="90">
        <v>5093816.07</v>
      </c>
      <c r="J216" s="90">
        <v>69874841.909999996</v>
      </c>
      <c r="K216" s="90">
        <v>1763386.1</v>
      </c>
      <c r="L216" s="90">
        <v>392131.75</v>
      </c>
      <c r="M216" s="90">
        <v>15449984.08</v>
      </c>
      <c r="N216" s="90">
        <v>21480894.300000001</v>
      </c>
      <c r="O216" s="90">
        <v>103414212.18000001</v>
      </c>
      <c r="P216" s="90">
        <v>33923403.109999999</v>
      </c>
      <c r="Q216" s="90">
        <v>2895682.87</v>
      </c>
      <c r="R216" s="90">
        <v>-621.55999999999995</v>
      </c>
      <c r="S216" s="90">
        <v>-3.17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-0.06</v>
      </c>
    </row>
    <row r="217" spans="2:26" ht="12.75" customHeight="1" x14ac:dyDescent="0.25">
      <c r="E217" s="89" t="s">
        <v>72</v>
      </c>
      <c r="F217" s="90">
        <v>197865317.22</v>
      </c>
      <c r="G217" s="90">
        <v>23349813.43</v>
      </c>
      <c r="H217" s="90">
        <v>12922414.289999999</v>
      </c>
      <c r="I217" s="90">
        <v>6807384.0700000003</v>
      </c>
      <c r="J217" s="90">
        <v>34566256.759999998</v>
      </c>
      <c r="K217" s="90">
        <v>1024246.01</v>
      </c>
      <c r="L217" s="90">
        <v>179000</v>
      </c>
      <c r="M217" s="90">
        <v>8975669.1600000001</v>
      </c>
      <c r="N217" s="90">
        <v>11111515.970000001</v>
      </c>
      <c r="O217" s="90">
        <v>50911317.039999999</v>
      </c>
      <c r="P217" s="90">
        <v>46331241.049999997</v>
      </c>
      <c r="Q217" s="90">
        <v>1685715.33</v>
      </c>
      <c r="R217" s="90">
        <v>744.11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10117666.960000001</v>
      </c>
      <c r="G218" s="90">
        <v>1681999.63</v>
      </c>
      <c r="H218" s="90">
        <v>897472.28</v>
      </c>
      <c r="I218" s="90">
        <v>454565.02</v>
      </c>
      <c r="J218" s="90">
        <v>1209142.42</v>
      </c>
      <c r="K218" s="90">
        <v>39215.57</v>
      </c>
      <c r="L218" s="90">
        <v>533.1</v>
      </c>
      <c r="M218" s="90">
        <v>344368.89</v>
      </c>
      <c r="N218" s="90">
        <v>426855.66</v>
      </c>
      <c r="O218" s="90">
        <v>1667257.58</v>
      </c>
      <c r="P218" s="90">
        <v>3332174.19</v>
      </c>
      <c r="Q218" s="90">
        <v>64074.96</v>
      </c>
      <c r="R218" s="90">
        <v>-41.05</v>
      </c>
      <c r="S218" s="90">
        <v>49.93</v>
      </c>
      <c r="T218" s="90">
        <v>0.49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-1.71</v>
      </c>
    </row>
    <row r="219" spans="2:26" ht="12.75" customHeight="1" x14ac:dyDescent="0.25">
      <c r="D219" t="s">
        <v>86</v>
      </c>
      <c r="E219" s="89" t="s">
        <v>70</v>
      </c>
      <c r="F219" s="90">
        <v>207982984.18000001</v>
      </c>
      <c r="G219" s="90">
        <v>25031813.059999999</v>
      </c>
      <c r="H219" s="90">
        <v>13819886.57</v>
      </c>
      <c r="I219" s="90">
        <v>7261949.0899999999</v>
      </c>
      <c r="J219" s="90">
        <v>35775399.18</v>
      </c>
      <c r="K219" s="90">
        <v>1063461.58</v>
      </c>
      <c r="L219" s="90">
        <v>179533.1</v>
      </c>
      <c r="M219" s="90">
        <v>9320038.0500000007</v>
      </c>
      <c r="N219" s="90">
        <v>11538371.630000001</v>
      </c>
      <c r="O219" s="90">
        <v>52578574.619999997</v>
      </c>
      <c r="P219" s="90">
        <v>49663415.240000002</v>
      </c>
      <c r="Q219" s="90">
        <v>1749790.29</v>
      </c>
      <c r="R219" s="90">
        <v>703.06</v>
      </c>
      <c r="S219" s="90">
        <v>49.93</v>
      </c>
      <c r="T219" s="90">
        <v>0.49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-1.71</v>
      </c>
    </row>
    <row r="220" spans="2:26" ht="12.75" customHeight="1" x14ac:dyDescent="0.25">
      <c r="E220" s="89" t="s">
        <v>72</v>
      </c>
      <c r="F220" s="90">
        <v>577374967.75999999</v>
      </c>
      <c r="G220" s="90">
        <v>107172983.25</v>
      </c>
      <c r="H220" s="90">
        <v>57612983.659999996</v>
      </c>
      <c r="I220" s="90">
        <v>30979977.260000002</v>
      </c>
      <c r="J220" s="90">
        <v>44257386.409999996</v>
      </c>
      <c r="K220" s="90">
        <v>1113733.6299999999</v>
      </c>
      <c r="L220" s="90">
        <v>29820500</v>
      </c>
      <c r="M220" s="90">
        <v>9778691.1999999993</v>
      </c>
      <c r="N220" s="90">
        <v>13884957.470000001</v>
      </c>
      <c r="O220" s="90">
        <v>66802058.770000003</v>
      </c>
      <c r="P220" s="90">
        <v>214123032.06999999</v>
      </c>
      <c r="Q220" s="90">
        <v>1829612.31</v>
      </c>
      <c r="R220" s="90">
        <v>-948.27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38194204.170000002</v>
      </c>
      <c r="G221" s="90">
        <v>9471442.8200000003</v>
      </c>
      <c r="H221" s="90">
        <v>4689051.33</v>
      </c>
      <c r="I221" s="90">
        <v>2581818.46</v>
      </c>
      <c r="J221" s="90">
        <v>710451.95</v>
      </c>
      <c r="K221" s="90">
        <v>17737.79</v>
      </c>
      <c r="L221" s="90">
        <v>239895.54</v>
      </c>
      <c r="M221" s="90">
        <v>155547.43</v>
      </c>
      <c r="N221" s="90">
        <v>216057.5</v>
      </c>
      <c r="O221" s="90">
        <v>1016661.29</v>
      </c>
      <c r="P221" s="90">
        <v>19123422.82</v>
      </c>
      <c r="Q221" s="90">
        <v>28936.31</v>
      </c>
      <c r="R221" s="90">
        <v>0.73</v>
      </c>
      <c r="S221" s="90">
        <v>-56818.93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-0.87</v>
      </c>
    </row>
    <row r="222" spans="2:26" ht="12.75" customHeight="1" x14ac:dyDescent="0.25">
      <c r="D222" t="s">
        <v>87</v>
      </c>
      <c r="E222" s="89" t="s">
        <v>70</v>
      </c>
      <c r="F222" s="90">
        <v>615569171.92999995</v>
      </c>
      <c r="G222" s="90">
        <v>116644426.06999999</v>
      </c>
      <c r="H222" s="90">
        <v>62302034.990000002</v>
      </c>
      <c r="I222" s="90">
        <v>33561795.719999999</v>
      </c>
      <c r="J222" s="90">
        <v>44967838.359999999</v>
      </c>
      <c r="K222" s="90">
        <v>1131471.42</v>
      </c>
      <c r="L222" s="90">
        <v>30060395.539999999</v>
      </c>
      <c r="M222" s="90">
        <v>9934238.6300000008</v>
      </c>
      <c r="N222" s="90">
        <v>14101014.970000001</v>
      </c>
      <c r="O222" s="90">
        <v>67818720.060000002</v>
      </c>
      <c r="P222" s="90">
        <v>233246454.88999999</v>
      </c>
      <c r="Q222" s="90">
        <v>1858548.62</v>
      </c>
      <c r="R222" s="90">
        <v>-947.54</v>
      </c>
      <c r="S222" s="90">
        <v>-56818.93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-0.87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1104717975.7</v>
      </c>
      <c r="G223" s="93">
        <v>158908357.80000001</v>
      </c>
      <c r="H223" s="93">
        <v>85767894.900000006</v>
      </c>
      <c r="I223" s="93">
        <v>45917560.880000003</v>
      </c>
      <c r="J223" s="93">
        <v>150618079.44999999</v>
      </c>
      <c r="K223" s="93">
        <v>3958319.1</v>
      </c>
      <c r="L223" s="93">
        <v>30632060.390000001</v>
      </c>
      <c r="M223" s="93">
        <v>34704260.759999998</v>
      </c>
      <c r="N223" s="93">
        <v>47120280.899999999</v>
      </c>
      <c r="O223" s="93">
        <v>223811506.86000001</v>
      </c>
      <c r="P223" s="93">
        <v>316833273.24000001</v>
      </c>
      <c r="Q223" s="93">
        <v>6504021.7800000003</v>
      </c>
      <c r="R223" s="93">
        <v>-866.04</v>
      </c>
      <c r="S223" s="93">
        <v>-56772.17</v>
      </c>
      <c r="T223" s="93">
        <v>0.49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-2.64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17873808995.150002</v>
      </c>
      <c r="G224" s="100">
        <v>1088227114.53</v>
      </c>
      <c r="H224" s="100">
        <v>603080260.38999999</v>
      </c>
      <c r="I224" s="100">
        <v>319013736.70999998</v>
      </c>
      <c r="J224" s="100">
        <v>4457862533.1899996</v>
      </c>
      <c r="K224" s="100">
        <v>151588533.63</v>
      </c>
      <c r="L224" s="100">
        <v>43591201.600000001</v>
      </c>
      <c r="M224" s="100">
        <v>1328842004.0799999</v>
      </c>
      <c r="N224" s="100">
        <v>1317227290.03</v>
      </c>
      <c r="O224" s="100">
        <v>6178458316.4899998</v>
      </c>
      <c r="P224" s="100">
        <v>2138124984.4200001</v>
      </c>
      <c r="Q224" s="100">
        <v>247788905.69</v>
      </c>
      <c r="R224" s="100">
        <v>60921.93</v>
      </c>
      <c r="S224" s="100">
        <v>-56774.97</v>
      </c>
      <c r="T224" s="100">
        <v>0.59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-33.159999999999997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17873808995.150002</v>
      </c>
      <c r="G225" s="90">
        <v>1088227114.53</v>
      </c>
      <c r="H225" s="90">
        <v>603080260.38999999</v>
      </c>
      <c r="I225" s="90">
        <v>319013736.70999998</v>
      </c>
      <c r="J225" s="90">
        <v>4457862533.1899996</v>
      </c>
      <c r="K225" s="90">
        <v>151588533.63</v>
      </c>
      <c r="L225" s="90">
        <v>43591201.600000001</v>
      </c>
      <c r="M225" s="90">
        <v>1328842004.0799999</v>
      </c>
      <c r="N225" s="90">
        <v>1317227290.03</v>
      </c>
      <c r="O225" s="90">
        <v>6178458316.4899998</v>
      </c>
      <c r="P225" s="90">
        <v>2138124984.4200001</v>
      </c>
      <c r="Q225" s="90">
        <v>247788905.69</v>
      </c>
      <c r="R225" s="90">
        <v>60921.93</v>
      </c>
      <c r="S225" s="90">
        <v>-56774.97</v>
      </c>
      <c r="T225" s="90">
        <v>0.59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-33.159999999999997</v>
      </c>
    </row>
    <row r="226" spans="1:26" ht="12.75" customHeight="1" x14ac:dyDescent="0.25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-4039837067.0599999</v>
      </c>
      <c r="G252" s="90">
        <v>-90420814.959999993</v>
      </c>
      <c r="H252" s="90">
        <v>-50626863.950000003</v>
      </c>
      <c r="I252" s="90">
        <v>-26684936.469999999</v>
      </c>
      <c r="J252" s="90">
        <v>-1216402885.01</v>
      </c>
      <c r="K252" s="90">
        <v>-41199038.350000001</v>
      </c>
      <c r="L252" s="90">
        <v>0</v>
      </c>
      <c r="M252" s="90">
        <v>-361456007.58999997</v>
      </c>
      <c r="N252" s="90">
        <v>-353770013.18000001</v>
      </c>
      <c r="O252" s="90">
        <v>-1663893512.5899999</v>
      </c>
      <c r="P252" s="90">
        <v>-168164441.40000001</v>
      </c>
      <c r="Q252" s="90">
        <v>-67218553.560000002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-4039837067.0599999</v>
      </c>
      <c r="G253" s="90">
        <v>-90420814.959999993</v>
      </c>
      <c r="H253" s="90">
        <v>-50626863.950000003</v>
      </c>
      <c r="I253" s="90">
        <v>-26684936.469999999</v>
      </c>
      <c r="J253" s="90">
        <v>-1216402885.01</v>
      </c>
      <c r="K253" s="90">
        <v>-41199038.350000001</v>
      </c>
      <c r="L253" s="90">
        <v>0</v>
      </c>
      <c r="M253" s="90">
        <v>-361456007.58999997</v>
      </c>
      <c r="N253" s="90">
        <v>-353770013.18000001</v>
      </c>
      <c r="O253" s="90">
        <v>-1663893512.5899999</v>
      </c>
      <c r="P253" s="90">
        <v>-168164441.40000001</v>
      </c>
      <c r="Q253" s="90">
        <v>-67218553.560000002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-4039837067.0599999</v>
      </c>
      <c r="G254" s="658">
        <v>-90420814.959999993</v>
      </c>
      <c r="H254" s="658">
        <v>-50626863.950000003</v>
      </c>
      <c r="I254" s="658">
        <v>-26684936.469999999</v>
      </c>
      <c r="J254" s="658">
        <v>-1216402885.01</v>
      </c>
      <c r="K254" s="658">
        <v>-41199038.350000001</v>
      </c>
      <c r="L254" s="658">
        <v>0</v>
      </c>
      <c r="M254" s="658">
        <v>-361456007.58999997</v>
      </c>
      <c r="N254" s="658">
        <v>-353770013.18000001</v>
      </c>
      <c r="O254" s="658">
        <v>-1663893512.5899999</v>
      </c>
      <c r="P254" s="658">
        <v>-168164441.40000001</v>
      </c>
      <c r="Q254" s="658">
        <v>-67218553.560000002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40203.18</v>
      </c>
      <c r="G255" s="90">
        <v>7599.21</v>
      </c>
      <c r="H255" s="90">
        <v>5502.69</v>
      </c>
      <c r="I255" s="90">
        <v>3387.85</v>
      </c>
      <c r="J255" s="90">
        <v>4052.63</v>
      </c>
      <c r="K255" s="90">
        <v>-16.46</v>
      </c>
      <c r="L255" s="90">
        <v>0</v>
      </c>
      <c r="M255" s="90">
        <v>-144.51</v>
      </c>
      <c r="N255" s="90">
        <v>-477.81</v>
      </c>
      <c r="O255" s="90">
        <v>4724.68</v>
      </c>
      <c r="P255" s="90">
        <v>15601.76</v>
      </c>
      <c r="Q255" s="90">
        <v>-26.86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40203.18</v>
      </c>
      <c r="G256" s="90">
        <v>7599.21</v>
      </c>
      <c r="H256" s="90">
        <v>5502.69</v>
      </c>
      <c r="I256" s="90">
        <v>3387.85</v>
      </c>
      <c r="J256" s="90">
        <v>4052.63</v>
      </c>
      <c r="K256" s="90">
        <v>-16.46</v>
      </c>
      <c r="L256" s="90">
        <v>0</v>
      </c>
      <c r="M256" s="90">
        <v>-144.51</v>
      </c>
      <c r="N256" s="90">
        <v>-477.81</v>
      </c>
      <c r="O256" s="90">
        <v>4724.68</v>
      </c>
      <c r="P256" s="90">
        <v>15601.76</v>
      </c>
      <c r="Q256" s="90">
        <v>-26.86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50910.67</v>
      </c>
      <c r="G257" s="90">
        <v>5220.83</v>
      </c>
      <c r="H257" s="90">
        <v>2954.24</v>
      </c>
      <c r="I257" s="90">
        <v>1576.28</v>
      </c>
      <c r="J257" s="90">
        <v>10204.82</v>
      </c>
      <c r="K257" s="90">
        <v>246.31</v>
      </c>
      <c r="L257" s="90">
        <v>0</v>
      </c>
      <c r="M257" s="90">
        <v>2160.58</v>
      </c>
      <c r="N257" s="90">
        <v>3167.44</v>
      </c>
      <c r="O257" s="90">
        <v>14417.24</v>
      </c>
      <c r="P257" s="90">
        <v>10561.06</v>
      </c>
      <c r="Q257" s="90">
        <v>401.87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50910.67</v>
      </c>
      <c r="G258" s="90">
        <v>5220.83</v>
      </c>
      <c r="H258" s="90">
        <v>2954.24</v>
      </c>
      <c r="I258" s="90">
        <v>1576.28</v>
      </c>
      <c r="J258" s="90">
        <v>10204.82</v>
      </c>
      <c r="K258" s="90">
        <v>246.31</v>
      </c>
      <c r="L258" s="90">
        <v>0</v>
      </c>
      <c r="M258" s="90">
        <v>2160.58</v>
      </c>
      <c r="N258" s="90">
        <v>3167.44</v>
      </c>
      <c r="O258" s="90">
        <v>14417.24</v>
      </c>
      <c r="P258" s="90">
        <v>10561.06</v>
      </c>
      <c r="Q258" s="90">
        <v>401.87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-1257871.06</v>
      </c>
      <c r="G263" s="90">
        <v>-50972.06</v>
      </c>
      <c r="H263" s="90">
        <v>-28345.56</v>
      </c>
      <c r="I263" s="90">
        <v>-15911.02</v>
      </c>
      <c r="J263" s="90">
        <v>-351180.66</v>
      </c>
      <c r="K263" s="90">
        <v>-9702.2800000000007</v>
      </c>
      <c r="L263" s="90">
        <v>0</v>
      </c>
      <c r="M263" s="90">
        <v>-85106.74</v>
      </c>
      <c r="N263" s="90">
        <v>-104765.36</v>
      </c>
      <c r="O263" s="90">
        <v>-495646.56</v>
      </c>
      <c r="P263" s="90">
        <v>-100410.81</v>
      </c>
      <c r="Q263" s="90">
        <v>-15830.01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-1257871.06</v>
      </c>
      <c r="G264" s="90">
        <v>-50972.06</v>
      </c>
      <c r="H264" s="90">
        <v>-28345.56</v>
      </c>
      <c r="I264" s="90">
        <v>-15911.02</v>
      </c>
      <c r="J264" s="90">
        <v>-351180.66</v>
      </c>
      <c r="K264" s="90">
        <v>-9702.2800000000007</v>
      </c>
      <c r="L264" s="90">
        <v>0</v>
      </c>
      <c r="M264" s="90">
        <v>-85106.74</v>
      </c>
      <c r="N264" s="90">
        <v>-104765.36</v>
      </c>
      <c r="O264" s="90">
        <v>-495646.56</v>
      </c>
      <c r="P264" s="90">
        <v>-100410.81</v>
      </c>
      <c r="Q264" s="90">
        <v>-15830.01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-1166757.21</v>
      </c>
      <c r="G269" s="225">
        <v>-38152.019999999997</v>
      </c>
      <c r="H269" s="225">
        <v>-19888.63</v>
      </c>
      <c r="I269" s="225">
        <v>-10946.89</v>
      </c>
      <c r="J269" s="225">
        <v>-336923.21</v>
      </c>
      <c r="K269" s="225">
        <v>-9472.43</v>
      </c>
      <c r="L269" s="225">
        <v>0</v>
      </c>
      <c r="M269" s="225">
        <v>-83090.67</v>
      </c>
      <c r="N269" s="225">
        <v>-102075.73</v>
      </c>
      <c r="O269" s="225">
        <v>-476504.64</v>
      </c>
      <c r="P269" s="225">
        <v>-74247.990000000005</v>
      </c>
      <c r="Q269" s="225">
        <v>-15455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-34181660.700000003</v>
      </c>
      <c r="G270" s="90">
        <v>-13005.82</v>
      </c>
      <c r="H270" s="90">
        <v>22901.62</v>
      </c>
      <c r="I270" s="90">
        <v>23802.16</v>
      </c>
      <c r="J270" s="90">
        <v>-11137969.470000001</v>
      </c>
      <c r="K270" s="90">
        <v>-284908.53000000003</v>
      </c>
      <c r="L270" s="90">
        <v>0</v>
      </c>
      <c r="M270" s="90">
        <v>-2502773.9</v>
      </c>
      <c r="N270" s="90">
        <v>-3468625.28</v>
      </c>
      <c r="O270" s="90">
        <v>-16410756.300000001</v>
      </c>
      <c r="P270" s="90">
        <v>54910.71</v>
      </c>
      <c r="Q270" s="90">
        <v>-465235.89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-34181660.700000003</v>
      </c>
      <c r="G271" s="90">
        <v>-13005.82</v>
      </c>
      <c r="H271" s="90">
        <v>22901.62</v>
      </c>
      <c r="I271" s="90">
        <v>23802.16</v>
      </c>
      <c r="J271" s="90">
        <v>-11137969.470000001</v>
      </c>
      <c r="K271" s="90">
        <v>-284908.53000000003</v>
      </c>
      <c r="L271" s="90">
        <v>0</v>
      </c>
      <c r="M271" s="90">
        <v>-2502773.9</v>
      </c>
      <c r="N271" s="90">
        <v>-3468625.28</v>
      </c>
      <c r="O271" s="90">
        <v>-16410756.300000001</v>
      </c>
      <c r="P271" s="90">
        <v>54910.71</v>
      </c>
      <c r="Q271" s="90">
        <v>-465235.89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23562758.41</v>
      </c>
      <c r="G272" s="90">
        <v>10419668.4</v>
      </c>
      <c r="H272" s="90">
        <v>5928580.2400000002</v>
      </c>
      <c r="I272" s="90">
        <v>3242478.42</v>
      </c>
      <c r="J272" s="90">
        <v>-5534357.46</v>
      </c>
      <c r="K272" s="90">
        <v>-161332.91</v>
      </c>
      <c r="L272" s="90">
        <v>0</v>
      </c>
      <c r="M272" s="90">
        <v>-1421264.97</v>
      </c>
      <c r="N272" s="90">
        <v>-1741383.55</v>
      </c>
      <c r="O272" s="90">
        <v>-7776657.1299999999</v>
      </c>
      <c r="P272" s="90">
        <v>20870300.859999999</v>
      </c>
      <c r="Q272" s="90">
        <v>-263273.49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23562758.41</v>
      </c>
      <c r="G273" s="90">
        <v>10419668.4</v>
      </c>
      <c r="H273" s="90">
        <v>5928580.2400000002</v>
      </c>
      <c r="I273" s="90">
        <v>3242478.42</v>
      </c>
      <c r="J273" s="90">
        <v>-5534357.46</v>
      </c>
      <c r="K273" s="90">
        <v>-161332.91</v>
      </c>
      <c r="L273" s="90">
        <v>0</v>
      </c>
      <c r="M273" s="90">
        <v>-1421264.97</v>
      </c>
      <c r="N273" s="90">
        <v>-1741383.55</v>
      </c>
      <c r="O273" s="90">
        <v>-7776657.1299999999</v>
      </c>
      <c r="P273" s="90">
        <v>20870300.859999999</v>
      </c>
      <c r="Q273" s="90">
        <v>-263273.49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276088464.06999999</v>
      </c>
      <c r="G274" s="90">
        <v>71783136.890000001</v>
      </c>
      <c r="H274" s="90">
        <v>38061292.990000002</v>
      </c>
      <c r="I274" s="90">
        <v>20561454.09</v>
      </c>
      <c r="J274" s="90">
        <v>905860.9</v>
      </c>
      <c r="K274" s="90">
        <v>12892.39</v>
      </c>
      <c r="L274" s="90">
        <v>0</v>
      </c>
      <c r="M274" s="90">
        <v>106587.72</v>
      </c>
      <c r="N274" s="90">
        <v>136605.32</v>
      </c>
      <c r="O274" s="90">
        <v>617123.92000000004</v>
      </c>
      <c r="P274" s="90">
        <v>143882565.19</v>
      </c>
      <c r="Q274" s="90">
        <v>20944.66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276088464.06999999</v>
      </c>
      <c r="G275" s="90">
        <v>71783136.890000001</v>
      </c>
      <c r="H275" s="90">
        <v>38061292.990000002</v>
      </c>
      <c r="I275" s="90">
        <v>20561454.09</v>
      </c>
      <c r="J275" s="90">
        <v>905860.9</v>
      </c>
      <c r="K275" s="90">
        <v>12892.39</v>
      </c>
      <c r="L275" s="90">
        <v>0</v>
      </c>
      <c r="M275" s="90">
        <v>106587.72</v>
      </c>
      <c r="N275" s="90">
        <v>136605.32</v>
      </c>
      <c r="O275" s="90">
        <v>617123.92000000004</v>
      </c>
      <c r="P275" s="90">
        <v>143882565.19</v>
      </c>
      <c r="Q275" s="90">
        <v>20944.66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265469561.78</v>
      </c>
      <c r="G276" s="93">
        <v>82189799.469999999</v>
      </c>
      <c r="H276" s="93">
        <v>44012774.850000001</v>
      </c>
      <c r="I276" s="93">
        <v>23827734.670000002</v>
      </c>
      <c r="J276" s="93">
        <v>-15766466.029999999</v>
      </c>
      <c r="K276" s="93">
        <v>-433349.05</v>
      </c>
      <c r="L276" s="93">
        <v>0</v>
      </c>
      <c r="M276" s="93">
        <v>-3817451.15</v>
      </c>
      <c r="N276" s="93">
        <v>-5073403.51</v>
      </c>
      <c r="O276" s="93">
        <v>-23570289.510000002</v>
      </c>
      <c r="P276" s="93">
        <v>164807776.75999999</v>
      </c>
      <c r="Q276" s="93">
        <v>-707564.72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-3775534262.4899998</v>
      </c>
      <c r="G277" s="100">
        <v>-8269167.5099999998</v>
      </c>
      <c r="H277" s="100">
        <v>-6633977.7300000004</v>
      </c>
      <c r="I277" s="100">
        <v>-2868148.69</v>
      </c>
      <c r="J277" s="100">
        <v>-1232506274.25</v>
      </c>
      <c r="K277" s="100">
        <v>-41641859.829999998</v>
      </c>
      <c r="L277" s="100">
        <v>0</v>
      </c>
      <c r="M277" s="100">
        <v>-365356549.41000003</v>
      </c>
      <c r="N277" s="100">
        <v>-358945492.42000002</v>
      </c>
      <c r="O277" s="100">
        <v>-1687940306.74</v>
      </c>
      <c r="P277" s="100">
        <v>-3430912.63</v>
      </c>
      <c r="Q277" s="100">
        <v>-67941573.280000001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-3775534262.4899998</v>
      </c>
      <c r="G278" s="90">
        <v>-8269167.5099999998</v>
      </c>
      <c r="H278" s="90">
        <v>-6633977.7300000004</v>
      </c>
      <c r="I278" s="90">
        <v>-2868148.69</v>
      </c>
      <c r="J278" s="90">
        <v>-1232506274.25</v>
      </c>
      <c r="K278" s="90">
        <v>-41641859.829999998</v>
      </c>
      <c r="L278" s="90">
        <v>0</v>
      </c>
      <c r="M278" s="90">
        <v>-365356549.41000003</v>
      </c>
      <c r="N278" s="90">
        <v>-358945492.42000002</v>
      </c>
      <c r="O278" s="90">
        <v>-1687940306.74</v>
      </c>
      <c r="P278" s="90">
        <v>-3430912.63</v>
      </c>
      <c r="Q278" s="90">
        <v>-67941573.280000001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14097999961.25</v>
      </c>
      <c r="G279" s="90">
        <v>1079933356.3499999</v>
      </c>
      <c r="H279" s="90">
        <v>596435835.79999995</v>
      </c>
      <c r="I279" s="90">
        <v>316141025.83999997</v>
      </c>
      <c r="J279" s="90">
        <v>3225301296.3600001</v>
      </c>
      <c r="K279" s="90">
        <v>109944409.19</v>
      </c>
      <c r="L279" s="90">
        <v>43591201.600000001</v>
      </c>
      <c r="M279" s="90">
        <v>963465589.13</v>
      </c>
      <c r="N279" s="90">
        <v>958256895.86000001</v>
      </c>
      <c r="O279" s="90">
        <v>4490434366.5500002</v>
      </c>
      <c r="P279" s="90">
        <v>2134648232.8299999</v>
      </c>
      <c r="Q279" s="90">
        <v>179843637.34999999</v>
      </c>
      <c r="R279" s="90">
        <v>60921.93</v>
      </c>
      <c r="S279" s="90">
        <v>-56774.97</v>
      </c>
      <c r="T279" s="90">
        <v>0.59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-33.159999999999997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8" t="s">
        <v>2</v>
      </c>
      <c r="D323" s="776" t="s">
        <v>132</v>
      </c>
      <c r="E323" s="98" t="s">
        <v>70</v>
      </c>
      <c r="F323" s="100">
        <f>F224+F277-L224+F149-L149</f>
        <v>14054408759.650002</v>
      </c>
      <c r="G323" s="100">
        <f>G224+G149</f>
        <v>1088202523.8599999</v>
      </c>
      <c r="H323" s="100">
        <f t="shared" ref="H323:AP323" si="9">H224+H149</f>
        <v>603069813.52999997</v>
      </c>
      <c r="I323" s="100">
        <f t="shared" si="9"/>
        <v>319009174.52999997</v>
      </c>
      <c r="J323" s="100">
        <f t="shared" si="9"/>
        <v>4457807570.6099997</v>
      </c>
      <c r="K323" s="100">
        <f t="shared" si="9"/>
        <v>151586269.01999998</v>
      </c>
      <c r="L323" s="100">
        <f t="shared" si="9"/>
        <v>43591201.600000001</v>
      </c>
      <c r="M323" s="100">
        <f t="shared" si="9"/>
        <v>1328822138.54</v>
      </c>
      <c r="N323" s="100">
        <f t="shared" si="9"/>
        <v>1317202388.28</v>
      </c>
      <c r="O323" s="100">
        <f t="shared" si="9"/>
        <v>6178374673.29</v>
      </c>
      <c r="P323" s="100">
        <f t="shared" si="9"/>
        <v>2138079145.46</v>
      </c>
      <c r="Q323" s="100">
        <f t="shared" si="9"/>
        <v>247785210.63</v>
      </c>
      <c r="R323" s="100">
        <f t="shared" si="9"/>
        <v>60921.93</v>
      </c>
      <c r="S323" s="100">
        <f t="shared" si="9"/>
        <v>-56774.97</v>
      </c>
      <c r="T323" s="100">
        <f t="shared" si="9"/>
        <v>0.59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-33.159999999999997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8"/>
      <c r="D324" s="776"/>
      <c r="E324" s="98" t="s">
        <v>73</v>
      </c>
      <c r="F324" s="100">
        <f>F277</f>
        <v>-3775534262.4899998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8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8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8" t="s">
        <v>160</v>
      </c>
      <c r="D328" s="776" t="s">
        <v>132</v>
      </c>
      <c r="E328" s="223" t="s">
        <v>70</v>
      </c>
      <c r="F328" s="225">
        <f>F269+F213+F141-L141-L213</f>
        <v>3445900</v>
      </c>
      <c r="G328" s="225">
        <f>G213+G141</f>
        <v>267464.13</v>
      </c>
      <c r="H328" s="225">
        <f t="shared" ref="H328:AP328" si="11">H213+H141</f>
        <v>147953.18</v>
      </c>
      <c r="I328" s="225">
        <f t="shared" si="11"/>
        <v>78179.08</v>
      </c>
      <c r="J328" s="225">
        <f t="shared" si="11"/>
        <v>1184623.3500000001</v>
      </c>
      <c r="K328" s="225">
        <f t="shared" si="11"/>
        <v>36371.93</v>
      </c>
      <c r="L328" s="225">
        <f t="shared" si="11"/>
        <v>0</v>
      </c>
      <c r="M328" s="225">
        <f t="shared" si="11"/>
        <v>313529.02</v>
      </c>
      <c r="N328" s="225">
        <f t="shared" si="11"/>
        <v>351306.01</v>
      </c>
      <c r="O328" s="225">
        <f t="shared" si="11"/>
        <v>1657290.85</v>
      </c>
      <c r="P328" s="225">
        <f t="shared" si="11"/>
        <v>516566.24</v>
      </c>
      <c r="Q328" s="225">
        <f t="shared" si="11"/>
        <v>59343.8</v>
      </c>
      <c r="R328" s="225">
        <f t="shared" si="11"/>
        <v>28.27</v>
      </c>
      <c r="S328" s="225">
        <f t="shared" si="11"/>
        <v>1.42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8"/>
      <c r="D329" s="776"/>
      <c r="E329" s="223" t="s">
        <v>73</v>
      </c>
      <c r="F329" s="225">
        <f>F269</f>
        <v>-1166757.21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8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8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8" t="s">
        <v>155</v>
      </c>
      <c r="D333" s="776" t="s">
        <v>132</v>
      </c>
      <c r="E333" s="221" t="s">
        <v>70</v>
      </c>
      <c r="F333" s="222">
        <f>F254+F191+F126-L126-L191</f>
        <v>12711433921.790001</v>
      </c>
      <c r="G333" s="222">
        <f t="shared" ref="G333:AA333" si="13">G191+G126</f>
        <v>929029134.42000008</v>
      </c>
      <c r="H333" s="222">
        <f t="shared" si="13"/>
        <v>517154998.83999997</v>
      </c>
      <c r="I333" s="222">
        <f t="shared" si="13"/>
        <v>273013885.82999998</v>
      </c>
      <c r="J333" s="222">
        <f t="shared" si="13"/>
        <v>4306010126.79</v>
      </c>
      <c r="K333" s="222">
        <f t="shared" si="13"/>
        <v>147591794.69999999</v>
      </c>
      <c r="L333" s="222">
        <f t="shared" si="13"/>
        <v>12959141.210000001</v>
      </c>
      <c r="M333" s="222">
        <f t="shared" si="13"/>
        <v>1293806249.53</v>
      </c>
      <c r="N333" s="222">
        <f t="shared" si="13"/>
        <v>1269733184.03</v>
      </c>
      <c r="O333" s="222">
        <f t="shared" si="13"/>
        <v>5952913878.7699995</v>
      </c>
      <c r="P333" s="222">
        <f t="shared" si="13"/>
        <v>1820733812.24</v>
      </c>
      <c r="Q333" s="222">
        <f t="shared" si="13"/>
        <v>241222198.57000002</v>
      </c>
      <c r="R333" s="222">
        <f t="shared" si="13"/>
        <v>61759.7</v>
      </c>
      <c r="S333" s="222">
        <f t="shared" si="13"/>
        <v>-4.22</v>
      </c>
      <c r="T333" s="222">
        <f t="shared" si="13"/>
        <v>0.1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-30.45</v>
      </c>
      <c r="AA333" s="222">
        <f t="shared" si="13"/>
        <v>0</v>
      </c>
    </row>
    <row r="334" spans="1:42" ht="12.75" customHeight="1" x14ac:dyDescent="0.25">
      <c r="C334" s="778"/>
      <c r="D334" s="776"/>
      <c r="E334" s="221" t="s">
        <v>73</v>
      </c>
      <c r="F334" s="222">
        <f>F254</f>
        <v>-4039837067.0599999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8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8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9" t="s">
        <v>325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9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9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9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8" t="s">
        <v>119</v>
      </c>
      <c r="D343" s="776" t="s">
        <v>132</v>
      </c>
      <c r="E343" s="101" t="s">
        <v>70</v>
      </c>
      <c r="F343" s="93">
        <f>F276+F223+F148-L148-L223</f>
        <v>1339528937.8599999</v>
      </c>
      <c r="G343" s="93">
        <f t="shared" ref="G343:AP343" si="15">G223+G148</f>
        <v>158905925.31</v>
      </c>
      <c r="H343" s="93">
        <f t="shared" si="15"/>
        <v>85766861.510000005</v>
      </c>
      <c r="I343" s="93">
        <f t="shared" si="15"/>
        <v>45917109.620000005</v>
      </c>
      <c r="J343" s="93">
        <f t="shared" si="15"/>
        <v>150612820.47</v>
      </c>
      <c r="K343" s="93">
        <f t="shared" si="15"/>
        <v>3958102.39</v>
      </c>
      <c r="L343" s="93">
        <f t="shared" si="15"/>
        <v>30632060.390000001</v>
      </c>
      <c r="M343" s="93">
        <f t="shared" si="15"/>
        <v>34702359.989999995</v>
      </c>
      <c r="N343" s="93">
        <f t="shared" si="15"/>
        <v>47117898.240000002</v>
      </c>
      <c r="O343" s="93">
        <f t="shared" si="15"/>
        <v>223803503.67000002</v>
      </c>
      <c r="P343" s="93">
        <f t="shared" si="15"/>
        <v>316828766.98000002</v>
      </c>
      <c r="Q343" s="93">
        <f t="shared" si="15"/>
        <v>6503668.2600000007</v>
      </c>
      <c r="R343" s="93">
        <f t="shared" si="15"/>
        <v>-866.04</v>
      </c>
      <c r="S343" s="93">
        <f t="shared" si="15"/>
        <v>-56772.17</v>
      </c>
      <c r="T343" s="93">
        <f t="shared" si="15"/>
        <v>0.49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-2.64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8"/>
      <c r="D344" s="776"/>
      <c r="E344" s="101" t="s">
        <v>73</v>
      </c>
      <c r="F344" s="93">
        <f>F276</f>
        <v>265469561.78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8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8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7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7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7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7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-274771.40999999997</v>
      </c>
      <c r="G353" s="460">
        <f t="shared" ref="G353:AA353" si="17">G149</f>
        <v>-24590.67</v>
      </c>
      <c r="H353" s="460">
        <f t="shared" si="17"/>
        <v>-10446.86</v>
      </c>
      <c r="I353" s="460">
        <f t="shared" si="17"/>
        <v>-4562.18</v>
      </c>
      <c r="J353" s="460">
        <f t="shared" si="17"/>
        <v>-54962.58</v>
      </c>
      <c r="K353" s="460">
        <f t="shared" si="17"/>
        <v>-2264.61</v>
      </c>
      <c r="L353" s="460">
        <f t="shared" si="17"/>
        <v>0</v>
      </c>
      <c r="M353" s="460">
        <f t="shared" si="17"/>
        <v>-19865.54</v>
      </c>
      <c r="N353" s="460">
        <f t="shared" si="17"/>
        <v>-24901.75</v>
      </c>
      <c r="O353" s="460">
        <f t="shared" si="17"/>
        <v>-83643.199999999997</v>
      </c>
      <c r="P353" s="460">
        <f t="shared" si="17"/>
        <v>-45838.96</v>
      </c>
      <c r="Q353" s="460">
        <f t="shared" si="17"/>
        <v>-3695.06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-5649.87</v>
      </c>
      <c r="G363" s="90">
        <v>-501.3</v>
      </c>
      <c r="H363" s="90">
        <v>-212.97</v>
      </c>
      <c r="I363" s="90">
        <v>-93</v>
      </c>
      <c r="J363" s="90">
        <v>-1090.28</v>
      </c>
      <c r="K363" s="90">
        <v>-44.92</v>
      </c>
      <c r="L363" s="90">
        <v>0</v>
      </c>
      <c r="M363" s="90">
        <v>-394.01</v>
      </c>
      <c r="N363" s="90">
        <v>-493.87</v>
      </c>
      <c r="O363" s="90">
        <v>-1658.87</v>
      </c>
      <c r="P363" s="90">
        <v>-1087.3599999999999</v>
      </c>
      <c r="Q363" s="90">
        <v>-73.290000000000006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-5649.87</v>
      </c>
      <c r="G364" s="90">
        <v>-501.3</v>
      </c>
      <c r="H364" s="90">
        <v>-212.97</v>
      </c>
      <c r="I364" s="90">
        <v>-93</v>
      </c>
      <c r="J364" s="90">
        <v>-1090.28</v>
      </c>
      <c r="K364" s="90">
        <v>-44.92</v>
      </c>
      <c r="L364" s="90">
        <v>0</v>
      </c>
      <c r="M364" s="90">
        <v>-394.01</v>
      </c>
      <c r="N364" s="90">
        <v>-493.87</v>
      </c>
      <c r="O364" s="90">
        <v>-1658.87</v>
      </c>
      <c r="P364" s="90">
        <v>-1087.3599999999999</v>
      </c>
      <c r="Q364" s="90">
        <v>-73.290000000000006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-5649.87</v>
      </c>
      <c r="G367" s="93">
        <v>-501.3</v>
      </c>
      <c r="H367" s="93">
        <v>-212.97</v>
      </c>
      <c r="I367" s="93">
        <v>-93</v>
      </c>
      <c r="J367" s="93">
        <v>-1090.28</v>
      </c>
      <c r="K367" s="93">
        <v>-44.92</v>
      </c>
      <c r="L367" s="93">
        <v>0</v>
      </c>
      <c r="M367" s="93">
        <v>-394.01</v>
      </c>
      <c r="N367" s="93">
        <v>-493.87</v>
      </c>
      <c r="O367" s="93">
        <v>-1658.87</v>
      </c>
      <c r="P367" s="93">
        <v>-1087.3599999999999</v>
      </c>
      <c r="Q367" s="93">
        <v>-73.290000000000006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-5649.87</v>
      </c>
      <c r="G368" s="90">
        <v>-501.3</v>
      </c>
      <c r="H368" s="90">
        <v>-212.97</v>
      </c>
      <c r="I368" s="90">
        <v>-93</v>
      </c>
      <c r="J368" s="90">
        <v>-1090.28</v>
      </c>
      <c r="K368" s="90">
        <v>-44.92</v>
      </c>
      <c r="L368" s="90">
        <v>0</v>
      </c>
      <c r="M368" s="90">
        <v>-394.01</v>
      </c>
      <c r="N368" s="90">
        <v>-493.87</v>
      </c>
      <c r="O368" s="90">
        <v>-1658.87</v>
      </c>
      <c r="P368" s="90">
        <v>-1087.3599999999999</v>
      </c>
      <c r="Q368" s="90">
        <v>-73.290000000000006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-5649.87</v>
      </c>
      <c r="G369" s="458">
        <v>-501.3</v>
      </c>
      <c r="H369" s="458">
        <v>-212.97</v>
      </c>
      <c r="I369" s="458">
        <v>-93</v>
      </c>
      <c r="J369" s="458">
        <v>-1090.28</v>
      </c>
      <c r="K369" s="458">
        <v>-44.92</v>
      </c>
      <c r="L369" s="458">
        <v>0</v>
      </c>
      <c r="M369" s="458">
        <v>-394.01</v>
      </c>
      <c r="N369" s="458">
        <v>-493.87</v>
      </c>
      <c r="O369" s="458">
        <v>-1658.87</v>
      </c>
      <c r="P369" s="458">
        <v>-1087.3599999999999</v>
      </c>
      <c r="Q369" s="458">
        <v>-73.290000000000006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158744.09</v>
      </c>
      <c r="G370" s="90">
        <v>7350.43</v>
      </c>
      <c r="H370" s="90">
        <v>4138.9799999999996</v>
      </c>
      <c r="I370" s="90">
        <v>2178.25</v>
      </c>
      <c r="J370" s="90">
        <v>42138.3</v>
      </c>
      <c r="K370" s="90">
        <v>1122.04</v>
      </c>
      <c r="L370" s="90">
        <v>0</v>
      </c>
      <c r="M370" s="90">
        <v>9842.58</v>
      </c>
      <c r="N370" s="90">
        <v>12754.88</v>
      </c>
      <c r="O370" s="90">
        <v>60158</v>
      </c>
      <c r="P370" s="90">
        <v>17234.75</v>
      </c>
      <c r="Q370" s="90">
        <v>1830.74</v>
      </c>
      <c r="R370" s="90">
        <v>-4.8600000000000003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1008.23</v>
      </c>
      <c r="G371" s="90">
        <v>48.01</v>
      </c>
      <c r="H371" s="90">
        <v>27.09</v>
      </c>
      <c r="I371" s="90">
        <v>14.27</v>
      </c>
      <c r="J371" s="90">
        <v>265.52</v>
      </c>
      <c r="K371" s="90">
        <v>6.39</v>
      </c>
      <c r="L371" s="90">
        <v>0</v>
      </c>
      <c r="M371" s="90">
        <v>56.07</v>
      </c>
      <c r="N371" s="90">
        <v>82</v>
      </c>
      <c r="O371" s="90">
        <v>386.68</v>
      </c>
      <c r="P371" s="90">
        <v>111.89</v>
      </c>
      <c r="Q371" s="90">
        <v>10.41</v>
      </c>
      <c r="R371" s="90">
        <v>-0.1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159752.32000000001</v>
      </c>
      <c r="G372" s="90">
        <v>7398.44</v>
      </c>
      <c r="H372" s="90">
        <v>4166.07</v>
      </c>
      <c r="I372" s="90">
        <v>2192.52</v>
      </c>
      <c r="J372" s="90">
        <v>42403.82</v>
      </c>
      <c r="K372" s="90">
        <v>1128.43</v>
      </c>
      <c r="L372" s="90">
        <v>0</v>
      </c>
      <c r="M372" s="90">
        <v>9898.65</v>
      </c>
      <c r="N372" s="90">
        <v>12836.88</v>
      </c>
      <c r="O372" s="90">
        <v>60544.68</v>
      </c>
      <c r="P372" s="90">
        <v>17346.64</v>
      </c>
      <c r="Q372" s="90">
        <v>1841.15</v>
      </c>
      <c r="R372" s="90">
        <v>-4.96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159752.32000000001</v>
      </c>
      <c r="G373" s="230">
        <v>7398.44</v>
      </c>
      <c r="H373" s="230">
        <v>4166.07</v>
      </c>
      <c r="I373" s="230">
        <v>2192.52</v>
      </c>
      <c r="J373" s="230">
        <v>42403.82</v>
      </c>
      <c r="K373" s="230">
        <v>1128.43</v>
      </c>
      <c r="L373" s="230">
        <v>0</v>
      </c>
      <c r="M373" s="230">
        <v>9898.65</v>
      </c>
      <c r="N373" s="230">
        <v>12836.88</v>
      </c>
      <c r="O373" s="230">
        <v>60544.68</v>
      </c>
      <c r="P373" s="230">
        <v>17346.64</v>
      </c>
      <c r="Q373" s="230">
        <v>1841.15</v>
      </c>
      <c r="R373" s="230">
        <v>-4.96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38991.730000000003</v>
      </c>
      <c r="G374" s="90">
        <v>1782.21</v>
      </c>
      <c r="H374" s="90">
        <v>995.6</v>
      </c>
      <c r="I374" s="90">
        <v>528.15</v>
      </c>
      <c r="J374" s="90">
        <v>10477.14</v>
      </c>
      <c r="K374" s="90">
        <v>248.4</v>
      </c>
      <c r="L374" s="90">
        <v>0</v>
      </c>
      <c r="M374" s="90">
        <v>2178.96</v>
      </c>
      <c r="N374" s="90">
        <v>3183.54</v>
      </c>
      <c r="O374" s="90">
        <v>14966.57</v>
      </c>
      <c r="P374" s="90">
        <v>4225.8</v>
      </c>
      <c r="Q374" s="90">
        <v>405.29</v>
      </c>
      <c r="R374" s="90">
        <v>7.0000000000000007E-2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37.020000000000003</v>
      </c>
      <c r="G375" s="90">
        <v>1.77</v>
      </c>
      <c r="H375" s="90">
        <v>0.97</v>
      </c>
      <c r="I375" s="90">
        <v>0.53</v>
      </c>
      <c r="J375" s="90">
        <v>9.61</v>
      </c>
      <c r="K375" s="90">
        <v>0.24</v>
      </c>
      <c r="L375" s="90">
        <v>0</v>
      </c>
      <c r="M375" s="90">
        <v>2.09</v>
      </c>
      <c r="N375" s="90">
        <v>3.05</v>
      </c>
      <c r="O375" s="90">
        <v>14.21</v>
      </c>
      <c r="P375" s="90">
        <v>4.16</v>
      </c>
      <c r="Q375" s="90">
        <v>0.39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39028.75</v>
      </c>
      <c r="G376" s="90">
        <v>1783.98</v>
      </c>
      <c r="H376" s="90">
        <v>996.57</v>
      </c>
      <c r="I376" s="90">
        <v>528.67999999999995</v>
      </c>
      <c r="J376" s="90">
        <v>10486.75</v>
      </c>
      <c r="K376" s="90">
        <v>248.64</v>
      </c>
      <c r="L376" s="90">
        <v>0</v>
      </c>
      <c r="M376" s="90">
        <v>2181.0500000000002</v>
      </c>
      <c r="N376" s="90">
        <v>3186.59</v>
      </c>
      <c r="O376" s="90">
        <v>14980.78</v>
      </c>
      <c r="P376" s="90">
        <v>4229.96</v>
      </c>
      <c r="Q376" s="90">
        <v>405.68</v>
      </c>
      <c r="R376" s="90">
        <v>7.0000000000000007E-2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39028.75</v>
      </c>
      <c r="G383" s="93">
        <v>1783.98</v>
      </c>
      <c r="H383" s="93">
        <v>996.57</v>
      </c>
      <c r="I383" s="93">
        <v>528.67999999999995</v>
      </c>
      <c r="J383" s="93">
        <v>10486.75</v>
      </c>
      <c r="K383" s="93">
        <v>248.64</v>
      </c>
      <c r="L383" s="93">
        <v>0</v>
      </c>
      <c r="M383" s="93">
        <v>2181.0500000000002</v>
      </c>
      <c r="N383" s="93">
        <v>3186.59</v>
      </c>
      <c r="O383" s="93">
        <v>14980.78</v>
      </c>
      <c r="P383" s="93">
        <v>4229.96</v>
      </c>
      <c r="Q383" s="93">
        <v>405.68</v>
      </c>
      <c r="R383" s="93">
        <v>7.0000000000000007E-2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198781.07</v>
      </c>
      <c r="G384" s="377">
        <v>9182.42</v>
      </c>
      <c r="H384" s="377">
        <v>5162.6400000000003</v>
      </c>
      <c r="I384" s="377">
        <v>2721.2</v>
      </c>
      <c r="J384" s="377">
        <v>52890.57</v>
      </c>
      <c r="K384" s="377">
        <v>1377.07</v>
      </c>
      <c r="L384" s="377">
        <v>0</v>
      </c>
      <c r="M384" s="377">
        <v>12079.7</v>
      </c>
      <c r="N384" s="377">
        <v>16023.47</v>
      </c>
      <c r="O384" s="377">
        <v>75525.460000000006</v>
      </c>
      <c r="P384" s="377">
        <v>21576.6</v>
      </c>
      <c r="Q384" s="377">
        <v>2246.83</v>
      </c>
      <c r="R384" s="377">
        <v>-4.8899999999999997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11835064483.030001</v>
      </c>
      <c r="G385" s="90">
        <v>627518039.76999998</v>
      </c>
      <c r="H385" s="90">
        <v>351092915.89999998</v>
      </c>
      <c r="I385" s="90">
        <v>185902036.09</v>
      </c>
      <c r="J385" s="90">
        <v>3056314382.5300002</v>
      </c>
      <c r="K385" s="90">
        <v>101522025.5</v>
      </c>
      <c r="L385" s="90">
        <v>13385131.07</v>
      </c>
      <c r="M385" s="90">
        <v>890613734.42999995</v>
      </c>
      <c r="N385" s="90">
        <v>868458415.80999994</v>
      </c>
      <c r="O385" s="90">
        <v>4088274871.5700002</v>
      </c>
      <c r="P385" s="90">
        <v>1486225077.9000001</v>
      </c>
      <c r="Q385" s="90">
        <v>165708556.53999999</v>
      </c>
      <c r="R385" s="90">
        <v>49295.92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8701223.2799999993</v>
      </c>
      <c r="G386" s="90">
        <v>735719.78</v>
      </c>
      <c r="H386" s="90">
        <v>390778.63</v>
      </c>
      <c r="I386" s="90">
        <v>207759.12</v>
      </c>
      <c r="J386" s="90">
        <v>1839333.1</v>
      </c>
      <c r="K386" s="90">
        <v>66341.350000000006</v>
      </c>
      <c r="L386" s="90">
        <v>15322.17</v>
      </c>
      <c r="M386" s="90">
        <v>580980.94999999995</v>
      </c>
      <c r="N386" s="90">
        <v>544559.27</v>
      </c>
      <c r="O386" s="90">
        <v>2489978.6</v>
      </c>
      <c r="P386" s="90">
        <v>1722130.68</v>
      </c>
      <c r="Q386" s="90">
        <v>108313.11</v>
      </c>
      <c r="R386" s="90">
        <v>5.45</v>
      </c>
      <c r="S386" s="90">
        <v>0</v>
      </c>
      <c r="T386">
        <v>1.07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11843765706.309999</v>
      </c>
      <c r="G387" s="90">
        <v>628253759.54999995</v>
      </c>
      <c r="H387" s="90">
        <v>351483694.52999997</v>
      </c>
      <c r="I387" s="90">
        <v>186109795.21000001</v>
      </c>
      <c r="J387" s="90">
        <v>3058153715.6300001</v>
      </c>
      <c r="K387" s="90">
        <v>101588366.84999999</v>
      </c>
      <c r="L387" s="90">
        <v>13400453.24</v>
      </c>
      <c r="M387" s="90">
        <v>891194715.38</v>
      </c>
      <c r="N387" s="90">
        <v>869002975.08000004</v>
      </c>
      <c r="O387" s="90">
        <v>4090764850.1700001</v>
      </c>
      <c r="P387" s="90">
        <v>1487947208.5799999</v>
      </c>
      <c r="Q387" s="90">
        <v>165816869.65000001</v>
      </c>
      <c r="R387" s="90">
        <v>49301.37</v>
      </c>
      <c r="S387" s="90">
        <v>0</v>
      </c>
      <c r="T387">
        <v>1.07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11843765706.309999</v>
      </c>
      <c r="G388" s="230">
        <v>628253759.54999995</v>
      </c>
      <c r="H388" s="230">
        <v>351483694.52999997</v>
      </c>
      <c r="I388" s="230">
        <v>186109795.21000001</v>
      </c>
      <c r="J388" s="230">
        <v>3058153715.6300001</v>
      </c>
      <c r="K388" s="230">
        <v>101588366.84999999</v>
      </c>
      <c r="L388" s="230">
        <v>13400453.24</v>
      </c>
      <c r="M388" s="230">
        <v>891194715.38</v>
      </c>
      <c r="N388" s="230">
        <v>869002975.08000004</v>
      </c>
      <c r="O388" s="230">
        <v>4090764850.1700001</v>
      </c>
      <c r="P388" s="230">
        <v>1487947208.5799999</v>
      </c>
      <c r="Q388" s="230">
        <v>165816869.65000001</v>
      </c>
      <c r="R388" s="230">
        <v>49301.37</v>
      </c>
      <c r="S388" s="230">
        <v>0</v>
      </c>
      <c r="T388" s="230">
        <v>1.07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34127631.619999997</v>
      </c>
      <c r="G389" s="90">
        <v>3254205.78</v>
      </c>
      <c r="H389" s="90">
        <v>1807794.87</v>
      </c>
      <c r="I389" s="90">
        <v>962844.68</v>
      </c>
      <c r="J389" s="90">
        <v>6128041.9299999997</v>
      </c>
      <c r="K389" s="90">
        <v>182259.9</v>
      </c>
      <c r="L389" s="90">
        <v>0</v>
      </c>
      <c r="M389" s="90">
        <v>1592198.39</v>
      </c>
      <c r="N389" s="90">
        <v>2137952.35</v>
      </c>
      <c r="O389" s="90">
        <v>10075567.779999999</v>
      </c>
      <c r="P389" s="90">
        <v>7689521.1699999999</v>
      </c>
      <c r="Q389" s="90">
        <v>297981.03000000003</v>
      </c>
      <c r="R389" s="90">
        <v>-736.26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353691.22</v>
      </c>
      <c r="G390" s="90">
        <v>28602.35</v>
      </c>
      <c r="H390" s="90">
        <v>15286.72</v>
      </c>
      <c r="I390" s="90">
        <v>8306.2099999999991</v>
      </c>
      <c r="J390" s="90">
        <v>73327.27</v>
      </c>
      <c r="K390" s="90">
        <v>2386.37</v>
      </c>
      <c r="L390" s="90">
        <v>0</v>
      </c>
      <c r="M390" s="90">
        <v>20933.07</v>
      </c>
      <c r="N390" s="90">
        <v>23733.68</v>
      </c>
      <c r="O390" s="90">
        <v>110014.18</v>
      </c>
      <c r="P390" s="90">
        <v>67199.649999999994</v>
      </c>
      <c r="Q390" s="90">
        <v>3901.79</v>
      </c>
      <c r="R390" s="90">
        <v>-0.13</v>
      </c>
      <c r="S390" s="90">
        <v>0</v>
      </c>
      <c r="T390">
        <v>0.06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34481322.840000004</v>
      </c>
      <c r="G391" s="90">
        <v>3282808.13</v>
      </c>
      <c r="H391" s="90">
        <v>1823081.59</v>
      </c>
      <c r="I391" s="90">
        <v>971150.89</v>
      </c>
      <c r="J391" s="90">
        <v>6201369.2000000002</v>
      </c>
      <c r="K391" s="90">
        <v>184646.27</v>
      </c>
      <c r="L391" s="90">
        <v>0</v>
      </c>
      <c r="M391" s="90">
        <v>1613131.46</v>
      </c>
      <c r="N391" s="90">
        <v>2161686.0299999998</v>
      </c>
      <c r="O391" s="90">
        <v>10185581.960000001</v>
      </c>
      <c r="P391" s="90">
        <v>7756720.8200000003</v>
      </c>
      <c r="Q391" s="90">
        <v>301882.82</v>
      </c>
      <c r="R391" s="90">
        <v>-736.39</v>
      </c>
      <c r="S391" s="90">
        <v>0</v>
      </c>
      <c r="T391">
        <v>0.06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45963906.219999999</v>
      </c>
      <c r="G392" s="90">
        <v>5607394.8099999996</v>
      </c>
      <c r="H392" s="90">
        <v>3065831.07</v>
      </c>
      <c r="I392" s="90">
        <v>1612472.24</v>
      </c>
      <c r="J392" s="90">
        <v>3522248.26</v>
      </c>
      <c r="K392" s="90">
        <v>159210.66</v>
      </c>
      <c r="L392" s="90">
        <v>9510335.3800000008</v>
      </c>
      <c r="M392" s="90">
        <v>1399529.63</v>
      </c>
      <c r="N392" s="90">
        <v>1402817.72</v>
      </c>
      <c r="O392" s="90">
        <v>6177060.7000000002</v>
      </c>
      <c r="P392" s="90">
        <v>13246437.77</v>
      </c>
      <c r="Q392" s="90">
        <v>260793.84</v>
      </c>
      <c r="R392" s="90">
        <v>-225.86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1182838.74</v>
      </c>
      <c r="G393" s="90">
        <v>125241.89</v>
      </c>
      <c r="H393" s="90">
        <v>62311.77</v>
      </c>
      <c r="I393" s="90">
        <v>29656.09</v>
      </c>
      <c r="J393" s="90">
        <v>192772.38</v>
      </c>
      <c r="K393" s="90">
        <v>9689.99</v>
      </c>
      <c r="L393" s="90">
        <v>12605.51</v>
      </c>
      <c r="M393" s="90">
        <v>84893.82</v>
      </c>
      <c r="N393" s="90">
        <v>77010.48</v>
      </c>
      <c r="O393" s="90">
        <v>279206.19</v>
      </c>
      <c r="P393" s="90">
        <v>293680.78999999998</v>
      </c>
      <c r="Q393" s="90">
        <v>15805.74</v>
      </c>
      <c r="R393" s="90">
        <v>-29.89</v>
      </c>
      <c r="S393" s="90">
        <v>0</v>
      </c>
      <c r="T393">
        <v>0.36</v>
      </c>
      <c r="U393">
        <v>-6.28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47146744.960000001</v>
      </c>
      <c r="G394" s="90">
        <v>5732636.7000000002</v>
      </c>
      <c r="H394" s="90">
        <v>3128142.84</v>
      </c>
      <c r="I394" s="90">
        <v>1642128.33</v>
      </c>
      <c r="J394" s="90">
        <v>3715020.64</v>
      </c>
      <c r="K394" s="90">
        <v>168900.65</v>
      </c>
      <c r="L394" s="90">
        <v>9522940.8900000006</v>
      </c>
      <c r="M394" s="90">
        <v>1484423.45</v>
      </c>
      <c r="N394" s="90">
        <v>1479828.2</v>
      </c>
      <c r="O394" s="90">
        <v>6456266.8899999997</v>
      </c>
      <c r="P394" s="90">
        <v>13540118.560000001</v>
      </c>
      <c r="Q394" s="90">
        <v>276599.58</v>
      </c>
      <c r="R394" s="90">
        <v>-255.75</v>
      </c>
      <c r="S394" s="90">
        <v>0</v>
      </c>
      <c r="T394">
        <v>0.36</v>
      </c>
      <c r="U394">
        <v>-6.28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362548526.37</v>
      </c>
      <c r="G395" s="90">
        <v>71077084.209999993</v>
      </c>
      <c r="H395" s="90">
        <v>39712681.390000001</v>
      </c>
      <c r="I395" s="90">
        <v>21005763.530000001</v>
      </c>
      <c r="J395" s="90">
        <v>17815075.079999998</v>
      </c>
      <c r="K395" s="90">
        <v>507896.69</v>
      </c>
      <c r="L395" s="90">
        <v>2552235</v>
      </c>
      <c r="M395" s="90">
        <v>4433308.87</v>
      </c>
      <c r="N395" s="90">
        <v>6378935.0800000001</v>
      </c>
      <c r="O395" s="90">
        <v>30203107.719999999</v>
      </c>
      <c r="P395" s="90">
        <v>168034311.06999999</v>
      </c>
      <c r="Q395" s="90">
        <v>829544.89</v>
      </c>
      <c r="R395" s="90">
        <v>-1417.16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5304682.71</v>
      </c>
      <c r="G396" s="90">
        <v>1134310.8799999999</v>
      </c>
      <c r="H396" s="90">
        <v>650294.14</v>
      </c>
      <c r="I396" s="90">
        <v>343610.42</v>
      </c>
      <c r="J396" s="90">
        <v>154450.98000000001</v>
      </c>
      <c r="K396" s="90">
        <v>4044.28</v>
      </c>
      <c r="L396" s="90">
        <v>41612.93</v>
      </c>
      <c r="M396" s="90">
        <v>35447.93</v>
      </c>
      <c r="N396" s="90">
        <v>46872.68</v>
      </c>
      <c r="O396" s="90">
        <v>220190.73</v>
      </c>
      <c r="P396" s="90">
        <v>2667255.52</v>
      </c>
      <c r="Q396" s="90">
        <v>6595.93</v>
      </c>
      <c r="R396" s="90">
        <v>-7.79</v>
      </c>
      <c r="S396" s="90">
        <v>4.08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367853209.07999998</v>
      </c>
      <c r="G397" s="90">
        <v>72211395.090000004</v>
      </c>
      <c r="H397" s="90">
        <v>40362975.530000001</v>
      </c>
      <c r="I397" s="90">
        <v>21349373.949999999</v>
      </c>
      <c r="J397" s="90">
        <v>17969526.059999999</v>
      </c>
      <c r="K397" s="90">
        <v>511940.97</v>
      </c>
      <c r="L397" s="90">
        <v>2593847.9300000002</v>
      </c>
      <c r="M397" s="90">
        <v>4468756.8</v>
      </c>
      <c r="N397" s="90">
        <v>6425807.7599999998</v>
      </c>
      <c r="O397" s="90">
        <v>30423298.449999999</v>
      </c>
      <c r="P397" s="90">
        <v>170701566.59</v>
      </c>
      <c r="Q397" s="90">
        <v>836140.82</v>
      </c>
      <c r="R397" s="90">
        <v>-1424.95</v>
      </c>
      <c r="S397" s="90">
        <v>4.08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449481276.88</v>
      </c>
      <c r="G398" s="93">
        <v>81226839.920000002</v>
      </c>
      <c r="H398" s="93">
        <v>45314199.960000001</v>
      </c>
      <c r="I398" s="93">
        <v>23962653.170000002</v>
      </c>
      <c r="J398" s="93">
        <v>27885915.899999999</v>
      </c>
      <c r="K398" s="93">
        <v>865487.89</v>
      </c>
      <c r="L398" s="93">
        <v>12116788.82</v>
      </c>
      <c r="M398" s="93">
        <v>7566311.71</v>
      </c>
      <c r="N398" s="93">
        <v>10067321.99</v>
      </c>
      <c r="O398" s="93">
        <v>47065147.299999997</v>
      </c>
      <c r="P398" s="93">
        <v>191998405.97</v>
      </c>
      <c r="Q398" s="93">
        <v>1414623.22</v>
      </c>
      <c r="R398" s="93">
        <v>-2417.09</v>
      </c>
      <c r="S398" s="93">
        <v>4.08</v>
      </c>
      <c r="T398" s="94">
        <v>0.42</v>
      </c>
      <c r="U398" s="94">
        <v>-6.28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12293246983.190001</v>
      </c>
      <c r="G399" s="100">
        <v>709480599.47000003</v>
      </c>
      <c r="H399" s="100">
        <v>396797894.49000001</v>
      </c>
      <c r="I399" s="100">
        <v>210072448.38</v>
      </c>
      <c r="J399" s="100">
        <v>3086039631.5300002</v>
      </c>
      <c r="K399" s="100">
        <v>102453854.73999999</v>
      </c>
      <c r="L399" s="100">
        <v>25517242.059999999</v>
      </c>
      <c r="M399" s="100">
        <v>898761027.09000003</v>
      </c>
      <c r="N399" s="100">
        <v>879070297.07000005</v>
      </c>
      <c r="O399" s="100">
        <v>4137829997.4699998</v>
      </c>
      <c r="P399" s="100">
        <v>1679945614.55</v>
      </c>
      <c r="Q399" s="100">
        <v>167231492.87</v>
      </c>
      <c r="R399" s="100">
        <v>46884.28</v>
      </c>
      <c r="S399" s="100">
        <v>4.08</v>
      </c>
      <c r="T399" s="226">
        <v>1.49</v>
      </c>
      <c r="U399" s="226">
        <v>-6.28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12293445764.26</v>
      </c>
      <c r="G400" s="90">
        <v>709489781.88999999</v>
      </c>
      <c r="H400" s="90">
        <v>396803057.13</v>
      </c>
      <c r="I400" s="90">
        <v>210075169.58000001</v>
      </c>
      <c r="J400" s="90">
        <v>3086092522.0999999</v>
      </c>
      <c r="K400" s="90">
        <v>102455231.81</v>
      </c>
      <c r="L400" s="90">
        <v>25517242.059999999</v>
      </c>
      <c r="M400" s="90">
        <v>898773106.78999996</v>
      </c>
      <c r="N400" s="90">
        <v>879086320.53999996</v>
      </c>
      <c r="O400" s="90">
        <v>4137905522.9299998</v>
      </c>
      <c r="P400" s="90">
        <v>1679967191.1500001</v>
      </c>
      <c r="Q400" s="90">
        <v>167233739.69999999</v>
      </c>
      <c r="R400" s="90">
        <v>46879.39</v>
      </c>
      <c r="S400" s="90">
        <v>4.08</v>
      </c>
      <c r="T400">
        <v>1.49</v>
      </c>
      <c r="U400">
        <v>-6.28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-23812.32</v>
      </c>
      <c r="G401" s="90">
        <v>-1102.56</v>
      </c>
      <c r="H401" s="90">
        <v>-620.85</v>
      </c>
      <c r="I401" s="90">
        <v>-326.73</v>
      </c>
      <c r="J401" s="90">
        <v>-6320.76</v>
      </c>
      <c r="K401" s="90">
        <v>-168.31</v>
      </c>
      <c r="L401" s="90">
        <v>0</v>
      </c>
      <c r="M401" s="90">
        <v>-1476.37</v>
      </c>
      <c r="N401" s="90">
        <v>-1913.24</v>
      </c>
      <c r="O401" s="90">
        <v>-9023.7000000000007</v>
      </c>
      <c r="P401" s="90">
        <v>-2585.21</v>
      </c>
      <c r="Q401" s="90">
        <v>-274.58999999999997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-23812.32</v>
      </c>
      <c r="G402" s="90">
        <v>-1102.56</v>
      </c>
      <c r="H402" s="90">
        <v>-620.85</v>
      </c>
      <c r="I402" s="90">
        <v>-326.73</v>
      </c>
      <c r="J402" s="90">
        <v>-6320.76</v>
      </c>
      <c r="K402" s="90">
        <v>-168.31</v>
      </c>
      <c r="L402" s="90">
        <v>0</v>
      </c>
      <c r="M402" s="90">
        <v>-1476.37</v>
      </c>
      <c r="N402" s="90">
        <v>-1913.24</v>
      </c>
      <c r="O402" s="90">
        <v>-9023.7000000000007</v>
      </c>
      <c r="P402" s="90">
        <v>-2585.21</v>
      </c>
      <c r="Q402" s="90">
        <v>-274.58999999999997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-23812.32</v>
      </c>
      <c r="G403" s="230">
        <v>-1102.56</v>
      </c>
      <c r="H403" s="230">
        <v>-620.85</v>
      </c>
      <c r="I403" s="230">
        <v>-326.73</v>
      </c>
      <c r="J403" s="230">
        <v>-6320.76</v>
      </c>
      <c r="K403" s="230">
        <v>-168.31</v>
      </c>
      <c r="L403" s="230">
        <v>0</v>
      </c>
      <c r="M403" s="230">
        <v>-1476.37</v>
      </c>
      <c r="N403" s="230">
        <v>-1913.24</v>
      </c>
      <c r="O403" s="230">
        <v>-9023.7000000000007</v>
      </c>
      <c r="P403" s="230">
        <v>-2585.21</v>
      </c>
      <c r="Q403" s="230">
        <v>-274.58999999999997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-5848.75</v>
      </c>
      <c r="G404" s="90">
        <v>-267.33</v>
      </c>
      <c r="H404" s="90">
        <v>-149.34</v>
      </c>
      <c r="I404" s="90">
        <v>-79.22</v>
      </c>
      <c r="J404" s="90">
        <v>-1571.58</v>
      </c>
      <c r="K404" s="90">
        <v>-37.26</v>
      </c>
      <c r="L404" s="90">
        <v>0</v>
      </c>
      <c r="M404" s="90">
        <v>-326.83999999999997</v>
      </c>
      <c r="N404" s="90">
        <v>-477.53</v>
      </c>
      <c r="O404" s="90">
        <v>-2244.9899999999998</v>
      </c>
      <c r="P404" s="90">
        <v>-633.87</v>
      </c>
      <c r="Q404" s="90">
        <v>-60.79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-5848.75</v>
      </c>
      <c r="G405" s="90">
        <v>-267.33</v>
      </c>
      <c r="H405" s="90">
        <v>-149.34</v>
      </c>
      <c r="I405" s="90">
        <v>-79.22</v>
      </c>
      <c r="J405" s="90">
        <v>-1571.58</v>
      </c>
      <c r="K405" s="90">
        <v>-37.26</v>
      </c>
      <c r="L405" s="90">
        <v>0</v>
      </c>
      <c r="M405" s="90">
        <v>-326.83999999999997</v>
      </c>
      <c r="N405" s="90">
        <v>-477.53</v>
      </c>
      <c r="O405" s="90">
        <v>-2244.9899999999998</v>
      </c>
      <c r="P405" s="90">
        <v>-633.87</v>
      </c>
      <c r="Q405" s="90">
        <v>-60.79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-5848.75</v>
      </c>
      <c r="G410" s="93">
        <v>-267.33</v>
      </c>
      <c r="H410" s="93">
        <v>-149.34</v>
      </c>
      <c r="I410" s="93">
        <v>-79.22</v>
      </c>
      <c r="J410" s="93">
        <v>-1571.58</v>
      </c>
      <c r="K410" s="93">
        <v>-37.26</v>
      </c>
      <c r="L410" s="93">
        <v>0</v>
      </c>
      <c r="M410" s="93">
        <v>-326.83999999999997</v>
      </c>
      <c r="N410" s="93">
        <v>-477.53</v>
      </c>
      <c r="O410" s="93">
        <v>-2244.9899999999998</v>
      </c>
      <c r="P410" s="93">
        <v>-633.87</v>
      </c>
      <c r="Q410" s="93">
        <v>-60.79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-29661.07</v>
      </c>
      <c r="G411" s="377">
        <v>-1369.89</v>
      </c>
      <c r="H411" s="377">
        <v>-770.19</v>
      </c>
      <c r="I411" s="377">
        <v>-405.95</v>
      </c>
      <c r="J411" s="377">
        <v>-7892.34</v>
      </c>
      <c r="K411" s="377">
        <v>-205.57</v>
      </c>
      <c r="L411" s="377">
        <v>0</v>
      </c>
      <c r="M411" s="377">
        <v>-1803.21</v>
      </c>
      <c r="N411" s="377">
        <v>-2390.77</v>
      </c>
      <c r="O411" s="377">
        <v>-11268.69</v>
      </c>
      <c r="P411" s="377">
        <v>-3219.08</v>
      </c>
      <c r="Q411" s="377">
        <v>-335.38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-1640638645.3099999</v>
      </c>
      <c r="G412" s="90">
        <v>-4085251.06</v>
      </c>
      <c r="H412" s="90">
        <v>-2413253.5499999998</v>
      </c>
      <c r="I412" s="90">
        <v>-1172261.25</v>
      </c>
      <c r="J412" s="90">
        <v>-550107051.62</v>
      </c>
      <c r="K412" s="90">
        <v>-17814381.510000002</v>
      </c>
      <c r="L412" s="90">
        <v>0</v>
      </c>
      <c r="M412" s="90">
        <v>-156271101.90000001</v>
      </c>
      <c r="N412" s="90">
        <v>-152284992.22</v>
      </c>
      <c r="O412" s="90">
        <v>-717616229.75999999</v>
      </c>
      <c r="P412" s="90">
        <v>-9808467.4600000009</v>
      </c>
      <c r="Q412" s="90">
        <v>-29065654.98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-1640638645.3099999</v>
      </c>
      <c r="G413" s="90">
        <v>-4085251.06</v>
      </c>
      <c r="H413" s="90">
        <v>-2413253.5499999998</v>
      </c>
      <c r="I413" s="90">
        <v>-1172261.25</v>
      </c>
      <c r="J413" s="90">
        <v>-550107051.62</v>
      </c>
      <c r="K413" s="90">
        <v>-17814381.510000002</v>
      </c>
      <c r="L413" s="90">
        <v>0</v>
      </c>
      <c r="M413" s="90">
        <v>-156271101.90000001</v>
      </c>
      <c r="N413" s="90">
        <v>-152284992.22</v>
      </c>
      <c r="O413" s="90">
        <v>-717616229.75999999</v>
      </c>
      <c r="P413" s="90">
        <v>-9808467.4600000009</v>
      </c>
      <c r="Q413" s="90">
        <v>-29065654.98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-1640638645.3099999</v>
      </c>
      <c r="G414" s="230">
        <v>-4085251.06</v>
      </c>
      <c r="H414" s="230">
        <v>-2413253.5499999998</v>
      </c>
      <c r="I414" s="230">
        <v>-1172261.25</v>
      </c>
      <c r="J414" s="230">
        <v>-550107051.62</v>
      </c>
      <c r="K414" s="230">
        <v>-17814381.510000002</v>
      </c>
      <c r="L414" s="230">
        <v>0</v>
      </c>
      <c r="M414" s="230">
        <v>-156271101.90000001</v>
      </c>
      <c r="N414" s="230">
        <v>-152284992.22</v>
      </c>
      <c r="O414" s="230">
        <v>-717616229.75999999</v>
      </c>
      <c r="P414" s="230">
        <v>-9808467.4600000009</v>
      </c>
      <c r="Q414" s="230">
        <v>-29065654.98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7457807.1600000001</v>
      </c>
      <c r="G415" s="90">
        <v>1664600.99</v>
      </c>
      <c r="H415" s="90">
        <v>928578.15</v>
      </c>
      <c r="I415" s="90">
        <v>492530.51</v>
      </c>
      <c r="J415" s="90">
        <v>86738.78</v>
      </c>
      <c r="K415" s="90">
        <v>5070.3999999999996</v>
      </c>
      <c r="L415" s="90">
        <v>0</v>
      </c>
      <c r="M415" s="90">
        <v>44479.13</v>
      </c>
      <c r="N415" s="90">
        <v>49895.95</v>
      </c>
      <c r="O415" s="90">
        <v>234179.47</v>
      </c>
      <c r="P415" s="90">
        <v>3943459.93</v>
      </c>
      <c r="Q415" s="90">
        <v>8273.85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7457807.1600000001</v>
      </c>
      <c r="G416" s="90">
        <v>1664600.99</v>
      </c>
      <c r="H416" s="90">
        <v>928578.15</v>
      </c>
      <c r="I416" s="90">
        <v>492530.51</v>
      </c>
      <c r="J416" s="90">
        <v>86738.78</v>
      </c>
      <c r="K416" s="90">
        <v>5070.3999999999996</v>
      </c>
      <c r="L416" s="90">
        <v>0</v>
      </c>
      <c r="M416" s="90">
        <v>44479.13</v>
      </c>
      <c r="N416" s="90">
        <v>49895.95</v>
      </c>
      <c r="O416" s="90">
        <v>234179.47</v>
      </c>
      <c r="P416" s="90">
        <v>3943459.93</v>
      </c>
      <c r="Q416" s="90">
        <v>8273.85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12665699.91</v>
      </c>
      <c r="G417" s="90">
        <v>3229054.47</v>
      </c>
      <c r="H417" s="90">
        <v>1813639.06</v>
      </c>
      <c r="I417" s="90">
        <v>960959.65</v>
      </c>
      <c r="J417" s="90">
        <v>-230111.93</v>
      </c>
      <c r="K417" s="90">
        <v>-19921.47</v>
      </c>
      <c r="L417" s="90">
        <v>0</v>
      </c>
      <c r="M417" s="90">
        <v>-180926.03</v>
      </c>
      <c r="N417" s="90">
        <v>-110482.3</v>
      </c>
      <c r="O417" s="90">
        <v>-410982.33</v>
      </c>
      <c r="P417" s="90">
        <v>7648193.6799999997</v>
      </c>
      <c r="Q417" s="90">
        <v>-33722.89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12665699.91</v>
      </c>
      <c r="G418" s="90">
        <v>3229054.47</v>
      </c>
      <c r="H418" s="90">
        <v>1813639.06</v>
      </c>
      <c r="I418" s="90">
        <v>960959.65</v>
      </c>
      <c r="J418" s="90">
        <v>-230111.93</v>
      </c>
      <c r="K418" s="90">
        <v>-19921.47</v>
      </c>
      <c r="L418" s="90">
        <v>0</v>
      </c>
      <c r="M418" s="90">
        <v>-180926.03</v>
      </c>
      <c r="N418" s="90">
        <v>-110482.3</v>
      </c>
      <c r="O418" s="90">
        <v>-410982.33</v>
      </c>
      <c r="P418" s="90">
        <v>7648193.6799999997</v>
      </c>
      <c r="Q418" s="90">
        <v>-33722.89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226502722.91999999</v>
      </c>
      <c r="G419" s="90">
        <v>51618855.079999998</v>
      </c>
      <c r="H419" s="90">
        <v>28859003.780000001</v>
      </c>
      <c r="I419" s="90">
        <v>15251503.470000001</v>
      </c>
      <c r="J419" s="90">
        <v>2339286</v>
      </c>
      <c r="K419" s="90">
        <v>77557.3</v>
      </c>
      <c r="L419" s="90">
        <v>0</v>
      </c>
      <c r="M419" s="90">
        <v>679370.75</v>
      </c>
      <c r="N419" s="90">
        <v>972762.26</v>
      </c>
      <c r="O419" s="90">
        <v>4578375.8600000003</v>
      </c>
      <c r="P419" s="90">
        <v>121999624.79000001</v>
      </c>
      <c r="Q419" s="90">
        <v>126383.63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226502722.91999999</v>
      </c>
      <c r="G420" s="90">
        <v>51618855.079999998</v>
      </c>
      <c r="H420" s="90">
        <v>28859003.780000001</v>
      </c>
      <c r="I420" s="90">
        <v>15251503.470000001</v>
      </c>
      <c r="J420" s="90">
        <v>2339286</v>
      </c>
      <c r="K420" s="90">
        <v>77557.3</v>
      </c>
      <c r="L420" s="90">
        <v>0</v>
      </c>
      <c r="M420" s="90">
        <v>679370.75</v>
      </c>
      <c r="N420" s="90">
        <v>972762.26</v>
      </c>
      <c r="O420" s="90">
        <v>4578375.8600000003</v>
      </c>
      <c r="P420" s="90">
        <v>121999624.79000001</v>
      </c>
      <c r="Q420" s="90">
        <v>126383.63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246626229.99000001</v>
      </c>
      <c r="G421" s="93">
        <v>56512510.539999999</v>
      </c>
      <c r="H421" s="93">
        <v>31601220.989999998</v>
      </c>
      <c r="I421" s="93">
        <v>16704993.630000001</v>
      </c>
      <c r="J421" s="93">
        <v>2195912.85</v>
      </c>
      <c r="K421" s="93">
        <v>62706.23</v>
      </c>
      <c r="L421" s="93">
        <v>0</v>
      </c>
      <c r="M421" s="93">
        <v>542923.85</v>
      </c>
      <c r="N421" s="93">
        <v>912175.91</v>
      </c>
      <c r="O421" s="93">
        <v>4401573</v>
      </c>
      <c r="P421" s="93">
        <v>133591278.40000001</v>
      </c>
      <c r="Q421" s="93">
        <v>100934.59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-1394012415.3199999</v>
      </c>
      <c r="G422" s="100">
        <v>52427259.479999997</v>
      </c>
      <c r="H422" s="100">
        <v>29187967.440000001</v>
      </c>
      <c r="I422" s="100">
        <v>15532732.380000001</v>
      </c>
      <c r="J422" s="100">
        <v>-547911138.76999998</v>
      </c>
      <c r="K422" s="100">
        <v>-17751675.280000001</v>
      </c>
      <c r="L422" s="100">
        <v>0</v>
      </c>
      <c r="M422" s="100">
        <v>-155728178.05000001</v>
      </c>
      <c r="N422" s="100">
        <v>-151372816.31</v>
      </c>
      <c r="O422" s="100">
        <v>-713214656.75999999</v>
      </c>
      <c r="P422" s="100">
        <v>123782810.94</v>
      </c>
      <c r="Q422" s="100">
        <v>-28964720.390000001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-1394042076.3900001</v>
      </c>
      <c r="G423" s="90">
        <v>52425889.590000004</v>
      </c>
      <c r="H423" s="90">
        <v>29187197.25</v>
      </c>
      <c r="I423" s="90">
        <v>15532326.43</v>
      </c>
      <c r="J423" s="90">
        <v>-547919031.11000001</v>
      </c>
      <c r="K423" s="90">
        <v>-17751880.850000001</v>
      </c>
      <c r="L423" s="90">
        <v>0</v>
      </c>
      <c r="M423" s="90">
        <v>-155729981.25999999</v>
      </c>
      <c r="N423" s="90">
        <v>-151375207.08000001</v>
      </c>
      <c r="O423" s="90">
        <v>-713225925.45000005</v>
      </c>
      <c r="P423" s="90">
        <v>123779591.86</v>
      </c>
      <c r="Q423" s="90">
        <v>-28965055.77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10899398038</v>
      </c>
      <c r="G424" s="90">
        <v>761915170.17999995</v>
      </c>
      <c r="H424" s="90">
        <v>425990041.41000003</v>
      </c>
      <c r="I424" s="90">
        <v>225607403.00999999</v>
      </c>
      <c r="J424" s="90">
        <v>2538172400.71</v>
      </c>
      <c r="K424" s="90">
        <v>84703306.040000007</v>
      </c>
      <c r="L424" s="90">
        <v>25517242.059999999</v>
      </c>
      <c r="M424" s="90">
        <v>743042731.51999998</v>
      </c>
      <c r="N424" s="90">
        <v>727710619.59000003</v>
      </c>
      <c r="O424" s="90">
        <v>3424677938.6100001</v>
      </c>
      <c r="P424" s="90">
        <v>1803745695.6500001</v>
      </c>
      <c r="Q424" s="90">
        <v>138268610.63999999</v>
      </c>
      <c r="R424" s="90">
        <v>46879.39</v>
      </c>
      <c r="S424" s="90">
        <v>4.08</v>
      </c>
      <c r="T424" s="150">
        <v>1.49</v>
      </c>
      <c r="U424" s="150">
        <v>-6.28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8" t="s">
        <v>2</v>
      </c>
      <c r="D484" s="776" t="s">
        <v>132</v>
      </c>
      <c r="E484" s="98" t="s">
        <v>70</v>
      </c>
      <c r="F484" s="100">
        <f>F399+F422+F368-L368-L399</f>
        <v>10873711675.940001</v>
      </c>
      <c r="G484" s="100">
        <f t="shared" ref="G484:AO484" si="18">G399+G368</f>
        <v>709480098.17000008</v>
      </c>
      <c r="H484" s="100">
        <f t="shared" si="18"/>
        <v>396797681.51999998</v>
      </c>
      <c r="I484" s="100">
        <f t="shared" si="18"/>
        <v>210072355.38</v>
      </c>
      <c r="J484" s="100">
        <f t="shared" si="18"/>
        <v>3086038541.25</v>
      </c>
      <c r="K484" s="100">
        <f t="shared" si="18"/>
        <v>102453809.81999999</v>
      </c>
      <c r="L484" s="100">
        <f t="shared" si="18"/>
        <v>25517242.059999999</v>
      </c>
      <c r="M484" s="100">
        <f t="shared" si="18"/>
        <v>898760633.08000004</v>
      </c>
      <c r="N484" s="100">
        <f t="shared" si="18"/>
        <v>879069803.20000005</v>
      </c>
      <c r="O484" s="100">
        <f t="shared" si="18"/>
        <v>4137828338.5999999</v>
      </c>
      <c r="P484" s="100">
        <f t="shared" si="18"/>
        <v>1679944527.1900001</v>
      </c>
      <c r="Q484" s="100">
        <f t="shared" si="18"/>
        <v>167231419.58000001</v>
      </c>
      <c r="R484" s="100">
        <f t="shared" si="18"/>
        <v>46884.28</v>
      </c>
      <c r="S484" s="100">
        <f t="shared" si="18"/>
        <v>4.08</v>
      </c>
      <c r="T484" s="100">
        <f t="shared" si="18"/>
        <v>1.49</v>
      </c>
      <c r="U484" s="100">
        <f t="shared" si="18"/>
        <v>-6.28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8"/>
      <c r="D485" s="776"/>
      <c r="E485" s="98" t="s">
        <v>73</v>
      </c>
      <c r="F485" s="100">
        <f>F422</f>
        <v>-1394012415.3199999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8"/>
      <c r="D486" s="776" t="s">
        <v>133</v>
      </c>
      <c r="E486" s="233" t="s">
        <v>70</v>
      </c>
      <c r="F486" s="234">
        <f>F411+F384-L384</f>
        <v>169120</v>
      </c>
      <c r="G486" s="234">
        <f>G384</f>
        <v>9182.42</v>
      </c>
      <c r="H486" s="234">
        <f t="shared" ref="H486:AO486" si="19">H384</f>
        <v>5162.6400000000003</v>
      </c>
      <c r="I486" s="234">
        <f t="shared" si="19"/>
        <v>2721.2</v>
      </c>
      <c r="J486" s="234">
        <f t="shared" si="19"/>
        <v>52890.57</v>
      </c>
      <c r="K486" s="234">
        <f t="shared" si="19"/>
        <v>1377.07</v>
      </c>
      <c r="L486" s="234">
        <f t="shared" si="19"/>
        <v>0</v>
      </c>
      <c r="M486" s="234">
        <f t="shared" si="19"/>
        <v>12079.7</v>
      </c>
      <c r="N486" s="234">
        <f t="shared" si="19"/>
        <v>16023.47</v>
      </c>
      <c r="O486" s="234">
        <f t="shared" si="19"/>
        <v>75525.460000000006</v>
      </c>
      <c r="P486" s="234">
        <f t="shared" si="19"/>
        <v>21576.6</v>
      </c>
      <c r="Q486" s="234">
        <f t="shared" si="19"/>
        <v>2246.83</v>
      </c>
      <c r="R486" s="234">
        <f t="shared" si="19"/>
        <v>-4.8899999999999997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8"/>
      <c r="D487" s="776"/>
      <c r="E487" s="233" t="s">
        <v>73</v>
      </c>
      <c r="F487" s="234">
        <f>F411</f>
        <v>-29661.07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8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8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8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8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8" t="s">
        <v>155</v>
      </c>
      <c r="D494" s="776" t="s">
        <v>132</v>
      </c>
      <c r="E494" s="221" t="s">
        <v>70</v>
      </c>
      <c r="F494" s="222">
        <f>F414+F388+F360-L360-L388</f>
        <v>10189726607.76</v>
      </c>
      <c r="G494" s="222">
        <f t="shared" ref="G494:AO494" si="20">G388+G360</f>
        <v>628253759.54999995</v>
      </c>
      <c r="H494" s="222">
        <f t="shared" si="20"/>
        <v>351483694.52999997</v>
      </c>
      <c r="I494" s="222">
        <f t="shared" si="20"/>
        <v>186109795.21000001</v>
      </c>
      <c r="J494" s="222">
        <f t="shared" si="20"/>
        <v>3058153715.6300001</v>
      </c>
      <c r="K494" s="222">
        <f t="shared" si="20"/>
        <v>101588366.84999999</v>
      </c>
      <c r="L494" s="222">
        <f t="shared" si="20"/>
        <v>13400453.24</v>
      </c>
      <c r="M494" s="222">
        <f t="shared" si="20"/>
        <v>891194715.38</v>
      </c>
      <c r="N494" s="222">
        <f t="shared" si="20"/>
        <v>869002975.08000004</v>
      </c>
      <c r="O494" s="222">
        <f t="shared" si="20"/>
        <v>4090764850.1700001</v>
      </c>
      <c r="P494" s="222">
        <f t="shared" si="20"/>
        <v>1487947208.5799999</v>
      </c>
      <c r="Q494" s="222">
        <f t="shared" si="20"/>
        <v>165816869.65000001</v>
      </c>
      <c r="R494" s="222">
        <f t="shared" si="20"/>
        <v>49301.37</v>
      </c>
      <c r="S494" s="222">
        <f t="shared" si="20"/>
        <v>0</v>
      </c>
      <c r="T494" s="222">
        <f t="shared" si="20"/>
        <v>1.07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8"/>
      <c r="D495" s="776"/>
      <c r="E495" s="221" t="s">
        <v>73</v>
      </c>
      <c r="F495" s="222">
        <f>F414</f>
        <v>-1640638645.3099999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8"/>
      <c r="D496" s="776" t="s">
        <v>133</v>
      </c>
      <c r="E496" s="229" t="s">
        <v>70</v>
      </c>
      <c r="F496" s="230">
        <f>F403+F373-L373</f>
        <v>135940</v>
      </c>
      <c r="G496" s="230">
        <f>G373</f>
        <v>7398.44</v>
      </c>
      <c r="H496" s="230">
        <f t="shared" ref="H496:AO496" si="21">H373</f>
        <v>4166.07</v>
      </c>
      <c r="I496" s="230">
        <f t="shared" si="21"/>
        <v>2192.52</v>
      </c>
      <c r="J496" s="230">
        <f t="shared" si="21"/>
        <v>42403.82</v>
      </c>
      <c r="K496" s="230">
        <f t="shared" si="21"/>
        <v>1128.43</v>
      </c>
      <c r="L496" s="230">
        <f t="shared" si="21"/>
        <v>0</v>
      </c>
      <c r="M496" s="230">
        <f t="shared" si="21"/>
        <v>9898.65</v>
      </c>
      <c r="N496" s="230">
        <f t="shared" si="21"/>
        <v>12836.88</v>
      </c>
      <c r="O496" s="230">
        <f t="shared" si="21"/>
        <v>60544.68</v>
      </c>
      <c r="P496" s="230">
        <f t="shared" si="21"/>
        <v>17346.64</v>
      </c>
      <c r="Q496" s="230">
        <f t="shared" si="21"/>
        <v>1841.15</v>
      </c>
      <c r="R496" s="230">
        <f t="shared" si="21"/>
        <v>-4.96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8"/>
      <c r="D497" s="776"/>
      <c r="E497" s="229" t="s">
        <v>73</v>
      </c>
      <c r="F497" s="230">
        <f>F403</f>
        <v>-23812.32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9" t="s">
        <v>325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9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9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9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8" t="s">
        <v>119</v>
      </c>
      <c r="D504" s="776" t="s">
        <v>132</v>
      </c>
      <c r="E504" s="101" t="s">
        <v>70</v>
      </c>
      <c r="F504" s="93">
        <f>F421+F398+F367-L367-L398</f>
        <v>683985068.17999995</v>
      </c>
      <c r="G504" s="93">
        <f t="shared" ref="G504:AO504" si="22">G398+G367</f>
        <v>81226338.620000005</v>
      </c>
      <c r="H504" s="93">
        <f t="shared" si="22"/>
        <v>45313986.990000002</v>
      </c>
      <c r="I504" s="93">
        <f t="shared" si="22"/>
        <v>23962560.170000002</v>
      </c>
      <c r="J504" s="93">
        <f t="shared" si="22"/>
        <v>27884825.619999997</v>
      </c>
      <c r="K504" s="93">
        <f t="shared" si="22"/>
        <v>865442.97</v>
      </c>
      <c r="L504" s="93">
        <f t="shared" si="22"/>
        <v>12116788.82</v>
      </c>
      <c r="M504" s="93">
        <f t="shared" si="22"/>
        <v>7565917.7000000002</v>
      </c>
      <c r="N504" s="93">
        <f t="shared" si="22"/>
        <v>10066828.120000001</v>
      </c>
      <c r="O504" s="93">
        <f t="shared" si="22"/>
        <v>47063488.43</v>
      </c>
      <c r="P504" s="93">
        <f t="shared" si="22"/>
        <v>191997318.60999998</v>
      </c>
      <c r="Q504" s="93">
        <f t="shared" si="22"/>
        <v>1414549.93</v>
      </c>
      <c r="R504" s="93">
        <f t="shared" si="22"/>
        <v>-2417.09</v>
      </c>
      <c r="S504" s="93">
        <f t="shared" si="22"/>
        <v>4.08</v>
      </c>
      <c r="T504" s="93">
        <f t="shared" si="22"/>
        <v>0.42</v>
      </c>
      <c r="U504" s="93">
        <f t="shared" si="22"/>
        <v>-6.28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8"/>
      <c r="D505" s="776"/>
      <c r="E505" s="101" t="s">
        <v>73</v>
      </c>
      <c r="F505" s="93">
        <f>F421</f>
        <v>246626229.99000001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8"/>
      <c r="D506" s="776" t="s">
        <v>133</v>
      </c>
      <c r="E506" s="235" t="s">
        <v>70</v>
      </c>
      <c r="F506" s="236">
        <f>F410+F383-L383</f>
        <v>33180</v>
      </c>
      <c r="G506" s="236">
        <f>G383</f>
        <v>1783.98</v>
      </c>
      <c r="H506" s="236">
        <f t="shared" ref="H506:AO506" si="23">H383</f>
        <v>996.57</v>
      </c>
      <c r="I506" s="236">
        <f t="shared" si="23"/>
        <v>528.67999999999995</v>
      </c>
      <c r="J506" s="236">
        <f t="shared" si="23"/>
        <v>10486.75</v>
      </c>
      <c r="K506" s="236">
        <f t="shared" si="23"/>
        <v>248.64</v>
      </c>
      <c r="L506" s="236">
        <f t="shared" si="23"/>
        <v>0</v>
      </c>
      <c r="M506" s="236">
        <f t="shared" si="23"/>
        <v>2181.0500000000002</v>
      </c>
      <c r="N506" s="236">
        <f t="shared" si="23"/>
        <v>3186.59</v>
      </c>
      <c r="O506" s="236">
        <f t="shared" si="23"/>
        <v>14980.78</v>
      </c>
      <c r="P506" s="236">
        <f t="shared" si="23"/>
        <v>4229.96</v>
      </c>
      <c r="Q506" s="236">
        <f t="shared" si="23"/>
        <v>405.68</v>
      </c>
      <c r="R506" s="236">
        <f t="shared" si="23"/>
        <v>7.0000000000000007E-2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8"/>
      <c r="D507" s="776"/>
      <c r="E507" s="235" t="s">
        <v>73</v>
      </c>
      <c r="F507" s="236">
        <f>F410</f>
        <v>-5848.75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7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7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7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7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-5649.87</v>
      </c>
      <c r="G514" s="460">
        <f t="shared" ref="G514:Z514" si="24">G368</f>
        <v>-501.3</v>
      </c>
      <c r="H514" s="460">
        <f t="shared" si="24"/>
        <v>-212.97</v>
      </c>
      <c r="I514" s="460">
        <f t="shared" si="24"/>
        <v>-93</v>
      </c>
      <c r="J514" s="460">
        <f t="shared" si="24"/>
        <v>-1090.28</v>
      </c>
      <c r="K514" s="460">
        <f t="shared" si="24"/>
        <v>-44.92</v>
      </c>
      <c r="L514" s="460">
        <f t="shared" si="24"/>
        <v>0</v>
      </c>
      <c r="M514" s="460">
        <f t="shared" si="24"/>
        <v>-394.01</v>
      </c>
      <c r="N514" s="460">
        <f t="shared" si="24"/>
        <v>-493.87</v>
      </c>
      <c r="O514" s="460">
        <f t="shared" si="24"/>
        <v>-1658.87</v>
      </c>
      <c r="P514" s="460">
        <f t="shared" si="24"/>
        <v>-1087.3599999999999</v>
      </c>
      <c r="Q514" s="460">
        <f t="shared" si="24"/>
        <v>-73.290000000000006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-15991.96</v>
      </c>
      <c r="G519" s="89">
        <v>-1301.22</v>
      </c>
      <c r="H519" s="89">
        <v>-552.80999999999995</v>
      </c>
      <c r="I519" s="664">
        <v>-241.41</v>
      </c>
      <c r="J519" s="89">
        <v>-2950.14</v>
      </c>
      <c r="K519" s="89">
        <v>-120.15</v>
      </c>
      <c r="L519" s="89">
        <v>0</v>
      </c>
      <c r="M519" s="89">
        <v>-1053.8699999999999</v>
      </c>
      <c r="N519" s="89">
        <v>-1340.1</v>
      </c>
      <c r="O519" s="89">
        <v>-4920.57</v>
      </c>
      <c r="P519" s="89">
        <v>-3315.67</v>
      </c>
      <c r="Q519" s="89">
        <v>-196.02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-15991.96</v>
      </c>
      <c r="G520" s="89">
        <v>-1301.22</v>
      </c>
      <c r="H520" s="89">
        <v>-552.80999999999995</v>
      </c>
      <c r="I520" s="664">
        <v>-241.41</v>
      </c>
      <c r="J520" s="89">
        <v>-2950.14</v>
      </c>
      <c r="K520" s="89">
        <v>-120.15</v>
      </c>
      <c r="L520" s="89">
        <v>0</v>
      </c>
      <c r="M520" s="89">
        <v>-1053.8699999999999</v>
      </c>
      <c r="N520" s="89">
        <v>-1340.1</v>
      </c>
      <c r="O520" s="89">
        <v>-4920.57</v>
      </c>
      <c r="P520" s="89">
        <v>-3315.67</v>
      </c>
      <c r="Q520" s="89">
        <v>-196.02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-15991.96</v>
      </c>
      <c r="G521" s="657">
        <v>-1301.22</v>
      </c>
      <c r="H521" s="657">
        <v>-552.80999999999995</v>
      </c>
      <c r="I521" s="737">
        <v>-241.41</v>
      </c>
      <c r="J521" s="657">
        <v>-2950.14</v>
      </c>
      <c r="K521" s="657">
        <v>-120.15</v>
      </c>
      <c r="L521" s="657">
        <v>0</v>
      </c>
      <c r="M521" s="657">
        <v>-1053.8699999999999</v>
      </c>
      <c r="N521" s="657">
        <v>-1340.1</v>
      </c>
      <c r="O521" s="657">
        <v>-4920.57</v>
      </c>
      <c r="P521" s="657">
        <v>-3315.67</v>
      </c>
      <c r="Q521" s="657">
        <v>-196.02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-29658.04</v>
      </c>
      <c r="G539" s="90">
        <v>-2430.33</v>
      </c>
      <c r="H539" s="90">
        <v>-1032.48</v>
      </c>
      <c r="I539" s="90">
        <v>-450.9</v>
      </c>
      <c r="J539" s="90">
        <v>-5451.38</v>
      </c>
      <c r="K539" s="90">
        <v>-222</v>
      </c>
      <c r="L539" s="90">
        <v>0</v>
      </c>
      <c r="M539" s="90">
        <v>-1947.33</v>
      </c>
      <c r="N539" s="90">
        <v>-2476.2399999999998</v>
      </c>
      <c r="O539" s="90">
        <v>-9092.3700000000008</v>
      </c>
      <c r="P539" s="90">
        <v>-6192.77</v>
      </c>
      <c r="Q539" s="90">
        <v>-362.24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-29658.04</v>
      </c>
      <c r="G540" s="90">
        <v>-2430.33</v>
      </c>
      <c r="H540" s="90">
        <v>-1032.48</v>
      </c>
      <c r="I540" s="90">
        <v>-450.9</v>
      </c>
      <c r="J540" s="90">
        <v>-5451.38</v>
      </c>
      <c r="K540" s="90">
        <v>-222</v>
      </c>
      <c r="L540" s="90">
        <v>0</v>
      </c>
      <c r="M540" s="90">
        <v>-1947.33</v>
      </c>
      <c r="N540" s="90">
        <v>-2476.2399999999998</v>
      </c>
      <c r="O540" s="90">
        <v>-9092.3700000000008</v>
      </c>
      <c r="P540" s="90">
        <v>-6192.77</v>
      </c>
      <c r="Q540" s="90">
        <v>-362.24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-29658.04</v>
      </c>
      <c r="G543" s="93">
        <v>-2430.33</v>
      </c>
      <c r="H543" s="93">
        <v>-1032.48</v>
      </c>
      <c r="I543" s="93">
        <v>-450.9</v>
      </c>
      <c r="J543" s="93">
        <v>-5451.38</v>
      </c>
      <c r="K543" s="93">
        <v>-222</v>
      </c>
      <c r="L543" s="93">
        <v>0</v>
      </c>
      <c r="M543" s="93">
        <v>-1947.33</v>
      </c>
      <c r="N543" s="93">
        <v>-2476.2399999999998</v>
      </c>
      <c r="O543" s="93">
        <v>-9092.3700000000008</v>
      </c>
      <c r="P543" s="93">
        <v>-6192.77</v>
      </c>
      <c r="Q543" s="93">
        <v>-362.24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-45650</v>
      </c>
      <c r="G544" s="90">
        <v>-3731.55</v>
      </c>
      <c r="H544" s="90">
        <v>-1585.29</v>
      </c>
      <c r="I544" s="90">
        <v>-692.31</v>
      </c>
      <c r="J544" s="90">
        <v>-8401.52</v>
      </c>
      <c r="K544" s="90">
        <v>-342.15</v>
      </c>
      <c r="L544" s="90">
        <v>0</v>
      </c>
      <c r="M544" s="90">
        <v>-3001.2</v>
      </c>
      <c r="N544" s="90">
        <v>-3816.34</v>
      </c>
      <c r="O544" s="90">
        <v>-14012.94</v>
      </c>
      <c r="P544" s="90">
        <v>-9508.44</v>
      </c>
      <c r="Q544" s="90">
        <v>-558.26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-45650</v>
      </c>
      <c r="G545" s="460">
        <v>-3731.55</v>
      </c>
      <c r="H545" s="460">
        <v>-1585.29</v>
      </c>
      <c r="I545" s="460">
        <v>-692.31</v>
      </c>
      <c r="J545" s="460">
        <v>-8401.52</v>
      </c>
      <c r="K545" s="460">
        <v>-342.15</v>
      </c>
      <c r="L545" s="460">
        <v>0</v>
      </c>
      <c r="M545" s="460">
        <v>-3001.2</v>
      </c>
      <c r="N545" s="460">
        <v>-3816.34</v>
      </c>
      <c r="O545" s="460">
        <v>-14012.94</v>
      </c>
      <c r="P545" s="460">
        <v>-9508.44</v>
      </c>
      <c r="Q545" s="460">
        <v>-558.26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7772676.6799999997</v>
      </c>
      <c r="G546" s="90">
        <v>484826.61</v>
      </c>
      <c r="H546" s="90">
        <v>274514.88</v>
      </c>
      <c r="I546" s="90">
        <v>147990.04</v>
      </c>
      <c r="J546" s="90">
        <v>1736740.48</v>
      </c>
      <c r="K546" s="90">
        <v>47139.4</v>
      </c>
      <c r="L546" s="90">
        <v>0</v>
      </c>
      <c r="M546" s="90">
        <v>413506.28</v>
      </c>
      <c r="N546" s="90">
        <v>540001</v>
      </c>
      <c r="O546" s="90">
        <v>2756126.38</v>
      </c>
      <c r="P546" s="90">
        <v>1293725.45</v>
      </c>
      <c r="Q546" s="90">
        <v>78125.11</v>
      </c>
      <c r="R546" s="90">
        <v>-18.95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47454.89</v>
      </c>
      <c r="G547" s="90">
        <v>5497.16</v>
      </c>
      <c r="H547" s="90">
        <v>3112.23</v>
      </c>
      <c r="I547" s="90">
        <v>1676.68</v>
      </c>
      <c r="J547" s="90">
        <v>11797.93</v>
      </c>
      <c r="K547" s="90">
        <v>334.76</v>
      </c>
      <c r="L547" s="90">
        <v>0</v>
      </c>
      <c r="M547" s="90">
        <v>2935.52</v>
      </c>
      <c r="N547" s="90">
        <v>3765.17</v>
      </c>
      <c r="O547" s="90">
        <v>3113.07</v>
      </c>
      <c r="P547" s="90">
        <v>14676.07</v>
      </c>
      <c r="Q547" s="90">
        <v>546.26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7820131.5700000003</v>
      </c>
      <c r="G548" s="90">
        <v>490323.77</v>
      </c>
      <c r="H548" s="90">
        <v>277627.11</v>
      </c>
      <c r="I548" s="90">
        <v>149666.72</v>
      </c>
      <c r="J548" s="90">
        <v>1748538.41</v>
      </c>
      <c r="K548" s="90">
        <v>47474.16</v>
      </c>
      <c r="L548" s="90">
        <v>0</v>
      </c>
      <c r="M548" s="90">
        <v>416441.8</v>
      </c>
      <c r="N548" s="90">
        <v>543766.17000000004</v>
      </c>
      <c r="O548" s="90">
        <v>2759239.45</v>
      </c>
      <c r="P548" s="90">
        <v>1308401.52</v>
      </c>
      <c r="Q548" s="90">
        <v>78671.37</v>
      </c>
      <c r="R548" s="90">
        <v>-18.91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7820131.5700000003</v>
      </c>
      <c r="G549" s="658">
        <v>490323.77</v>
      </c>
      <c r="H549" s="658">
        <v>277627.11</v>
      </c>
      <c r="I549" s="658">
        <v>149666.72</v>
      </c>
      <c r="J549" s="658">
        <v>1748538.41</v>
      </c>
      <c r="K549" s="658">
        <v>47474.16</v>
      </c>
      <c r="L549" s="658">
        <v>0</v>
      </c>
      <c r="M549" s="658">
        <v>416441.8</v>
      </c>
      <c r="N549" s="658">
        <v>543766.17000000004</v>
      </c>
      <c r="O549" s="658">
        <v>2759239.45</v>
      </c>
      <c r="P549" s="658">
        <v>1308401.52</v>
      </c>
      <c r="Q549" s="658">
        <v>78671.37</v>
      </c>
      <c r="R549" s="658">
        <v>-18.91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85027.8</v>
      </c>
      <c r="G550" s="90">
        <v>3750.9</v>
      </c>
      <c r="H550" s="90">
        <v>2105.56</v>
      </c>
      <c r="I550" s="90">
        <v>1111.57</v>
      </c>
      <c r="J550" s="90">
        <v>21335.79</v>
      </c>
      <c r="K550" s="90">
        <v>732.93</v>
      </c>
      <c r="L550" s="90">
        <v>0</v>
      </c>
      <c r="M550" s="90">
        <v>6429.29</v>
      </c>
      <c r="N550" s="90">
        <v>6240.29</v>
      </c>
      <c r="O550" s="90">
        <v>32194.58</v>
      </c>
      <c r="P550" s="90">
        <v>9931.14</v>
      </c>
      <c r="Q550" s="90">
        <v>1195.8399999999999</v>
      </c>
      <c r="R550" s="90">
        <v>-0.09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85027.8</v>
      </c>
      <c r="G552" s="90">
        <v>3750.9</v>
      </c>
      <c r="H552" s="90">
        <v>2105.56</v>
      </c>
      <c r="I552" s="90">
        <v>1111.57</v>
      </c>
      <c r="J552" s="90">
        <v>21335.79</v>
      </c>
      <c r="K552" s="90">
        <v>732.93</v>
      </c>
      <c r="L552" s="90">
        <v>0</v>
      </c>
      <c r="M552" s="90">
        <v>6429.29</v>
      </c>
      <c r="N552" s="90">
        <v>6240.29</v>
      </c>
      <c r="O552" s="90">
        <v>32194.58</v>
      </c>
      <c r="P552" s="90">
        <v>9931.14</v>
      </c>
      <c r="Q552" s="90">
        <v>1195.8399999999999</v>
      </c>
      <c r="R552" s="90">
        <v>-0.09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50638.31</v>
      </c>
      <c r="G553" s="90">
        <v>2057.66</v>
      </c>
      <c r="H553" s="90">
        <v>1165.76</v>
      </c>
      <c r="I553" s="90">
        <v>627.64</v>
      </c>
      <c r="J553" s="90">
        <v>13135.24</v>
      </c>
      <c r="K553" s="90">
        <v>318.61</v>
      </c>
      <c r="L553" s="90">
        <v>0</v>
      </c>
      <c r="M553" s="90">
        <v>2794.8</v>
      </c>
      <c r="N553" s="90">
        <v>4089.36</v>
      </c>
      <c r="O553" s="90">
        <v>20323.34</v>
      </c>
      <c r="P553" s="90">
        <v>5606.23</v>
      </c>
      <c r="Q553" s="90">
        <v>519.84</v>
      </c>
      <c r="R553" s="90">
        <v>-0.17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329.09</v>
      </c>
      <c r="G554" s="90">
        <v>26.39</v>
      </c>
      <c r="H554" s="90">
        <v>14.93</v>
      </c>
      <c r="I554" s="90">
        <v>7.98</v>
      </c>
      <c r="J554" s="90">
        <v>164.42</v>
      </c>
      <c r="K554" s="90">
        <v>4.05</v>
      </c>
      <c r="L554" s="90">
        <v>0</v>
      </c>
      <c r="M554" s="90">
        <v>35.47</v>
      </c>
      <c r="N554" s="90">
        <v>51.99</v>
      </c>
      <c r="O554" s="90">
        <v>-53.91</v>
      </c>
      <c r="P554" s="90">
        <v>71.16</v>
      </c>
      <c r="Q554" s="90">
        <v>6.61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50967.4</v>
      </c>
      <c r="G555" s="90">
        <v>2084.0500000000002</v>
      </c>
      <c r="H555" s="90">
        <v>1180.69</v>
      </c>
      <c r="I555" s="90">
        <v>635.62</v>
      </c>
      <c r="J555" s="90">
        <v>13299.66</v>
      </c>
      <c r="K555" s="90">
        <v>322.66000000000003</v>
      </c>
      <c r="L555" s="90">
        <v>0</v>
      </c>
      <c r="M555" s="90">
        <v>2830.27</v>
      </c>
      <c r="N555" s="90">
        <v>4141.3500000000004</v>
      </c>
      <c r="O555" s="90">
        <v>20269.43</v>
      </c>
      <c r="P555" s="90">
        <v>5677.39</v>
      </c>
      <c r="Q555" s="90">
        <v>526.45000000000005</v>
      </c>
      <c r="R555" s="90">
        <v>-0.17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268776.62</v>
      </c>
      <c r="G562" s="90">
        <v>12549.53</v>
      </c>
      <c r="H562" s="90">
        <v>7082.41</v>
      </c>
      <c r="I562" s="90">
        <v>3705.1</v>
      </c>
      <c r="J562" s="90">
        <v>63679.47</v>
      </c>
      <c r="K562" s="90">
        <v>2327.81</v>
      </c>
      <c r="L562" s="90">
        <v>0</v>
      </c>
      <c r="M562" s="90">
        <v>20419.419999999998</v>
      </c>
      <c r="N562" s="90">
        <v>19971.39</v>
      </c>
      <c r="O562" s="90">
        <v>102150.02</v>
      </c>
      <c r="P562" s="90">
        <v>33095.58</v>
      </c>
      <c r="Q562" s="90">
        <v>3797.98</v>
      </c>
      <c r="R562" s="90">
        <v>-2.09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667.62</v>
      </c>
      <c r="G563" s="90">
        <v>59.96</v>
      </c>
      <c r="H563" s="90">
        <v>33.869999999999997</v>
      </c>
      <c r="I563" s="90">
        <v>17.75</v>
      </c>
      <c r="J563" s="90">
        <v>306.68</v>
      </c>
      <c r="K563" s="90">
        <v>11.18</v>
      </c>
      <c r="L563" s="90">
        <v>0</v>
      </c>
      <c r="M563" s="90">
        <v>98.16</v>
      </c>
      <c r="N563" s="90">
        <v>95.97</v>
      </c>
      <c r="O563" s="90">
        <v>-132.77000000000001</v>
      </c>
      <c r="P563" s="90">
        <v>158.59</v>
      </c>
      <c r="Q563" s="90">
        <v>18.239999999999998</v>
      </c>
      <c r="R563" s="90">
        <v>-0.01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269444.24</v>
      </c>
      <c r="G564" s="90">
        <v>12609.49</v>
      </c>
      <c r="H564" s="90">
        <v>7116.28</v>
      </c>
      <c r="I564" s="90">
        <v>3722.85</v>
      </c>
      <c r="J564" s="90">
        <v>63986.15</v>
      </c>
      <c r="K564" s="90">
        <v>2338.9899999999998</v>
      </c>
      <c r="L564" s="90">
        <v>0</v>
      </c>
      <c r="M564" s="90">
        <v>20517.580000000002</v>
      </c>
      <c r="N564" s="90">
        <v>20067.36</v>
      </c>
      <c r="O564" s="90">
        <v>102017.25</v>
      </c>
      <c r="P564" s="90">
        <v>33254.17</v>
      </c>
      <c r="Q564" s="90">
        <v>3816.22</v>
      </c>
      <c r="R564" s="90">
        <v>-2.1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405439.44</v>
      </c>
      <c r="G571" s="225">
        <v>18444.439999999999</v>
      </c>
      <c r="H571" s="225">
        <v>10402.530000000001</v>
      </c>
      <c r="I571" s="225">
        <v>5470.04</v>
      </c>
      <c r="J571" s="225">
        <v>98621.6</v>
      </c>
      <c r="K571" s="225">
        <v>3394.58</v>
      </c>
      <c r="L571" s="225">
        <v>0</v>
      </c>
      <c r="M571" s="225">
        <v>29777.14</v>
      </c>
      <c r="N571" s="225">
        <v>30449</v>
      </c>
      <c r="O571" s="225">
        <v>154481.26</v>
      </c>
      <c r="P571" s="225">
        <v>48862.7</v>
      </c>
      <c r="Q571" s="225">
        <v>5538.51</v>
      </c>
      <c r="R571" s="225">
        <v>-2.36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265565.56</v>
      </c>
      <c r="G575" s="90">
        <v>12829.62</v>
      </c>
      <c r="H575" s="90">
        <v>7235.53</v>
      </c>
      <c r="I575" s="90">
        <v>3828.36</v>
      </c>
      <c r="J575" s="90">
        <v>63241.18</v>
      </c>
      <c r="K575" s="90">
        <v>2245.6999999999998</v>
      </c>
      <c r="L575" s="90">
        <v>0</v>
      </c>
      <c r="M575" s="90">
        <v>19699.2</v>
      </c>
      <c r="N575" s="90">
        <v>19485.22</v>
      </c>
      <c r="O575" s="90">
        <v>99172.81</v>
      </c>
      <c r="P575" s="90">
        <v>34158.51</v>
      </c>
      <c r="Q575" s="90">
        <v>3664.04</v>
      </c>
      <c r="R575" s="90">
        <v>5.39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-16.55</v>
      </c>
      <c r="G576" s="90">
        <v>19.739999999999998</v>
      </c>
      <c r="H576" s="90">
        <v>11.14</v>
      </c>
      <c r="I576" s="90">
        <v>5.85</v>
      </c>
      <c r="J576" s="90">
        <v>95.44</v>
      </c>
      <c r="K576" s="90">
        <v>3.58</v>
      </c>
      <c r="L576" s="90">
        <v>0</v>
      </c>
      <c r="M576" s="90">
        <v>31.49</v>
      </c>
      <c r="N576" s="90">
        <v>30.77</v>
      </c>
      <c r="O576" s="90">
        <v>-272.73</v>
      </c>
      <c r="P576" s="90">
        <v>52.25</v>
      </c>
      <c r="Q576" s="90">
        <v>5.87</v>
      </c>
      <c r="R576" s="90">
        <v>0.05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265549.01</v>
      </c>
      <c r="G577" s="90">
        <v>12849.36</v>
      </c>
      <c r="H577" s="90">
        <v>7246.67</v>
      </c>
      <c r="I577" s="90">
        <v>3834.21</v>
      </c>
      <c r="J577" s="90">
        <v>63336.62</v>
      </c>
      <c r="K577" s="90">
        <v>2249.2800000000002</v>
      </c>
      <c r="L577" s="90">
        <v>0</v>
      </c>
      <c r="M577" s="90">
        <v>19730.689999999999</v>
      </c>
      <c r="N577" s="90">
        <v>19515.990000000002</v>
      </c>
      <c r="O577" s="90">
        <v>98900.08</v>
      </c>
      <c r="P577" s="90">
        <v>34210.76</v>
      </c>
      <c r="Q577" s="90">
        <v>3669.91</v>
      </c>
      <c r="R577" s="90">
        <v>5.44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265549.01</v>
      </c>
      <c r="G581" s="93">
        <v>12849.36</v>
      </c>
      <c r="H581" s="93">
        <v>7246.67</v>
      </c>
      <c r="I581" s="93">
        <v>3834.21</v>
      </c>
      <c r="J581" s="93">
        <v>63336.62</v>
      </c>
      <c r="K581" s="93">
        <v>2249.2800000000002</v>
      </c>
      <c r="L581" s="93">
        <v>0</v>
      </c>
      <c r="M581" s="93">
        <v>19730.689999999999</v>
      </c>
      <c r="N581" s="93">
        <v>19515.990000000002</v>
      </c>
      <c r="O581" s="93">
        <v>98900.08</v>
      </c>
      <c r="P581" s="93">
        <v>34210.76</v>
      </c>
      <c r="Q581" s="93">
        <v>3669.91</v>
      </c>
      <c r="R581" s="93">
        <v>5.44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8491120.0199999996</v>
      </c>
      <c r="G582" s="377">
        <v>521617.57</v>
      </c>
      <c r="H582" s="377">
        <v>295276.31</v>
      </c>
      <c r="I582" s="377">
        <v>158970.97</v>
      </c>
      <c r="J582" s="377">
        <v>1910496.63</v>
      </c>
      <c r="K582" s="377">
        <v>53118.02</v>
      </c>
      <c r="L582" s="377">
        <v>0</v>
      </c>
      <c r="M582" s="377">
        <v>465949.63</v>
      </c>
      <c r="N582" s="377">
        <v>593731.16</v>
      </c>
      <c r="O582" s="377">
        <v>3012620.79</v>
      </c>
      <c r="P582" s="377">
        <v>1391474.98</v>
      </c>
      <c r="Q582" s="377">
        <v>87879.79</v>
      </c>
      <c r="R582" s="377">
        <v>-15.83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11657882559.83</v>
      </c>
      <c r="G583" s="90">
        <v>610980687.01999998</v>
      </c>
      <c r="H583" s="90">
        <v>340243396.00999999</v>
      </c>
      <c r="I583" s="90">
        <v>180408578.31</v>
      </c>
      <c r="J583" s="90">
        <v>2764738254.3899999</v>
      </c>
      <c r="K583" s="90">
        <v>95871755.200000003</v>
      </c>
      <c r="L583" s="90">
        <v>19839425.890000001</v>
      </c>
      <c r="M583" s="90">
        <v>840366104.79999995</v>
      </c>
      <c r="N583" s="90">
        <v>821160721.85000002</v>
      </c>
      <c r="O583" s="90">
        <v>4210346113.6399999</v>
      </c>
      <c r="P583" s="90">
        <v>1617274992.3199999</v>
      </c>
      <c r="Q583" s="90">
        <v>156719019.43000001</v>
      </c>
      <c r="R583" s="90">
        <v>-66489.03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-2254707.7000000002</v>
      </c>
      <c r="G584" s="90">
        <v>1578471.45</v>
      </c>
      <c r="H584" s="90">
        <v>741556.88</v>
      </c>
      <c r="I584" s="90">
        <v>317664.82</v>
      </c>
      <c r="J584" s="90">
        <v>2870409.86</v>
      </c>
      <c r="K584" s="90">
        <v>104863.88</v>
      </c>
      <c r="L584" s="90">
        <v>22557.3</v>
      </c>
      <c r="M584" s="90">
        <v>918534.66</v>
      </c>
      <c r="N584" s="90">
        <v>1073067.73</v>
      </c>
      <c r="O584" s="90">
        <v>-14178739.85</v>
      </c>
      <c r="P584" s="90">
        <v>4123288.76</v>
      </c>
      <c r="Q584" s="90">
        <v>171161.63</v>
      </c>
      <c r="R584" s="90">
        <v>2423.23</v>
      </c>
      <c r="S584" s="90">
        <v>-0.9</v>
      </c>
      <c r="T584">
        <v>177.83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-144.97999999999999</v>
      </c>
    </row>
    <row r="585" spans="2:26" ht="12.75" customHeight="1" x14ac:dyDescent="0.25">
      <c r="D585" t="s">
        <v>156</v>
      </c>
      <c r="E585" s="89" t="s">
        <v>70</v>
      </c>
      <c r="F585" s="90">
        <v>11655627852.129999</v>
      </c>
      <c r="G585" s="90">
        <v>612559158.47000003</v>
      </c>
      <c r="H585" s="90">
        <v>340984952.88999999</v>
      </c>
      <c r="I585" s="90">
        <v>180726243.13</v>
      </c>
      <c r="J585" s="90">
        <v>2767608664.25</v>
      </c>
      <c r="K585" s="90">
        <v>95976619.079999998</v>
      </c>
      <c r="L585" s="90">
        <v>19861983.190000001</v>
      </c>
      <c r="M585" s="90">
        <v>841284639.46000004</v>
      </c>
      <c r="N585" s="90">
        <v>822233789.58000004</v>
      </c>
      <c r="O585" s="90">
        <v>4196167373.79</v>
      </c>
      <c r="P585" s="90">
        <v>1621398281.0799999</v>
      </c>
      <c r="Q585" s="90">
        <v>156890181.06</v>
      </c>
      <c r="R585" s="90">
        <v>-64065.8</v>
      </c>
      <c r="S585" s="90">
        <v>-0.9</v>
      </c>
      <c r="T585">
        <v>177.83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-144.97999999999999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11655627852.129999</v>
      </c>
      <c r="G586" s="658">
        <v>612559158.47000003</v>
      </c>
      <c r="H586" s="658">
        <v>340984952.88999999</v>
      </c>
      <c r="I586" s="658">
        <v>180726243.13</v>
      </c>
      <c r="J586" s="658">
        <v>2767608664.25</v>
      </c>
      <c r="K586" s="658">
        <v>95976619.079999998</v>
      </c>
      <c r="L586" s="658">
        <v>19861983.190000001</v>
      </c>
      <c r="M586" s="658">
        <v>841284639.46000004</v>
      </c>
      <c r="N586" s="658">
        <v>822233789.58000004</v>
      </c>
      <c r="O586" s="658">
        <v>4196167373.79</v>
      </c>
      <c r="P586" s="658">
        <v>1621398281.0799999</v>
      </c>
      <c r="Q586" s="658">
        <v>156890181.06</v>
      </c>
      <c r="R586" s="658">
        <v>-64065.8</v>
      </c>
      <c r="S586" s="658">
        <v>-0.9</v>
      </c>
      <c r="T586" s="656">
        <v>177.83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-144.97999999999999</v>
      </c>
    </row>
    <row r="587" spans="2:26" ht="12.75" customHeight="1" x14ac:dyDescent="0.25">
      <c r="D587" s="89"/>
      <c r="E587" s="89" t="s">
        <v>72</v>
      </c>
      <c r="F587" s="371">
        <v>942640.03</v>
      </c>
      <c r="G587" s="90">
        <v>42763.75</v>
      </c>
      <c r="H587" s="90">
        <v>22016.12</v>
      </c>
      <c r="I587" s="90">
        <v>12041.14</v>
      </c>
      <c r="J587" s="90">
        <v>204624.34</v>
      </c>
      <c r="K587" s="90">
        <v>7399.5</v>
      </c>
      <c r="L587" s="90">
        <v>0</v>
      </c>
      <c r="M587" s="90">
        <v>64908.51</v>
      </c>
      <c r="N587" s="90">
        <v>76512.240000000005</v>
      </c>
      <c r="O587" s="90">
        <v>385640.92</v>
      </c>
      <c r="P587" s="90">
        <v>114672.66</v>
      </c>
      <c r="Q587" s="90">
        <v>12072.96</v>
      </c>
      <c r="R587" s="90">
        <v>-12.11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11707.37</v>
      </c>
      <c r="G588" s="90">
        <v>539.66999999999996</v>
      </c>
      <c r="H588" s="90">
        <v>266.64999999999998</v>
      </c>
      <c r="I588" s="90">
        <v>147.25</v>
      </c>
      <c r="J588" s="90">
        <v>2426.5700000000002</v>
      </c>
      <c r="K588" s="90">
        <v>109.29</v>
      </c>
      <c r="L588" s="90">
        <v>0</v>
      </c>
      <c r="M588" s="90">
        <v>958.85</v>
      </c>
      <c r="N588" s="90">
        <v>1206.8800000000001</v>
      </c>
      <c r="O588" s="90">
        <v>4432.0200000000004</v>
      </c>
      <c r="P588" s="90">
        <v>1441.94</v>
      </c>
      <c r="Q588" s="90">
        <v>178.31</v>
      </c>
      <c r="R588" s="90">
        <v>-0.06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954347.4</v>
      </c>
      <c r="G589" s="90">
        <v>43303.42</v>
      </c>
      <c r="H589" s="90">
        <v>22282.77</v>
      </c>
      <c r="I589" s="90">
        <v>12188.39</v>
      </c>
      <c r="J589" s="90">
        <v>207050.91</v>
      </c>
      <c r="K589" s="90">
        <v>7508.79</v>
      </c>
      <c r="L589" s="90">
        <v>0</v>
      </c>
      <c r="M589" s="90">
        <v>65867.360000000001</v>
      </c>
      <c r="N589" s="90">
        <v>77719.12</v>
      </c>
      <c r="O589" s="90">
        <v>390072.94</v>
      </c>
      <c r="P589" s="90">
        <v>116114.6</v>
      </c>
      <c r="Q589" s="90">
        <v>12251.27</v>
      </c>
      <c r="R589" s="90">
        <v>-12.17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1346438.53</v>
      </c>
      <c r="G599" s="90">
        <v>63638.68</v>
      </c>
      <c r="H599" s="90">
        <v>35629.4</v>
      </c>
      <c r="I599" s="90">
        <v>20479.97</v>
      </c>
      <c r="J599" s="90">
        <v>328605.25</v>
      </c>
      <c r="K599" s="90">
        <v>11005.31</v>
      </c>
      <c r="L599" s="90">
        <v>0</v>
      </c>
      <c r="M599" s="90">
        <v>96537.87</v>
      </c>
      <c r="N599" s="90">
        <v>95858.96</v>
      </c>
      <c r="O599" s="90">
        <v>506334.42</v>
      </c>
      <c r="P599" s="90">
        <v>168567.06</v>
      </c>
      <c r="Q599" s="90">
        <v>19775.14</v>
      </c>
      <c r="R599" s="90">
        <v>6.47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492.85</v>
      </c>
      <c r="G600" s="90">
        <v>116.14</v>
      </c>
      <c r="H600" s="90">
        <v>65.599999999999994</v>
      </c>
      <c r="I600" s="90">
        <v>34.46</v>
      </c>
      <c r="J600" s="90">
        <v>265.86</v>
      </c>
      <c r="K600" s="90">
        <v>9.6999999999999993</v>
      </c>
      <c r="L600" s="90">
        <v>0</v>
      </c>
      <c r="M600" s="90">
        <v>85.08</v>
      </c>
      <c r="N600" s="90">
        <v>82.89</v>
      </c>
      <c r="O600" s="90">
        <v>-490.56</v>
      </c>
      <c r="P600" s="90">
        <v>307.83999999999997</v>
      </c>
      <c r="Q600" s="90">
        <v>15.83</v>
      </c>
      <c r="R600" s="90">
        <v>0.01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1346931.38</v>
      </c>
      <c r="G601" s="90">
        <v>63754.82</v>
      </c>
      <c r="H601" s="90">
        <v>35695</v>
      </c>
      <c r="I601" s="90">
        <v>20514.43</v>
      </c>
      <c r="J601" s="90">
        <v>328871.11</v>
      </c>
      <c r="K601" s="90">
        <v>11015.01</v>
      </c>
      <c r="L601" s="90">
        <v>0</v>
      </c>
      <c r="M601" s="90">
        <v>96622.95</v>
      </c>
      <c r="N601" s="90">
        <v>95941.85</v>
      </c>
      <c r="O601" s="90">
        <v>505843.86</v>
      </c>
      <c r="P601" s="90">
        <v>168874.9</v>
      </c>
      <c r="Q601" s="90">
        <v>19790.97</v>
      </c>
      <c r="R601" s="90">
        <v>6.48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2301278.7799999998</v>
      </c>
      <c r="G608" s="225">
        <v>107058.24000000001</v>
      </c>
      <c r="H608" s="225">
        <v>57977.77</v>
      </c>
      <c r="I608" s="225">
        <v>32702.82</v>
      </c>
      <c r="J608" s="225">
        <v>535922.02</v>
      </c>
      <c r="K608" s="225">
        <v>18523.8</v>
      </c>
      <c r="L608" s="225">
        <v>0</v>
      </c>
      <c r="M608" s="225">
        <v>162490.31</v>
      </c>
      <c r="N608" s="225">
        <v>173660.97</v>
      </c>
      <c r="O608" s="225">
        <v>895916.8</v>
      </c>
      <c r="P608" s="225">
        <v>284989.5</v>
      </c>
      <c r="Q608" s="225">
        <v>32042.240000000002</v>
      </c>
      <c r="R608" s="225">
        <v>-5.69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125071435.56</v>
      </c>
      <c r="G609" s="90">
        <v>7465733.5300000003</v>
      </c>
      <c r="H609" s="90">
        <v>4200059.93</v>
      </c>
      <c r="I609" s="90">
        <v>2216185.83</v>
      </c>
      <c r="J609" s="90">
        <v>28046386.989999998</v>
      </c>
      <c r="K609" s="90">
        <v>730637.73</v>
      </c>
      <c r="L609" s="90">
        <v>0</v>
      </c>
      <c r="M609" s="90">
        <v>6377627.2400000002</v>
      </c>
      <c r="N609" s="90">
        <v>8995007.2799999993</v>
      </c>
      <c r="O609" s="90">
        <v>46021581.759999998</v>
      </c>
      <c r="P609" s="90">
        <v>19824035.719999999</v>
      </c>
      <c r="Q609" s="90">
        <v>1194236.5900000001</v>
      </c>
      <c r="R609" s="90">
        <v>-57.04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255046.22</v>
      </c>
      <c r="G610" s="90">
        <v>24168.31</v>
      </c>
      <c r="H610" s="90">
        <v>13522.16</v>
      </c>
      <c r="I610" s="90">
        <v>7145.34</v>
      </c>
      <c r="J610" s="90">
        <v>75318.679999999993</v>
      </c>
      <c r="K610" s="90">
        <v>2041.09</v>
      </c>
      <c r="L610" s="90">
        <v>0</v>
      </c>
      <c r="M610" s="90">
        <v>17738.919999999998</v>
      </c>
      <c r="N610" s="90">
        <v>24454.03</v>
      </c>
      <c r="O610" s="90">
        <v>22823.88</v>
      </c>
      <c r="P610" s="90">
        <v>64497.25</v>
      </c>
      <c r="Q610" s="90">
        <v>3334.97</v>
      </c>
      <c r="R610" s="90">
        <v>1.54</v>
      </c>
      <c r="S610" s="90">
        <v>0</v>
      </c>
      <c r="T610">
        <v>0.05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125326481.78</v>
      </c>
      <c r="G611" s="90">
        <v>7489901.8399999999</v>
      </c>
      <c r="H611" s="90">
        <v>4213582.09</v>
      </c>
      <c r="I611" s="90">
        <v>2223331.17</v>
      </c>
      <c r="J611" s="90">
        <v>28121705.670000002</v>
      </c>
      <c r="K611" s="90">
        <v>732678.82</v>
      </c>
      <c r="L611" s="90">
        <v>0</v>
      </c>
      <c r="M611" s="90">
        <v>6395366.1600000001</v>
      </c>
      <c r="N611" s="90">
        <v>9019461.3100000005</v>
      </c>
      <c r="O611" s="90">
        <v>46044405.640000001</v>
      </c>
      <c r="P611" s="90">
        <v>19888532.969999999</v>
      </c>
      <c r="Q611" s="90">
        <v>1197571.56</v>
      </c>
      <c r="R611" s="90">
        <v>-55.5</v>
      </c>
      <c r="S611" s="90">
        <v>0</v>
      </c>
      <c r="T611">
        <v>0.05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144196460.63999999</v>
      </c>
      <c r="G612" s="90">
        <v>13787352.93</v>
      </c>
      <c r="H612" s="90">
        <v>7155762.0499999998</v>
      </c>
      <c r="I612" s="90">
        <v>3571695.46</v>
      </c>
      <c r="J612" s="90">
        <v>21389903.010000002</v>
      </c>
      <c r="K612" s="90">
        <v>842023.77</v>
      </c>
      <c r="L612" s="90">
        <v>-27939.23</v>
      </c>
      <c r="M612" s="90">
        <v>7670040.5999999996</v>
      </c>
      <c r="N612" s="90">
        <v>9000885.9000000004</v>
      </c>
      <c r="O612" s="90">
        <v>43071754.789999999</v>
      </c>
      <c r="P612" s="90">
        <v>36355196.409999996</v>
      </c>
      <c r="Q612" s="90">
        <v>1380475.78</v>
      </c>
      <c r="R612" s="90">
        <v>-690.83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18076643.829999998</v>
      </c>
      <c r="G613" s="90">
        <v>2299156.25</v>
      </c>
      <c r="H613" s="90">
        <v>950099.99</v>
      </c>
      <c r="I613" s="90">
        <v>349007.31</v>
      </c>
      <c r="J613" s="90">
        <v>2537366.29</v>
      </c>
      <c r="K613" s="90">
        <v>102538.29</v>
      </c>
      <c r="L613" s="90">
        <v>35416.11</v>
      </c>
      <c r="M613" s="90">
        <v>897608.13</v>
      </c>
      <c r="N613" s="90">
        <v>1045780.22</v>
      </c>
      <c r="O613" s="90">
        <v>3533639.91</v>
      </c>
      <c r="P613" s="90">
        <v>6158548.6100000003</v>
      </c>
      <c r="Q613" s="90">
        <v>167310.17000000001</v>
      </c>
      <c r="R613" s="90">
        <v>20.61</v>
      </c>
      <c r="S613" s="90">
        <v>0.06</v>
      </c>
      <c r="T613">
        <v>151.88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162273104.47</v>
      </c>
      <c r="G614" s="90">
        <v>16086509.18</v>
      </c>
      <c r="H614" s="90">
        <v>8105862.04</v>
      </c>
      <c r="I614" s="90">
        <v>3920702.77</v>
      </c>
      <c r="J614" s="90">
        <v>23927269.300000001</v>
      </c>
      <c r="K614" s="90">
        <v>944562.06</v>
      </c>
      <c r="L614" s="90">
        <v>7476.88</v>
      </c>
      <c r="M614" s="90">
        <v>8567648.7300000004</v>
      </c>
      <c r="N614" s="90">
        <v>10046666.119999999</v>
      </c>
      <c r="O614" s="90">
        <v>46605394.700000003</v>
      </c>
      <c r="P614" s="90">
        <v>42513745.020000003</v>
      </c>
      <c r="Q614" s="90">
        <v>1547785.95</v>
      </c>
      <c r="R614" s="90">
        <v>-670.22</v>
      </c>
      <c r="S614" s="90">
        <v>0.06</v>
      </c>
      <c r="T614">
        <v>151.88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160983168</v>
      </c>
      <c r="G615" s="90">
        <v>15033836.65</v>
      </c>
      <c r="H615" s="90">
        <v>8440817.3800000008</v>
      </c>
      <c r="I615" s="90">
        <v>4460963.03</v>
      </c>
      <c r="J615" s="90">
        <v>28195689.199999999</v>
      </c>
      <c r="K615" s="90">
        <v>696961.15</v>
      </c>
      <c r="L615" s="90">
        <v>3312996.28</v>
      </c>
      <c r="M615" s="90">
        <v>6104664.8600000003</v>
      </c>
      <c r="N615" s="90">
        <v>8789091.8100000005</v>
      </c>
      <c r="O615" s="90">
        <v>44971443.340000004</v>
      </c>
      <c r="P615" s="90">
        <v>39837891.479999997</v>
      </c>
      <c r="Q615" s="90">
        <v>1138307.53</v>
      </c>
      <c r="R615" s="90">
        <v>505.29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-1048283.79</v>
      </c>
      <c r="G616" s="90">
        <v>-276329.13</v>
      </c>
      <c r="H616" s="90">
        <v>-137037.25</v>
      </c>
      <c r="I616" s="90">
        <v>-51554.73</v>
      </c>
      <c r="J616" s="90">
        <v>62773.77</v>
      </c>
      <c r="K616" s="90">
        <v>1574.24</v>
      </c>
      <c r="L616" s="90">
        <v>2951.63</v>
      </c>
      <c r="M616" s="90">
        <v>13774.64</v>
      </c>
      <c r="N616" s="90">
        <v>20028.62</v>
      </c>
      <c r="O616" s="90">
        <v>14557.29</v>
      </c>
      <c r="P616" s="90">
        <v>-701602.95</v>
      </c>
      <c r="Q616" s="90">
        <v>2565.37</v>
      </c>
      <c r="R616" s="90">
        <v>17.579999999999998</v>
      </c>
      <c r="S616" s="90">
        <v>-2.87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159934884.21000001</v>
      </c>
      <c r="G617" s="90">
        <v>14757507.52</v>
      </c>
      <c r="H617" s="90">
        <v>8303780.1299999999</v>
      </c>
      <c r="I617" s="90">
        <v>4409408.3</v>
      </c>
      <c r="J617" s="90">
        <v>28258462.969999999</v>
      </c>
      <c r="K617" s="90">
        <v>698535.39</v>
      </c>
      <c r="L617" s="90">
        <v>3315947.91</v>
      </c>
      <c r="M617" s="90">
        <v>6118439.5</v>
      </c>
      <c r="N617" s="90">
        <v>8809120.4299999997</v>
      </c>
      <c r="O617" s="90">
        <v>44986000.630000003</v>
      </c>
      <c r="P617" s="90">
        <v>39136288.530000001</v>
      </c>
      <c r="Q617" s="90">
        <v>1140872.8999999999</v>
      </c>
      <c r="R617" s="90">
        <v>522.87</v>
      </c>
      <c r="S617" s="90">
        <v>-2.87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447534470.45999998</v>
      </c>
      <c r="G618" s="93">
        <v>38333918.539999999</v>
      </c>
      <c r="H618" s="93">
        <v>20623224.260000002</v>
      </c>
      <c r="I618" s="93">
        <v>10553442.24</v>
      </c>
      <c r="J618" s="93">
        <v>80307437.939999998</v>
      </c>
      <c r="K618" s="93">
        <v>2375776.27</v>
      </c>
      <c r="L618" s="93">
        <v>3323424.79</v>
      </c>
      <c r="M618" s="93">
        <v>21081454.390000001</v>
      </c>
      <c r="N618" s="93">
        <v>27875247.859999999</v>
      </c>
      <c r="O618" s="93">
        <v>137635800.97</v>
      </c>
      <c r="P618" s="93">
        <v>101538566.52</v>
      </c>
      <c r="Q618" s="93">
        <v>3886230.41</v>
      </c>
      <c r="R618" s="93">
        <v>-202.85</v>
      </c>
      <c r="S618" s="93">
        <v>-2.81</v>
      </c>
      <c r="T618" s="94">
        <v>151.93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12105463601.370001</v>
      </c>
      <c r="G619" s="100">
        <v>651000135.25</v>
      </c>
      <c r="H619" s="100">
        <v>361666154.92000002</v>
      </c>
      <c r="I619" s="100">
        <v>191312388.19</v>
      </c>
      <c r="J619" s="100">
        <v>2848452024.21</v>
      </c>
      <c r="K619" s="100">
        <v>98370919.150000006</v>
      </c>
      <c r="L619" s="100">
        <v>23185407.98</v>
      </c>
      <c r="M619" s="100">
        <v>862528584.15999997</v>
      </c>
      <c r="N619" s="100">
        <v>850282698.40999997</v>
      </c>
      <c r="O619" s="100">
        <v>4334699091.5600004</v>
      </c>
      <c r="P619" s="100">
        <v>1723221837.0999999</v>
      </c>
      <c r="Q619" s="100">
        <v>160808453.71000001</v>
      </c>
      <c r="R619" s="100">
        <v>-64274.34</v>
      </c>
      <c r="S619" s="100">
        <v>-3.71</v>
      </c>
      <c r="T619" s="226">
        <v>329.76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-144.97999999999999</v>
      </c>
    </row>
    <row r="620" spans="1:26" ht="12" customHeight="1" x14ac:dyDescent="0.25">
      <c r="A620" s="89" t="s">
        <v>78</v>
      </c>
      <c r="B620" s="89" t="s">
        <v>70</v>
      </c>
      <c r="F620" s="371">
        <v>12113954721.389999</v>
      </c>
      <c r="G620" s="90">
        <v>651521752.82000005</v>
      </c>
      <c r="H620" s="90">
        <v>361961431.23000002</v>
      </c>
      <c r="I620" s="90">
        <v>191471359.16</v>
      </c>
      <c r="J620" s="90">
        <v>2850362520.8400002</v>
      </c>
      <c r="K620" s="90">
        <v>98424037.170000002</v>
      </c>
      <c r="L620" s="90">
        <v>23185407.98</v>
      </c>
      <c r="M620" s="90">
        <v>862994533.78999996</v>
      </c>
      <c r="N620" s="90">
        <v>850876429.57000005</v>
      </c>
      <c r="O620" s="90">
        <v>4337711712.3500004</v>
      </c>
      <c r="P620" s="90">
        <v>1724613312.0799999</v>
      </c>
      <c r="Q620" s="90">
        <v>160896333.5</v>
      </c>
      <c r="R620" s="90">
        <v>-64290.17</v>
      </c>
      <c r="S620" s="90">
        <v>-3.71</v>
      </c>
      <c r="T620">
        <v>329.76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-144.97999999999999</v>
      </c>
    </row>
    <row r="621" spans="1:26" ht="12.75" customHeight="1" x14ac:dyDescent="0.25">
      <c r="B621" s="89"/>
      <c r="C621" s="89"/>
      <c r="E621" t="s">
        <v>73</v>
      </c>
      <c r="F621" s="90">
        <v>366778.43</v>
      </c>
      <c r="G621" s="90">
        <v>82602.850000000006</v>
      </c>
      <c r="H621" s="90">
        <v>46625.47</v>
      </c>
      <c r="I621" s="90">
        <v>24847.91</v>
      </c>
      <c r="J621" s="90">
        <v>-5319.48</v>
      </c>
      <c r="K621" s="90">
        <v>762.48</v>
      </c>
      <c r="L621" s="90">
        <v>0</v>
      </c>
      <c r="M621" s="90">
        <v>6687.19</v>
      </c>
      <c r="N621" s="90">
        <v>-1969.03</v>
      </c>
      <c r="O621" s="90">
        <v>-9710.2099999999991</v>
      </c>
      <c r="P621" s="90">
        <v>221007.25</v>
      </c>
      <c r="Q621" s="90">
        <v>1244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366778.43</v>
      </c>
      <c r="G622" s="90">
        <v>82602.850000000006</v>
      </c>
      <c r="H622" s="90">
        <v>46625.47</v>
      </c>
      <c r="I622" s="90">
        <v>24847.91</v>
      </c>
      <c r="J622" s="90">
        <v>-5319.48</v>
      </c>
      <c r="K622" s="90">
        <v>762.48</v>
      </c>
      <c r="L622" s="90">
        <v>0</v>
      </c>
      <c r="M622" s="90">
        <v>6687.19</v>
      </c>
      <c r="N622" s="90">
        <v>-1969.03</v>
      </c>
      <c r="O622" s="90">
        <v>-9710.2099999999991</v>
      </c>
      <c r="P622" s="90">
        <v>221007.25</v>
      </c>
      <c r="Q622" s="90">
        <v>1244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366778.43</v>
      </c>
      <c r="G623" s="658">
        <v>82602.850000000006</v>
      </c>
      <c r="H623" s="658">
        <v>46625.47</v>
      </c>
      <c r="I623" s="658">
        <v>24847.91</v>
      </c>
      <c r="J623" s="658">
        <v>-5319.48</v>
      </c>
      <c r="K623" s="658">
        <v>762.48</v>
      </c>
      <c r="L623" s="658">
        <v>0</v>
      </c>
      <c r="M623" s="658">
        <v>6687.19</v>
      </c>
      <c r="N623" s="658">
        <v>-1969.03</v>
      </c>
      <c r="O623" s="658">
        <v>-9710.2099999999991</v>
      </c>
      <c r="P623" s="658">
        <v>221007.25</v>
      </c>
      <c r="Q623" s="658">
        <v>1244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-9397.7999999999993</v>
      </c>
      <c r="G624" s="90">
        <v>-411.67</v>
      </c>
      <c r="H624" s="90">
        <v>-230.59</v>
      </c>
      <c r="I624" s="90">
        <v>-122</v>
      </c>
      <c r="J624" s="90">
        <v>-2379.1999999999998</v>
      </c>
      <c r="K624" s="90">
        <v>-80.930000000000007</v>
      </c>
      <c r="L624" s="90">
        <v>0</v>
      </c>
      <c r="M624" s="90">
        <v>-709.88</v>
      </c>
      <c r="N624" s="90">
        <v>-689.36</v>
      </c>
      <c r="O624" s="90">
        <v>-3552.18</v>
      </c>
      <c r="P624" s="90">
        <v>-1089.95</v>
      </c>
      <c r="Q624" s="90">
        <v>-132.04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-9397.7999999999993</v>
      </c>
      <c r="G625" s="90">
        <v>-411.67</v>
      </c>
      <c r="H625" s="90">
        <v>-230.59</v>
      </c>
      <c r="I625" s="90">
        <v>-122</v>
      </c>
      <c r="J625" s="90">
        <v>-2379.1999999999998</v>
      </c>
      <c r="K625" s="90">
        <v>-80.930000000000007</v>
      </c>
      <c r="L625" s="90">
        <v>0</v>
      </c>
      <c r="M625" s="90">
        <v>-709.88</v>
      </c>
      <c r="N625" s="90">
        <v>-689.36</v>
      </c>
      <c r="O625" s="90">
        <v>-3552.18</v>
      </c>
      <c r="P625" s="90">
        <v>-1089.95</v>
      </c>
      <c r="Q625" s="90">
        <v>-132.04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-11617.4</v>
      </c>
      <c r="G626" s="90">
        <v>-478.23</v>
      </c>
      <c r="H626" s="90">
        <v>-270.61</v>
      </c>
      <c r="I626" s="90">
        <v>-144.41</v>
      </c>
      <c r="J626" s="90">
        <v>-2980.29</v>
      </c>
      <c r="K626" s="90">
        <v>-73.3</v>
      </c>
      <c r="L626" s="90">
        <v>0</v>
      </c>
      <c r="M626" s="90">
        <v>-643</v>
      </c>
      <c r="N626" s="90">
        <v>-942.36</v>
      </c>
      <c r="O626" s="90">
        <v>-4675.79</v>
      </c>
      <c r="P626" s="90">
        <v>-1289.82</v>
      </c>
      <c r="Q626" s="90">
        <v>-119.59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-11617.4</v>
      </c>
      <c r="G627" s="90">
        <v>-478.23</v>
      </c>
      <c r="H627" s="90">
        <v>-270.61</v>
      </c>
      <c r="I627" s="90">
        <v>-144.41</v>
      </c>
      <c r="J627" s="90">
        <v>-2980.29</v>
      </c>
      <c r="K627" s="90">
        <v>-73.3</v>
      </c>
      <c r="L627" s="90">
        <v>0</v>
      </c>
      <c r="M627" s="90">
        <v>-643</v>
      </c>
      <c r="N627" s="90">
        <v>-942.36</v>
      </c>
      <c r="O627" s="90">
        <v>-4675.79</v>
      </c>
      <c r="P627" s="90">
        <v>-1289.82</v>
      </c>
      <c r="Q627" s="90">
        <v>-119.59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-175454.24</v>
      </c>
      <c r="G632" s="90">
        <v>-8056.63</v>
      </c>
      <c r="H632" s="90">
        <v>-4548.79</v>
      </c>
      <c r="I632" s="90">
        <v>-2387.5</v>
      </c>
      <c r="J632" s="90">
        <v>-42112.92</v>
      </c>
      <c r="K632" s="90">
        <v>-1518.25</v>
      </c>
      <c r="L632" s="90">
        <v>0</v>
      </c>
      <c r="M632" s="90">
        <v>-13318.34</v>
      </c>
      <c r="N632" s="90">
        <v>-12996.08</v>
      </c>
      <c r="O632" s="90">
        <v>-66711.5</v>
      </c>
      <c r="P632" s="90">
        <v>-21326.98</v>
      </c>
      <c r="Q632" s="90">
        <v>-2477.25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-175454.24</v>
      </c>
      <c r="G633" s="90">
        <v>-8056.63</v>
      </c>
      <c r="H633" s="90">
        <v>-4548.79</v>
      </c>
      <c r="I633" s="90">
        <v>-2387.5</v>
      </c>
      <c r="J633" s="90">
        <v>-42112.92</v>
      </c>
      <c r="K633" s="90">
        <v>-1518.25</v>
      </c>
      <c r="L633" s="90">
        <v>0</v>
      </c>
      <c r="M633" s="90">
        <v>-13318.34</v>
      </c>
      <c r="N633" s="90">
        <v>-12996.08</v>
      </c>
      <c r="O633" s="90">
        <v>-66711.5</v>
      </c>
      <c r="P633" s="90">
        <v>-21326.98</v>
      </c>
      <c r="Q633" s="90">
        <v>-2477.25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-196469.44</v>
      </c>
      <c r="G638" s="225">
        <v>-8946.5300000000007</v>
      </c>
      <c r="H638" s="225">
        <v>-5049.99</v>
      </c>
      <c r="I638" s="225">
        <v>-2653.91</v>
      </c>
      <c r="J638" s="225">
        <v>-47472.41</v>
      </c>
      <c r="K638" s="225">
        <v>-1672.48</v>
      </c>
      <c r="L638" s="225">
        <v>0</v>
      </c>
      <c r="M638" s="225">
        <v>-14671.22</v>
      </c>
      <c r="N638" s="225">
        <v>-14627.8</v>
      </c>
      <c r="O638" s="225">
        <v>-74939.47</v>
      </c>
      <c r="P638" s="225">
        <v>-23706.75</v>
      </c>
      <c r="Q638" s="225">
        <v>-2728.88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-25715.01</v>
      </c>
      <c r="G641" s="90">
        <v>-1204.8699999999999</v>
      </c>
      <c r="H641" s="90">
        <v>-678.19</v>
      </c>
      <c r="I641" s="90">
        <v>-357.06</v>
      </c>
      <c r="J641" s="90">
        <v>-6161.51</v>
      </c>
      <c r="K641" s="90">
        <v>-220.25</v>
      </c>
      <c r="L641" s="90">
        <v>0</v>
      </c>
      <c r="M641" s="90">
        <v>-1931.93</v>
      </c>
      <c r="N641" s="90">
        <v>-1886.47</v>
      </c>
      <c r="O641" s="90">
        <v>-9725.81</v>
      </c>
      <c r="P641" s="90">
        <v>-3189.58</v>
      </c>
      <c r="Q641" s="90">
        <v>-359.34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-25715.01</v>
      </c>
      <c r="G642" s="90">
        <v>-1204.8699999999999</v>
      </c>
      <c r="H642" s="90">
        <v>-678.19</v>
      </c>
      <c r="I642" s="90">
        <v>-357.06</v>
      </c>
      <c r="J642" s="90">
        <v>-6161.51</v>
      </c>
      <c r="K642" s="90">
        <v>-220.25</v>
      </c>
      <c r="L642" s="90">
        <v>0</v>
      </c>
      <c r="M642" s="90">
        <v>-1931.93</v>
      </c>
      <c r="N642" s="90">
        <v>-1886.47</v>
      </c>
      <c r="O642" s="90">
        <v>-9725.81</v>
      </c>
      <c r="P642" s="90">
        <v>-3189.58</v>
      </c>
      <c r="Q642" s="90">
        <v>-359.34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-25715.01</v>
      </c>
      <c r="G645" s="93">
        <v>-1204.8699999999999</v>
      </c>
      <c r="H645" s="93">
        <v>-678.19</v>
      </c>
      <c r="I645" s="93">
        <v>-357.06</v>
      </c>
      <c r="J645" s="93">
        <v>-6161.51</v>
      </c>
      <c r="K645" s="93">
        <v>-220.25</v>
      </c>
      <c r="L645" s="93">
        <v>0</v>
      </c>
      <c r="M645" s="93">
        <v>-1931.93</v>
      </c>
      <c r="N645" s="93">
        <v>-1886.47</v>
      </c>
      <c r="O645" s="93">
        <v>-9725.81</v>
      </c>
      <c r="P645" s="93">
        <v>-3189.58</v>
      </c>
      <c r="Q645" s="93">
        <v>-359.34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144593.98000000001</v>
      </c>
      <c r="G646" s="377">
        <v>72451.45</v>
      </c>
      <c r="H646" s="377">
        <v>40897.29</v>
      </c>
      <c r="I646" s="377">
        <v>21836.94</v>
      </c>
      <c r="J646" s="377">
        <v>-58953.4</v>
      </c>
      <c r="K646" s="377">
        <v>-1130.25</v>
      </c>
      <c r="L646" s="377">
        <v>0</v>
      </c>
      <c r="M646" s="377">
        <v>-9915.9599999999991</v>
      </c>
      <c r="N646" s="377">
        <v>-18483.3</v>
      </c>
      <c r="O646" s="377">
        <v>-94375.49</v>
      </c>
      <c r="P646" s="377">
        <v>194110.92</v>
      </c>
      <c r="Q646" s="377">
        <v>-1844.22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-647985388.16999996</v>
      </c>
      <c r="G647" s="90">
        <v>43535341.619999997</v>
      </c>
      <c r="H647" s="90">
        <v>23991225.32</v>
      </c>
      <c r="I647" s="90">
        <v>12632174.15</v>
      </c>
      <c r="J647" s="90">
        <v>-265357889.63</v>
      </c>
      <c r="K647" s="90">
        <v>-9071154.6699999999</v>
      </c>
      <c r="L647" s="90">
        <v>0</v>
      </c>
      <c r="M647" s="90">
        <v>-79626184.540000007</v>
      </c>
      <c r="N647" s="90">
        <v>-77048831.75</v>
      </c>
      <c r="O647" s="90">
        <v>-397639377.33999997</v>
      </c>
      <c r="P647" s="90">
        <v>115400685.79000001</v>
      </c>
      <c r="Q647" s="90">
        <v>-14801377.119999999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-647985388.16999996</v>
      </c>
      <c r="G648" s="90">
        <v>43535341.619999997</v>
      </c>
      <c r="H648" s="90">
        <v>23991225.32</v>
      </c>
      <c r="I648" s="90">
        <v>12632174.15</v>
      </c>
      <c r="J648" s="90">
        <v>-265357889.63</v>
      </c>
      <c r="K648" s="90">
        <v>-9071154.6699999999</v>
      </c>
      <c r="L648" s="90">
        <v>0</v>
      </c>
      <c r="M648" s="90">
        <v>-79626184.540000007</v>
      </c>
      <c r="N648" s="90">
        <v>-77048831.75</v>
      </c>
      <c r="O648" s="90">
        <v>-397639377.33999997</v>
      </c>
      <c r="P648" s="90">
        <v>115400685.79000001</v>
      </c>
      <c r="Q648" s="90">
        <v>-14801377.119999999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-647985388.16999996</v>
      </c>
      <c r="G649" s="658">
        <v>43535341.619999997</v>
      </c>
      <c r="H649" s="658">
        <v>23991225.32</v>
      </c>
      <c r="I649" s="658">
        <v>12632174.15</v>
      </c>
      <c r="J649" s="658">
        <v>-265357889.63</v>
      </c>
      <c r="K649" s="658">
        <v>-9071154.6699999999</v>
      </c>
      <c r="L649" s="658">
        <v>0</v>
      </c>
      <c r="M649" s="658">
        <v>-79626184.540000007</v>
      </c>
      <c r="N649" s="658">
        <v>-77048831.75</v>
      </c>
      <c r="O649" s="658">
        <v>-397639377.33999997</v>
      </c>
      <c r="P649" s="658">
        <v>115400685.79000001</v>
      </c>
      <c r="Q649" s="658">
        <v>-14801377.119999999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-73237.399999999994</v>
      </c>
      <c r="G650" s="90">
        <v>-1289.25</v>
      </c>
      <c r="H650" s="90">
        <v>-1133.49</v>
      </c>
      <c r="I650" s="90">
        <v>-503.32</v>
      </c>
      <c r="J650" s="90">
        <v>-8441.1</v>
      </c>
      <c r="K650" s="90">
        <v>-932.73</v>
      </c>
      <c r="L650" s="90">
        <v>0</v>
      </c>
      <c r="M650" s="90">
        <v>-8182.29</v>
      </c>
      <c r="N650" s="90">
        <v>-7868.1</v>
      </c>
      <c r="O650" s="90">
        <v>-40024.42</v>
      </c>
      <c r="P650" s="90">
        <v>-3340.82</v>
      </c>
      <c r="Q650" s="90">
        <v>-1521.88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-73237.399999999994</v>
      </c>
      <c r="G651" s="90">
        <v>-1289.25</v>
      </c>
      <c r="H651" s="90">
        <v>-1133.49</v>
      </c>
      <c r="I651" s="90">
        <v>-503.32</v>
      </c>
      <c r="J651" s="90">
        <v>-8441.1</v>
      </c>
      <c r="K651" s="90">
        <v>-932.73</v>
      </c>
      <c r="L651" s="90">
        <v>0</v>
      </c>
      <c r="M651" s="90">
        <v>-8182.29</v>
      </c>
      <c r="N651" s="90">
        <v>-7868.1</v>
      </c>
      <c r="O651" s="90">
        <v>-40024.42</v>
      </c>
      <c r="P651" s="90">
        <v>-3340.82</v>
      </c>
      <c r="Q651" s="90">
        <v>-1521.88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-70731.38</v>
      </c>
      <c r="G658" s="90">
        <v>991.2</v>
      </c>
      <c r="H658" s="90">
        <v>586.35</v>
      </c>
      <c r="I658" s="90">
        <v>293.76</v>
      </c>
      <c r="J658" s="90">
        <v>-24404.95</v>
      </c>
      <c r="K658" s="90">
        <v>-797.79</v>
      </c>
      <c r="L658" s="90">
        <v>0</v>
      </c>
      <c r="M658" s="90">
        <v>-6998.37</v>
      </c>
      <c r="N658" s="90">
        <v>-6810.69</v>
      </c>
      <c r="O658" s="90">
        <v>-34911.410000000003</v>
      </c>
      <c r="P658" s="90">
        <v>2622.23</v>
      </c>
      <c r="Q658" s="90">
        <v>-1301.71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-70731.38</v>
      </c>
      <c r="G659" s="90">
        <v>991.2</v>
      </c>
      <c r="H659" s="90">
        <v>586.35</v>
      </c>
      <c r="I659" s="90">
        <v>293.76</v>
      </c>
      <c r="J659" s="90">
        <v>-24404.95</v>
      </c>
      <c r="K659" s="90">
        <v>-797.79</v>
      </c>
      <c r="L659" s="90">
        <v>0</v>
      </c>
      <c r="M659" s="90">
        <v>-6998.37</v>
      </c>
      <c r="N659" s="90">
        <v>-6810.69</v>
      </c>
      <c r="O659" s="90">
        <v>-34911.410000000003</v>
      </c>
      <c r="P659" s="90">
        <v>2622.23</v>
      </c>
      <c r="Q659" s="90">
        <v>-1301.71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-143968.78</v>
      </c>
      <c r="G664" s="225">
        <v>-298.05</v>
      </c>
      <c r="H664" s="225">
        <v>-547.14</v>
      </c>
      <c r="I664" s="225">
        <v>-209.56</v>
      </c>
      <c r="J664" s="225">
        <v>-32846.050000000003</v>
      </c>
      <c r="K664" s="225">
        <v>-1730.52</v>
      </c>
      <c r="L664" s="225">
        <v>0</v>
      </c>
      <c r="M664" s="225">
        <v>-15180.66</v>
      </c>
      <c r="N664" s="225">
        <v>-14678.79</v>
      </c>
      <c r="O664" s="225">
        <v>-74935.83</v>
      </c>
      <c r="P664" s="225">
        <v>-718.59</v>
      </c>
      <c r="Q664" s="225">
        <v>-2823.59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1973098.22</v>
      </c>
      <c r="G665" s="90">
        <v>1362324.28</v>
      </c>
      <c r="H665" s="90">
        <v>765606.41</v>
      </c>
      <c r="I665" s="90">
        <v>406442.88</v>
      </c>
      <c r="J665" s="90">
        <v>-1323964.25</v>
      </c>
      <c r="K665" s="90">
        <v>-28956.31</v>
      </c>
      <c r="L665" s="90">
        <v>0</v>
      </c>
      <c r="M665" s="90">
        <v>-259874.1</v>
      </c>
      <c r="N665" s="90">
        <v>-401766.71</v>
      </c>
      <c r="O665" s="90">
        <v>-2075140.29</v>
      </c>
      <c r="P665" s="90">
        <v>3575585.69</v>
      </c>
      <c r="Q665" s="90">
        <v>-47159.38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1973098.22</v>
      </c>
      <c r="G666" s="90">
        <v>1362324.28</v>
      </c>
      <c r="H666" s="90">
        <v>765606.41</v>
      </c>
      <c r="I666" s="90">
        <v>406442.88</v>
      </c>
      <c r="J666" s="90">
        <v>-1323964.25</v>
      </c>
      <c r="K666" s="90">
        <v>-28956.31</v>
      </c>
      <c r="L666" s="90">
        <v>0</v>
      </c>
      <c r="M666" s="90">
        <v>-259874.1</v>
      </c>
      <c r="N666" s="90">
        <v>-401766.71</v>
      </c>
      <c r="O666" s="90">
        <v>-2075140.29</v>
      </c>
      <c r="P666" s="90">
        <v>3575585.69</v>
      </c>
      <c r="Q666" s="90">
        <v>-47159.38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40180251.850000001</v>
      </c>
      <c r="G667" s="90">
        <v>7718224.4500000002</v>
      </c>
      <c r="H667" s="90">
        <v>4010064.96</v>
      </c>
      <c r="I667" s="90">
        <v>1993374.66</v>
      </c>
      <c r="J667" s="90">
        <v>1623202.96</v>
      </c>
      <c r="K667" s="90">
        <v>73413.960000000006</v>
      </c>
      <c r="L667" s="90">
        <v>0</v>
      </c>
      <c r="M667" s="90">
        <v>642754.04</v>
      </c>
      <c r="N667" s="90">
        <v>711113.47</v>
      </c>
      <c r="O667" s="90">
        <v>2949323.04</v>
      </c>
      <c r="P667" s="90">
        <v>20338807.510000002</v>
      </c>
      <c r="Q667" s="90">
        <v>119972.8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40180251.850000001</v>
      </c>
      <c r="G668" s="90">
        <v>7718224.4500000002</v>
      </c>
      <c r="H668" s="90">
        <v>4010064.96</v>
      </c>
      <c r="I668" s="90">
        <v>1993374.66</v>
      </c>
      <c r="J668" s="90">
        <v>1623202.96</v>
      </c>
      <c r="K668" s="90">
        <v>73413.960000000006</v>
      </c>
      <c r="L668" s="90">
        <v>0</v>
      </c>
      <c r="M668" s="90">
        <v>642754.04</v>
      </c>
      <c r="N668" s="90">
        <v>711113.47</v>
      </c>
      <c r="O668" s="90">
        <v>2949323.04</v>
      </c>
      <c r="P668" s="90">
        <v>20338807.510000002</v>
      </c>
      <c r="Q668" s="90">
        <v>119972.8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22756805.789999999</v>
      </c>
      <c r="G669" s="90">
        <v>4912530.75</v>
      </c>
      <c r="H669" s="90">
        <v>2793441.79</v>
      </c>
      <c r="I669" s="90">
        <v>1464924.53</v>
      </c>
      <c r="J669" s="90">
        <v>209498.63</v>
      </c>
      <c r="K669" s="90">
        <v>5144.8900000000003</v>
      </c>
      <c r="L669" s="90">
        <v>0</v>
      </c>
      <c r="M669" s="90">
        <v>42863.93</v>
      </c>
      <c r="N669" s="90">
        <v>56278.65</v>
      </c>
      <c r="O669" s="90">
        <v>240142.03</v>
      </c>
      <c r="P669" s="90">
        <v>13023579.59</v>
      </c>
      <c r="Q669" s="90">
        <v>8401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22756805.789999999</v>
      </c>
      <c r="G670" s="90">
        <v>4912530.75</v>
      </c>
      <c r="H670" s="90">
        <v>2793441.79</v>
      </c>
      <c r="I670" s="90">
        <v>1464924.53</v>
      </c>
      <c r="J670" s="90">
        <v>209498.63</v>
      </c>
      <c r="K670" s="90">
        <v>5144.8900000000003</v>
      </c>
      <c r="L670" s="90">
        <v>0</v>
      </c>
      <c r="M670" s="90">
        <v>42863.93</v>
      </c>
      <c r="N670" s="90">
        <v>56278.65</v>
      </c>
      <c r="O670" s="90">
        <v>240142.03</v>
      </c>
      <c r="P670" s="90">
        <v>13023579.59</v>
      </c>
      <c r="Q670" s="90">
        <v>8401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64910155.859999999</v>
      </c>
      <c r="G671" s="93">
        <v>13993079.48</v>
      </c>
      <c r="H671" s="93">
        <v>7569113.1600000001</v>
      </c>
      <c r="I671" s="93">
        <v>3864742.07</v>
      </c>
      <c r="J671" s="93">
        <v>508737.34</v>
      </c>
      <c r="K671" s="93">
        <v>49602.54</v>
      </c>
      <c r="L671" s="93">
        <v>0</v>
      </c>
      <c r="M671" s="93">
        <v>425743.87</v>
      </c>
      <c r="N671" s="93">
        <v>365625.41</v>
      </c>
      <c r="O671" s="93">
        <v>1114324.78</v>
      </c>
      <c r="P671" s="93">
        <v>36937972.789999999</v>
      </c>
      <c r="Q671" s="93">
        <v>81214.42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-583219201.09000003</v>
      </c>
      <c r="G672" s="100">
        <v>57528123.049999997</v>
      </c>
      <c r="H672" s="100">
        <v>31559791.34</v>
      </c>
      <c r="I672" s="100">
        <v>16496706.66</v>
      </c>
      <c r="J672" s="100">
        <v>-264881998.34</v>
      </c>
      <c r="K672" s="100">
        <v>-9023282.6500000004</v>
      </c>
      <c r="L672" s="100">
        <v>0</v>
      </c>
      <c r="M672" s="100">
        <v>-79215621.329999998</v>
      </c>
      <c r="N672" s="100">
        <v>-76697885.129999995</v>
      </c>
      <c r="O672" s="100">
        <v>-396599988.38999999</v>
      </c>
      <c r="P672" s="100">
        <v>152337939.99000001</v>
      </c>
      <c r="Q672" s="100">
        <v>-14722986.289999999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-583074607.11000001</v>
      </c>
      <c r="G673" s="90">
        <v>57600574.5</v>
      </c>
      <c r="H673" s="90">
        <v>31600688.629999999</v>
      </c>
      <c r="I673" s="90">
        <v>16518543.6</v>
      </c>
      <c r="J673" s="90">
        <v>-264940951.74000001</v>
      </c>
      <c r="K673" s="90">
        <v>-9024412.9000000004</v>
      </c>
      <c r="L673" s="90">
        <v>0</v>
      </c>
      <c r="M673" s="90">
        <v>-79225537.290000007</v>
      </c>
      <c r="N673" s="90">
        <v>-76716368.430000007</v>
      </c>
      <c r="O673" s="90">
        <v>-396694363.88</v>
      </c>
      <c r="P673" s="90">
        <v>152532050.91</v>
      </c>
      <c r="Q673" s="90">
        <v>-14724830.51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11530834464.280001</v>
      </c>
      <c r="G674" s="90">
        <v>709118595.76999998</v>
      </c>
      <c r="H674" s="90">
        <v>393560534.56999999</v>
      </c>
      <c r="I674" s="90">
        <v>207989210.44999999</v>
      </c>
      <c r="J674" s="90">
        <v>2585413167.5799999</v>
      </c>
      <c r="K674" s="90">
        <v>89399282.120000005</v>
      </c>
      <c r="L674" s="90">
        <v>23185407.98</v>
      </c>
      <c r="M674" s="90">
        <v>783765995.29999995</v>
      </c>
      <c r="N674" s="90">
        <v>774156244.79999995</v>
      </c>
      <c r="O674" s="90">
        <v>3941003335.5300002</v>
      </c>
      <c r="P674" s="90">
        <v>1877135854.55</v>
      </c>
      <c r="Q674" s="90">
        <v>146170944.72999999</v>
      </c>
      <c r="R674" s="90">
        <v>-64290.17</v>
      </c>
      <c r="S674" s="90">
        <v>-3.71</v>
      </c>
      <c r="T674">
        <v>329.76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-144.97999999999999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8" t="s">
        <v>2</v>
      </c>
      <c r="D692" s="776" t="s">
        <v>132</v>
      </c>
      <c r="E692" s="98" t="s">
        <v>70</v>
      </c>
      <c r="F692" s="100">
        <f>F619+F672+F544-L544-L619</f>
        <v>11499013342.300001</v>
      </c>
      <c r="G692" s="100">
        <f t="shared" ref="G692:AO692" si="25">G619+G544</f>
        <v>650996403.70000005</v>
      </c>
      <c r="H692" s="100">
        <f t="shared" si="25"/>
        <v>361664569.63</v>
      </c>
      <c r="I692" s="100">
        <f t="shared" si="25"/>
        <v>191311695.88</v>
      </c>
      <c r="J692" s="100">
        <f t="shared" si="25"/>
        <v>2848443622.6900001</v>
      </c>
      <c r="K692" s="100">
        <f t="shared" si="25"/>
        <v>98370577</v>
      </c>
      <c r="L692" s="100">
        <f t="shared" si="25"/>
        <v>23185407.98</v>
      </c>
      <c r="M692" s="100">
        <f t="shared" si="25"/>
        <v>862525582.95999992</v>
      </c>
      <c r="N692" s="100">
        <f t="shared" si="25"/>
        <v>850278882.06999993</v>
      </c>
      <c r="O692" s="100">
        <f t="shared" si="25"/>
        <v>4334685078.6200008</v>
      </c>
      <c r="P692" s="100">
        <f t="shared" si="25"/>
        <v>1723212328.6599998</v>
      </c>
      <c r="Q692" s="100">
        <f t="shared" si="25"/>
        <v>160807895.45000002</v>
      </c>
      <c r="R692" s="100">
        <f t="shared" si="25"/>
        <v>-64274.34</v>
      </c>
      <c r="S692" s="100">
        <f t="shared" si="25"/>
        <v>-3.71</v>
      </c>
      <c r="T692" s="100">
        <f t="shared" si="25"/>
        <v>329.76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-144.97999999999999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8"/>
      <c r="D693" s="776"/>
      <c r="E693" s="98" t="s">
        <v>73</v>
      </c>
      <c r="F693" s="100">
        <f>F672</f>
        <v>-583219201.09000003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8"/>
      <c r="D694" s="776" t="s">
        <v>133</v>
      </c>
      <c r="E694" s="233" t="s">
        <v>70</v>
      </c>
      <c r="F694" s="234">
        <f>F646+F582-L582</f>
        <v>8635714</v>
      </c>
      <c r="G694" s="234">
        <f t="shared" ref="G694:AA694" si="26">G582</f>
        <v>521617.57</v>
      </c>
      <c r="H694" s="234">
        <f t="shared" si="26"/>
        <v>295276.31</v>
      </c>
      <c r="I694" s="234">
        <f t="shared" si="26"/>
        <v>158970.97</v>
      </c>
      <c r="J694" s="234">
        <f t="shared" si="26"/>
        <v>1910496.63</v>
      </c>
      <c r="K694" s="234">
        <f t="shared" si="26"/>
        <v>53118.02</v>
      </c>
      <c r="L694" s="234">
        <f t="shared" si="26"/>
        <v>0</v>
      </c>
      <c r="M694" s="234">
        <f t="shared" si="26"/>
        <v>465949.63</v>
      </c>
      <c r="N694" s="234">
        <f t="shared" si="26"/>
        <v>593731.16</v>
      </c>
      <c r="O694" s="234">
        <f t="shared" si="26"/>
        <v>3012620.79</v>
      </c>
      <c r="P694" s="234">
        <f t="shared" si="26"/>
        <v>1391474.98</v>
      </c>
      <c r="Q694" s="234">
        <f t="shared" si="26"/>
        <v>87879.79</v>
      </c>
      <c r="R694" s="234">
        <f t="shared" si="26"/>
        <v>-15.83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8"/>
      <c r="D695" s="776"/>
      <c r="E695" s="233" t="s">
        <v>73</v>
      </c>
      <c r="F695" s="234">
        <f>F646</f>
        <v>144593.98000000001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8" t="s">
        <v>160</v>
      </c>
      <c r="D697" s="776" t="s">
        <v>132</v>
      </c>
      <c r="E697" s="223" t="s">
        <v>70</v>
      </c>
      <c r="F697" s="225">
        <f>F664+F608+F536-L536-L608</f>
        <v>2157310</v>
      </c>
      <c r="G697" s="225">
        <f>G608+G536</f>
        <v>107058.24000000001</v>
      </c>
      <c r="H697" s="225">
        <f t="shared" ref="H697:AO697" si="27">H608+H536</f>
        <v>57977.77</v>
      </c>
      <c r="I697" s="225">
        <f t="shared" si="27"/>
        <v>32702.82</v>
      </c>
      <c r="J697" s="225">
        <f t="shared" si="27"/>
        <v>535922.02</v>
      </c>
      <c r="K697" s="225">
        <f t="shared" si="27"/>
        <v>18523.8</v>
      </c>
      <c r="L697" s="225">
        <f t="shared" si="27"/>
        <v>0</v>
      </c>
      <c r="M697" s="225">
        <f t="shared" si="27"/>
        <v>162490.31</v>
      </c>
      <c r="N697" s="225">
        <f t="shared" si="27"/>
        <v>173660.97</v>
      </c>
      <c r="O697" s="225">
        <f t="shared" si="27"/>
        <v>895916.8</v>
      </c>
      <c r="P697" s="225">
        <f t="shared" si="27"/>
        <v>284989.5</v>
      </c>
      <c r="Q697" s="225">
        <f t="shared" si="27"/>
        <v>32042.240000000002</v>
      </c>
      <c r="R697" s="225">
        <f t="shared" si="27"/>
        <v>-5.69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8"/>
      <c r="D698" s="776"/>
      <c r="E698" s="223" t="s">
        <v>73</v>
      </c>
      <c r="F698" s="225">
        <f>F664</f>
        <v>-143968.78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8"/>
      <c r="D699" s="776" t="s">
        <v>133</v>
      </c>
      <c r="E699" s="227" t="s">
        <v>70</v>
      </c>
      <c r="F699" s="228">
        <f>F638+F571-L571</f>
        <v>208970</v>
      </c>
      <c r="G699" s="228">
        <f t="shared" ref="G699:Z699" si="28">G571</f>
        <v>18444.439999999999</v>
      </c>
      <c r="H699" s="228">
        <f t="shared" si="28"/>
        <v>10402.530000000001</v>
      </c>
      <c r="I699" s="228">
        <f t="shared" si="28"/>
        <v>5470.04</v>
      </c>
      <c r="J699" s="228">
        <f t="shared" si="28"/>
        <v>98621.6</v>
      </c>
      <c r="K699" s="228">
        <f t="shared" si="28"/>
        <v>3394.58</v>
      </c>
      <c r="L699" s="228">
        <f t="shared" si="28"/>
        <v>0</v>
      </c>
      <c r="M699" s="228">
        <f t="shared" si="28"/>
        <v>29777.14</v>
      </c>
      <c r="N699" s="228">
        <f t="shared" si="28"/>
        <v>30449</v>
      </c>
      <c r="O699" s="228">
        <f t="shared" si="28"/>
        <v>154481.26</v>
      </c>
      <c r="P699" s="228">
        <f t="shared" si="28"/>
        <v>48862.7</v>
      </c>
      <c r="Q699" s="228">
        <f t="shared" si="28"/>
        <v>5538.51</v>
      </c>
      <c r="R699" s="228">
        <f t="shared" si="28"/>
        <v>-2.36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8"/>
      <c r="D700" s="776"/>
      <c r="E700" s="227" t="s">
        <v>73</v>
      </c>
      <c r="F700" s="228">
        <f>F638</f>
        <v>-196469.44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8" t="s">
        <v>155</v>
      </c>
      <c r="D702" s="776" t="s">
        <v>132</v>
      </c>
      <c r="E702" s="221" t="s">
        <v>70</v>
      </c>
      <c r="F702" s="222">
        <f>F649+F586+F521-L521-L586</f>
        <v>10987764488.809999</v>
      </c>
      <c r="G702" s="222">
        <f t="shared" ref="G702:Z702" si="29">G586+G521</f>
        <v>612557857.25</v>
      </c>
      <c r="H702" s="222">
        <f t="shared" si="29"/>
        <v>340984400.07999998</v>
      </c>
      <c r="I702" s="222">
        <f t="shared" si="29"/>
        <v>180726001.72</v>
      </c>
      <c r="J702" s="222">
        <f t="shared" si="29"/>
        <v>2767605714.1100001</v>
      </c>
      <c r="K702" s="222">
        <f t="shared" si="29"/>
        <v>95976498.929999992</v>
      </c>
      <c r="L702" s="222">
        <f t="shared" si="29"/>
        <v>19861983.190000001</v>
      </c>
      <c r="M702" s="222">
        <f t="shared" si="29"/>
        <v>841283585.59000003</v>
      </c>
      <c r="N702" s="222">
        <f t="shared" si="29"/>
        <v>822232449.48000002</v>
      </c>
      <c r="O702" s="222">
        <f t="shared" si="29"/>
        <v>4196162453.2199998</v>
      </c>
      <c r="P702" s="222">
        <f t="shared" si="29"/>
        <v>1621394965.4099998</v>
      </c>
      <c r="Q702" s="222">
        <f t="shared" si="29"/>
        <v>156889985.03999999</v>
      </c>
      <c r="R702" s="222">
        <f t="shared" si="29"/>
        <v>-64065.8</v>
      </c>
      <c r="S702" s="222">
        <f t="shared" si="29"/>
        <v>-0.9</v>
      </c>
      <c r="T702" s="222">
        <f t="shared" si="29"/>
        <v>177.83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-144.97999999999999</v>
      </c>
    </row>
    <row r="703" spans="1:41" ht="12.75" customHeight="1" x14ac:dyDescent="0.25">
      <c r="C703" s="778"/>
      <c r="D703" s="776"/>
      <c r="E703" s="221" t="s">
        <v>73</v>
      </c>
      <c r="F703" s="222">
        <f>F649</f>
        <v>-647985388.16999996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8"/>
      <c r="D704" s="776" t="s">
        <v>133</v>
      </c>
      <c r="E704" s="229" t="s">
        <v>70</v>
      </c>
      <c r="F704" s="230">
        <f>F623+F549-L549</f>
        <v>8186910</v>
      </c>
      <c r="G704" s="230">
        <f t="shared" ref="G704:Z704" si="30">G549</f>
        <v>490323.77</v>
      </c>
      <c r="H704" s="230">
        <f t="shared" si="30"/>
        <v>277627.11</v>
      </c>
      <c r="I704" s="230">
        <f t="shared" si="30"/>
        <v>149666.72</v>
      </c>
      <c r="J704" s="230">
        <f t="shared" si="30"/>
        <v>1748538.41</v>
      </c>
      <c r="K704" s="230">
        <f t="shared" si="30"/>
        <v>47474.16</v>
      </c>
      <c r="L704" s="230">
        <f t="shared" si="30"/>
        <v>0</v>
      </c>
      <c r="M704" s="230">
        <f t="shared" si="30"/>
        <v>416441.8</v>
      </c>
      <c r="N704" s="230">
        <f t="shared" si="30"/>
        <v>543766.17000000004</v>
      </c>
      <c r="O704" s="230">
        <f t="shared" si="30"/>
        <v>2759239.45</v>
      </c>
      <c r="P704" s="230">
        <f t="shared" si="30"/>
        <v>1308401.52</v>
      </c>
      <c r="Q704" s="230">
        <f t="shared" si="30"/>
        <v>78671.37</v>
      </c>
      <c r="R704" s="230">
        <f t="shared" si="30"/>
        <v>-18.91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8"/>
      <c r="D705" s="776"/>
      <c r="E705" s="229" t="s">
        <v>73</v>
      </c>
      <c r="F705" s="230">
        <f>F623</f>
        <v>366778.43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9" t="s">
        <v>325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9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9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9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8" t="s">
        <v>119</v>
      </c>
      <c r="D712" s="776" t="s">
        <v>132</v>
      </c>
      <c r="E712" s="101" t="s">
        <v>70</v>
      </c>
      <c r="F712" s="93">
        <f>F671+F618+F543-L543-L618</f>
        <v>509091543.48999995</v>
      </c>
      <c r="G712" s="93">
        <f t="shared" ref="G712:AO712" si="31">G618+G543</f>
        <v>38331488.210000001</v>
      </c>
      <c r="H712" s="93">
        <f t="shared" si="31"/>
        <v>20622191.780000001</v>
      </c>
      <c r="I712" s="93">
        <f t="shared" si="31"/>
        <v>10552991.34</v>
      </c>
      <c r="J712" s="93">
        <f t="shared" si="31"/>
        <v>80301986.560000002</v>
      </c>
      <c r="K712" s="93">
        <f t="shared" si="31"/>
        <v>2375554.27</v>
      </c>
      <c r="L712" s="93">
        <f t="shared" si="31"/>
        <v>3323424.79</v>
      </c>
      <c r="M712" s="93">
        <f t="shared" si="31"/>
        <v>21079507.060000002</v>
      </c>
      <c r="N712" s="93">
        <f t="shared" si="31"/>
        <v>27872771.620000001</v>
      </c>
      <c r="O712" s="93">
        <f t="shared" si="31"/>
        <v>137626708.59999999</v>
      </c>
      <c r="P712" s="93">
        <f t="shared" si="31"/>
        <v>101532373.75</v>
      </c>
      <c r="Q712" s="93">
        <f t="shared" si="31"/>
        <v>3885868.17</v>
      </c>
      <c r="R712" s="93">
        <f t="shared" si="31"/>
        <v>-202.85</v>
      </c>
      <c r="S712" s="93">
        <f t="shared" si="31"/>
        <v>-2.81</v>
      </c>
      <c r="T712" s="93">
        <f t="shared" si="31"/>
        <v>151.93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8"/>
      <c r="D713" s="776"/>
      <c r="E713" s="101" t="s">
        <v>73</v>
      </c>
      <c r="F713" s="93">
        <f>F671</f>
        <v>64910155.859999999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8"/>
      <c r="D714" s="776" t="s">
        <v>133</v>
      </c>
      <c r="E714" s="235" t="s">
        <v>70</v>
      </c>
      <c r="F714" s="236">
        <f>F645+F581-L581</f>
        <v>239834</v>
      </c>
      <c r="G714" s="236">
        <f t="shared" ref="G714:Z714" si="32">G581</f>
        <v>12849.36</v>
      </c>
      <c r="H714" s="236">
        <f t="shared" si="32"/>
        <v>7246.67</v>
      </c>
      <c r="I714" s="236">
        <f t="shared" si="32"/>
        <v>3834.21</v>
      </c>
      <c r="J714" s="236">
        <f t="shared" si="32"/>
        <v>63336.62</v>
      </c>
      <c r="K714" s="236">
        <f t="shared" si="32"/>
        <v>2249.2800000000002</v>
      </c>
      <c r="L714" s="236">
        <f t="shared" si="32"/>
        <v>0</v>
      </c>
      <c r="M714" s="236">
        <f t="shared" si="32"/>
        <v>19730.689999999999</v>
      </c>
      <c r="N714" s="236">
        <f t="shared" si="32"/>
        <v>19515.990000000002</v>
      </c>
      <c r="O714" s="236">
        <f t="shared" si="32"/>
        <v>98900.08</v>
      </c>
      <c r="P714" s="236">
        <f t="shared" si="32"/>
        <v>34210.76</v>
      </c>
      <c r="Q714" s="236">
        <f t="shared" si="32"/>
        <v>3669.91</v>
      </c>
      <c r="R714" s="236">
        <f t="shared" si="32"/>
        <v>5.44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8"/>
      <c r="D715" s="776"/>
      <c r="E715" s="235" t="s">
        <v>73</v>
      </c>
      <c r="F715" s="236">
        <f>F645</f>
        <v>-25715.01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7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7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7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7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-45650</v>
      </c>
      <c r="G722" s="460">
        <f t="shared" si="33"/>
        <v>-3731.55</v>
      </c>
      <c r="H722" s="460">
        <f t="shared" si="33"/>
        <v>-1585.29</v>
      </c>
      <c r="I722" s="460">
        <f t="shared" si="33"/>
        <v>-692.31</v>
      </c>
      <c r="J722" s="460">
        <f t="shared" si="33"/>
        <v>-8401.52</v>
      </c>
      <c r="K722" s="460">
        <f t="shared" si="33"/>
        <v>-342.15</v>
      </c>
      <c r="L722" s="460">
        <f t="shared" si="33"/>
        <v>0</v>
      </c>
      <c r="M722" s="460">
        <f t="shared" si="33"/>
        <v>-3001.2</v>
      </c>
      <c r="N722" s="460">
        <f t="shared" si="33"/>
        <v>-3816.34</v>
      </c>
      <c r="O722" s="460">
        <f t="shared" si="33"/>
        <v>-14012.94</v>
      </c>
      <c r="P722" s="460">
        <f t="shared" si="33"/>
        <v>-9508.44</v>
      </c>
      <c r="Q722" s="460">
        <f t="shared" si="33"/>
        <v>-558.26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-11996.82</v>
      </c>
      <c r="G727" s="90">
        <v>-734.74</v>
      </c>
      <c r="H727" s="90">
        <v>-312.13</v>
      </c>
      <c r="I727" s="90">
        <v>-136.29</v>
      </c>
      <c r="J727" s="90">
        <v>-2372.96</v>
      </c>
      <c r="K727" s="90">
        <v>-123.94</v>
      </c>
      <c r="L727" s="90">
        <v>0</v>
      </c>
      <c r="M727" s="90">
        <v>-1087.26</v>
      </c>
      <c r="N727" s="90">
        <v>-1074.9100000000001</v>
      </c>
      <c r="O727" s="90">
        <v>-3929.07</v>
      </c>
      <c r="P727" s="90">
        <v>-2023.29</v>
      </c>
      <c r="Q727" s="90">
        <v>-202.23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-11996.82</v>
      </c>
      <c r="G728" s="90">
        <v>-734.74</v>
      </c>
      <c r="H728" s="90">
        <v>-312.13</v>
      </c>
      <c r="I728" s="90">
        <v>-136.29</v>
      </c>
      <c r="J728" s="90">
        <v>-2372.96</v>
      </c>
      <c r="K728" s="90">
        <v>-123.94</v>
      </c>
      <c r="L728" s="90">
        <v>0</v>
      </c>
      <c r="M728" s="90">
        <v>-1087.26</v>
      </c>
      <c r="N728" s="90">
        <v>-1074.9100000000001</v>
      </c>
      <c r="O728" s="90">
        <v>-3929.07</v>
      </c>
      <c r="P728" s="90">
        <v>-2023.29</v>
      </c>
      <c r="Q728" s="90">
        <v>-202.23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-11996.82</v>
      </c>
      <c r="G729" s="230">
        <v>-734.74</v>
      </c>
      <c r="H729" s="230">
        <v>-312.13</v>
      </c>
      <c r="I729" s="230">
        <v>-136.29</v>
      </c>
      <c r="J729" s="230">
        <v>-2372.96</v>
      </c>
      <c r="K729" s="230">
        <v>-123.94</v>
      </c>
      <c r="L729" s="230">
        <v>0</v>
      </c>
      <c r="M729" s="230">
        <v>-1087.26</v>
      </c>
      <c r="N729" s="230">
        <v>-1074.9100000000001</v>
      </c>
      <c r="O729" s="230">
        <v>-3929.07</v>
      </c>
      <c r="P729" s="230">
        <v>-2023.29</v>
      </c>
      <c r="Q729" s="230">
        <v>-202.23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-17685.04</v>
      </c>
      <c r="G732" s="90">
        <v>-1307.81</v>
      </c>
      <c r="H732" s="90">
        <v>-555.6</v>
      </c>
      <c r="I732" s="90">
        <v>-242.65</v>
      </c>
      <c r="J732" s="90">
        <v>-3142.56</v>
      </c>
      <c r="K732" s="90">
        <v>-193.63</v>
      </c>
      <c r="L732" s="90">
        <v>0</v>
      </c>
      <c r="M732" s="90">
        <v>-1698.51</v>
      </c>
      <c r="N732" s="90">
        <v>-1423.54</v>
      </c>
      <c r="O732" s="90">
        <v>-5203.34</v>
      </c>
      <c r="P732" s="90">
        <v>-3601.47</v>
      </c>
      <c r="Q732" s="90">
        <v>-315.93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-17685.04</v>
      </c>
      <c r="G733" s="90">
        <v>-1307.81</v>
      </c>
      <c r="H733" s="90">
        <v>-555.6</v>
      </c>
      <c r="I733" s="90">
        <v>-242.65</v>
      </c>
      <c r="J733" s="90">
        <v>-3142.56</v>
      </c>
      <c r="K733" s="90">
        <v>-193.63</v>
      </c>
      <c r="L733" s="90">
        <v>0</v>
      </c>
      <c r="M733" s="90">
        <v>-1698.51</v>
      </c>
      <c r="N733" s="90">
        <v>-1423.54</v>
      </c>
      <c r="O733" s="90">
        <v>-5203.34</v>
      </c>
      <c r="P733" s="90">
        <v>-3601.47</v>
      </c>
      <c r="Q733" s="90">
        <v>-315.93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-17685.04</v>
      </c>
      <c r="G736" s="93">
        <v>-1307.81</v>
      </c>
      <c r="H736" s="93">
        <v>-555.6</v>
      </c>
      <c r="I736" s="93">
        <v>-242.65</v>
      </c>
      <c r="J736" s="93">
        <v>-3142.56</v>
      </c>
      <c r="K736" s="93">
        <v>-193.63</v>
      </c>
      <c r="L736" s="93">
        <v>0</v>
      </c>
      <c r="M736" s="93">
        <v>-1698.51</v>
      </c>
      <c r="N736" s="93">
        <v>-1423.54</v>
      </c>
      <c r="O736" s="93">
        <v>-5203.34</v>
      </c>
      <c r="P736" s="93">
        <v>-3601.47</v>
      </c>
      <c r="Q736" s="93">
        <v>-315.93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-29681.86</v>
      </c>
      <c r="G737" s="90">
        <v>-2042.55</v>
      </c>
      <c r="H737" s="90">
        <v>-867.73</v>
      </c>
      <c r="I737" s="90">
        <v>-378.94</v>
      </c>
      <c r="J737" s="90">
        <v>-5515.52</v>
      </c>
      <c r="K737" s="90">
        <v>-317.57</v>
      </c>
      <c r="L737" s="90">
        <v>0</v>
      </c>
      <c r="M737" s="90">
        <v>-2785.77</v>
      </c>
      <c r="N737" s="90">
        <v>-2498.4499999999998</v>
      </c>
      <c r="O737" s="90">
        <v>-9132.41</v>
      </c>
      <c r="P737" s="90">
        <v>-5624.76</v>
      </c>
      <c r="Q737" s="90">
        <v>-518.16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-29681.86</v>
      </c>
      <c r="G738" s="458">
        <v>-2042.55</v>
      </c>
      <c r="H738" s="458">
        <v>-867.73</v>
      </c>
      <c r="I738" s="458">
        <v>-378.94</v>
      </c>
      <c r="J738" s="458">
        <v>-5515.52</v>
      </c>
      <c r="K738" s="458">
        <v>-317.57</v>
      </c>
      <c r="L738" s="458">
        <v>0</v>
      </c>
      <c r="M738" s="458">
        <v>-2785.77</v>
      </c>
      <c r="N738" s="458">
        <v>-2498.4499999999998</v>
      </c>
      <c r="O738" s="458">
        <v>-9132.41</v>
      </c>
      <c r="P738" s="458">
        <v>-5624.76</v>
      </c>
      <c r="Q738" s="458">
        <v>-518.16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325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13753.61</v>
      </c>
      <c r="G750" s="90">
        <v>89.42</v>
      </c>
      <c r="H750" s="90">
        <v>49.83</v>
      </c>
      <c r="I750" s="90">
        <v>26.51</v>
      </c>
      <c r="J750" s="90">
        <v>0</v>
      </c>
      <c r="K750" s="90">
        <v>209.6</v>
      </c>
      <c r="L750" s="90">
        <v>0</v>
      </c>
      <c r="M750" s="90">
        <v>1838.59</v>
      </c>
      <c r="N750" s="90">
        <v>1798.54</v>
      </c>
      <c r="O750" s="90">
        <v>9132.61</v>
      </c>
      <c r="P750" s="90">
        <v>266.52999999999997</v>
      </c>
      <c r="Q750" s="90">
        <v>341.98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13753.61</v>
      </c>
      <c r="G752" s="90">
        <v>89.42</v>
      </c>
      <c r="H752" s="90">
        <v>49.83</v>
      </c>
      <c r="I752" s="90">
        <v>26.51</v>
      </c>
      <c r="J752" s="90">
        <v>0</v>
      </c>
      <c r="K752" s="90">
        <v>209.6</v>
      </c>
      <c r="L752" s="90">
        <v>0</v>
      </c>
      <c r="M752" s="90">
        <v>1838.59</v>
      </c>
      <c r="N752" s="90">
        <v>1798.54</v>
      </c>
      <c r="O752" s="90">
        <v>9132.61</v>
      </c>
      <c r="P752" s="90">
        <v>266.52999999999997</v>
      </c>
      <c r="Q752" s="90">
        <v>341.98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47565.54</v>
      </c>
      <c r="G753" s="90">
        <v>2477.0100000000002</v>
      </c>
      <c r="H753" s="90">
        <v>1380.18</v>
      </c>
      <c r="I753" s="90">
        <v>734.05</v>
      </c>
      <c r="J753" s="90">
        <v>11744.12</v>
      </c>
      <c r="K753" s="90">
        <v>375.3</v>
      </c>
      <c r="L753" s="90">
        <v>0</v>
      </c>
      <c r="M753" s="90">
        <v>3292.08</v>
      </c>
      <c r="N753" s="90">
        <v>3220.36</v>
      </c>
      <c r="O753" s="90">
        <v>16352.36</v>
      </c>
      <c r="P753" s="90">
        <v>7382.49</v>
      </c>
      <c r="Q753" s="90">
        <v>612.33000000000004</v>
      </c>
      <c r="R753" s="90">
        <v>-4.74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47565.54</v>
      </c>
      <c r="G755" s="90">
        <v>2477.0100000000002</v>
      </c>
      <c r="H755" s="90">
        <v>1380.18</v>
      </c>
      <c r="I755" s="90">
        <v>734.05</v>
      </c>
      <c r="J755" s="90">
        <v>11744.12</v>
      </c>
      <c r="K755" s="90">
        <v>375.3</v>
      </c>
      <c r="L755" s="90">
        <v>0</v>
      </c>
      <c r="M755" s="90">
        <v>3292.08</v>
      </c>
      <c r="N755" s="90">
        <v>3220.36</v>
      </c>
      <c r="O755" s="90">
        <v>16352.36</v>
      </c>
      <c r="P755" s="90">
        <v>7382.49</v>
      </c>
      <c r="Q755" s="90">
        <v>612.33000000000004</v>
      </c>
      <c r="R755" s="90">
        <v>-4.74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61319.15</v>
      </c>
      <c r="G756" s="93">
        <v>2566.4299999999998</v>
      </c>
      <c r="H756" s="93">
        <v>1430.01</v>
      </c>
      <c r="I756" s="93">
        <v>760.56</v>
      </c>
      <c r="J756" s="93">
        <v>11744.12</v>
      </c>
      <c r="K756" s="93">
        <v>584.9</v>
      </c>
      <c r="L756" s="93">
        <v>0</v>
      </c>
      <c r="M756" s="93">
        <v>5130.67</v>
      </c>
      <c r="N756" s="93">
        <v>5018.8999999999996</v>
      </c>
      <c r="O756" s="93">
        <v>25484.97</v>
      </c>
      <c r="P756" s="93">
        <v>7649.02</v>
      </c>
      <c r="Q756" s="93">
        <v>954.31</v>
      </c>
      <c r="R756" s="93">
        <v>-4.74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61319.15</v>
      </c>
      <c r="G757" s="377">
        <v>2566.4299999999998</v>
      </c>
      <c r="H757" s="377">
        <v>1430.01</v>
      </c>
      <c r="I757" s="377">
        <v>760.56</v>
      </c>
      <c r="J757" s="377">
        <v>11744.12</v>
      </c>
      <c r="K757" s="377">
        <v>584.9</v>
      </c>
      <c r="L757" s="377">
        <v>0</v>
      </c>
      <c r="M757" s="377">
        <v>5130.67</v>
      </c>
      <c r="N757" s="377">
        <v>5018.8999999999996</v>
      </c>
      <c r="O757" s="377">
        <v>25484.97</v>
      </c>
      <c r="P757" s="377">
        <v>7649.02</v>
      </c>
      <c r="Q757" s="377">
        <v>954.31</v>
      </c>
      <c r="R757" s="377">
        <v>-4.74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8993795147.2099991</v>
      </c>
      <c r="G758" s="90">
        <v>473632888.36000001</v>
      </c>
      <c r="H758" s="90">
        <v>264848187.11000001</v>
      </c>
      <c r="I758" s="90">
        <v>140288589.68000001</v>
      </c>
      <c r="J758" s="90">
        <v>2039684048.6800001</v>
      </c>
      <c r="K758" s="90">
        <v>73068449.829999998</v>
      </c>
      <c r="L758" s="90">
        <v>5862092.4699999997</v>
      </c>
      <c r="M758" s="90">
        <v>641330794.71000004</v>
      </c>
      <c r="N758" s="90">
        <v>622473487.01999998</v>
      </c>
      <c r="O758" s="90">
        <v>3195073906.3800001</v>
      </c>
      <c r="P758" s="90">
        <v>1418258140.4200001</v>
      </c>
      <c r="Q758" s="90">
        <v>119287347.47</v>
      </c>
      <c r="R758" s="90">
        <v>-12784.92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7475639.0499999998</v>
      </c>
      <c r="G759" s="90">
        <v>572149.34</v>
      </c>
      <c r="H759" s="90">
        <v>286092.27</v>
      </c>
      <c r="I759" s="90">
        <v>146192.17000000001</v>
      </c>
      <c r="J759" s="90">
        <v>1408818.73</v>
      </c>
      <c r="K759" s="90">
        <v>58479.28</v>
      </c>
      <c r="L759" s="90">
        <v>269.52</v>
      </c>
      <c r="M759" s="90">
        <v>510623.53</v>
      </c>
      <c r="N759" s="90">
        <v>473864.85</v>
      </c>
      <c r="O759" s="90">
        <v>2229708.81</v>
      </c>
      <c r="P759" s="90">
        <v>1694060.91</v>
      </c>
      <c r="Q759" s="90">
        <v>95416.24</v>
      </c>
      <c r="R759" s="90">
        <v>0.49</v>
      </c>
      <c r="S759" s="90">
        <v>-4.37</v>
      </c>
      <c r="T759">
        <v>4.7300000000000004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-37.450000000000003</v>
      </c>
    </row>
    <row r="760" spans="1:26" ht="12.75" customHeight="1" x14ac:dyDescent="0.25">
      <c r="D760" t="s">
        <v>156</v>
      </c>
      <c r="E760" s="89" t="s">
        <v>70</v>
      </c>
      <c r="F760" s="90">
        <v>9001270786.2600002</v>
      </c>
      <c r="G760" s="90">
        <v>474205037.69999999</v>
      </c>
      <c r="H760" s="90">
        <v>265134279.38</v>
      </c>
      <c r="I760" s="90">
        <v>140434781.84999999</v>
      </c>
      <c r="J760" s="90">
        <v>2041092867.4100001</v>
      </c>
      <c r="K760" s="90">
        <v>73126929.109999999</v>
      </c>
      <c r="L760" s="90">
        <v>5862361.9900000002</v>
      </c>
      <c r="M760" s="90">
        <v>641841418.24000001</v>
      </c>
      <c r="N760" s="90">
        <v>622947351.87</v>
      </c>
      <c r="O760" s="90">
        <v>3197303615.1900001</v>
      </c>
      <c r="P760" s="90">
        <v>1419952201.3299999</v>
      </c>
      <c r="Q760" s="90">
        <v>119382763.70999999</v>
      </c>
      <c r="R760" s="90">
        <v>-12784.43</v>
      </c>
      <c r="S760" s="90">
        <v>-4.37</v>
      </c>
      <c r="T760">
        <v>4.7300000000000004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-37.450000000000003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9001270786.2600002</v>
      </c>
      <c r="G761" s="658">
        <v>474205037.69999999</v>
      </c>
      <c r="H761" s="658">
        <v>265134279.38</v>
      </c>
      <c r="I761" s="658">
        <v>140434781.84999999</v>
      </c>
      <c r="J761" s="658">
        <v>2041092867.4100001</v>
      </c>
      <c r="K761" s="658">
        <v>73126929.109999999</v>
      </c>
      <c r="L761" s="658">
        <v>5862361.9900000002</v>
      </c>
      <c r="M761" s="658">
        <v>641841418.24000001</v>
      </c>
      <c r="N761" s="658">
        <v>622947351.87</v>
      </c>
      <c r="O761" s="658">
        <v>3197303615.1900001</v>
      </c>
      <c r="P761" s="658">
        <v>1419952201.3299999</v>
      </c>
      <c r="Q761" s="658">
        <v>119382763.70999999</v>
      </c>
      <c r="R761" s="658">
        <v>-12784.43</v>
      </c>
      <c r="S761" s="658">
        <v>-4.37</v>
      </c>
      <c r="T761" s="656">
        <v>4.7300000000000004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-37.450000000000003</v>
      </c>
    </row>
    <row r="762" spans="1:26" ht="12.75" customHeight="1" x14ac:dyDescent="0.25">
      <c r="E762" s="89" t="s">
        <v>72</v>
      </c>
      <c r="F762" s="90">
        <v>157240825.16</v>
      </c>
      <c r="G762" s="90">
        <v>8737281.6300000008</v>
      </c>
      <c r="H762" s="90">
        <v>4872157.5599999996</v>
      </c>
      <c r="I762" s="90">
        <v>2599575.19</v>
      </c>
      <c r="J762" s="90">
        <v>34808134.100000001</v>
      </c>
      <c r="K762" s="90">
        <v>1247367.04</v>
      </c>
      <c r="L762" s="90">
        <v>0</v>
      </c>
      <c r="M762" s="90">
        <v>10917870.99</v>
      </c>
      <c r="N762" s="90">
        <v>10785554.810000001</v>
      </c>
      <c r="O762" s="90">
        <v>55038831.079999998</v>
      </c>
      <c r="P762" s="90">
        <v>26194201.300000001</v>
      </c>
      <c r="Q762" s="90">
        <v>2041254.96</v>
      </c>
      <c r="R762" s="90">
        <v>-1403.5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93415.3</v>
      </c>
      <c r="G763" s="90">
        <v>5410.78</v>
      </c>
      <c r="H763" s="90">
        <v>2949.74</v>
      </c>
      <c r="I763" s="90">
        <v>1603.23</v>
      </c>
      <c r="J763" s="90">
        <v>20456.21</v>
      </c>
      <c r="K763" s="90">
        <v>703.62</v>
      </c>
      <c r="L763" s="90">
        <v>0</v>
      </c>
      <c r="M763" s="90">
        <v>6105.06</v>
      </c>
      <c r="N763" s="90">
        <v>6292.79</v>
      </c>
      <c r="O763" s="90">
        <v>32634.34</v>
      </c>
      <c r="P763" s="90">
        <v>16105.12</v>
      </c>
      <c r="Q763" s="90">
        <v>1155.3900000000001</v>
      </c>
      <c r="R763" s="90">
        <v>-0.98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157334240.46000001</v>
      </c>
      <c r="G764" s="90">
        <v>8742692.4100000001</v>
      </c>
      <c r="H764" s="90">
        <v>4875107.3</v>
      </c>
      <c r="I764" s="90">
        <v>2601178.42</v>
      </c>
      <c r="J764" s="90">
        <v>34828590.310000002</v>
      </c>
      <c r="K764" s="90">
        <v>1248070.6599999999</v>
      </c>
      <c r="L764" s="90">
        <v>0</v>
      </c>
      <c r="M764" s="90">
        <v>10923976.050000001</v>
      </c>
      <c r="N764" s="90">
        <v>10791847.6</v>
      </c>
      <c r="O764" s="90">
        <v>55071465.420000002</v>
      </c>
      <c r="P764" s="90">
        <v>26210306.420000002</v>
      </c>
      <c r="Q764" s="90">
        <v>2042410.35</v>
      </c>
      <c r="R764" s="90">
        <v>-1404.48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325</v>
      </c>
      <c r="D765" s="739" t="s">
        <v>70</v>
      </c>
      <c r="E765" s="231"/>
      <c r="F765" s="740">
        <v>157334240.46000001</v>
      </c>
      <c r="G765" s="232">
        <v>8742692.4100000001</v>
      </c>
      <c r="H765" s="232">
        <v>4875107.3</v>
      </c>
      <c r="I765" s="232">
        <v>2601178.42</v>
      </c>
      <c r="J765" s="232">
        <v>34828590.310000002</v>
      </c>
      <c r="K765" s="232">
        <v>1248070.6599999999</v>
      </c>
      <c r="L765" s="232">
        <v>0</v>
      </c>
      <c r="M765" s="232">
        <v>10923976.050000001</v>
      </c>
      <c r="N765" s="232">
        <v>10791847.6</v>
      </c>
      <c r="O765" s="232">
        <v>55071465.420000002</v>
      </c>
      <c r="P765" s="232">
        <v>26210306.420000002</v>
      </c>
      <c r="Q765" s="232">
        <v>2042410.35</v>
      </c>
      <c r="R765" s="232">
        <v>-1404.48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19491530.850000001</v>
      </c>
      <c r="G766" s="90">
        <v>875323.44</v>
      </c>
      <c r="H766" s="90">
        <v>479615.14</v>
      </c>
      <c r="I766" s="90">
        <v>258333.22</v>
      </c>
      <c r="J766" s="90">
        <v>3091278.05</v>
      </c>
      <c r="K766" s="90">
        <v>143857.46</v>
      </c>
      <c r="L766" s="90">
        <v>172500</v>
      </c>
      <c r="M766" s="90">
        <v>1264139.6599999999</v>
      </c>
      <c r="N766" s="90">
        <v>1644552.63</v>
      </c>
      <c r="O766" s="90">
        <v>8697929.75</v>
      </c>
      <c r="P766" s="90">
        <v>2624330.06</v>
      </c>
      <c r="Q766" s="90">
        <v>240262.71</v>
      </c>
      <c r="R766" s="90">
        <v>-591.27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143818.82</v>
      </c>
      <c r="G767" s="90">
        <v>7506.32</v>
      </c>
      <c r="H767" s="90">
        <v>3745.93</v>
      </c>
      <c r="I767" s="90">
        <v>2074.2800000000002</v>
      </c>
      <c r="J767" s="90">
        <v>28944.99</v>
      </c>
      <c r="K767" s="90">
        <v>992.42</v>
      </c>
      <c r="L767" s="90">
        <v>0</v>
      </c>
      <c r="M767" s="90">
        <v>8652.08</v>
      </c>
      <c r="N767" s="90">
        <v>11100.3</v>
      </c>
      <c r="O767" s="90">
        <v>56595.76</v>
      </c>
      <c r="P767" s="90">
        <v>22528.1</v>
      </c>
      <c r="Q767" s="90">
        <v>1678.88</v>
      </c>
      <c r="R767" s="90">
        <v>-0.22</v>
      </c>
      <c r="S767" s="90">
        <v>-0.02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19635349.670000002</v>
      </c>
      <c r="G768" s="90">
        <v>882829.76</v>
      </c>
      <c r="H768" s="90">
        <v>483361.07</v>
      </c>
      <c r="I768" s="90">
        <v>260407.5</v>
      </c>
      <c r="J768" s="90">
        <v>3120223.04</v>
      </c>
      <c r="K768" s="90">
        <v>144849.88</v>
      </c>
      <c r="L768" s="90">
        <v>172500</v>
      </c>
      <c r="M768" s="90">
        <v>1272791.74</v>
      </c>
      <c r="N768" s="90">
        <v>1655652.93</v>
      </c>
      <c r="O768" s="90">
        <v>8754525.5099999998</v>
      </c>
      <c r="P768" s="90">
        <v>2646858.16</v>
      </c>
      <c r="Q768" s="90">
        <v>241941.59</v>
      </c>
      <c r="R768" s="90">
        <v>-591.49</v>
      </c>
      <c r="S768" s="90">
        <v>-0.02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36770111.759999998</v>
      </c>
      <c r="G769" s="90">
        <v>2305478.39</v>
      </c>
      <c r="H769" s="90">
        <v>1177995.71</v>
      </c>
      <c r="I769" s="90">
        <v>599289.97</v>
      </c>
      <c r="J769" s="90">
        <v>5788521.2400000002</v>
      </c>
      <c r="K769" s="90">
        <v>310717.03000000003</v>
      </c>
      <c r="L769" s="90">
        <v>0</v>
      </c>
      <c r="M769" s="90">
        <v>2726135.03</v>
      </c>
      <c r="N769" s="90">
        <v>2804981.36</v>
      </c>
      <c r="O769" s="90">
        <v>13757179.52</v>
      </c>
      <c r="P769" s="90">
        <v>6792419.7000000002</v>
      </c>
      <c r="Q769" s="90">
        <v>507783.66</v>
      </c>
      <c r="R769" s="90">
        <v>-389.85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6212828.2999999998</v>
      </c>
      <c r="G770" s="90">
        <v>619039.56000000006</v>
      </c>
      <c r="H770" s="90">
        <v>288360.57</v>
      </c>
      <c r="I770" s="90">
        <v>123687.58</v>
      </c>
      <c r="J770" s="90">
        <v>917426.27</v>
      </c>
      <c r="K770" s="90">
        <v>50253.54</v>
      </c>
      <c r="L770" s="90">
        <v>0</v>
      </c>
      <c r="M770" s="90">
        <v>439973</v>
      </c>
      <c r="N770" s="90">
        <v>379949.18</v>
      </c>
      <c r="O770" s="90">
        <v>1557895.7</v>
      </c>
      <c r="P770" s="90">
        <v>1754305.66</v>
      </c>
      <c r="Q770" s="90">
        <v>81996.639999999999</v>
      </c>
      <c r="R770" s="90">
        <v>9.11</v>
      </c>
      <c r="S770" s="90">
        <v>-0.02</v>
      </c>
      <c r="T770">
        <v>1.84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-70.33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42982940.060000002</v>
      </c>
      <c r="G771" s="90">
        <v>2924517.95</v>
      </c>
      <c r="H771" s="90">
        <v>1466356.28</v>
      </c>
      <c r="I771" s="90">
        <v>722977.55</v>
      </c>
      <c r="J771" s="90">
        <v>6705947.5099999998</v>
      </c>
      <c r="K771" s="90">
        <v>360970.57</v>
      </c>
      <c r="L771" s="90">
        <v>0</v>
      </c>
      <c r="M771" s="90">
        <v>3166108.03</v>
      </c>
      <c r="N771" s="90">
        <v>3184930.54</v>
      </c>
      <c r="O771" s="90">
        <v>15315075.220000001</v>
      </c>
      <c r="P771" s="90">
        <v>8546725.3599999994</v>
      </c>
      <c r="Q771" s="90">
        <v>589780.30000000005</v>
      </c>
      <c r="R771" s="90">
        <v>-380.74</v>
      </c>
      <c r="S771" s="90">
        <v>-0.02</v>
      </c>
      <c r="T771">
        <v>1.84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-70.33</v>
      </c>
    </row>
    <row r="772" spans="1:26" ht="12.75" customHeight="1" x14ac:dyDescent="0.25">
      <c r="E772" s="89" t="s">
        <v>72</v>
      </c>
      <c r="F772" s="90">
        <v>128674486.59</v>
      </c>
      <c r="G772" s="90">
        <v>12989949.43</v>
      </c>
      <c r="H772" s="90">
        <v>7206108.7699999996</v>
      </c>
      <c r="I772" s="90">
        <v>3837928.3</v>
      </c>
      <c r="J772" s="90">
        <v>9581515.2799999993</v>
      </c>
      <c r="K772" s="90">
        <v>363535.96</v>
      </c>
      <c r="L772" s="90">
        <v>26520456.350000001</v>
      </c>
      <c r="M772" s="90">
        <v>3186668.23</v>
      </c>
      <c r="N772" s="90">
        <v>4007272.11</v>
      </c>
      <c r="O772" s="90">
        <v>21466021.800000001</v>
      </c>
      <c r="P772" s="90">
        <v>38911142.450000003</v>
      </c>
      <c r="Q772" s="90">
        <v>605015.18000000005</v>
      </c>
      <c r="R772" s="90">
        <v>-1127.27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2014914.38</v>
      </c>
      <c r="G773" s="90">
        <v>250871.65</v>
      </c>
      <c r="H773" s="90">
        <v>130921.8</v>
      </c>
      <c r="I773" s="90">
        <v>71832.81</v>
      </c>
      <c r="J773" s="90">
        <v>243947.65</v>
      </c>
      <c r="K773" s="90">
        <v>7275.44</v>
      </c>
      <c r="L773" s="90">
        <v>20620.04</v>
      </c>
      <c r="M773" s="90">
        <v>63962.21</v>
      </c>
      <c r="N773" s="90">
        <v>75881</v>
      </c>
      <c r="O773" s="90">
        <v>384328.42</v>
      </c>
      <c r="P773" s="90">
        <v>753181.5</v>
      </c>
      <c r="Q773" s="90">
        <v>12089.4</v>
      </c>
      <c r="R773" s="90">
        <v>2.52</v>
      </c>
      <c r="S773" s="90">
        <v>-0.06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130689400.97</v>
      </c>
      <c r="G774" s="90">
        <v>13240821.08</v>
      </c>
      <c r="H774" s="90">
        <v>7337030.5700000003</v>
      </c>
      <c r="I774" s="90">
        <v>3909761.11</v>
      </c>
      <c r="J774" s="90">
        <v>9825462.9299999997</v>
      </c>
      <c r="K774" s="90">
        <v>370811.4</v>
      </c>
      <c r="L774" s="90">
        <v>26541076.390000001</v>
      </c>
      <c r="M774" s="90">
        <v>3250630.44</v>
      </c>
      <c r="N774" s="90">
        <v>4083153.11</v>
      </c>
      <c r="O774" s="90">
        <v>21850350.219999999</v>
      </c>
      <c r="P774" s="90">
        <v>39664323.950000003</v>
      </c>
      <c r="Q774" s="90">
        <v>617104.57999999996</v>
      </c>
      <c r="R774" s="90">
        <v>-1124.75</v>
      </c>
      <c r="S774" s="90">
        <v>-0.06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193307690.69999999</v>
      </c>
      <c r="G775" s="93">
        <v>17048168.789999999</v>
      </c>
      <c r="H775" s="93">
        <v>9286747.9199999999</v>
      </c>
      <c r="I775" s="93">
        <v>4893146.16</v>
      </c>
      <c r="J775" s="93">
        <v>19651633.48</v>
      </c>
      <c r="K775" s="93">
        <v>876631.85</v>
      </c>
      <c r="L775" s="93">
        <v>26713576.390000001</v>
      </c>
      <c r="M775" s="93">
        <v>7689530.21</v>
      </c>
      <c r="N775" s="93">
        <v>8923736.5800000001</v>
      </c>
      <c r="O775" s="93">
        <v>45919950.950000003</v>
      </c>
      <c r="P775" s="93">
        <v>50857907.469999999</v>
      </c>
      <c r="Q775" s="93">
        <v>1448826.47</v>
      </c>
      <c r="R775" s="93">
        <v>-2096.98</v>
      </c>
      <c r="S775" s="93">
        <v>-0.1</v>
      </c>
      <c r="T775" s="94">
        <v>1.84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-70.33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9351912717.4200001</v>
      </c>
      <c r="G776" s="100">
        <v>499995898.89999998</v>
      </c>
      <c r="H776" s="100">
        <v>279296134.60000002</v>
      </c>
      <c r="I776" s="100">
        <v>147929106.43000001</v>
      </c>
      <c r="J776" s="100">
        <v>2095573091.2</v>
      </c>
      <c r="K776" s="100">
        <v>75251631.620000005</v>
      </c>
      <c r="L776" s="100">
        <v>32575938.379999999</v>
      </c>
      <c r="M776" s="100">
        <v>660454924.5</v>
      </c>
      <c r="N776" s="100">
        <v>642662936.04999995</v>
      </c>
      <c r="O776" s="100">
        <v>3298295031.5599999</v>
      </c>
      <c r="P776" s="100">
        <v>1497020415.22</v>
      </c>
      <c r="Q776" s="100">
        <v>122874000.53</v>
      </c>
      <c r="R776" s="100">
        <v>-16285.89</v>
      </c>
      <c r="S776" s="100">
        <v>-4.47</v>
      </c>
      <c r="T776" s="226">
        <v>6.57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-107.78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9351974036.5699997</v>
      </c>
      <c r="G777" s="90">
        <v>499998465.32999998</v>
      </c>
      <c r="H777" s="90">
        <v>279297564.61000001</v>
      </c>
      <c r="I777" s="90">
        <v>147929866.99000001</v>
      </c>
      <c r="J777" s="90">
        <v>2095584835.3199999</v>
      </c>
      <c r="K777" s="90">
        <v>75252216.519999996</v>
      </c>
      <c r="L777" s="90">
        <v>32575938.379999999</v>
      </c>
      <c r="M777" s="90">
        <v>660460055.16999996</v>
      </c>
      <c r="N777" s="90">
        <v>642667954.95000005</v>
      </c>
      <c r="O777" s="90">
        <v>3298320516.5300002</v>
      </c>
      <c r="P777" s="90">
        <v>1497028064.24</v>
      </c>
      <c r="Q777" s="90">
        <v>122874954.84</v>
      </c>
      <c r="R777" s="90">
        <v>-16290.63</v>
      </c>
      <c r="S777" s="90">
        <v>-4.47</v>
      </c>
      <c r="T777">
        <v>6.57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-107.78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325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6956.39</v>
      </c>
      <c r="G786" s="90">
        <v>371.55</v>
      </c>
      <c r="H786" s="90">
        <v>208.18</v>
      </c>
      <c r="I786" s="90">
        <v>110.11</v>
      </c>
      <c r="J786" s="90">
        <v>1560.59</v>
      </c>
      <c r="K786" s="90">
        <v>56.3</v>
      </c>
      <c r="L786" s="90">
        <v>0</v>
      </c>
      <c r="M786" s="90">
        <v>493.81</v>
      </c>
      <c r="N786" s="90">
        <v>481.3</v>
      </c>
      <c r="O786" s="90">
        <v>2465.85</v>
      </c>
      <c r="P786" s="90">
        <v>1116.8499999999999</v>
      </c>
      <c r="Q786" s="90">
        <v>91.85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6956.39</v>
      </c>
      <c r="G787" s="90">
        <v>371.55</v>
      </c>
      <c r="H787" s="90">
        <v>208.18</v>
      </c>
      <c r="I787" s="90">
        <v>110.11</v>
      </c>
      <c r="J787" s="90">
        <v>1560.59</v>
      </c>
      <c r="K787" s="90">
        <v>56.3</v>
      </c>
      <c r="L787" s="90">
        <v>0</v>
      </c>
      <c r="M787" s="90">
        <v>493.81</v>
      </c>
      <c r="N787" s="90">
        <v>481.3</v>
      </c>
      <c r="O787" s="90">
        <v>2465.85</v>
      </c>
      <c r="P787" s="90">
        <v>1116.8499999999999</v>
      </c>
      <c r="Q787" s="90">
        <v>91.85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-7135.54</v>
      </c>
      <c r="G788" s="90">
        <v>-371.55</v>
      </c>
      <c r="H788" s="90">
        <v>-207.03</v>
      </c>
      <c r="I788" s="90">
        <v>-110.11</v>
      </c>
      <c r="J788" s="90">
        <v>-1761.62</v>
      </c>
      <c r="K788" s="90">
        <v>-56.3</v>
      </c>
      <c r="L788" s="90">
        <v>0</v>
      </c>
      <c r="M788" s="90">
        <v>-493.81</v>
      </c>
      <c r="N788" s="90">
        <v>-483.05</v>
      </c>
      <c r="O788" s="90">
        <v>-2452.85</v>
      </c>
      <c r="P788" s="90">
        <v>-1107.3699999999999</v>
      </c>
      <c r="Q788" s="90">
        <v>-91.85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-7135.54</v>
      </c>
      <c r="G789" s="90">
        <v>-371.55</v>
      </c>
      <c r="H789" s="90">
        <v>-207.03</v>
      </c>
      <c r="I789" s="90">
        <v>-110.11</v>
      </c>
      <c r="J789" s="90">
        <v>-1761.62</v>
      </c>
      <c r="K789" s="90">
        <v>-56.3</v>
      </c>
      <c r="L789" s="90">
        <v>0</v>
      </c>
      <c r="M789" s="90">
        <v>-493.81</v>
      </c>
      <c r="N789" s="90">
        <v>-483.05</v>
      </c>
      <c r="O789" s="90">
        <v>-2452.85</v>
      </c>
      <c r="P789" s="90">
        <v>-1107.3699999999999</v>
      </c>
      <c r="Q789" s="90">
        <v>-91.85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-179.15</v>
      </c>
      <c r="G790" s="93">
        <v>0</v>
      </c>
      <c r="H790" s="93">
        <v>1.1499999999999999</v>
      </c>
      <c r="I790" s="93">
        <v>0</v>
      </c>
      <c r="J790" s="93">
        <v>-201.03</v>
      </c>
      <c r="K790" s="93">
        <v>0</v>
      </c>
      <c r="L790" s="93">
        <v>0</v>
      </c>
      <c r="M790" s="93">
        <v>0</v>
      </c>
      <c r="N790" s="93">
        <v>-1.75</v>
      </c>
      <c r="O790" s="93">
        <v>13</v>
      </c>
      <c r="P790" s="93">
        <v>9.48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-179.15</v>
      </c>
      <c r="G791" s="377">
        <v>0</v>
      </c>
      <c r="H791" s="377">
        <v>1.1499999999999999</v>
      </c>
      <c r="I791" s="377">
        <v>0</v>
      </c>
      <c r="J791" s="377">
        <v>-201.03</v>
      </c>
      <c r="K791" s="377">
        <v>0</v>
      </c>
      <c r="L791" s="377">
        <v>0</v>
      </c>
      <c r="M791" s="377">
        <v>0</v>
      </c>
      <c r="N791" s="377">
        <v>-1.75</v>
      </c>
      <c r="O791" s="377">
        <v>13</v>
      </c>
      <c r="P791" s="377">
        <v>9.48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-212434127.44</v>
      </c>
      <c r="G792" s="90">
        <v>12817588.130000001</v>
      </c>
      <c r="H792" s="90">
        <v>7257120.2199999997</v>
      </c>
      <c r="I792" s="90">
        <v>3816764.62</v>
      </c>
      <c r="J792" s="90">
        <v>-88078547.670000002</v>
      </c>
      <c r="K792" s="90">
        <v>-2949202.07</v>
      </c>
      <c r="L792" s="90">
        <v>0</v>
      </c>
      <c r="M792" s="90">
        <v>-25876241.129999999</v>
      </c>
      <c r="N792" s="90">
        <v>-26352713.18</v>
      </c>
      <c r="O792" s="90">
        <v>-127870222</v>
      </c>
      <c r="P792" s="90">
        <v>39613740.789999999</v>
      </c>
      <c r="Q792" s="90">
        <v>-4812415.1500000004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-212434127.44</v>
      </c>
      <c r="G793" s="90">
        <v>12817588.130000001</v>
      </c>
      <c r="H793" s="90">
        <v>7257120.2199999997</v>
      </c>
      <c r="I793" s="90">
        <v>3816764.62</v>
      </c>
      <c r="J793" s="90">
        <v>-88078547.670000002</v>
      </c>
      <c r="K793" s="90">
        <v>-2949202.07</v>
      </c>
      <c r="L793" s="90">
        <v>0</v>
      </c>
      <c r="M793" s="90">
        <v>-25876241.129999999</v>
      </c>
      <c r="N793" s="90">
        <v>-26352713.18</v>
      </c>
      <c r="O793" s="90">
        <v>-127870222</v>
      </c>
      <c r="P793" s="90">
        <v>39613740.789999999</v>
      </c>
      <c r="Q793" s="90">
        <v>-4812415.1500000004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-212434127.44</v>
      </c>
      <c r="G794" s="658">
        <v>12817588.130000001</v>
      </c>
      <c r="H794" s="658">
        <v>7257120.2199999997</v>
      </c>
      <c r="I794" s="658">
        <v>3816764.62</v>
      </c>
      <c r="J794" s="658">
        <v>-88078547.670000002</v>
      </c>
      <c r="K794" s="658">
        <v>-2949202.07</v>
      </c>
      <c r="L794" s="658">
        <v>0</v>
      </c>
      <c r="M794" s="658">
        <v>-25876241.129999999</v>
      </c>
      <c r="N794" s="658">
        <v>-26352713.18</v>
      </c>
      <c r="O794" s="658">
        <v>-127870222</v>
      </c>
      <c r="P794" s="658">
        <v>39613740.789999999</v>
      </c>
      <c r="Q794" s="658">
        <v>-4812415.1500000004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-20163338.460000001</v>
      </c>
      <c r="G795" s="90">
        <v>-1029996.99</v>
      </c>
      <c r="H795" s="90">
        <v>-576450.34</v>
      </c>
      <c r="I795" s="90">
        <v>-304358.94</v>
      </c>
      <c r="J795" s="90">
        <v>-4595870.09</v>
      </c>
      <c r="K795" s="90">
        <v>-165789.87</v>
      </c>
      <c r="L795" s="90">
        <v>0</v>
      </c>
      <c r="M795" s="90">
        <v>-1455328.58</v>
      </c>
      <c r="N795" s="90">
        <v>-1421897.43</v>
      </c>
      <c r="O795" s="90">
        <v>-7250635.3600000003</v>
      </c>
      <c r="P795" s="90">
        <v>-3092517.22</v>
      </c>
      <c r="Q795" s="90">
        <v>-270493.64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-20163338.460000001</v>
      </c>
      <c r="G796" s="90">
        <v>-1029996.99</v>
      </c>
      <c r="H796" s="90">
        <v>-576450.34</v>
      </c>
      <c r="I796" s="90">
        <v>-304358.94</v>
      </c>
      <c r="J796" s="90">
        <v>-4595870.09</v>
      </c>
      <c r="K796" s="90">
        <v>-165789.87</v>
      </c>
      <c r="L796" s="90">
        <v>0</v>
      </c>
      <c r="M796" s="90">
        <v>-1455328.58</v>
      </c>
      <c r="N796" s="90">
        <v>-1421897.43</v>
      </c>
      <c r="O796" s="90">
        <v>-7250635.3600000003</v>
      </c>
      <c r="P796" s="90">
        <v>-3092517.22</v>
      </c>
      <c r="Q796" s="90">
        <v>-270493.64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325</v>
      </c>
      <c r="D797" s="739" t="s">
        <v>70</v>
      </c>
      <c r="E797" s="231"/>
      <c r="F797" s="740">
        <v>-20163338.460000001</v>
      </c>
      <c r="G797" s="232">
        <v>-1029996.99</v>
      </c>
      <c r="H797" s="232">
        <v>-576450.34</v>
      </c>
      <c r="I797" s="232">
        <v>-304358.94</v>
      </c>
      <c r="J797" s="232">
        <v>-4595870.09</v>
      </c>
      <c r="K797" s="232">
        <v>-165789.87</v>
      </c>
      <c r="L797" s="232">
        <v>0</v>
      </c>
      <c r="M797" s="232">
        <v>-1455328.58</v>
      </c>
      <c r="N797" s="232">
        <v>-1421897.43</v>
      </c>
      <c r="O797" s="232">
        <v>-7250635.3600000003</v>
      </c>
      <c r="P797" s="232">
        <v>-3092517.22</v>
      </c>
      <c r="Q797" s="232">
        <v>-270493.64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-980339.67</v>
      </c>
      <c r="G798" s="90">
        <v>7057.5</v>
      </c>
      <c r="H798" s="90">
        <v>4782.12</v>
      </c>
      <c r="I798" s="90">
        <v>2435.2199999999998</v>
      </c>
      <c r="J798" s="90">
        <v>-146669.41</v>
      </c>
      <c r="K798" s="90">
        <v>-10379.209999999999</v>
      </c>
      <c r="L798" s="90">
        <v>0</v>
      </c>
      <c r="M798" s="90">
        <v>-91043.06</v>
      </c>
      <c r="N798" s="90">
        <v>-120680.81</v>
      </c>
      <c r="O798" s="90">
        <v>-630674</v>
      </c>
      <c r="P798" s="90">
        <v>21766.43</v>
      </c>
      <c r="Q798" s="90">
        <v>-16934.45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-980339.67</v>
      </c>
      <c r="G799" s="90">
        <v>7057.5</v>
      </c>
      <c r="H799" s="90">
        <v>4782.12</v>
      </c>
      <c r="I799" s="90">
        <v>2435.2199999999998</v>
      </c>
      <c r="J799" s="90">
        <v>-146669.41</v>
      </c>
      <c r="K799" s="90">
        <v>-10379.209999999999</v>
      </c>
      <c r="L799" s="90">
        <v>0</v>
      </c>
      <c r="M799" s="90">
        <v>-91043.06</v>
      </c>
      <c r="N799" s="90">
        <v>-120680.81</v>
      </c>
      <c r="O799" s="90">
        <v>-630674</v>
      </c>
      <c r="P799" s="90">
        <v>21766.43</v>
      </c>
      <c r="Q799" s="90">
        <v>-16934.45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-3973752.02</v>
      </c>
      <c r="G800" s="90">
        <v>6131.66</v>
      </c>
      <c r="H800" s="90">
        <v>23680.44</v>
      </c>
      <c r="I800" s="90">
        <v>6564.21</v>
      </c>
      <c r="J800" s="90">
        <v>-1506532.21</v>
      </c>
      <c r="K800" s="90">
        <v>-36848.04</v>
      </c>
      <c r="L800" s="90">
        <v>0</v>
      </c>
      <c r="M800" s="90">
        <v>-319376.59000000003</v>
      </c>
      <c r="N800" s="90">
        <v>-360407.31</v>
      </c>
      <c r="O800" s="90">
        <v>-1733030.53</v>
      </c>
      <c r="P800" s="90">
        <v>6185.51</v>
      </c>
      <c r="Q800" s="90">
        <v>-60119.16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-3973752.02</v>
      </c>
      <c r="G801" s="90">
        <v>6131.66</v>
      </c>
      <c r="H801" s="90">
        <v>23680.44</v>
      </c>
      <c r="I801" s="90">
        <v>6564.21</v>
      </c>
      <c r="J801" s="90">
        <v>-1506532.21</v>
      </c>
      <c r="K801" s="90">
        <v>-36848.04</v>
      </c>
      <c r="L801" s="90">
        <v>0</v>
      </c>
      <c r="M801" s="90">
        <v>-319376.59000000003</v>
      </c>
      <c r="N801" s="90">
        <v>-360407.31</v>
      </c>
      <c r="O801" s="90">
        <v>-1733030.53</v>
      </c>
      <c r="P801" s="90">
        <v>6185.51</v>
      </c>
      <c r="Q801" s="90">
        <v>-60119.16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46918738.030000001</v>
      </c>
      <c r="G802" s="90">
        <v>8846352.6799999997</v>
      </c>
      <c r="H802" s="90">
        <v>4929565.3099999996</v>
      </c>
      <c r="I802" s="90">
        <v>2620129.5499999998</v>
      </c>
      <c r="J802" s="90">
        <v>1600455.27</v>
      </c>
      <c r="K802" s="90">
        <v>36122.69</v>
      </c>
      <c r="L802" s="90">
        <v>0</v>
      </c>
      <c r="M802" s="90">
        <v>316180.13</v>
      </c>
      <c r="N802" s="90">
        <v>332830.40999999997</v>
      </c>
      <c r="O802" s="90">
        <v>1664222.96</v>
      </c>
      <c r="P802" s="90">
        <v>26513941.539999999</v>
      </c>
      <c r="Q802" s="90">
        <v>58937.49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46918738.030000001</v>
      </c>
      <c r="G803" s="90">
        <v>8846352.6799999997</v>
      </c>
      <c r="H803" s="90">
        <v>4929565.3099999996</v>
      </c>
      <c r="I803" s="90">
        <v>2620129.5499999998</v>
      </c>
      <c r="J803" s="90">
        <v>1600455.27</v>
      </c>
      <c r="K803" s="90">
        <v>36122.69</v>
      </c>
      <c r="L803" s="90">
        <v>0</v>
      </c>
      <c r="M803" s="90">
        <v>316180.13</v>
      </c>
      <c r="N803" s="90">
        <v>332830.40999999997</v>
      </c>
      <c r="O803" s="90">
        <v>1664222.96</v>
      </c>
      <c r="P803" s="90">
        <v>26513941.539999999</v>
      </c>
      <c r="Q803" s="90">
        <v>58937.49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41964646.340000004</v>
      </c>
      <c r="G804" s="93">
        <v>8859541.8399999999</v>
      </c>
      <c r="H804" s="93">
        <v>4958027.87</v>
      </c>
      <c r="I804" s="93">
        <v>2629128.98</v>
      </c>
      <c r="J804" s="93">
        <v>-52746.35</v>
      </c>
      <c r="K804" s="93">
        <v>-11104.56</v>
      </c>
      <c r="L804" s="93">
        <v>0</v>
      </c>
      <c r="M804" s="93">
        <v>-94239.52</v>
      </c>
      <c r="N804" s="93">
        <v>-148257.71</v>
      </c>
      <c r="O804" s="93">
        <v>-699481.57</v>
      </c>
      <c r="P804" s="93">
        <v>26541893.48</v>
      </c>
      <c r="Q804" s="93">
        <v>-18116.12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-190632819.56</v>
      </c>
      <c r="G805" s="100">
        <v>20647132.98</v>
      </c>
      <c r="H805" s="100">
        <v>11638697.75</v>
      </c>
      <c r="I805" s="100">
        <v>6141534.6600000001</v>
      </c>
      <c r="J805" s="100">
        <v>-92727164.109999999</v>
      </c>
      <c r="K805" s="100">
        <v>-3126096.5</v>
      </c>
      <c r="L805" s="100">
        <v>0</v>
      </c>
      <c r="M805" s="100">
        <v>-27425809.23</v>
      </c>
      <c r="N805" s="100">
        <v>-27922868.32</v>
      </c>
      <c r="O805" s="100">
        <v>-135820338.93000001</v>
      </c>
      <c r="P805" s="100">
        <v>63063117.049999997</v>
      </c>
      <c r="Q805" s="100">
        <v>-5101024.91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-190632998.71000001</v>
      </c>
      <c r="G806" s="90">
        <v>20647132.98</v>
      </c>
      <c r="H806" s="90">
        <v>11638698.9</v>
      </c>
      <c r="I806" s="90">
        <v>6141534.6600000001</v>
      </c>
      <c r="J806" s="90">
        <v>-92727365.140000001</v>
      </c>
      <c r="K806" s="90">
        <v>-3126096.5</v>
      </c>
      <c r="L806" s="90">
        <v>0</v>
      </c>
      <c r="M806" s="90">
        <v>-27425809.23</v>
      </c>
      <c r="N806" s="90">
        <v>-27922870.07</v>
      </c>
      <c r="O806" s="90">
        <v>-135820325.93000001</v>
      </c>
      <c r="P806" s="90">
        <v>63063126.530000001</v>
      </c>
      <c r="Q806" s="90">
        <v>-5101024.91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9161311356</v>
      </c>
      <c r="G807" s="90">
        <v>520643555.75999999</v>
      </c>
      <c r="H807" s="90">
        <v>290935395.77999997</v>
      </c>
      <c r="I807" s="90">
        <v>154071022.71000001</v>
      </c>
      <c r="J807" s="90">
        <v>2002851954.6600001</v>
      </c>
      <c r="K807" s="90">
        <v>72125802.450000003</v>
      </c>
      <c r="L807" s="90">
        <v>32575938.379999999</v>
      </c>
      <c r="M807" s="90">
        <v>633031460.16999996</v>
      </c>
      <c r="N807" s="90">
        <v>614742586.42999995</v>
      </c>
      <c r="O807" s="90">
        <v>3162491058.1900001</v>
      </c>
      <c r="P807" s="90">
        <v>1560085566.01</v>
      </c>
      <c r="Q807" s="90">
        <v>117773411.77</v>
      </c>
      <c r="R807" s="90">
        <v>-16290.63</v>
      </c>
      <c r="S807" s="90">
        <v>-4.47</v>
      </c>
      <c r="T807">
        <v>6.57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-107.78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8" t="s">
        <v>2</v>
      </c>
      <c r="D811" s="776" t="s">
        <v>132</v>
      </c>
      <c r="E811" s="98" t="s">
        <v>70</v>
      </c>
      <c r="F811" s="100">
        <f>F805+F776+F737-L737-L776</f>
        <v>9128674277.6200008</v>
      </c>
      <c r="G811" s="100">
        <f>G776+G737</f>
        <v>499993856.34999996</v>
      </c>
      <c r="H811" s="100">
        <f t="shared" ref="H811:AO811" si="34">H776+H737</f>
        <v>279295266.87</v>
      </c>
      <c r="I811" s="100">
        <f t="shared" si="34"/>
        <v>147928727.49000001</v>
      </c>
      <c r="J811" s="100">
        <f t="shared" si="34"/>
        <v>2095567575.6800001</v>
      </c>
      <c r="K811" s="100">
        <f t="shared" si="34"/>
        <v>75251314.050000012</v>
      </c>
      <c r="L811" s="100">
        <f t="shared" si="34"/>
        <v>32575938.379999999</v>
      </c>
      <c r="M811" s="100">
        <f t="shared" si="34"/>
        <v>660452138.73000002</v>
      </c>
      <c r="N811" s="100">
        <f t="shared" si="34"/>
        <v>642660437.5999999</v>
      </c>
      <c r="O811" s="100">
        <f t="shared" si="34"/>
        <v>3298285899.1500001</v>
      </c>
      <c r="P811" s="100">
        <f t="shared" si="34"/>
        <v>1497014790.46</v>
      </c>
      <c r="Q811" s="100">
        <f t="shared" si="34"/>
        <v>122873482.37</v>
      </c>
      <c r="R811" s="100">
        <f t="shared" si="34"/>
        <v>-16285.89</v>
      </c>
      <c r="S811" s="100">
        <f t="shared" si="34"/>
        <v>-4.47</v>
      </c>
      <c r="T811" s="100">
        <f t="shared" si="34"/>
        <v>6.57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-107.78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8"/>
      <c r="D812" s="776"/>
      <c r="E812" s="98" t="s">
        <v>73</v>
      </c>
      <c r="F812" s="100">
        <f>F805</f>
        <v>-190632819.56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8"/>
      <c r="D813" s="776" t="s">
        <v>133</v>
      </c>
      <c r="E813" s="233" t="s">
        <v>70</v>
      </c>
      <c r="F813" s="234">
        <f>F791+F757-L757</f>
        <v>61140</v>
      </c>
      <c r="G813" s="234">
        <f>G757</f>
        <v>2566.4299999999998</v>
      </c>
      <c r="H813" s="234">
        <f t="shared" ref="H813:AO813" si="35">H757</f>
        <v>1430.01</v>
      </c>
      <c r="I813" s="234">
        <f t="shared" si="35"/>
        <v>760.56</v>
      </c>
      <c r="J813" s="234">
        <f t="shared" si="35"/>
        <v>11744.12</v>
      </c>
      <c r="K813" s="234">
        <f t="shared" si="35"/>
        <v>584.9</v>
      </c>
      <c r="L813" s="234">
        <f t="shared" si="35"/>
        <v>0</v>
      </c>
      <c r="M813" s="234">
        <f t="shared" si="35"/>
        <v>5130.67</v>
      </c>
      <c r="N813" s="234">
        <f t="shared" si="35"/>
        <v>5018.8999999999996</v>
      </c>
      <c r="O813" s="234">
        <f t="shared" si="35"/>
        <v>25484.97</v>
      </c>
      <c r="P813" s="234">
        <f t="shared" si="35"/>
        <v>7649.02</v>
      </c>
      <c r="Q813" s="234">
        <f t="shared" si="35"/>
        <v>954.31</v>
      </c>
      <c r="R813" s="234">
        <f t="shared" si="35"/>
        <v>-4.74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8"/>
      <c r="D814" s="776"/>
      <c r="E814" s="233" t="s">
        <v>73</v>
      </c>
      <c r="F814" s="234">
        <f>F791</f>
        <v>-179.15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8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8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8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8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8" t="s">
        <v>155</v>
      </c>
      <c r="D821" s="776" t="s">
        <v>132</v>
      </c>
      <c r="E821" s="221" t="s">
        <v>70</v>
      </c>
      <c r="F821" s="222">
        <f>F794+F761+F729-L729-L761</f>
        <v>8782962300.0100002</v>
      </c>
      <c r="G821" s="222">
        <f>G761+G729</f>
        <v>474204302.95999998</v>
      </c>
      <c r="H821" s="222">
        <f t="shared" ref="H821:AO821" si="36">H761+H729</f>
        <v>265133967.25</v>
      </c>
      <c r="I821" s="222">
        <f t="shared" si="36"/>
        <v>140434645.56</v>
      </c>
      <c r="J821" s="222">
        <f t="shared" si="36"/>
        <v>2041090494.45</v>
      </c>
      <c r="K821" s="222">
        <f t="shared" si="36"/>
        <v>73126805.170000002</v>
      </c>
      <c r="L821" s="222">
        <f t="shared" si="36"/>
        <v>5862361.9900000002</v>
      </c>
      <c r="M821" s="222">
        <f t="shared" si="36"/>
        <v>641840330.98000002</v>
      </c>
      <c r="N821" s="222">
        <f t="shared" si="36"/>
        <v>622946276.96000004</v>
      </c>
      <c r="O821" s="222">
        <f t="shared" si="36"/>
        <v>3197299686.1199999</v>
      </c>
      <c r="P821" s="222">
        <f t="shared" si="36"/>
        <v>1419950178.04</v>
      </c>
      <c r="Q821" s="222">
        <f t="shared" si="36"/>
        <v>119382561.47999999</v>
      </c>
      <c r="R821" s="222">
        <f t="shared" si="36"/>
        <v>-12784.43</v>
      </c>
      <c r="S821" s="222">
        <f t="shared" si="36"/>
        <v>-4.37</v>
      </c>
      <c r="T821" s="222">
        <f t="shared" si="36"/>
        <v>4.7300000000000004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-37.450000000000003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8"/>
      <c r="D822" s="776"/>
      <c r="E822" s="221" t="s">
        <v>73</v>
      </c>
      <c r="F822" s="222">
        <f>F794</f>
        <v>-212434127.44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8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8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9" t="s">
        <v>325</v>
      </c>
      <c r="D826" s="776" t="s">
        <v>132</v>
      </c>
      <c r="E826" s="373" t="s">
        <v>70</v>
      </c>
      <c r="F826" s="374">
        <f>F797+F765-L765</f>
        <v>137170902</v>
      </c>
      <c r="G826" s="374">
        <f>G765</f>
        <v>8742692.4100000001</v>
      </c>
      <c r="H826" s="374">
        <f t="shared" ref="H826:AO826" si="38">H765</f>
        <v>4875107.3</v>
      </c>
      <c r="I826" s="374">
        <f t="shared" si="38"/>
        <v>2601178.42</v>
      </c>
      <c r="J826" s="374">
        <f t="shared" si="38"/>
        <v>34828590.310000002</v>
      </c>
      <c r="K826" s="374">
        <f t="shared" si="38"/>
        <v>1248070.6599999999</v>
      </c>
      <c r="L826" s="374">
        <f>L765</f>
        <v>0</v>
      </c>
      <c r="M826" s="374">
        <f t="shared" si="38"/>
        <v>10923976.050000001</v>
      </c>
      <c r="N826" s="374">
        <f t="shared" si="38"/>
        <v>10791847.6</v>
      </c>
      <c r="O826" s="374">
        <f t="shared" si="38"/>
        <v>55071465.420000002</v>
      </c>
      <c r="P826" s="374">
        <f t="shared" si="38"/>
        <v>26210306.420000002</v>
      </c>
      <c r="Q826" s="374">
        <f t="shared" si="38"/>
        <v>2042410.35</v>
      </c>
      <c r="R826" s="374">
        <f t="shared" si="38"/>
        <v>-1404.48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9"/>
      <c r="D827" s="776"/>
      <c r="E827" s="373" t="s">
        <v>73</v>
      </c>
      <c r="F827" s="374">
        <f>F797</f>
        <v>-20163338.460000001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9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9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8" t="s">
        <v>119</v>
      </c>
      <c r="D831" s="776" t="s">
        <v>132</v>
      </c>
      <c r="E831" s="101" t="s">
        <v>70</v>
      </c>
      <c r="F831" s="93">
        <f>F775+F804+F736-L736-L775</f>
        <v>208541075.61000001</v>
      </c>
      <c r="G831" s="93">
        <f>G775+G736</f>
        <v>17046860.98</v>
      </c>
      <c r="H831" s="93">
        <f t="shared" ref="H831:AO831" si="40">H775+H736</f>
        <v>9286192.3200000003</v>
      </c>
      <c r="I831" s="93">
        <f t="shared" si="40"/>
        <v>4892903.51</v>
      </c>
      <c r="J831" s="93">
        <f t="shared" si="40"/>
        <v>19648490.920000002</v>
      </c>
      <c r="K831" s="93">
        <f t="shared" si="40"/>
        <v>876438.22</v>
      </c>
      <c r="L831" s="93">
        <f t="shared" si="40"/>
        <v>26713576.390000001</v>
      </c>
      <c r="M831" s="93">
        <f t="shared" si="40"/>
        <v>7687831.7000000002</v>
      </c>
      <c r="N831" s="93">
        <f t="shared" si="40"/>
        <v>8922313.040000001</v>
      </c>
      <c r="O831" s="93">
        <f t="shared" si="40"/>
        <v>45914747.609999999</v>
      </c>
      <c r="P831" s="93">
        <f t="shared" si="40"/>
        <v>50854306</v>
      </c>
      <c r="Q831" s="93">
        <f t="shared" si="40"/>
        <v>1448510.54</v>
      </c>
      <c r="R831" s="93">
        <f t="shared" si="40"/>
        <v>-2096.98</v>
      </c>
      <c r="S831" s="93">
        <f t="shared" si="40"/>
        <v>-0.1</v>
      </c>
      <c r="T831" s="93">
        <f t="shared" si="40"/>
        <v>1.84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-70.33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8"/>
      <c r="D832" s="776"/>
      <c r="E832" s="101" t="s">
        <v>73</v>
      </c>
      <c r="F832" s="93">
        <f>F804</f>
        <v>41964646.340000004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8"/>
      <c r="D833" s="776" t="s">
        <v>133</v>
      </c>
      <c r="E833" s="235" t="s">
        <v>70</v>
      </c>
      <c r="F833" s="236">
        <f>F790+F756-L756</f>
        <v>61140</v>
      </c>
      <c r="G833" s="236">
        <f>G756</f>
        <v>2566.4299999999998</v>
      </c>
      <c r="H833" s="236">
        <f t="shared" ref="H833:AO833" si="41">H756</f>
        <v>1430.01</v>
      </c>
      <c r="I833" s="236">
        <f t="shared" si="41"/>
        <v>760.56</v>
      </c>
      <c r="J833" s="236">
        <f t="shared" si="41"/>
        <v>11744.12</v>
      </c>
      <c r="K833" s="236">
        <f t="shared" si="41"/>
        <v>584.9</v>
      </c>
      <c r="L833" s="236">
        <f t="shared" si="41"/>
        <v>0</v>
      </c>
      <c r="M833" s="236">
        <f t="shared" si="41"/>
        <v>5130.67</v>
      </c>
      <c r="N833" s="236">
        <f t="shared" si="41"/>
        <v>5018.8999999999996</v>
      </c>
      <c r="O833" s="236">
        <f t="shared" si="41"/>
        <v>25484.97</v>
      </c>
      <c r="P833" s="236">
        <f t="shared" si="41"/>
        <v>7649.02</v>
      </c>
      <c r="Q833" s="236">
        <f t="shared" si="41"/>
        <v>954.31</v>
      </c>
      <c r="R833" s="236">
        <f t="shared" si="41"/>
        <v>-4.74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8"/>
      <c r="D834" s="776"/>
      <c r="E834" s="235" t="s">
        <v>73</v>
      </c>
      <c r="F834" s="236">
        <f>F790</f>
        <v>-179.15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7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7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7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7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-29681.86</v>
      </c>
      <c r="G841" s="460">
        <f t="shared" ref="G841:AA841" si="42">G738</f>
        <v>-2042.55</v>
      </c>
      <c r="H841" s="460">
        <f t="shared" si="42"/>
        <v>-867.73</v>
      </c>
      <c r="I841" s="460">
        <f t="shared" si="42"/>
        <v>-378.94</v>
      </c>
      <c r="J841" s="460">
        <f t="shared" si="42"/>
        <v>-5515.52</v>
      </c>
      <c r="K841" s="460">
        <f t="shared" si="42"/>
        <v>-317.57</v>
      </c>
      <c r="L841" s="460">
        <f t="shared" si="42"/>
        <v>0</v>
      </c>
      <c r="M841" s="460">
        <f t="shared" si="42"/>
        <v>-2785.77</v>
      </c>
      <c r="N841" s="460">
        <f t="shared" si="42"/>
        <v>-2498.4499999999998</v>
      </c>
      <c r="O841" s="460">
        <f t="shared" si="42"/>
        <v>-9132.41</v>
      </c>
      <c r="P841" s="460">
        <f t="shared" si="42"/>
        <v>-5624.76</v>
      </c>
      <c r="Q841" s="460">
        <f t="shared" si="42"/>
        <v>-518.16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12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331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29113116.190000001</v>
      </c>
      <c r="F7" s="89">
        <v>1628607.22</v>
      </c>
      <c r="G7" s="89">
        <v>888839.63</v>
      </c>
      <c r="H7" s="384">
        <v>520100</v>
      </c>
      <c r="I7" s="89">
        <v>4494462.8499999996</v>
      </c>
      <c r="J7" s="89">
        <v>206660.7</v>
      </c>
      <c r="K7" s="89">
        <v>0</v>
      </c>
      <c r="L7" s="89">
        <v>2285816.44</v>
      </c>
      <c r="M7" s="89">
        <v>2318036.17</v>
      </c>
      <c r="N7" s="89">
        <v>11916209.890000001</v>
      </c>
      <c r="O7" s="89">
        <v>4523138.78</v>
      </c>
      <c r="P7" s="89">
        <v>331271.2</v>
      </c>
      <c r="Q7" s="89">
        <v>-26.69</v>
      </c>
      <c r="R7">
        <v>0</v>
      </c>
    </row>
    <row r="8" spans="2:19" ht="12.75" customHeight="1" x14ac:dyDescent="0.25">
      <c r="D8" t="s">
        <v>81</v>
      </c>
      <c r="E8">
        <v>1903.01</v>
      </c>
      <c r="F8">
        <v>73.459999999999994</v>
      </c>
      <c r="G8">
        <v>40.200000000000003</v>
      </c>
      <c r="H8">
        <v>21.55</v>
      </c>
      <c r="I8">
        <v>326.7</v>
      </c>
      <c r="J8">
        <v>21.37</v>
      </c>
      <c r="K8">
        <v>0</v>
      </c>
      <c r="L8">
        <v>192.26</v>
      </c>
      <c r="M8">
        <v>174.97</v>
      </c>
      <c r="N8">
        <v>818.31</v>
      </c>
      <c r="O8">
        <v>199.3</v>
      </c>
      <c r="P8">
        <v>34.85</v>
      </c>
      <c r="Q8">
        <v>0.04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29115019.199999999</v>
      </c>
      <c r="F9">
        <v>1628680.68</v>
      </c>
      <c r="G9">
        <v>888879.83</v>
      </c>
      <c r="H9">
        <v>520121.55</v>
      </c>
      <c r="I9">
        <v>4494789.55</v>
      </c>
      <c r="J9">
        <v>206682.07</v>
      </c>
      <c r="K9">
        <v>0</v>
      </c>
      <c r="L9">
        <v>2286008.7000000002</v>
      </c>
      <c r="M9">
        <v>2318211.14</v>
      </c>
      <c r="N9">
        <v>11917028.199999999</v>
      </c>
      <c r="O9">
        <v>4523338.08</v>
      </c>
      <c r="P9">
        <v>331306.05</v>
      </c>
      <c r="Q9">
        <v>-26.65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29115019.199999999</v>
      </c>
      <c r="F10" s="286">
        <v>1628680.68</v>
      </c>
      <c r="G10" s="286">
        <v>888879.83</v>
      </c>
      <c r="H10" s="286">
        <v>520121.55</v>
      </c>
      <c r="I10" s="286">
        <v>4494789.55</v>
      </c>
      <c r="J10" s="286">
        <v>206682.07</v>
      </c>
      <c r="K10" s="286">
        <v>0</v>
      </c>
      <c r="L10" s="286">
        <v>2286008.7000000002</v>
      </c>
      <c r="M10" s="286">
        <v>2318211.14</v>
      </c>
      <c r="N10" s="286">
        <v>11917028.199999999</v>
      </c>
      <c r="O10" s="286">
        <v>4523338.08</v>
      </c>
      <c r="P10" s="286">
        <v>331306.05</v>
      </c>
      <c r="Q10" s="286">
        <v>-26.65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325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793692.13</v>
      </c>
      <c r="F15">
        <v>30716.86</v>
      </c>
      <c r="G15">
        <v>16909.04</v>
      </c>
      <c r="H15">
        <v>9688.4</v>
      </c>
      <c r="I15">
        <v>151298.66</v>
      </c>
      <c r="J15">
        <v>7470.71</v>
      </c>
      <c r="K15">
        <v>0</v>
      </c>
      <c r="L15">
        <v>68892.289999999994</v>
      </c>
      <c r="M15">
        <v>68745.87</v>
      </c>
      <c r="N15">
        <v>346268.88</v>
      </c>
      <c r="O15">
        <v>81506.789999999994</v>
      </c>
      <c r="P15">
        <v>12188.93</v>
      </c>
      <c r="Q15">
        <v>5.7</v>
      </c>
      <c r="R15">
        <v>0</v>
      </c>
    </row>
    <row r="16" spans="2:19" ht="12.75" customHeight="1" x14ac:dyDescent="0.25">
      <c r="B16" s="142"/>
      <c r="D16" t="s">
        <v>81</v>
      </c>
      <c r="E16" s="142">
        <v>390.56</v>
      </c>
      <c r="F16">
        <v>13.47</v>
      </c>
      <c r="G16">
        <v>6.62</v>
      </c>
      <c r="H16">
        <v>4.12</v>
      </c>
      <c r="I16">
        <v>56.72</v>
      </c>
      <c r="J16">
        <v>4.51</v>
      </c>
      <c r="K16">
        <v>0</v>
      </c>
      <c r="L16">
        <v>39.61</v>
      </c>
      <c r="M16">
        <v>38.85</v>
      </c>
      <c r="N16">
        <v>182.43</v>
      </c>
      <c r="O16">
        <v>36.86</v>
      </c>
      <c r="P16">
        <v>7.36</v>
      </c>
      <c r="Q16">
        <v>0.01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794082.69</v>
      </c>
      <c r="F17">
        <v>30730.33</v>
      </c>
      <c r="G17">
        <v>16915.66</v>
      </c>
      <c r="H17">
        <v>9692.52</v>
      </c>
      <c r="I17">
        <v>151355.38</v>
      </c>
      <c r="J17">
        <v>7475.22</v>
      </c>
      <c r="K17">
        <v>0</v>
      </c>
      <c r="L17">
        <v>68931.899999999994</v>
      </c>
      <c r="M17">
        <v>68784.72</v>
      </c>
      <c r="N17">
        <v>346451.31</v>
      </c>
      <c r="O17">
        <v>81543.649999999994</v>
      </c>
      <c r="P17">
        <v>12196.29</v>
      </c>
      <c r="Q17">
        <v>5.71</v>
      </c>
      <c r="R17">
        <v>0</v>
      </c>
    </row>
    <row r="18" spans="1:18" ht="12.75" customHeight="1" x14ac:dyDescent="0.25">
      <c r="B18" s="142"/>
      <c r="D18" t="s">
        <v>72</v>
      </c>
      <c r="E18">
        <v>462871.22</v>
      </c>
      <c r="F18">
        <v>17750.61</v>
      </c>
      <c r="G18">
        <v>9935.1200000000008</v>
      </c>
      <c r="H18">
        <v>5797.01</v>
      </c>
      <c r="I18">
        <v>63590.58</v>
      </c>
      <c r="J18">
        <v>4697.55</v>
      </c>
      <c r="K18">
        <v>0</v>
      </c>
      <c r="L18">
        <v>43276.6</v>
      </c>
      <c r="M18">
        <v>42645.09</v>
      </c>
      <c r="N18">
        <v>218816.26</v>
      </c>
      <c r="O18">
        <v>48699.89</v>
      </c>
      <c r="P18">
        <v>7664.33</v>
      </c>
      <c r="Q18">
        <v>-1.82</v>
      </c>
      <c r="R18">
        <v>0</v>
      </c>
    </row>
    <row r="19" spans="1:18" ht="12.75" customHeight="1" x14ac:dyDescent="0.25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462871.22</v>
      </c>
      <c r="F20">
        <v>17750.61</v>
      </c>
      <c r="G20">
        <v>9935.1200000000008</v>
      </c>
      <c r="H20">
        <v>5797.01</v>
      </c>
      <c r="I20">
        <v>63590.58</v>
      </c>
      <c r="J20">
        <v>4697.55</v>
      </c>
      <c r="K20">
        <v>0</v>
      </c>
      <c r="L20">
        <v>43276.6</v>
      </c>
      <c r="M20">
        <v>42645.09</v>
      </c>
      <c r="N20">
        <v>218816.26</v>
      </c>
      <c r="O20">
        <v>48699.89</v>
      </c>
      <c r="P20">
        <v>7664.33</v>
      </c>
      <c r="Q20">
        <v>-1.82</v>
      </c>
      <c r="R20">
        <v>0</v>
      </c>
    </row>
    <row r="21" spans="1:18" ht="12.75" customHeight="1" x14ac:dyDescent="0.25">
      <c r="B21" s="142"/>
      <c r="D21" t="s">
        <v>72</v>
      </c>
      <c r="E21" s="142">
        <v>2198318.92</v>
      </c>
      <c r="F21">
        <v>188049.69</v>
      </c>
      <c r="G21">
        <v>89756.71</v>
      </c>
      <c r="H21">
        <v>48201.07</v>
      </c>
      <c r="I21">
        <v>310657.06</v>
      </c>
      <c r="J21">
        <v>11520.24</v>
      </c>
      <c r="K21">
        <v>0</v>
      </c>
      <c r="L21">
        <v>108962.88</v>
      </c>
      <c r="M21">
        <v>96743.8</v>
      </c>
      <c r="N21">
        <v>469156.33</v>
      </c>
      <c r="O21">
        <v>856474.39</v>
      </c>
      <c r="P21">
        <v>18795.96</v>
      </c>
      <c r="Q21">
        <v>0.79</v>
      </c>
      <c r="R21">
        <v>0</v>
      </c>
    </row>
    <row r="22" spans="1:18" ht="12.75" customHeight="1" x14ac:dyDescent="0.25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2198318.92</v>
      </c>
      <c r="F23" s="90">
        <v>188049.69</v>
      </c>
      <c r="G23" s="90">
        <v>89756.71</v>
      </c>
      <c r="H23" s="90">
        <v>48201.07</v>
      </c>
      <c r="I23" s="90">
        <v>310657.06</v>
      </c>
      <c r="J23" s="90">
        <v>11520.24</v>
      </c>
      <c r="K23" s="90">
        <v>0</v>
      </c>
      <c r="L23" s="90">
        <v>108962.88</v>
      </c>
      <c r="M23" s="90">
        <v>96743.8</v>
      </c>
      <c r="N23" s="90">
        <v>469156.33</v>
      </c>
      <c r="O23" s="90">
        <v>856474.39</v>
      </c>
      <c r="P23" s="90">
        <v>18795.96</v>
      </c>
      <c r="Q23" s="90">
        <v>0.79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3455272.83</v>
      </c>
      <c r="F24" s="93">
        <v>236530.63</v>
      </c>
      <c r="G24" s="93">
        <v>116607.49</v>
      </c>
      <c r="H24" s="93">
        <v>63690.6</v>
      </c>
      <c r="I24" s="93">
        <v>525603.02</v>
      </c>
      <c r="J24" s="93">
        <v>23693.01</v>
      </c>
      <c r="K24" s="93">
        <v>0</v>
      </c>
      <c r="L24" s="93">
        <v>221171.38</v>
      </c>
      <c r="M24" s="93">
        <v>208173.61</v>
      </c>
      <c r="N24" s="93">
        <v>1034423.9</v>
      </c>
      <c r="O24" s="93">
        <v>986717.93</v>
      </c>
      <c r="P24" s="93">
        <v>38656.58</v>
      </c>
      <c r="Q24" s="93">
        <v>4.68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32570292.030000001</v>
      </c>
      <c r="F25" s="100">
        <v>1865211.31</v>
      </c>
      <c r="G25" s="100">
        <v>1005487.32</v>
      </c>
      <c r="H25" s="100">
        <v>583812.15</v>
      </c>
      <c r="I25" s="100">
        <v>5020392.57</v>
      </c>
      <c r="J25" s="100">
        <v>230375.08</v>
      </c>
      <c r="K25" s="100">
        <v>0</v>
      </c>
      <c r="L25" s="100">
        <v>2507180.08</v>
      </c>
      <c r="M25" s="100">
        <v>2526384.75</v>
      </c>
      <c r="N25" s="100">
        <v>12951452.1</v>
      </c>
      <c r="O25" s="100">
        <v>5510056.0099999998</v>
      </c>
      <c r="P25" s="100">
        <v>369962.63</v>
      </c>
      <c r="Q25" s="100">
        <v>-21.97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331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1139503.23</v>
      </c>
      <c r="F29" s="90">
        <v>264067.13</v>
      </c>
      <c r="G29" s="90">
        <v>147039.04999999999</v>
      </c>
      <c r="H29" s="90">
        <v>72868.600000000006</v>
      </c>
      <c r="I29" s="90">
        <v>-136480.29999999999</v>
      </c>
      <c r="J29" s="90">
        <v>3896.46</v>
      </c>
      <c r="K29" s="90">
        <v>0</v>
      </c>
      <c r="L29" s="90">
        <v>-61838.04</v>
      </c>
      <c r="M29" s="90">
        <v>-5695.54</v>
      </c>
      <c r="N29" s="90">
        <v>107985.49</v>
      </c>
      <c r="O29" s="90">
        <v>741490.48</v>
      </c>
      <c r="P29" s="90">
        <v>6169.9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1139503.23</v>
      </c>
      <c r="F30" s="90">
        <v>264067.13</v>
      </c>
      <c r="G30" s="90">
        <v>147039.04999999999</v>
      </c>
      <c r="H30" s="90">
        <v>72868.600000000006</v>
      </c>
      <c r="I30" s="90">
        <v>-136480.29999999999</v>
      </c>
      <c r="J30" s="90">
        <v>3896.46</v>
      </c>
      <c r="K30" s="90">
        <v>0</v>
      </c>
      <c r="L30" s="90">
        <v>-61838.04</v>
      </c>
      <c r="M30" s="90">
        <v>-5695.54</v>
      </c>
      <c r="N30" s="90">
        <v>107985.49</v>
      </c>
      <c r="O30" s="90">
        <v>741490.48</v>
      </c>
      <c r="P30" s="90">
        <v>6169.9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1139503.23</v>
      </c>
      <c r="F31" s="286">
        <v>264067.13</v>
      </c>
      <c r="G31" s="286">
        <v>147039.04999999999</v>
      </c>
      <c r="H31" s="286">
        <v>72868.600000000006</v>
      </c>
      <c r="I31" s="286">
        <v>-136480.29999999999</v>
      </c>
      <c r="J31" s="286">
        <v>3896.46</v>
      </c>
      <c r="K31" s="286">
        <v>0</v>
      </c>
      <c r="L31" s="286">
        <v>-61838.04</v>
      </c>
      <c r="M31" s="286">
        <v>-5695.54</v>
      </c>
      <c r="N31" s="286">
        <v>107985.49</v>
      </c>
      <c r="O31" s="286">
        <v>741490.48</v>
      </c>
      <c r="P31" s="286">
        <v>6169.9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325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124917.68</v>
      </c>
      <c r="F35" s="90">
        <v>5425.49</v>
      </c>
      <c r="G35" s="90">
        <v>3470.55</v>
      </c>
      <c r="H35" s="90">
        <v>2025.09</v>
      </c>
      <c r="I35" s="90">
        <v>30214.16</v>
      </c>
      <c r="J35" s="90">
        <v>1088.1099999999999</v>
      </c>
      <c r="K35" s="90">
        <v>0</v>
      </c>
      <c r="L35" s="90">
        <v>9544.9699999999993</v>
      </c>
      <c r="M35" s="90">
        <v>9235.0499999999993</v>
      </c>
      <c r="N35" s="90">
        <v>43751.21</v>
      </c>
      <c r="O35" s="90">
        <v>18387.71</v>
      </c>
      <c r="P35" s="90">
        <v>1775.34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124917.68</v>
      </c>
      <c r="F36" s="90">
        <v>5425.49</v>
      </c>
      <c r="G36" s="90">
        <v>3470.55</v>
      </c>
      <c r="H36" s="90">
        <v>2025.09</v>
      </c>
      <c r="I36" s="90">
        <v>30214.16</v>
      </c>
      <c r="J36" s="90">
        <v>1088.1099999999999</v>
      </c>
      <c r="K36" s="90">
        <v>0</v>
      </c>
      <c r="L36" s="90">
        <v>9544.9699999999993</v>
      </c>
      <c r="M36" s="90">
        <v>9235.0499999999993</v>
      </c>
      <c r="N36" s="90">
        <v>43751.21</v>
      </c>
      <c r="O36" s="90">
        <v>18387.71</v>
      </c>
      <c r="P36" s="90">
        <v>1775.34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166291.04999999999</v>
      </c>
      <c r="F37" s="90">
        <v>8434.3799999999992</v>
      </c>
      <c r="G37" s="90">
        <v>4699.6000000000004</v>
      </c>
      <c r="H37" s="90">
        <v>2499.5</v>
      </c>
      <c r="I37" s="90">
        <v>29821.33</v>
      </c>
      <c r="J37" s="90">
        <v>1737.19</v>
      </c>
      <c r="K37" s="90">
        <v>0</v>
      </c>
      <c r="L37" s="90">
        <v>13525.99</v>
      </c>
      <c r="M37" s="90">
        <v>12946.73</v>
      </c>
      <c r="N37" s="90">
        <v>66755.66</v>
      </c>
      <c r="O37" s="90">
        <v>23036.36</v>
      </c>
      <c r="P37" s="90">
        <v>2834.31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166291.04999999999</v>
      </c>
      <c r="F38" s="90">
        <v>8434.3799999999992</v>
      </c>
      <c r="G38" s="90">
        <v>4699.6000000000004</v>
      </c>
      <c r="H38" s="90">
        <v>2499.5</v>
      </c>
      <c r="I38" s="90">
        <v>29821.33</v>
      </c>
      <c r="J38" s="90">
        <v>1737.19</v>
      </c>
      <c r="K38" s="90">
        <v>0</v>
      </c>
      <c r="L38" s="90">
        <v>13525.99</v>
      </c>
      <c r="M38" s="90">
        <v>12946.73</v>
      </c>
      <c r="N38" s="90">
        <v>66755.66</v>
      </c>
      <c r="O38" s="90">
        <v>23036.36</v>
      </c>
      <c r="P38" s="90">
        <v>2834.31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843950.15</v>
      </c>
      <c r="F39" s="90">
        <v>106181.23</v>
      </c>
      <c r="G39" s="90">
        <v>59113.51</v>
      </c>
      <c r="H39" s="90">
        <v>30954.51</v>
      </c>
      <c r="I39" s="90">
        <v>107753.85</v>
      </c>
      <c r="J39" s="90">
        <v>4247.21</v>
      </c>
      <c r="K39" s="90">
        <v>0</v>
      </c>
      <c r="L39" s="90">
        <v>35494.18</v>
      </c>
      <c r="M39" s="90">
        <v>35638.239999999998</v>
      </c>
      <c r="N39" s="90">
        <v>167630.68</v>
      </c>
      <c r="O39" s="90">
        <v>290007.18</v>
      </c>
      <c r="P39" s="90">
        <v>6929.56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843950.15</v>
      </c>
      <c r="F40" s="90">
        <v>106181.23</v>
      </c>
      <c r="G40" s="90">
        <v>59113.51</v>
      </c>
      <c r="H40" s="90">
        <v>30954.51</v>
      </c>
      <c r="I40" s="90">
        <v>107753.85</v>
      </c>
      <c r="J40" s="90">
        <v>4247.21</v>
      </c>
      <c r="K40" s="90">
        <v>0</v>
      </c>
      <c r="L40" s="90">
        <v>35494.18</v>
      </c>
      <c r="M40" s="90">
        <v>35638.239999999998</v>
      </c>
      <c r="N40" s="90">
        <v>167630.68</v>
      </c>
      <c r="O40" s="90">
        <v>290007.18</v>
      </c>
      <c r="P40" s="90">
        <v>6929.56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1135158.8799999999</v>
      </c>
      <c r="F41" s="93">
        <v>120041.1</v>
      </c>
      <c r="G41" s="93">
        <v>67283.66</v>
      </c>
      <c r="H41" s="93">
        <v>35479.1</v>
      </c>
      <c r="I41" s="93">
        <v>167789.34</v>
      </c>
      <c r="J41" s="93">
        <v>7072.51</v>
      </c>
      <c r="K41" s="93">
        <v>0</v>
      </c>
      <c r="L41" s="93">
        <v>58565.14</v>
      </c>
      <c r="M41" s="93">
        <v>57820.02</v>
      </c>
      <c r="N41" s="93">
        <v>278137.55</v>
      </c>
      <c r="O41" s="93">
        <v>331431.25</v>
      </c>
      <c r="P41" s="93">
        <v>11539.21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2274662.11</v>
      </c>
      <c r="F42" s="100">
        <v>384108.23</v>
      </c>
      <c r="G42" s="100">
        <v>214322.71</v>
      </c>
      <c r="H42" s="100">
        <v>108347.7</v>
      </c>
      <c r="I42" s="100">
        <v>31309.040000000001</v>
      </c>
      <c r="J42" s="100">
        <v>10968.97</v>
      </c>
      <c r="K42" s="100">
        <v>0</v>
      </c>
      <c r="L42" s="100">
        <v>-3272.9</v>
      </c>
      <c r="M42" s="100">
        <v>52124.480000000003</v>
      </c>
      <c r="N42" s="100">
        <v>386123.04</v>
      </c>
      <c r="O42" s="100">
        <v>1072921.73</v>
      </c>
      <c r="P42" s="100">
        <v>17709.11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34844954.140000001</v>
      </c>
      <c r="F43" s="90">
        <v>2249319.54</v>
      </c>
      <c r="G43" s="90">
        <v>1219810.03</v>
      </c>
      <c r="H43" s="90">
        <v>692159.85</v>
      </c>
      <c r="I43" s="90">
        <v>5051701.6100000003</v>
      </c>
      <c r="J43" s="90">
        <v>241344.05</v>
      </c>
      <c r="K43" s="90">
        <v>0</v>
      </c>
      <c r="L43" s="90">
        <v>2503907.1800000002</v>
      </c>
      <c r="M43" s="90">
        <v>2578509.23</v>
      </c>
      <c r="N43" s="90">
        <v>13337575.140000001</v>
      </c>
      <c r="O43" s="90">
        <v>6582977.7400000002</v>
      </c>
      <c r="P43" s="90">
        <v>387671.74</v>
      </c>
      <c r="Q43" s="90">
        <v>-21.97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8" t="s">
        <v>2</v>
      </c>
      <c r="C57" s="776" t="s">
        <v>132</v>
      </c>
      <c r="D57" s="98" t="s">
        <v>70</v>
      </c>
      <c r="E57" s="100">
        <f>E25+E42-K25</f>
        <v>34844954.140000001</v>
      </c>
      <c r="F57" s="100">
        <f>F25</f>
        <v>1865211.31</v>
      </c>
      <c r="G57" s="100">
        <f t="shared" ref="G57:S57" si="0">G25</f>
        <v>1005487.32</v>
      </c>
      <c r="H57" s="100">
        <f t="shared" si="0"/>
        <v>583812.15</v>
      </c>
      <c r="I57" s="100">
        <f t="shared" si="0"/>
        <v>5020392.57</v>
      </c>
      <c r="J57" s="100">
        <f t="shared" si="0"/>
        <v>230375.08</v>
      </c>
      <c r="K57" s="100">
        <f t="shared" si="0"/>
        <v>0</v>
      </c>
      <c r="L57" s="100">
        <f t="shared" si="0"/>
        <v>2507180.08</v>
      </c>
      <c r="M57" s="100">
        <f t="shared" si="0"/>
        <v>2526384.75</v>
      </c>
      <c r="N57" s="100">
        <f t="shared" si="0"/>
        <v>12951452.1</v>
      </c>
      <c r="O57" s="100">
        <f t="shared" si="0"/>
        <v>5510056.0099999998</v>
      </c>
      <c r="P57" s="100">
        <f t="shared" si="0"/>
        <v>369962.63</v>
      </c>
      <c r="Q57" s="100">
        <f t="shared" si="0"/>
        <v>-21.97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8"/>
      <c r="C58" s="776"/>
      <c r="D58" s="98" t="s">
        <v>73</v>
      </c>
      <c r="E58" s="100">
        <f>E42</f>
        <v>2274662.11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8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8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8" t="s">
        <v>155</v>
      </c>
      <c r="C63" s="776" t="s">
        <v>132</v>
      </c>
      <c r="D63" s="221" t="s">
        <v>70</v>
      </c>
      <c r="E63" s="222">
        <f>E31+E28+E10+E6-K6-K10</f>
        <v>30254522.43</v>
      </c>
      <c r="F63" s="222">
        <f>F10+F6</f>
        <v>1628680.68</v>
      </c>
      <c r="G63" s="222">
        <f t="shared" ref="G63:S63" si="1">G10+G6</f>
        <v>888879.83</v>
      </c>
      <c r="H63" s="222">
        <f t="shared" si="1"/>
        <v>520121.55</v>
      </c>
      <c r="I63" s="222">
        <f t="shared" si="1"/>
        <v>4494789.55</v>
      </c>
      <c r="J63" s="222">
        <f t="shared" si="1"/>
        <v>206682.07</v>
      </c>
      <c r="K63" s="222">
        <f t="shared" si="1"/>
        <v>0</v>
      </c>
      <c r="L63" s="222">
        <f t="shared" si="1"/>
        <v>2286008.7000000002</v>
      </c>
      <c r="M63" s="222">
        <f t="shared" si="1"/>
        <v>2318211.14</v>
      </c>
      <c r="N63" s="222">
        <f t="shared" si="1"/>
        <v>11917028.199999999</v>
      </c>
      <c r="O63" s="222">
        <f t="shared" si="1"/>
        <v>4523338.08</v>
      </c>
      <c r="P63" s="222">
        <f t="shared" si="1"/>
        <v>331306.05</v>
      </c>
      <c r="Q63" s="222">
        <f t="shared" si="1"/>
        <v>-26.65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8"/>
      <c r="C64" s="776"/>
      <c r="D64" s="221" t="s">
        <v>73</v>
      </c>
      <c r="E64" s="222">
        <f>E31+E28</f>
        <v>1139503.23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9" t="s">
        <v>325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9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8" t="s">
        <v>119</v>
      </c>
      <c r="C69" s="776" t="s">
        <v>132</v>
      </c>
      <c r="D69" s="101" t="s">
        <v>70</v>
      </c>
      <c r="E69" s="93">
        <f>E24+E41-K24</f>
        <v>4590431.71</v>
      </c>
      <c r="F69" s="93">
        <f>F24</f>
        <v>236530.63</v>
      </c>
      <c r="G69" s="93">
        <f t="shared" ref="G69:S69" si="2">G24</f>
        <v>116607.49</v>
      </c>
      <c r="H69" s="93">
        <f t="shared" si="2"/>
        <v>63690.6</v>
      </c>
      <c r="I69" s="93">
        <f t="shared" si="2"/>
        <v>525603.02</v>
      </c>
      <c r="J69" s="93">
        <f t="shared" si="2"/>
        <v>23693.01</v>
      </c>
      <c r="K69" s="93">
        <f t="shared" si="2"/>
        <v>0</v>
      </c>
      <c r="L69" s="93">
        <f t="shared" si="2"/>
        <v>221171.38</v>
      </c>
      <c r="M69" s="93">
        <f t="shared" si="2"/>
        <v>208173.61</v>
      </c>
      <c r="N69" s="93">
        <f t="shared" si="2"/>
        <v>1034423.9</v>
      </c>
      <c r="O69" s="93">
        <f t="shared" si="2"/>
        <v>986717.93</v>
      </c>
      <c r="P69" s="93">
        <f t="shared" si="2"/>
        <v>38656.58</v>
      </c>
      <c r="Q69" s="93">
        <f t="shared" si="2"/>
        <v>4.68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8"/>
      <c r="C70" s="776"/>
      <c r="D70" s="101" t="s">
        <v>73</v>
      </c>
      <c r="E70" s="93">
        <f>E41</f>
        <v>1135158.8799999999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7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7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331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76172812.939999998</v>
      </c>
      <c r="F81" s="90">
        <v>4284667.3600000003</v>
      </c>
      <c r="G81" s="90">
        <v>2478919.9900000002</v>
      </c>
      <c r="H81" s="90">
        <v>894079.85</v>
      </c>
      <c r="I81" s="90">
        <v>19165035.210000001</v>
      </c>
      <c r="J81" s="90">
        <v>613033.04</v>
      </c>
      <c r="K81" s="90">
        <v>51372.12</v>
      </c>
      <c r="L81" s="90">
        <v>6695698.0199999996</v>
      </c>
      <c r="M81" s="90">
        <v>6139885.21</v>
      </c>
      <c r="N81" s="90">
        <v>26107830.84</v>
      </c>
      <c r="O81" s="90">
        <v>8845683.4800000004</v>
      </c>
      <c r="P81" s="90">
        <v>896338.13</v>
      </c>
      <c r="Q81" s="90">
        <v>269.69</v>
      </c>
      <c r="R81">
        <v>0</v>
      </c>
    </row>
    <row r="82" spans="2:18" ht="12.75" customHeight="1" x14ac:dyDescent="0.25">
      <c r="B82" s="142"/>
      <c r="D82" s="89" t="s">
        <v>81</v>
      </c>
      <c r="E82" s="90">
        <v>405301.06</v>
      </c>
      <c r="F82" s="90">
        <v>45882.1</v>
      </c>
      <c r="G82" s="90">
        <v>21905.35</v>
      </c>
      <c r="H82" s="90">
        <v>6058.48</v>
      </c>
      <c r="I82" s="90">
        <v>53792.9</v>
      </c>
      <c r="J82" s="90">
        <v>1687.15</v>
      </c>
      <c r="K82" s="90">
        <v>0</v>
      </c>
      <c r="L82" s="90">
        <v>24878.6</v>
      </c>
      <c r="M82" s="90">
        <v>29440.99</v>
      </c>
      <c r="N82" s="90">
        <v>127695.47</v>
      </c>
      <c r="O82" s="90">
        <v>91205.49</v>
      </c>
      <c r="P82" s="90">
        <v>2753.1</v>
      </c>
      <c r="Q82" s="90">
        <v>1.43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76578114</v>
      </c>
      <c r="F83" s="90">
        <v>4330549.46</v>
      </c>
      <c r="G83" s="90">
        <v>2500825.34</v>
      </c>
      <c r="H83" s="90">
        <v>900138.33</v>
      </c>
      <c r="I83" s="90">
        <v>19218828.109999999</v>
      </c>
      <c r="J83" s="90">
        <v>614720.18999999994</v>
      </c>
      <c r="K83" s="90">
        <v>51372.12</v>
      </c>
      <c r="L83" s="90">
        <v>6720576.6200000001</v>
      </c>
      <c r="M83" s="90">
        <v>6169326.2000000002</v>
      </c>
      <c r="N83" s="90">
        <v>26235526.309999999</v>
      </c>
      <c r="O83" s="90">
        <v>8936888.9700000007</v>
      </c>
      <c r="P83" s="90">
        <v>899091.23</v>
      </c>
      <c r="Q83" s="90">
        <v>271.12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76578114</v>
      </c>
      <c r="F84" s="230">
        <v>4330549.46</v>
      </c>
      <c r="G84" s="230">
        <v>2500825.34</v>
      </c>
      <c r="H84" s="230">
        <v>900138.33</v>
      </c>
      <c r="I84" s="230">
        <v>19218828.109999999</v>
      </c>
      <c r="J84" s="230">
        <v>614720.18999999994</v>
      </c>
      <c r="K84" s="230">
        <v>51372.12</v>
      </c>
      <c r="L84" s="230">
        <v>6720576.6200000001</v>
      </c>
      <c r="M84" s="230">
        <v>6169326.2000000002</v>
      </c>
      <c r="N84" s="230">
        <v>26235526.309999999</v>
      </c>
      <c r="O84" s="230">
        <v>8936888.9700000007</v>
      </c>
      <c r="P84" s="230">
        <v>899091.23</v>
      </c>
      <c r="Q84" s="230">
        <v>271.12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3697205.22</v>
      </c>
      <c r="F85" s="90">
        <v>224587.06</v>
      </c>
      <c r="G85" s="90">
        <v>131985.45000000001</v>
      </c>
      <c r="H85" s="90">
        <v>46899.61</v>
      </c>
      <c r="I85" s="90">
        <v>1009958.82</v>
      </c>
      <c r="J85" s="90">
        <v>32320.93</v>
      </c>
      <c r="K85" s="90">
        <v>0</v>
      </c>
      <c r="L85" s="90">
        <v>324307.81</v>
      </c>
      <c r="M85" s="90">
        <v>265069.78000000003</v>
      </c>
      <c r="N85" s="90">
        <v>1170089.6100000001</v>
      </c>
      <c r="O85" s="90">
        <v>450797.77</v>
      </c>
      <c r="P85" s="90">
        <v>41194.89</v>
      </c>
      <c r="Q85" s="90">
        <v>-6.51</v>
      </c>
      <c r="R85">
        <v>0</v>
      </c>
    </row>
    <row r="86" spans="2:18" ht="12.75" customHeight="1" x14ac:dyDescent="0.25">
      <c r="B86" s="142"/>
      <c r="D86" s="89" t="s">
        <v>81</v>
      </c>
      <c r="E86" s="371">
        <v>438.11</v>
      </c>
      <c r="F86" s="90">
        <v>43.19</v>
      </c>
      <c r="G86" s="90">
        <v>22.78</v>
      </c>
      <c r="H86" s="90">
        <v>12.09</v>
      </c>
      <c r="I86" s="90">
        <v>96.81</v>
      </c>
      <c r="J86" s="90">
        <v>2.8</v>
      </c>
      <c r="K86" s="90">
        <v>0</v>
      </c>
      <c r="L86" s="90">
        <v>24.54</v>
      </c>
      <c r="M86" s="90">
        <v>25.59</v>
      </c>
      <c r="N86" s="90">
        <v>119.35</v>
      </c>
      <c r="O86" s="90">
        <v>86.42</v>
      </c>
      <c r="P86" s="90">
        <v>4.57</v>
      </c>
      <c r="Q86" s="90">
        <v>-0.03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3697643.33</v>
      </c>
      <c r="F87" s="90">
        <v>224630.25</v>
      </c>
      <c r="G87" s="90">
        <v>132008.23000000001</v>
      </c>
      <c r="H87" s="90">
        <v>46911.7</v>
      </c>
      <c r="I87" s="90">
        <v>1010055.63</v>
      </c>
      <c r="J87" s="90">
        <v>32323.73</v>
      </c>
      <c r="K87" s="90">
        <v>0</v>
      </c>
      <c r="L87" s="90">
        <v>324332.34999999998</v>
      </c>
      <c r="M87" s="90">
        <v>265095.37</v>
      </c>
      <c r="N87" s="90">
        <v>1170208.96</v>
      </c>
      <c r="O87" s="90">
        <v>450884.19</v>
      </c>
      <c r="P87" s="90">
        <v>41199.46</v>
      </c>
      <c r="Q87" s="90">
        <v>-6.54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985683.46</v>
      </c>
      <c r="F88" s="90">
        <v>69109.02</v>
      </c>
      <c r="G88" s="90">
        <v>36538.01</v>
      </c>
      <c r="H88" s="90">
        <v>13453.14</v>
      </c>
      <c r="I88" s="90">
        <v>287582.83</v>
      </c>
      <c r="J88" s="90">
        <v>9153.3700000000008</v>
      </c>
      <c r="K88" s="90">
        <v>0</v>
      </c>
      <c r="L88" s="90">
        <v>82037.98</v>
      </c>
      <c r="M88" s="90">
        <v>69059.03</v>
      </c>
      <c r="N88" s="90">
        <v>274803.20000000001</v>
      </c>
      <c r="O88" s="90">
        <v>134412.31</v>
      </c>
      <c r="P88" s="90">
        <v>9540.6</v>
      </c>
      <c r="Q88" s="90">
        <v>-6.03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985683.46</v>
      </c>
      <c r="F90" s="90">
        <v>69109.02</v>
      </c>
      <c r="G90" s="90">
        <v>36538.01</v>
      </c>
      <c r="H90" s="90">
        <v>13453.14</v>
      </c>
      <c r="I90" s="90">
        <v>287582.83</v>
      </c>
      <c r="J90" s="90">
        <v>9153.3700000000008</v>
      </c>
      <c r="K90" s="90">
        <v>0</v>
      </c>
      <c r="L90" s="90">
        <v>82037.98</v>
      </c>
      <c r="M90" s="90">
        <v>69059.03</v>
      </c>
      <c r="N90" s="90">
        <v>274803.20000000001</v>
      </c>
      <c r="O90" s="90">
        <v>134412.31</v>
      </c>
      <c r="P90" s="90">
        <v>9540.6</v>
      </c>
      <c r="Q90" s="90">
        <v>-6.03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18762805.760000002</v>
      </c>
      <c r="F97" s="90">
        <v>1069718.48</v>
      </c>
      <c r="G97" s="90">
        <v>652346.13</v>
      </c>
      <c r="H97" s="90">
        <v>178774.19</v>
      </c>
      <c r="I97" s="90">
        <v>5624013.3300000001</v>
      </c>
      <c r="J97" s="90">
        <v>166253.39000000001</v>
      </c>
      <c r="K97" s="90">
        <v>0</v>
      </c>
      <c r="L97" s="90">
        <v>1667800.41</v>
      </c>
      <c r="M97" s="90">
        <v>1432331.3</v>
      </c>
      <c r="N97" s="90">
        <v>5647380.4500000002</v>
      </c>
      <c r="O97" s="90">
        <v>2150226.73</v>
      </c>
      <c r="P97" s="90">
        <v>173791.57</v>
      </c>
      <c r="Q97" s="90">
        <v>169.78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1557.48</v>
      </c>
      <c r="F98" s="90">
        <v>105.97</v>
      </c>
      <c r="G98" s="90">
        <v>58.29</v>
      </c>
      <c r="H98" s="90">
        <v>31.24</v>
      </c>
      <c r="I98" s="90">
        <v>365.86</v>
      </c>
      <c r="J98" s="90">
        <v>12.42</v>
      </c>
      <c r="K98" s="90">
        <v>0</v>
      </c>
      <c r="L98" s="90">
        <v>109</v>
      </c>
      <c r="M98" s="90">
        <v>112.67</v>
      </c>
      <c r="N98" s="90">
        <v>531.07000000000005</v>
      </c>
      <c r="O98" s="90">
        <v>210.73</v>
      </c>
      <c r="P98" s="90">
        <v>20.27</v>
      </c>
      <c r="Q98" s="90">
        <v>-0.04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18764363.239999998</v>
      </c>
      <c r="F99" s="90">
        <v>1069824.45</v>
      </c>
      <c r="G99" s="90">
        <v>652404.42000000004</v>
      </c>
      <c r="H99" s="90">
        <v>178805.43</v>
      </c>
      <c r="I99" s="90">
        <v>5624379.1900000004</v>
      </c>
      <c r="J99" s="90">
        <v>166265.81</v>
      </c>
      <c r="K99" s="90">
        <v>0</v>
      </c>
      <c r="L99" s="90">
        <v>1667909.41</v>
      </c>
      <c r="M99" s="90">
        <v>1432443.97</v>
      </c>
      <c r="N99" s="90">
        <v>5647911.5199999996</v>
      </c>
      <c r="O99" s="90">
        <v>2150437.46</v>
      </c>
      <c r="P99" s="90">
        <v>173811.84</v>
      </c>
      <c r="Q99" s="90">
        <v>169.74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23447690.030000001</v>
      </c>
      <c r="F106" s="224">
        <v>1363563.72</v>
      </c>
      <c r="G106" s="224">
        <v>820950.66</v>
      </c>
      <c r="H106" s="224">
        <v>239170.27</v>
      </c>
      <c r="I106" s="224">
        <v>6922017.6500000004</v>
      </c>
      <c r="J106" s="224">
        <v>207742.91</v>
      </c>
      <c r="K106" s="224">
        <v>0</v>
      </c>
      <c r="L106" s="224">
        <v>2074279.74</v>
      </c>
      <c r="M106" s="224">
        <v>1766598.37</v>
      </c>
      <c r="N106" s="224">
        <v>7092923.6799999997</v>
      </c>
      <c r="O106" s="224">
        <v>2735733.96</v>
      </c>
      <c r="P106" s="224">
        <v>224551.9</v>
      </c>
      <c r="Q106" s="224">
        <v>157.16999999999999</v>
      </c>
      <c r="R106" s="224">
        <v>0</v>
      </c>
    </row>
    <row r="107" spans="2:18" ht="12.75" customHeight="1" x14ac:dyDescent="0.25">
      <c r="D107" t="s">
        <v>72</v>
      </c>
      <c r="E107" s="142">
        <v>3424363.42</v>
      </c>
      <c r="F107">
        <v>193904.51</v>
      </c>
      <c r="G107">
        <v>105926.68</v>
      </c>
      <c r="H107">
        <v>44650.239999999998</v>
      </c>
      <c r="I107">
        <v>871174.9</v>
      </c>
      <c r="J107">
        <v>28634.07</v>
      </c>
      <c r="K107">
        <v>0</v>
      </c>
      <c r="L107">
        <v>280560.08</v>
      </c>
      <c r="M107">
        <v>271116.53000000003</v>
      </c>
      <c r="N107">
        <v>1194087.96</v>
      </c>
      <c r="O107">
        <v>396460.66</v>
      </c>
      <c r="P107">
        <v>37858.559999999998</v>
      </c>
      <c r="Q107">
        <v>-10.77</v>
      </c>
      <c r="R107">
        <v>0</v>
      </c>
    </row>
    <row r="108" spans="2:18" ht="12.75" customHeight="1" x14ac:dyDescent="0.25">
      <c r="D108" t="s">
        <v>81</v>
      </c>
      <c r="E108" s="142">
        <v>9177.0300000000007</v>
      </c>
      <c r="F108">
        <v>847.38</v>
      </c>
      <c r="G108">
        <v>479.07</v>
      </c>
      <c r="H108">
        <v>253.95</v>
      </c>
      <c r="I108">
        <v>1842.43</v>
      </c>
      <c r="J108">
        <v>67</v>
      </c>
      <c r="K108">
        <v>0</v>
      </c>
      <c r="L108">
        <v>587.73</v>
      </c>
      <c r="M108">
        <v>577.57000000000005</v>
      </c>
      <c r="N108">
        <v>2703.44</v>
      </c>
      <c r="O108">
        <v>1709.06</v>
      </c>
      <c r="P108">
        <v>109.33</v>
      </c>
      <c r="Q108">
        <v>7.0000000000000007E-2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3433540.45</v>
      </c>
      <c r="F109">
        <v>194751.89</v>
      </c>
      <c r="G109">
        <v>106405.75</v>
      </c>
      <c r="H109">
        <v>44904.19</v>
      </c>
      <c r="I109">
        <v>873017.33</v>
      </c>
      <c r="J109">
        <v>28701.07</v>
      </c>
      <c r="K109">
        <v>0</v>
      </c>
      <c r="L109">
        <v>281147.81</v>
      </c>
      <c r="M109">
        <v>271694.09999999998</v>
      </c>
      <c r="N109">
        <v>1196791.3999999999</v>
      </c>
      <c r="O109">
        <v>398169.72</v>
      </c>
      <c r="P109">
        <v>37967.89</v>
      </c>
      <c r="Q109">
        <v>-10.7</v>
      </c>
      <c r="R109">
        <v>0</v>
      </c>
    </row>
    <row r="110" spans="2:18" ht="12.75" customHeight="1" x14ac:dyDescent="0.25">
      <c r="D110" t="s">
        <v>72</v>
      </c>
      <c r="E110" s="142">
        <v>21026339.489999998</v>
      </c>
      <c r="F110">
        <v>2447720.79</v>
      </c>
      <c r="G110">
        <v>1370734.8</v>
      </c>
      <c r="H110">
        <v>666552.06999999995</v>
      </c>
      <c r="I110">
        <v>3536068.96</v>
      </c>
      <c r="J110">
        <v>136948.10999999999</v>
      </c>
      <c r="K110">
        <v>0</v>
      </c>
      <c r="L110">
        <v>1395691.38</v>
      </c>
      <c r="M110">
        <v>1241864.24</v>
      </c>
      <c r="N110">
        <v>5125598.22</v>
      </c>
      <c r="O110">
        <v>4911373.47</v>
      </c>
      <c r="P110">
        <v>193726.12</v>
      </c>
      <c r="Q110">
        <v>61.33</v>
      </c>
      <c r="R110">
        <v>0</v>
      </c>
    </row>
    <row r="111" spans="2:18" ht="12.75" customHeight="1" x14ac:dyDescent="0.25">
      <c r="D111" t="s">
        <v>81</v>
      </c>
      <c r="E111" s="142">
        <v>1143672.58</v>
      </c>
      <c r="F111">
        <v>164527.54999999999</v>
      </c>
      <c r="G111">
        <v>76426.080000000002</v>
      </c>
      <c r="H111">
        <v>30595.99</v>
      </c>
      <c r="I111">
        <v>168828.35</v>
      </c>
      <c r="J111">
        <v>6886.01</v>
      </c>
      <c r="K111">
        <v>0</v>
      </c>
      <c r="L111">
        <v>60313.09</v>
      </c>
      <c r="M111">
        <v>71428.55</v>
      </c>
      <c r="N111">
        <v>229600.44</v>
      </c>
      <c r="O111">
        <v>323815.18</v>
      </c>
      <c r="P111">
        <v>11246.94</v>
      </c>
      <c r="Q111">
        <v>4.4000000000000004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22170012.07</v>
      </c>
      <c r="F112">
        <v>2612248.34</v>
      </c>
      <c r="G112">
        <v>1447160.88</v>
      </c>
      <c r="H112">
        <v>697148.06</v>
      </c>
      <c r="I112">
        <v>3704897.31</v>
      </c>
      <c r="J112">
        <v>143834.12</v>
      </c>
      <c r="K112">
        <v>0</v>
      </c>
      <c r="L112">
        <v>1456004.47</v>
      </c>
      <c r="M112">
        <v>1313292.79</v>
      </c>
      <c r="N112">
        <v>5355198.66</v>
      </c>
      <c r="O112">
        <v>5235188.6500000004</v>
      </c>
      <c r="P112">
        <v>204973.06</v>
      </c>
      <c r="Q112">
        <v>65.73</v>
      </c>
      <c r="R112">
        <v>0</v>
      </c>
    </row>
    <row r="113" spans="1:18" ht="12.75" customHeight="1" x14ac:dyDescent="0.25">
      <c r="D113" t="s">
        <v>72</v>
      </c>
      <c r="E113">
        <v>1247383.22</v>
      </c>
      <c r="F113">
        <v>104470.27</v>
      </c>
      <c r="G113">
        <v>61589.36</v>
      </c>
      <c r="H113">
        <v>22988.66</v>
      </c>
      <c r="I113">
        <v>272684.09999999998</v>
      </c>
      <c r="J113">
        <v>8354.34</v>
      </c>
      <c r="K113">
        <v>0</v>
      </c>
      <c r="L113">
        <v>111652.21</v>
      </c>
      <c r="M113">
        <v>93795.87</v>
      </c>
      <c r="N113">
        <v>322239.45</v>
      </c>
      <c r="O113">
        <v>236861.37</v>
      </c>
      <c r="P113">
        <v>12733.53</v>
      </c>
      <c r="Q113">
        <v>14.06</v>
      </c>
      <c r="R113">
        <v>0</v>
      </c>
    </row>
    <row r="114" spans="1:18" ht="12.75" customHeight="1" x14ac:dyDescent="0.25">
      <c r="D114" t="s">
        <v>81</v>
      </c>
      <c r="E114" s="142">
        <v>112.94</v>
      </c>
      <c r="F114">
        <v>8.9499999999999993</v>
      </c>
      <c r="G114">
        <v>5.05</v>
      </c>
      <c r="H114">
        <v>2.65</v>
      </c>
      <c r="I114">
        <v>31.41</v>
      </c>
      <c r="J114">
        <v>0.88</v>
      </c>
      <c r="K114">
        <v>0</v>
      </c>
      <c r="L114">
        <v>7.77</v>
      </c>
      <c r="M114">
        <v>8.75</v>
      </c>
      <c r="N114">
        <v>26.93</v>
      </c>
      <c r="O114">
        <v>17.760000000000002</v>
      </c>
      <c r="P114">
        <v>2.77</v>
      </c>
      <c r="Q114">
        <v>0.02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1247496.1599999999</v>
      </c>
      <c r="F115" s="90">
        <v>104479.22</v>
      </c>
      <c r="G115" s="90">
        <v>61594.41</v>
      </c>
      <c r="H115" s="90">
        <v>22991.31</v>
      </c>
      <c r="I115" s="90">
        <v>272715.51</v>
      </c>
      <c r="J115" s="90">
        <v>8355.2199999999993</v>
      </c>
      <c r="K115" s="90">
        <v>0</v>
      </c>
      <c r="L115" s="90">
        <v>111659.98</v>
      </c>
      <c r="M115" s="90">
        <v>93804.62</v>
      </c>
      <c r="N115" s="90">
        <v>322266.38</v>
      </c>
      <c r="O115" s="90">
        <v>236879.13</v>
      </c>
      <c r="P115" s="90">
        <v>12736.3</v>
      </c>
      <c r="Q115" s="90">
        <v>14.08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26851048.68</v>
      </c>
      <c r="F116" s="93">
        <v>2911479.45</v>
      </c>
      <c r="G116" s="93">
        <v>1615161.04</v>
      </c>
      <c r="H116" s="93">
        <v>765043.56</v>
      </c>
      <c r="I116" s="93">
        <v>4850630.1500000004</v>
      </c>
      <c r="J116" s="93">
        <v>180890.41</v>
      </c>
      <c r="K116" s="93">
        <v>0</v>
      </c>
      <c r="L116" s="93">
        <v>1848812.26</v>
      </c>
      <c r="M116" s="93">
        <v>1678791.51</v>
      </c>
      <c r="N116" s="93">
        <v>6874256.4400000004</v>
      </c>
      <c r="O116" s="93">
        <v>5870237.5</v>
      </c>
      <c r="P116" s="93">
        <v>255677.25</v>
      </c>
      <c r="Q116" s="93">
        <v>69.11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126876852.70999999</v>
      </c>
      <c r="F117" s="100">
        <v>8605592.6300000008</v>
      </c>
      <c r="G117" s="100">
        <v>4936937.04</v>
      </c>
      <c r="H117" s="100">
        <v>1904352.16</v>
      </c>
      <c r="I117" s="100">
        <v>30991475.91</v>
      </c>
      <c r="J117" s="100">
        <v>1003353.51</v>
      </c>
      <c r="K117" s="100">
        <v>51372.12</v>
      </c>
      <c r="L117" s="100">
        <v>10643668.619999999</v>
      </c>
      <c r="M117" s="100">
        <v>9614716.0800000001</v>
      </c>
      <c r="N117" s="100">
        <v>40202706.43</v>
      </c>
      <c r="O117" s="100">
        <v>17542860.43</v>
      </c>
      <c r="P117" s="100">
        <v>1379320.38</v>
      </c>
      <c r="Q117" s="100">
        <v>497.4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331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-20136934.260000002</v>
      </c>
      <c r="F121" s="90">
        <v>-733600.76</v>
      </c>
      <c r="G121" s="90">
        <v>-420838.98</v>
      </c>
      <c r="H121" s="90">
        <v>-246337.87</v>
      </c>
      <c r="I121" s="90">
        <v>-5403916.5199999996</v>
      </c>
      <c r="J121" s="90">
        <v>-198124.79999999999</v>
      </c>
      <c r="K121" s="90">
        <v>0</v>
      </c>
      <c r="L121" s="90">
        <v>-1723396.65</v>
      </c>
      <c r="M121" s="90">
        <v>-1708957.79</v>
      </c>
      <c r="N121" s="90">
        <v>-8115340.4199999999</v>
      </c>
      <c r="O121" s="90">
        <v>-1253175.4099999999</v>
      </c>
      <c r="P121" s="90">
        <v>-333245.06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-20136934.260000002</v>
      </c>
      <c r="F122" s="90">
        <v>-733600.76</v>
      </c>
      <c r="G122" s="90">
        <v>-420838.98</v>
      </c>
      <c r="H122" s="90">
        <v>-246337.87</v>
      </c>
      <c r="I122" s="90">
        <v>-5403916.5199999996</v>
      </c>
      <c r="J122" s="90">
        <v>-198124.79999999999</v>
      </c>
      <c r="K122" s="90">
        <v>0</v>
      </c>
      <c r="L122" s="90">
        <v>-1723396.65</v>
      </c>
      <c r="M122" s="90">
        <v>-1708957.79</v>
      </c>
      <c r="N122" s="90">
        <v>-8115340.4199999999</v>
      </c>
      <c r="O122" s="90">
        <v>-1253175.4099999999</v>
      </c>
      <c r="P122" s="90">
        <v>-333245.06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-20136934.260000002</v>
      </c>
      <c r="F123" s="230">
        <v>-733600.76</v>
      </c>
      <c r="G123" s="230">
        <v>-420838.98</v>
      </c>
      <c r="H123" s="230">
        <v>-246337.87</v>
      </c>
      <c r="I123" s="230">
        <v>-5403916.5199999996</v>
      </c>
      <c r="J123" s="230">
        <v>-198124.79999999999</v>
      </c>
      <c r="K123" s="230">
        <v>0</v>
      </c>
      <c r="L123" s="230">
        <v>-1723396.65</v>
      </c>
      <c r="M123" s="230">
        <v>-1708957.79</v>
      </c>
      <c r="N123" s="230">
        <v>-8115340.4199999999</v>
      </c>
      <c r="O123" s="230">
        <v>-1253175.4099999999</v>
      </c>
      <c r="P123" s="230">
        <v>-333245.06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-1106250.74</v>
      </c>
      <c r="F124" s="90">
        <v>-41906.769999999997</v>
      </c>
      <c r="G124" s="90">
        <v>-23555.439999999999</v>
      </c>
      <c r="H124" s="90">
        <v>-12506.48</v>
      </c>
      <c r="I124" s="90">
        <v>-284568.59000000003</v>
      </c>
      <c r="J124" s="90">
        <v>-11004</v>
      </c>
      <c r="K124" s="90">
        <v>0</v>
      </c>
      <c r="L124" s="90">
        <v>-96525.39</v>
      </c>
      <c r="M124" s="90">
        <v>-94067.83</v>
      </c>
      <c r="N124" s="90">
        <v>-441672.35</v>
      </c>
      <c r="O124" s="90">
        <v>-82490.11</v>
      </c>
      <c r="P124" s="90">
        <v>-17953.78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-1106250.74</v>
      </c>
      <c r="F125" s="90">
        <v>-41906.769999999997</v>
      </c>
      <c r="G125" s="90">
        <v>-23555.439999999999</v>
      </c>
      <c r="H125" s="90">
        <v>-12506.48</v>
      </c>
      <c r="I125" s="90">
        <v>-284568.59000000003</v>
      </c>
      <c r="J125" s="90">
        <v>-11004</v>
      </c>
      <c r="K125" s="90">
        <v>0</v>
      </c>
      <c r="L125" s="90">
        <v>-96525.39</v>
      </c>
      <c r="M125" s="90">
        <v>-94067.83</v>
      </c>
      <c r="N125" s="90">
        <v>-441672.35</v>
      </c>
      <c r="O125" s="90">
        <v>-82490.11</v>
      </c>
      <c r="P125" s="90">
        <v>-17953.78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-124474.09</v>
      </c>
      <c r="F126" s="90">
        <v>1487.57</v>
      </c>
      <c r="G126" s="90">
        <v>889.3</v>
      </c>
      <c r="H126" s="90">
        <v>-1103.1300000000001</v>
      </c>
      <c r="I126" s="90">
        <v>-40257.58</v>
      </c>
      <c r="J126" s="90">
        <v>-1303.18</v>
      </c>
      <c r="K126" s="90">
        <v>0</v>
      </c>
      <c r="L126" s="90">
        <v>-11431.5</v>
      </c>
      <c r="M126" s="90">
        <v>-11193.46</v>
      </c>
      <c r="N126" s="90">
        <v>-52137.19</v>
      </c>
      <c r="O126" s="90">
        <v>-7298.67</v>
      </c>
      <c r="P126" s="90">
        <v>-2126.25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-124474.09</v>
      </c>
      <c r="F127" s="90">
        <v>1487.57</v>
      </c>
      <c r="G127" s="90">
        <v>889.3</v>
      </c>
      <c r="H127" s="90">
        <v>-1103.1300000000001</v>
      </c>
      <c r="I127" s="90">
        <v>-40257.58</v>
      </c>
      <c r="J127" s="90">
        <v>-1303.18</v>
      </c>
      <c r="K127" s="90">
        <v>0</v>
      </c>
      <c r="L127" s="90">
        <v>-11431.5</v>
      </c>
      <c r="M127" s="90">
        <v>-11193.46</v>
      </c>
      <c r="N127" s="90">
        <v>-52137.19</v>
      </c>
      <c r="O127" s="90">
        <v>-7298.67</v>
      </c>
      <c r="P127" s="90">
        <v>-2126.25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-6194145.1699999999</v>
      </c>
      <c r="F132" s="90">
        <v>-244820.14</v>
      </c>
      <c r="G132" s="90">
        <v>-142606.5</v>
      </c>
      <c r="H132" s="90">
        <v>-79186.47</v>
      </c>
      <c r="I132" s="90">
        <v>-1710597.25</v>
      </c>
      <c r="J132" s="90">
        <v>-59039.59</v>
      </c>
      <c r="K132" s="90">
        <v>0</v>
      </c>
      <c r="L132" s="90">
        <v>-507349.02</v>
      </c>
      <c r="M132" s="90">
        <v>-491066.4</v>
      </c>
      <c r="N132" s="90">
        <v>-2363435.65</v>
      </c>
      <c r="O132" s="90">
        <v>-500022.5</v>
      </c>
      <c r="P132" s="90">
        <v>-96021.65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-6194145.1699999999</v>
      </c>
      <c r="F133" s="90">
        <v>-244820.14</v>
      </c>
      <c r="G133" s="90">
        <v>-142606.5</v>
      </c>
      <c r="H133" s="90">
        <v>-79186.47</v>
      </c>
      <c r="I133" s="90">
        <v>-1710597.25</v>
      </c>
      <c r="J133" s="90">
        <v>-59039.59</v>
      </c>
      <c r="K133" s="90">
        <v>0</v>
      </c>
      <c r="L133" s="90">
        <v>-507349.02</v>
      </c>
      <c r="M133" s="90">
        <v>-491066.4</v>
      </c>
      <c r="N133" s="90">
        <v>-2363435.65</v>
      </c>
      <c r="O133" s="90">
        <v>-500022.5</v>
      </c>
      <c r="P133" s="90">
        <v>-96021.65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-7424870</v>
      </c>
      <c r="F138" s="225">
        <v>-285239.34000000003</v>
      </c>
      <c r="G138" s="225">
        <v>-165272.64000000001</v>
      </c>
      <c r="H138" s="225">
        <v>-92796.08</v>
      </c>
      <c r="I138" s="225">
        <v>-2035423.42</v>
      </c>
      <c r="J138" s="225">
        <v>-71346.77</v>
      </c>
      <c r="K138" s="225">
        <v>0</v>
      </c>
      <c r="L138" s="225">
        <v>-615305.91</v>
      </c>
      <c r="M138" s="225">
        <v>-596327.68999999994</v>
      </c>
      <c r="N138" s="225">
        <v>-2857245.19</v>
      </c>
      <c r="O138" s="225">
        <v>-589811.28</v>
      </c>
      <c r="P138" s="225">
        <v>-116101.68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-702492.5</v>
      </c>
      <c r="F139" s="90">
        <v>-14521.12</v>
      </c>
      <c r="G139" s="90">
        <v>-8315.81</v>
      </c>
      <c r="H139" s="90">
        <v>-4324.3599999999997</v>
      </c>
      <c r="I139" s="90">
        <v>-200536.28</v>
      </c>
      <c r="J139" s="90">
        <v>-7255.75</v>
      </c>
      <c r="K139" s="90">
        <v>0</v>
      </c>
      <c r="L139" s="90">
        <v>-63647.28</v>
      </c>
      <c r="M139" s="90">
        <v>-63025.67</v>
      </c>
      <c r="N139" s="90">
        <v>-296143.19</v>
      </c>
      <c r="O139" s="90">
        <v>-32884.699999999997</v>
      </c>
      <c r="P139" s="90">
        <v>-11838.34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-702492.5</v>
      </c>
      <c r="F140" s="90">
        <v>-14521.12</v>
      </c>
      <c r="G140" s="90">
        <v>-8315.81</v>
      </c>
      <c r="H140" s="90">
        <v>-4324.3599999999997</v>
      </c>
      <c r="I140" s="90">
        <v>-200536.28</v>
      </c>
      <c r="J140" s="90">
        <v>-7255.75</v>
      </c>
      <c r="K140" s="90">
        <v>0</v>
      </c>
      <c r="L140" s="90">
        <v>-63647.28</v>
      </c>
      <c r="M140" s="90">
        <v>-63025.67</v>
      </c>
      <c r="N140" s="90">
        <v>-296143.19</v>
      </c>
      <c r="O140" s="90">
        <v>-32884.699999999997</v>
      </c>
      <c r="P140" s="90">
        <v>-11838.34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2991899.04</v>
      </c>
      <c r="F141" s="90">
        <v>1356625.74</v>
      </c>
      <c r="G141" s="90">
        <v>761821.94</v>
      </c>
      <c r="H141" s="90">
        <v>401733.5</v>
      </c>
      <c r="I141" s="90">
        <v>-655687.55000000005</v>
      </c>
      <c r="J141" s="90">
        <v>-25954.75</v>
      </c>
      <c r="K141" s="90">
        <v>0</v>
      </c>
      <c r="L141" s="90">
        <v>-222683.06</v>
      </c>
      <c r="M141" s="90">
        <v>-220639.47</v>
      </c>
      <c r="N141" s="90">
        <v>-1059056.3899999999</v>
      </c>
      <c r="O141" s="90">
        <v>2697993.57</v>
      </c>
      <c r="P141" s="90">
        <v>-42254.49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2991899.04</v>
      </c>
      <c r="F142" s="90">
        <v>1356625.74</v>
      </c>
      <c r="G142" s="90">
        <v>761821.94</v>
      </c>
      <c r="H142" s="90">
        <v>401733.5</v>
      </c>
      <c r="I142" s="90">
        <v>-655687.55000000005</v>
      </c>
      <c r="J142" s="90">
        <v>-25954.75</v>
      </c>
      <c r="K142" s="90">
        <v>0</v>
      </c>
      <c r="L142" s="90">
        <v>-222683.06</v>
      </c>
      <c r="M142" s="90">
        <v>-220639.47</v>
      </c>
      <c r="N142" s="90">
        <v>-1059056.3899999999</v>
      </c>
      <c r="O142" s="90">
        <v>2697993.57</v>
      </c>
      <c r="P142" s="90">
        <v>-42254.49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109015.24</v>
      </c>
      <c r="F143" s="90">
        <v>19894.14</v>
      </c>
      <c r="G143" s="90">
        <v>10729.02</v>
      </c>
      <c r="H143" s="90">
        <v>4929.67</v>
      </c>
      <c r="I143" s="90">
        <v>13052.9</v>
      </c>
      <c r="J143" s="90">
        <v>120.98</v>
      </c>
      <c r="K143" s="90">
        <v>0</v>
      </c>
      <c r="L143" s="90">
        <v>2492.3000000000002</v>
      </c>
      <c r="M143" s="90">
        <v>3185.16</v>
      </c>
      <c r="N143" s="90">
        <v>14573.83</v>
      </c>
      <c r="O143" s="90">
        <v>39839.82</v>
      </c>
      <c r="P143" s="90">
        <v>197.42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109015.24</v>
      </c>
      <c r="F144" s="90">
        <v>19894.14</v>
      </c>
      <c r="G144" s="90">
        <v>10729.02</v>
      </c>
      <c r="H144" s="90">
        <v>4929.67</v>
      </c>
      <c r="I144" s="90">
        <v>13052.9</v>
      </c>
      <c r="J144" s="90">
        <v>120.98</v>
      </c>
      <c r="K144" s="90">
        <v>0</v>
      </c>
      <c r="L144" s="90">
        <v>2492.3000000000002</v>
      </c>
      <c r="M144" s="90">
        <v>3185.16</v>
      </c>
      <c r="N144" s="90">
        <v>14573.83</v>
      </c>
      <c r="O144" s="90">
        <v>39839.82</v>
      </c>
      <c r="P144" s="90">
        <v>197.42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2398421.7799999998</v>
      </c>
      <c r="F145" s="93">
        <v>1361998.76</v>
      </c>
      <c r="G145" s="93">
        <v>764235.15</v>
      </c>
      <c r="H145" s="93">
        <v>402338.81</v>
      </c>
      <c r="I145" s="93">
        <v>-843170.93</v>
      </c>
      <c r="J145" s="93">
        <v>-33089.519999999997</v>
      </c>
      <c r="K145" s="93">
        <v>0</v>
      </c>
      <c r="L145" s="93">
        <v>-283838.03999999998</v>
      </c>
      <c r="M145" s="93">
        <v>-280479.98</v>
      </c>
      <c r="N145" s="93">
        <v>-1340625.75</v>
      </c>
      <c r="O145" s="93">
        <v>2704948.69</v>
      </c>
      <c r="P145" s="93">
        <v>-53895.41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-25163382.48</v>
      </c>
      <c r="F146" s="100">
        <v>343158.66</v>
      </c>
      <c r="G146" s="100">
        <v>178123.53</v>
      </c>
      <c r="H146" s="100">
        <v>63204.86</v>
      </c>
      <c r="I146" s="100">
        <v>-8282510.8700000001</v>
      </c>
      <c r="J146" s="100">
        <v>-302561.09000000003</v>
      </c>
      <c r="K146" s="100">
        <v>0</v>
      </c>
      <c r="L146" s="100">
        <v>-2622540.6</v>
      </c>
      <c r="M146" s="100">
        <v>-2585765.46</v>
      </c>
      <c r="N146" s="100">
        <v>-12313211.359999999</v>
      </c>
      <c r="O146" s="100">
        <v>861962</v>
      </c>
      <c r="P146" s="100">
        <v>-503242.15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101713470.23</v>
      </c>
      <c r="F147" s="90">
        <v>8948751.2899999991</v>
      </c>
      <c r="G147" s="90">
        <v>5115060.57</v>
      </c>
      <c r="H147" s="90">
        <v>1967557.02</v>
      </c>
      <c r="I147" s="90">
        <v>22708965.039999999</v>
      </c>
      <c r="J147" s="90">
        <v>700792.42</v>
      </c>
      <c r="K147" s="90">
        <v>51372.12</v>
      </c>
      <c r="L147" s="90">
        <v>8021128.0199999996</v>
      </c>
      <c r="M147" s="90">
        <v>7028950.6200000001</v>
      </c>
      <c r="N147" s="90">
        <v>27889495.07</v>
      </c>
      <c r="O147" s="90">
        <v>18404822.43</v>
      </c>
      <c r="P147" s="90">
        <v>876078.23</v>
      </c>
      <c r="Q147" s="90">
        <v>497.4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8" t="s">
        <v>2</v>
      </c>
      <c r="C178" s="776" t="s">
        <v>132</v>
      </c>
      <c r="D178" s="98" t="s">
        <v>70</v>
      </c>
      <c r="E178" s="100">
        <f>E117+E146-K117</f>
        <v>101662098.10999998</v>
      </c>
      <c r="F178" s="100">
        <f t="shared" ref="F178:R178" si="3">F117</f>
        <v>8605592.6300000008</v>
      </c>
      <c r="G178" s="100">
        <f t="shared" si="3"/>
        <v>4936937.04</v>
      </c>
      <c r="H178" s="100">
        <f t="shared" si="3"/>
        <v>1904352.16</v>
      </c>
      <c r="I178" s="100">
        <f t="shared" si="3"/>
        <v>30991475.91</v>
      </c>
      <c r="J178" s="100">
        <f t="shared" si="3"/>
        <v>1003353.51</v>
      </c>
      <c r="K178" s="100">
        <f t="shared" si="3"/>
        <v>51372.12</v>
      </c>
      <c r="L178" s="100">
        <f t="shared" si="3"/>
        <v>10643668.619999999</v>
      </c>
      <c r="M178" s="100">
        <f t="shared" si="3"/>
        <v>9614716.0800000001</v>
      </c>
      <c r="N178" s="100">
        <f t="shared" si="3"/>
        <v>40202706.43</v>
      </c>
      <c r="O178" s="100">
        <f t="shared" si="3"/>
        <v>17542860.43</v>
      </c>
      <c r="P178" s="100">
        <f t="shared" si="3"/>
        <v>1379320.38</v>
      </c>
      <c r="Q178" s="100">
        <f t="shared" si="3"/>
        <v>497.4</v>
      </c>
      <c r="R178" s="100">
        <f t="shared" si="3"/>
        <v>0</v>
      </c>
    </row>
    <row r="179" spans="1:19" ht="12.75" customHeight="1" x14ac:dyDescent="0.25">
      <c r="B179" s="778"/>
      <c r="C179" s="776"/>
      <c r="D179" s="98" t="s">
        <v>73</v>
      </c>
      <c r="E179" s="100">
        <f>E146</f>
        <v>-25163382.48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8" t="s">
        <v>160</v>
      </c>
      <c r="C181" s="776" t="s">
        <v>132</v>
      </c>
      <c r="D181" s="223" t="s">
        <v>70</v>
      </c>
      <c r="E181" s="225">
        <f>E138+E120+E106+E80-K80-K106</f>
        <v>16022820.030000001</v>
      </c>
      <c r="F181" s="225">
        <f>F106+F80</f>
        <v>1363563.72</v>
      </c>
      <c r="G181" s="225">
        <f t="shared" ref="G181:R181" si="4">G106+G80</f>
        <v>820950.66</v>
      </c>
      <c r="H181" s="225">
        <f t="shared" si="4"/>
        <v>239170.27</v>
      </c>
      <c r="I181" s="225">
        <f t="shared" si="4"/>
        <v>6922017.6500000004</v>
      </c>
      <c r="J181" s="225">
        <f t="shared" si="4"/>
        <v>207742.91</v>
      </c>
      <c r="K181" s="225">
        <f t="shared" si="4"/>
        <v>0</v>
      </c>
      <c r="L181" s="225">
        <f t="shared" si="4"/>
        <v>2074279.74</v>
      </c>
      <c r="M181" s="225">
        <f t="shared" si="4"/>
        <v>1766598.37</v>
      </c>
      <c r="N181" s="225">
        <f t="shared" si="4"/>
        <v>7092923.6799999997</v>
      </c>
      <c r="O181" s="225">
        <f t="shared" si="4"/>
        <v>2735733.96</v>
      </c>
      <c r="P181" s="225">
        <f t="shared" si="4"/>
        <v>224551.9</v>
      </c>
      <c r="Q181" s="225">
        <f t="shared" si="4"/>
        <v>157.16999999999999</v>
      </c>
      <c r="R181" s="225">
        <f t="shared" si="4"/>
        <v>0</v>
      </c>
    </row>
    <row r="182" spans="1:19" ht="12.75" customHeight="1" x14ac:dyDescent="0.25">
      <c r="B182" s="778"/>
      <c r="C182" s="776"/>
      <c r="D182" s="223" t="s">
        <v>73</v>
      </c>
      <c r="E182" s="225">
        <f>E138+E120</f>
        <v>-7424870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8" t="s">
        <v>155</v>
      </c>
      <c r="C184" s="776" t="s">
        <v>132</v>
      </c>
      <c r="D184" s="221" t="s">
        <v>70</v>
      </c>
      <c r="E184" s="222">
        <f>E123+E84-K84</f>
        <v>56389807.619999997</v>
      </c>
      <c r="F184" s="222">
        <f>F84</f>
        <v>4330549.46</v>
      </c>
      <c r="G184" s="222">
        <f t="shared" ref="G184:R184" si="5">G84</f>
        <v>2500825.34</v>
      </c>
      <c r="H184" s="222">
        <f t="shared" si="5"/>
        <v>900138.33</v>
      </c>
      <c r="I184" s="222">
        <f t="shared" si="5"/>
        <v>19218828.109999999</v>
      </c>
      <c r="J184" s="222">
        <f t="shared" si="5"/>
        <v>614720.18999999994</v>
      </c>
      <c r="K184" s="222">
        <f t="shared" si="5"/>
        <v>51372.12</v>
      </c>
      <c r="L184" s="222">
        <f t="shared" si="5"/>
        <v>6720576.6200000001</v>
      </c>
      <c r="M184" s="222">
        <f t="shared" si="5"/>
        <v>6169326.2000000002</v>
      </c>
      <c r="N184" s="222">
        <f t="shared" si="5"/>
        <v>26235526.309999999</v>
      </c>
      <c r="O184" s="222">
        <f t="shared" si="5"/>
        <v>8936888.9700000007</v>
      </c>
      <c r="P184" s="222">
        <f t="shared" si="5"/>
        <v>899091.23</v>
      </c>
      <c r="Q184" s="222">
        <f t="shared" si="5"/>
        <v>271.12</v>
      </c>
      <c r="R184" s="222">
        <f t="shared" si="5"/>
        <v>0</v>
      </c>
    </row>
    <row r="185" spans="1:19" ht="12.75" customHeight="1" x14ac:dyDescent="0.25">
      <c r="B185" s="778"/>
      <c r="C185" s="776"/>
      <c r="D185" s="221" t="s">
        <v>73</v>
      </c>
      <c r="E185" s="222">
        <f>E123</f>
        <v>-20136934.260000002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9" t="s">
        <v>325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9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8" t="s">
        <v>119</v>
      </c>
      <c r="C190" s="776" t="s">
        <v>132</v>
      </c>
      <c r="D190" s="101" t="s">
        <v>70</v>
      </c>
      <c r="E190" s="93">
        <f>E116+E145-K116</f>
        <v>29249470.460000001</v>
      </c>
      <c r="F190" s="93">
        <f t="shared" ref="F190:R190" si="6">F116</f>
        <v>2911479.45</v>
      </c>
      <c r="G190" s="93">
        <f t="shared" si="6"/>
        <v>1615161.04</v>
      </c>
      <c r="H190" s="93">
        <f t="shared" si="6"/>
        <v>765043.56</v>
      </c>
      <c r="I190" s="93">
        <f t="shared" si="6"/>
        <v>4850630.1500000004</v>
      </c>
      <c r="J190" s="93">
        <f t="shared" si="6"/>
        <v>180890.41</v>
      </c>
      <c r="K190" s="93">
        <f t="shared" si="6"/>
        <v>0</v>
      </c>
      <c r="L190" s="93">
        <f t="shared" si="6"/>
        <v>1848812.26</v>
      </c>
      <c r="M190" s="93">
        <f t="shared" si="6"/>
        <v>1678791.51</v>
      </c>
      <c r="N190" s="93">
        <f t="shared" si="6"/>
        <v>6874256.4400000004</v>
      </c>
      <c r="O190" s="93">
        <f t="shared" si="6"/>
        <v>5870237.5</v>
      </c>
      <c r="P190" s="93">
        <f t="shared" si="6"/>
        <v>255677.25</v>
      </c>
      <c r="Q190" s="93">
        <f t="shared" si="6"/>
        <v>69.11</v>
      </c>
      <c r="R190" s="93">
        <f t="shared" si="6"/>
        <v>0</v>
      </c>
    </row>
    <row r="191" spans="1:19" ht="12.75" customHeight="1" x14ac:dyDescent="0.25">
      <c r="B191" s="778"/>
      <c r="C191" s="776"/>
      <c r="D191" s="101" t="s">
        <v>73</v>
      </c>
      <c r="E191" s="93">
        <f>E145</f>
        <v>2398421.7799999998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7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7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331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23412669.98</v>
      </c>
      <c r="F202">
        <v>1358095.29</v>
      </c>
      <c r="G202">
        <v>758078.16</v>
      </c>
      <c r="H202">
        <v>333219.24</v>
      </c>
      <c r="I202">
        <v>5453410.1399999997</v>
      </c>
      <c r="J202">
        <v>184934.16</v>
      </c>
      <c r="K202">
        <v>45286.42</v>
      </c>
      <c r="L202">
        <v>2062901.16</v>
      </c>
      <c r="M202">
        <v>1587462.04</v>
      </c>
      <c r="N202">
        <v>7131830.5499999998</v>
      </c>
      <c r="O202">
        <v>4229900.8</v>
      </c>
      <c r="P202">
        <v>267739.32</v>
      </c>
      <c r="Q202">
        <v>-187.3</v>
      </c>
      <c r="R202">
        <v>0</v>
      </c>
    </row>
    <row r="203" spans="2:18" ht="12.75" customHeight="1" x14ac:dyDescent="0.25">
      <c r="D203" t="s">
        <v>81</v>
      </c>
      <c r="E203">
        <v>31678.880000000001</v>
      </c>
      <c r="F203">
        <v>1709.01</v>
      </c>
      <c r="G203">
        <v>964.78</v>
      </c>
      <c r="H203">
        <v>506.41</v>
      </c>
      <c r="I203">
        <v>8950.93</v>
      </c>
      <c r="J203">
        <v>256.97000000000003</v>
      </c>
      <c r="K203">
        <v>0</v>
      </c>
      <c r="L203">
        <v>2254.9499999999998</v>
      </c>
      <c r="M203">
        <v>2193.7600000000002</v>
      </c>
      <c r="N203">
        <v>10386.23</v>
      </c>
      <c r="O203">
        <v>4035.96</v>
      </c>
      <c r="P203">
        <v>419.58</v>
      </c>
      <c r="Q203">
        <v>0.3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23444348.859999999</v>
      </c>
      <c r="F204" s="90">
        <v>1359804.3</v>
      </c>
      <c r="G204" s="90">
        <v>759042.94</v>
      </c>
      <c r="H204" s="90">
        <v>333725.65000000002</v>
      </c>
      <c r="I204" s="90">
        <v>5462361.0700000003</v>
      </c>
      <c r="J204" s="90">
        <v>185191.13</v>
      </c>
      <c r="K204" s="90">
        <v>45286.42</v>
      </c>
      <c r="L204" s="90">
        <v>2065156.11</v>
      </c>
      <c r="M204" s="90">
        <v>1589655.8</v>
      </c>
      <c r="N204" s="90">
        <v>7142216.7800000003</v>
      </c>
      <c r="O204" s="90">
        <v>4233936.76</v>
      </c>
      <c r="P204" s="90">
        <v>268158.90000000002</v>
      </c>
      <c r="Q204" s="90">
        <v>-187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23444348.859999999</v>
      </c>
      <c r="F205" s="656">
        <v>1359804.3</v>
      </c>
      <c r="G205" s="656">
        <v>759042.94</v>
      </c>
      <c r="H205" s="656">
        <v>333725.65000000002</v>
      </c>
      <c r="I205" s="656">
        <v>5462361.0700000003</v>
      </c>
      <c r="J205" s="656">
        <v>185191.13</v>
      </c>
      <c r="K205" s="656">
        <v>45286.42</v>
      </c>
      <c r="L205" s="656">
        <v>2065156.11</v>
      </c>
      <c r="M205" s="656">
        <v>1589655.8</v>
      </c>
      <c r="N205" s="656">
        <v>7142216.7800000003</v>
      </c>
      <c r="O205" s="656">
        <v>4233936.76</v>
      </c>
      <c r="P205" s="656">
        <v>268158.90000000002</v>
      </c>
      <c r="Q205" s="656">
        <v>-187</v>
      </c>
      <c r="R205" s="656">
        <v>0</v>
      </c>
    </row>
    <row r="206" spans="2:18" ht="12.75" customHeight="1" x14ac:dyDescent="0.25">
      <c r="D206" t="s">
        <v>72</v>
      </c>
      <c r="E206" s="142">
        <v>313320.40000000002</v>
      </c>
      <c r="F206">
        <v>14280.88</v>
      </c>
      <c r="G206">
        <v>7957.22</v>
      </c>
      <c r="H206">
        <v>5582.47</v>
      </c>
      <c r="I206">
        <v>68095.350000000006</v>
      </c>
      <c r="J206">
        <v>3343.86</v>
      </c>
      <c r="K206">
        <v>0</v>
      </c>
      <c r="L206">
        <v>26073.119999999999</v>
      </c>
      <c r="M206">
        <v>28699.919999999998</v>
      </c>
      <c r="N206">
        <v>120348.8</v>
      </c>
      <c r="O206">
        <v>33481.769999999997</v>
      </c>
      <c r="P206">
        <v>5455.8</v>
      </c>
      <c r="Q206">
        <v>1.21</v>
      </c>
      <c r="R206">
        <v>0</v>
      </c>
    </row>
    <row r="207" spans="2:18" ht="12.75" customHeight="1" x14ac:dyDescent="0.25">
      <c r="D207" t="s">
        <v>81</v>
      </c>
      <c r="E207" s="142">
        <v>8.49</v>
      </c>
      <c r="F207">
        <v>0.34</v>
      </c>
      <c r="G207">
        <v>0.19</v>
      </c>
      <c r="H207">
        <v>0.1</v>
      </c>
      <c r="I207">
        <v>2.66</v>
      </c>
      <c r="J207">
        <v>7.0000000000000007E-2</v>
      </c>
      <c r="K207">
        <v>0</v>
      </c>
      <c r="L207">
        <v>0.64</v>
      </c>
      <c r="M207">
        <v>0.62</v>
      </c>
      <c r="N207">
        <v>2.95</v>
      </c>
      <c r="O207">
        <v>0.8</v>
      </c>
      <c r="P207">
        <v>0.12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313328.89</v>
      </c>
      <c r="F208">
        <v>14281.22</v>
      </c>
      <c r="G208">
        <v>7957.41</v>
      </c>
      <c r="H208">
        <v>5582.57</v>
      </c>
      <c r="I208">
        <v>68098.009999999995</v>
      </c>
      <c r="J208">
        <v>3343.93</v>
      </c>
      <c r="K208">
        <v>0</v>
      </c>
      <c r="L208">
        <v>26073.759999999998</v>
      </c>
      <c r="M208">
        <v>28700.54</v>
      </c>
      <c r="N208">
        <v>120351.75</v>
      </c>
      <c r="O208">
        <v>33482.57</v>
      </c>
      <c r="P208">
        <v>5455.92</v>
      </c>
      <c r="Q208">
        <v>1.21</v>
      </c>
      <c r="R208">
        <v>0</v>
      </c>
    </row>
    <row r="209" spans="1:18" ht="12.75" customHeight="1" x14ac:dyDescent="0.25">
      <c r="D209" t="s">
        <v>72</v>
      </c>
      <c r="E209" s="142">
        <v>133520.76999999999</v>
      </c>
      <c r="F209">
        <v>8083.84</v>
      </c>
      <c r="G209">
        <v>4504.2700000000004</v>
      </c>
      <c r="H209">
        <v>2395.59</v>
      </c>
      <c r="I209">
        <v>31719.89</v>
      </c>
      <c r="J209">
        <v>1128.52</v>
      </c>
      <c r="K209">
        <v>0</v>
      </c>
      <c r="L209">
        <v>9899.27</v>
      </c>
      <c r="M209">
        <v>9592.5</v>
      </c>
      <c r="N209">
        <v>45189.38</v>
      </c>
      <c r="O209">
        <v>19167.599999999999</v>
      </c>
      <c r="P209">
        <v>1841.26</v>
      </c>
      <c r="Q209">
        <v>-1.35</v>
      </c>
      <c r="R209">
        <v>0</v>
      </c>
    </row>
    <row r="210" spans="1:18" ht="12.75" customHeight="1" x14ac:dyDescent="0.25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133520.76999999999</v>
      </c>
      <c r="F211">
        <v>8083.84</v>
      </c>
      <c r="G211">
        <v>4504.2700000000004</v>
      </c>
      <c r="H211">
        <v>2395.59</v>
      </c>
      <c r="I211">
        <v>31719.89</v>
      </c>
      <c r="J211">
        <v>1128.52</v>
      </c>
      <c r="K211">
        <v>0</v>
      </c>
      <c r="L211">
        <v>9899.27</v>
      </c>
      <c r="M211">
        <v>9592.5</v>
      </c>
      <c r="N211">
        <v>45189.38</v>
      </c>
      <c r="O211">
        <v>19167.599999999999</v>
      </c>
      <c r="P211">
        <v>1841.26</v>
      </c>
      <c r="Q211">
        <v>-1.35</v>
      </c>
      <c r="R211">
        <v>0</v>
      </c>
    </row>
    <row r="212" spans="1:18" ht="12.75" customHeight="1" x14ac:dyDescent="0.25">
      <c r="D212" t="s">
        <v>72</v>
      </c>
      <c r="E212" s="142">
        <v>1142772.19</v>
      </c>
      <c r="F212">
        <v>161068.92000000001</v>
      </c>
      <c r="G212">
        <v>87492.96</v>
      </c>
      <c r="H212">
        <v>46172.74</v>
      </c>
      <c r="I212">
        <v>149011.65</v>
      </c>
      <c r="J212">
        <v>5870.56</v>
      </c>
      <c r="K212">
        <v>0</v>
      </c>
      <c r="L212">
        <v>50689.32</v>
      </c>
      <c r="M212">
        <v>45497.51</v>
      </c>
      <c r="N212">
        <v>209080.12</v>
      </c>
      <c r="O212">
        <v>378310.28</v>
      </c>
      <c r="P212">
        <v>9578.27</v>
      </c>
      <c r="Q212">
        <v>-0.14000000000000001</v>
      </c>
      <c r="R212">
        <v>0</v>
      </c>
    </row>
    <row r="213" spans="1:18" ht="12.75" customHeight="1" x14ac:dyDescent="0.25">
      <c r="D213" t="s">
        <v>81</v>
      </c>
      <c r="E213" s="142">
        <v>27428.84</v>
      </c>
      <c r="F213">
        <v>4699.72</v>
      </c>
      <c r="G213">
        <v>2398.9299999999998</v>
      </c>
      <c r="H213">
        <v>1264.01</v>
      </c>
      <c r="I213">
        <v>2557.6999999999998</v>
      </c>
      <c r="J213">
        <v>103.81</v>
      </c>
      <c r="K213">
        <v>0</v>
      </c>
      <c r="L213">
        <v>910.54</v>
      </c>
      <c r="M213">
        <v>829.73</v>
      </c>
      <c r="N213">
        <v>3562.44</v>
      </c>
      <c r="O213">
        <v>10932.41</v>
      </c>
      <c r="P213">
        <v>169.37</v>
      </c>
      <c r="Q213">
        <v>0.18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1170201.03</v>
      </c>
      <c r="F214" s="90">
        <v>165768.64000000001</v>
      </c>
      <c r="G214" s="90">
        <v>89891.89</v>
      </c>
      <c r="H214" s="90">
        <v>47436.75</v>
      </c>
      <c r="I214" s="90">
        <v>151569.35</v>
      </c>
      <c r="J214" s="90">
        <v>5974.37</v>
      </c>
      <c r="K214" s="90">
        <v>0</v>
      </c>
      <c r="L214" s="90">
        <v>51599.86</v>
      </c>
      <c r="M214" s="90">
        <v>46327.24</v>
      </c>
      <c r="N214" s="90">
        <v>212642.56</v>
      </c>
      <c r="O214" s="90">
        <v>389242.69</v>
      </c>
      <c r="P214" s="90">
        <v>9747.64</v>
      </c>
      <c r="Q214" s="90">
        <v>0.04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1617050.69</v>
      </c>
      <c r="F215" s="93">
        <v>188133.7</v>
      </c>
      <c r="G215" s="93">
        <v>102353.57</v>
      </c>
      <c r="H215" s="93">
        <v>55414.91</v>
      </c>
      <c r="I215" s="93">
        <v>251387.25</v>
      </c>
      <c r="J215" s="93">
        <v>10446.82</v>
      </c>
      <c r="K215" s="93">
        <v>0</v>
      </c>
      <c r="L215" s="93">
        <v>87572.89</v>
      </c>
      <c r="M215" s="93">
        <v>84620.28</v>
      </c>
      <c r="N215" s="93">
        <v>378183.69</v>
      </c>
      <c r="O215" s="93">
        <v>441892.86</v>
      </c>
      <c r="P215" s="93">
        <v>17044.82</v>
      </c>
      <c r="Q215" s="93">
        <v>-0.1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25061399.550000001</v>
      </c>
      <c r="F216" s="100">
        <v>1547938</v>
      </c>
      <c r="G216" s="100">
        <v>861396.51</v>
      </c>
      <c r="H216" s="100">
        <v>389140.56</v>
      </c>
      <c r="I216" s="100">
        <v>5713748.3200000003</v>
      </c>
      <c r="J216" s="100">
        <v>195637.95</v>
      </c>
      <c r="K216" s="100">
        <v>45286.42</v>
      </c>
      <c r="L216" s="100">
        <v>2152729</v>
      </c>
      <c r="M216" s="100">
        <v>1674276.08</v>
      </c>
      <c r="N216" s="100">
        <v>7520400.4699999997</v>
      </c>
      <c r="O216" s="100">
        <v>4675829.62</v>
      </c>
      <c r="P216" s="100">
        <v>285203.71999999997</v>
      </c>
      <c r="Q216" s="100">
        <v>-187.1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331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-1570889.74</v>
      </c>
      <c r="F220" s="90">
        <v>145657.76999999999</v>
      </c>
      <c r="G220" s="90">
        <v>71033.34</v>
      </c>
      <c r="H220" s="90">
        <v>42248.6</v>
      </c>
      <c r="I220" s="90">
        <v>-694566.40000000002</v>
      </c>
      <c r="J220" s="90">
        <v>-24568.18</v>
      </c>
      <c r="K220" s="90">
        <v>0</v>
      </c>
      <c r="L220" s="90">
        <v>-213879.14</v>
      </c>
      <c r="M220" s="90">
        <v>-208828.63</v>
      </c>
      <c r="N220" s="90">
        <v>-983891.58</v>
      </c>
      <c r="O220" s="90">
        <v>335989.02</v>
      </c>
      <c r="P220" s="90">
        <v>-40084.54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-1570889.74</v>
      </c>
      <c r="F221" s="90">
        <v>145657.76999999999</v>
      </c>
      <c r="G221" s="90">
        <v>71033.34</v>
      </c>
      <c r="H221" s="90">
        <v>42248.6</v>
      </c>
      <c r="I221" s="90">
        <v>-694566.40000000002</v>
      </c>
      <c r="J221" s="90">
        <v>-24568.18</v>
      </c>
      <c r="K221" s="90">
        <v>0</v>
      </c>
      <c r="L221" s="90">
        <v>-213879.14</v>
      </c>
      <c r="M221" s="90">
        <v>-208828.63</v>
      </c>
      <c r="N221" s="90">
        <v>-983891.58</v>
      </c>
      <c r="O221" s="90">
        <v>335989.02</v>
      </c>
      <c r="P221" s="90">
        <v>-40084.54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-1570889.74</v>
      </c>
      <c r="F222" s="222">
        <v>145657.76999999999</v>
      </c>
      <c r="G222" s="222">
        <v>71033.34</v>
      </c>
      <c r="H222" s="222">
        <v>42248.6</v>
      </c>
      <c r="I222" s="222">
        <v>-694566.40000000002</v>
      </c>
      <c r="J222" s="222">
        <v>-24568.18</v>
      </c>
      <c r="K222" s="222">
        <v>0</v>
      </c>
      <c r="L222" s="222">
        <v>-213879.14</v>
      </c>
      <c r="M222" s="222">
        <v>-208828.63</v>
      </c>
      <c r="N222" s="222">
        <v>-983891.58</v>
      </c>
      <c r="O222" s="222">
        <v>335989.02</v>
      </c>
      <c r="P222" s="222">
        <v>-40084.54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-29555.06</v>
      </c>
      <c r="F223" s="90">
        <v>795.53</v>
      </c>
      <c r="G223" s="90">
        <v>443.29</v>
      </c>
      <c r="H223" s="90">
        <v>235.74</v>
      </c>
      <c r="I223" s="90">
        <v>-10523.57</v>
      </c>
      <c r="J223" s="90">
        <v>-371.56</v>
      </c>
      <c r="K223" s="90">
        <v>0</v>
      </c>
      <c r="L223" s="90">
        <v>-3259.16</v>
      </c>
      <c r="M223" s="90">
        <v>-3188.87</v>
      </c>
      <c r="N223" s="90">
        <v>-14966.57</v>
      </c>
      <c r="O223" s="90">
        <v>1886.31</v>
      </c>
      <c r="P223" s="90">
        <v>-606.20000000000005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-29555.06</v>
      </c>
      <c r="F224">
        <v>795.53</v>
      </c>
      <c r="G224">
        <v>443.29</v>
      </c>
      <c r="H224">
        <v>235.74</v>
      </c>
      <c r="I224">
        <v>-10523.57</v>
      </c>
      <c r="J224">
        <v>-371.56</v>
      </c>
      <c r="K224">
        <v>0</v>
      </c>
      <c r="L224">
        <v>-3259.16</v>
      </c>
      <c r="M224">
        <v>-3188.87</v>
      </c>
      <c r="N224">
        <v>-14966.57</v>
      </c>
      <c r="O224">
        <v>1886.31</v>
      </c>
      <c r="P224">
        <v>-606.20000000000005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-2934.58</v>
      </c>
      <c r="F225">
        <v>1321.93</v>
      </c>
      <c r="G225">
        <v>736.57</v>
      </c>
      <c r="H225">
        <v>-283.47000000000003</v>
      </c>
      <c r="I225">
        <v>-1250.79</v>
      </c>
      <c r="J225">
        <v>-20.67</v>
      </c>
      <c r="K225">
        <v>0</v>
      </c>
      <c r="L225">
        <v>-181.24</v>
      </c>
      <c r="M225">
        <v>-163.32</v>
      </c>
      <c r="N225">
        <v>-791.78</v>
      </c>
      <c r="O225">
        <v>-2268.1</v>
      </c>
      <c r="P225">
        <v>-33.71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-2934.58</v>
      </c>
      <c r="F226">
        <v>1321.93</v>
      </c>
      <c r="G226">
        <v>736.57</v>
      </c>
      <c r="H226">
        <v>-283.47000000000003</v>
      </c>
      <c r="I226">
        <v>-1250.79</v>
      </c>
      <c r="J226">
        <v>-20.67</v>
      </c>
      <c r="K226">
        <v>0</v>
      </c>
      <c r="L226">
        <v>-181.24</v>
      </c>
      <c r="M226">
        <v>-163.32</v>
      </c>
      <c r="N226">
        <v>-791.78</v>
      </c>
      <c r="O226">
        <v>-2268.1</v>
      </c>
      <c r="P226">
        <v>-33.71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171193.68</v>
      </c>
      <c r="F227" s="90">
        <v>15975.28</v>
      </c>
      <c r="G227" s="90">
        <v>32180.91</v>
      </c>
      <c r="H227" s="90">
        <v>6977.15</v>
      </c>
      <c r="I227" s="90">
        <v>26766.48</v>
      </c>
      <c r="J227" s="90">
        <v>1132.58</v>
      </c>
      <c r="K227" s="90">
        <v>0</v>
      </c>
      <c r="L227" s="90">
        <v>9934.65</v>
      </c>
      <c r="M227" s="90">
        <v>8844.73</v>
      </c>
      <c r="N227" s="90">
        <v>31302.53</v>
      </c>
      <c r="O227" s="90">
        <v>36231.53</v>
      </c>
      <c r="P227" s="90">
        <v>1847.84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171193.68</v>
      </c>
      <c r="F228" s="90">
        <v>15975.28</v>
      </c>
      <c r="G228" s="90">
        <v>32180.91</v>
      </c>
      <c r="H228" s="90">
        <v>6977.15</v>
      </c>
      <c r="I228" s="90">
        <v>26766.48</v>
      </c>
      <c r="J228" s="90">
        <v>1132.58</v>
      </c>
      <c r="K228" s="90">
        <v>0</v>
      </c>
      <c r="L228" s="90">
        <v>9934.65</v>
      </c>
      <c r="M228" s="90">
        <v>8844.73</v>
      </c>
      <c r="N228" s="90">
        <v>31302.53</v>
      </c>
      <c r="O228" s="90">
        <v>36231.53</v>
      </c>
      <c r="P228" s="90">
        <v>1847.84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138704.04</v>
      </c>
      <c r="F229" s="93">
        <v>18092.740000000002</v>
      </c>
      <c r="G229" s="93">
        <v>33360.769999999997</v>
      </c>
      <c r="H229" s="93">
        <v>6929.42</v>
      </c>
      <c r="I229" s="93">
        <v>14992.12</v>
      </c>
      <c r="J229" s="93">
        <v>740.35</v>
      </c>
      <c r="K229" s="93">
        <v>0</v>
      </c>
      <c r="L229" s="93">
        <v>6494.25</v>
      </c>
      <c r="M229" s="93">
        <v>5492.54</v>
      </c>
      <c r="N229" s="93">
        <v>15544.18</v>
      </c>
      <c r="O229" s="93">
        <v>35849.74</v>
      </c>
      <c r="P229" s="93">
        <v>1207.93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-1432185.7</v>
      </c>
      <c r="F230" s="100">
        <v>163750.51</v>
      </c>
      <c r="G230" s="100">
        <v>104394.11</v>
      </c>
      <c r="H230" s="100">
        <v>49178.02</v>
      </c>
      <c r="I230" s="100">
        <v>-679574.28</v>
      </c>
      <c r="J230" s="100">
        <v>-23827.83</v>
      </c>
      <c r="K230" s="100">
        <v>0</v>
      </c>
      <c r="L230" s="100">
        <v>-207384.89</v>
      </c>
      <c r="M230" s="100">
        <v>-203336.09</v>
      </c>
      <c r="N230" s="100">
        <v>-968347.4</v>
      </c>
      <c r="O230" s="100">
        <v>371838.76</v>
      </c>
      <c r="P230" s="100">
        <v>-38876.61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23629213.850000001</v>
      </c>
      <c r="F231" s="90">
        <v>1711688.51</v>
      </c>
      <c r="G231" s="90">
        <v>965790.62</v>
      </c>
      <c r="H231" s="90">
        <v>438318.58</v>
      </c>
      <c r="I231" s="90">
        <v>5034174.04</v>
      </c>
      <c r="J231" s="90">
        <v>171810.12</v>
      </c>
      <c r="K231" s="90">
        <v>45286.42</v>
      </c>
      <c r="L231" s="90">
        <v>1945344.11</v>
      </c>
      <c r="M231" s="90">
        <v>1470939.99</v>
      </c>
      <c r="N231" s="90">
        <v>6552053.0700000003</v>
      </c>
      <c r="O231" s="90">
        <v>5047668.38</v>
      </c>
      <c r="P231" s="90">
        <v>246327.11</v>
      </c>
      <c r="Q231" s="90">
        <v>-187.1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8" t="s">
        <v>2</v>
      </c>
      <c r="C299" s="776" t="s">
        <v>132</v>
      </c>
      <c r="D299" s="98" t="s">
        <v>70</v>
      </c>
      <c r="E299" s="100">
        <f>E216+E230-K216</f>
        <v>23583927.43</v>
      </c>
      <c r="F299" s="100">
        <f>F216</f>
        <v>1547938</v>
      </c>
      <c r="G299" s="100">
        <f t="shared" ref="G299:R299" si="7">G216</f>
        <v>861396.51</v>
      </c>
      <c r="H299" s="100">
        <f t="shared" si="7"/>
        <v>389140.56</v>
      </c>
      <c r="I299" s="100">
        <f t="shared" si="7"/>
        <v>5713748.3200000003</v>
      </c>
      <c r="J299" s="100">
        <f t="shared" si="7"/>
        <v>195637.95</v>
      </c>
      <c r="K299" s="100">
        <f t="shared" si="7"/>
        <v>45286.42</v>
      </c>
      <c r="L299" s="100">
        <f t="shared" si="7"/>
        <v>2152729</v>
      </c>
      <c r="M299" s="100">
        <f t="shared" si="7"/>
        <v>1674276.08</v>
      </c>
      <c r="N299" s="100">
        <f t="shared" si="7"/>
        <v>7520400.4699999997</v>
      </c>
      <c r="O299" s="100">
        <f t="shared" si="7"/>
        <v>4675829.62</v>
      </c>
      <c r="P299" s="100">
        <f t="shared" si="7"/>
        <v>285203.71999999997</v>
      </c>
      <c r="Q299" s="100">
        <f t="shared" si="7"/>
        <v>-187.1</v>
      </c>
      <c r="R299" s="100">
        <f t="shared" si="7"/>
        <v>0</v>
      </c>
    </row>
    <row r="300" spans="1:18" ht="12.75" customHeight="1" x14ac:dyDescent="0.25">
      <c r="B300" s="778"/>
      <c r="C300" s="776"/>
      <c r="D300" s="98" t="s">
        <v>73</v>
      </c>
      <c r="E300" s="100">
        <f>E230</f>
        <v>-1432185.7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8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8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8" t="s">
        <v>155</v>
      </c>
      <c r="C305" s="776" t="s">
        <v>132</v>
      </c>
      <c r="D305" s="221" t="s">
        <v>70</v>
      </c>
      <c r="E305" s="222">
        <f>E222+E219+E205+E201-K205-K201</f>
        <v>21828172.699999999</v>
      </c>
      <c r="F305" s="222">
        <f>F201+F205</f>
        <v>1359804.3</v>
      </c>
      <c r="G305" s="222">
        <f t="shared" ref="G305:R305" si="8">G201+G205</f>
        <v>759042.94</v>
      </c>
      <c r="H305" s="222">
        <f t="shared" si="8"/>
        <v>333725.65000000002</v>
      </c>
      <c r="I305" s="222">
        <f t="shared" si="8"/>
        <v>5462361.0700000003</v>
      </c>
      <c r="J305" s="222">
        <f t="shared" si="8"/>
        <v>185191.13</v>
      </c>
      <c r="K305" s="222">
        <f t="shared" si="8"/>
        <v>45286.42</v>
      </c>
      <c r="L305" s="222">
        <f t="shared" si="8"/>
        <v>2065156.11</v>
      </c>
      <c r="M305" s="222">
        <f t="shared" si="8"/>
        <v>1589655.8</v>
      </c>
      <c r="N305" s="222">
        <f t="shared" si="8"/>
        <v>7142216.7800000003</v>
      </c>
      <c r="O305" s="222">
        <f t="shared" si="8"/>
        <v>4233936.76</v>
      </c>
      <c r="P305" s="222">
        <f t="shared" si="8"/>
        <v>268158.90000000002</v>
      </c>
      <c r="Q305" s="222">
        <f t="shared" si="8"/>
        <v>-187</v>
      </c>
      <c r="R305" s="222">
        <f t="shared" si="8"/>
        <v>0</v>
      </c>
    </row>
    <row r="306" spans="1:18" ht="12.75" customHeight="1" x14ac:dyDescent="0.25">
      <c r="B306" s="778"/>
      <c r="C306" s="776"/>
      <c r="D306" s="221" t="s">
        <v>73</v>
      </c>
      <c r="E306" s="222">
        <f>E222+E219</f>
        <v>-1570889.74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9" t="s">
        <v>325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9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8" t="s">
        <v>119</v>
      </c>
      <c r="C311" s="776" t="s">
        <v>132</v>
      </c>
      <c r="D311" s="101" t="s">
        <v>70</v>
      </c>
      <c r="E311" s="93">
        <f>E215+E229-K215</f>
        <v>1755754.73</v>
      </c>
      <c r="F311" s="93">
        <f>F215</f>
        <v>188133.7</v>
      </c>
      <c r="G311" s="93">
        <f t="shared" ref="G311:R311" si="9">G215</f>
        <v>102353.57</v>
      </c>
      <c r="H311" s="93">
        <f t="shared" si="9"/>
        <v>55414.91</v>
      </c>
      <c r="I311" s="93">
        <f t="shared" si="9"/>
        <v>251387.25</v>
      </c>
      <c r="J311" s="93">
        <f t="shared" si="9"/>
        <v>10446.82</v>
      </c>
      <c r="K311" s="93">
        <f t="shared" si="9"/>
        <v>0</v>
      </c>
      <c r="L311" s="93">
        <f t="shared" si="9"/>
        <v>87572.89</v>
      </c>
      <c r="M311" s="93">
        <f t="shared" si="9"/>
        <v>84620.28</v>
      </c>
      <c r="N311" s="93">
        <f t="shared" si="9"/>
        <v>378183.69</v>
      </c>
      <c r="O311" s="93">
        <f t="shared" si="9"/>
        <v>441892.86</v>
      </c>
      <c r="P311" s="93">
        <f t="shared" si="9"/>
        <v>17044.82</v>
      </c>
      <c r="Q311" s="93">
        <f t="shared" si="9"/>
        <v>-0.1</v>
      </c>
      <c r="R311" s="93">
        <f t="shared" si="9"/>
        <v>0</v>
      </c>
    </row>
    <row r="312" spans="1:18" ht="12.75" customHeight="1" x14ac:dyDescent="0.25">
      <c r="B312" s="778"/>
      <c r="C312" s="776"/>
      <c r="D312" s="101" t="s">
        <v>73</v>
      </c>
      <c r="E312" s="93">
        <f>E229</f>
        <v>138704.04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7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7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331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15706739.789999999</v>
      </c>
      <c r="F323" s="89">
        <v>905008.2</v>
      </c>
      <c r="G323" s="89">
        <v>513075.02</v>
      </c>
      <c r="H323" s="384">
        <v>241907.13</v>
      </c>
      <c r="I323" s="89">
        <v>3423667.78</v>
      </c>
      <c r="J323" s="89">
        <v>135035.56</v>
      </c>
      <c r="K323" s="89">
        <v>0</v>
      </c>
      <c r="L323" s="89">
        <v>1543737.79</v>
      </c>
      <c r="M323" s="89">
        <v>1110957.95</v>
      </c>
      <c r="N323" s="89">
        <v>4929758.21</v>
      </c>
      <c r="O323" s="89">
        <v>2697739.95</v>
      </c>
      <c r="P323" s="89">
        <v>205965.26</v>
      </c>
      <c r="Q323" s="89">
        <v>-113.06</v>
      </c>
      <c r="R323" s="384">
        <v>0</v>
      </c>
    </row>
    <row r="324" spans="2:18" ht="12.75" customHeight="1" x14ac:dyDescent="0.25">
      <c r="D324" t="s">
        <v>81</v>
      </c>
      <c r="E324" s="384">
        <v>-1339.78</v>
      </c>
      <c r="F324" s="89">
        <v>375.41</v>
      </c>
      <c r="G324" s="89">
        <v>210.76</v>
      </c>
      <c r="H324" s="384">
        <v>110.88</v>
      </c>
      <c r="I324" s="89">
        <v>2006.26</v>
      </c>
      <c r="J324" s="89">
        <v>69.959999999999994</v>
      </c>
      <c r="K324" s="89">
        <v>0</v>
      </c>
      <c r="L324" s="89">
        <v>612.74</v>
      </c>
      <c r="M324" s="89">
        <v>596.91</v>
      </c>
      <c r="N324" s="89">
        <v>-6429.93</v>
      </c>
      <c r="O324" s="89">
        <v>992.94</v>
      </c>
      <c r="P324" s="89">
        <v>114.27</v>
      </c>
      <c r="Q324" s="89">
        <v>0.02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15705400.01</v>
      </c>
      <c r="F325" s="89">
        <v>905383.61</v>
      </c>
      <c r="G325" s="89">
        <v>513285.78</v>
      </c>
      <c r="H325" s="384">
        <v>242018.01</v>
      </c>
      <c r="I325" s="89">
        <v>3425674.04</v>
      </c>
      <c r="J325" s="89">
        <v>135105.51999999999</v>
      </c>
      <c r="K325" s="89">
        <v>0</v>
      </c>
      <c r="L325" s="89">
        <v>1544350.53</v>
      </c>
      <c r="M325" s="89">
        <v>1111554.8600000001</v>
      </c>
      <c r="N325" s="89">
        <v>4923328.28</v>
      </c>
      <c r="O325" s="89">
        <v>2698732.89</v>
      </c>
      <c r="P325" s="89">
        <v>206079.53</v>
      </c>
      <c r="Q325" s="89">
        <v>-113.04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15705400.01</v>
      </c>
      <c r="F326" s="229">
        <v>905383.61</v>
      </c>
      <c r="G326" s="229">
        <v>513285.78</v>
      </c>
      <c r="H326" s="753">
        <v>242018.01</v>
      </c>
      <c r="I326" s="229">
        <v>3425674.04</v>
      </c>
      <c r="J326" s="229">
        <v>135105.51999999999</v>
      </c>
      <c r="K326" s="229">
        <v>0</v>
      </c>
      <c r="L326" s="229">
        <v>1544350.53</v>
      </c>
      <c r="M326" s="229">
        <v>1111554.8600000001</v>
      </c>
      <c r="N326" s="229">
        <v>4923328.28</v>
      </c>
      <c r="O326" s="229">
        <v>2698732.89</v>
      </c>
      <c r="P326" s="229">
        <v>206079.53</v>
      </c>
      <c r="Q326" s="229">
        <v>-113.04</v>
      </c>
      <c r="R326" s="286">
        <v>0</v>
      </c>
    </row>
    <row r="327" spans="2:18" ht="12.75" customHeight="1" x14ac:dyDescent="0.25">
      <c r="D327" t="s">
        <v>72</v>
      </c>
      <c r="E327" s="371">
        <v>1306193.1399999999</v>
      </c>
      <c r="F327" s="90">
        <v>84746.95</v>
      </c>
      <c r="G327" s="90">
        <v>42527.22</v>
      </c>
      <c r="H327" s="90">
        <v>22078.91</v>
      </c>
      <c r="I327" s="90">
        <v>274087.17</v>
      </c>
      <c r="J327" s="90">
        <v>8926.7000000000007</v>
      </c>
      <c r="K327" s="90">
        <v>0</v>
      </c>
      <c r="L327" s="90">
        <v>91191.15</v>
      </c>
      <c r="M327" s="90">
        <v>95696.15</v>
      </c>
      <c r="N327" s="90">
        <v>419671.19</v>
      </c>
      <c r="O327" s="90">
        <v>252697.71</v>
      </c>
      <c r="P327" s="90">
        <v>14564.65</v>
      </c>
      <c r="Q327" s="90">
        <v>5.34</v>
      </c>
      <c r="R327">
        <v>0</v>
      </c>
    </row>
    <row r="328" spans="2:18" ht="12.75" customHeight="1" x14ac:dyDescent="0.25">
      <c r="D328" t="s">
        <v>81</v>
      </c>
      <c r="E328" s="371">
        <v>602.67999999999995</v>
      </c>
      <c r="F328" s="90">
        <v>31.08</v>
      </c>
      <c r="G328" s="90">
        <v>15.48</v>
      </c>
      <c r="H328" s="90">
        <v>8.57</v>
      </c>
      <c r="I328" s="90">
        <v>151.35</v>
      </c>
      <c r="J328" s="90">
        <v>4.32</v>
      </c>
      <c r="K328" s="90">
        <v>0</v>
      </c>
      <c r="L328" s="90">
        <v>37.880000000000003</v>
      </c>
      <c r="M328" s="90">
        <v>43.77</v>
      </c>
      <c r="N328" s="90">
        <v>219.7</v>
      </c>
      <c r="O328" s="90">
        <v>83.46</v>
      </c>
      <c r="P328" s="90">
        <v>7.05</v>
      </c>
      <c r="Q328" s="90">
        <v>0.02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1306795.82</v>
      </c>
      <c r="F329" s="90">
        <v>84778.03</v>
      </c>
      <c r="G329" s="90">
        <v>42542.7</v>
      </c>
      <c r="H329" s="90">
        <v>22087.48</v>
      </c>
      <c r="I329" s="90">
        <v>274238.52</v>
      </c>
      <c r="J329" s="90">
        <v>8931.02</v>
      </c>
      <c r="K329" s="90">
        <v>0</v>
      </c>
      <c r="L329" s="90">
        <v>91229.03</v>
      </c>
      <c r="M329" s="90">
        <v>95739.92</v>
      </c>
      <c r="N329" s="90">
        <v>419890.89</v>
      </c>
      <c r="O329" s="90">
        <v>252781.17</v>
      </c>
      <c r="P329" s="90">
        <v>14571.7</v>
      </c>
      <c r="Q329" s="90">
        <v>5.36</v>
      </c>
      <c r="R329">
        <v>0</v>
      </c>
    </row>
    <row r="330" spans="2:18" ht="12.75" customHeight="1" x14ac:dyDescent="0.25">
      <c r="D330" t="s">
        <v>72</v>
      </c>
      <c r="E330" s="371">
        <v>144637.85</v>
      </c>
      <c r="F330" s="90">
        <v>4880.87</v>
      </c>
      <c r="G330" s="90">
        <v>2741.74</v>
      </c>
      <c r="H330" s="90">
        <v>1446.42</v>
      </c>
      <c r="I330" s="90">
        <v>61963.24</v>
      </c>
      <c r="J330" s="90">
        <v>2560.46</v>
      </c>
      <c r="K330" s="90">
        <v>0</v>
      </c>
      <c r="L330" s="90">
        <v>8083.84</v>
      </c>
      <c r="M330" s="90">
        <v>7884.28</v>
      </c>
      <c r="N330" s="90">
        <v>40646.910000000003</v>
      </c>
      <c r="O330" s="90">
        <v>12921.78</v>
      </c>
      <c r="P330" s="90">
        <v>1503.59</v>
      </c>
      <c r="Q330" s="90">
        <v>4.72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144637.85</v>
      </c>
      <c r="F332" s="90">
        <v>4880.87</v>
      </c>
      <c r="G332" s="90">
        <v>2741.74</v>
      </c>
      <c r="H332" s="90">
        <v>1446.42</v>
      </c>
      <c r="I332" s="90">
        <v>61963.24</v>
      </c>
      <c r="J332" s="90">
        <v>2560.46</v>
      </c>
      <c r="K332" s="90">
        <v>0</v>
      </c>
      <c r="L332" s="90">
        <v>8083.84</v>
      </c>
      <c r="M332" s="90">
        <v>7884.28</v>
      </c>
      <c r="N332" s="90">
        <v>40646.910000000003</v>
      </c>
      <c r="O332" s="90">
        <v>12921.78</v>
      </c>
      <c r="P332" s="90">
        <v>1503.59</v>
      </c>
      <c r="Q332" s="90">
        <v>4.72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3303857.98</v>
      </c>
      <c r="F339" s="90">
        <v>190082.59</v>
      </c>
      <c r="G339" s="90">
        <v>116979.35</v>
      </c>
      <c r="H339" s="90">
        <v>36560.75</v>
      </c>
      <c r="I339" s="90">
        <v>850114.01</v>
      </c>
      <c r="J339" s="90">
        <v>23261.59</v>
      </c>
      <c r="K339" s="90">
        <v>0</v>
      </c>
      <c r="L339" s="90">
        <v>238045.79</v>
      </c>
      <c r="M339" s="90">
        <v>222686.27</v>
      </c>
      <c r="N339" s="90">
        <v>1082603.78</v>
      </c>
      <c r="O339" s="90">
        <v>515902.68</v>
      </c>
      <c r="P339" s="90">
        <v>27621.49</v>
      </c>
      <c r="Q339" s="90">
        <v>-0.32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75.11</v>
      </c>
      <c r="F340" s="90">
        <v>3.09</v>
      </c>
      <c r="G340" s="90">
        <v>1.72</v>
      </c>
      <c r="H340" s="90">
        <v>0.92</v>
      </c>
      <c r="I340" s="90">
        <v>19.149999999999999</v>
      </c>
      <c r="J340" s="90">
        <v>0.67</v>
      </c>
      <c r="K340" s="90">
        <v>0</v>
      </c>
      <c r="L340" s="90">
        <v>5.77</v>
      </c>
      <c r="M340" s="90">
        <v>5.61</v>
      </c>
      <c r="N340" s="90">
        <v>28.9</v>
      </c>
      <c r="O340" s="90">
        <v>8.2200000000000006</v>
      </c>
      <c r="P340" s="90">
        <v>1.06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3303933.09</v>
      </c>
      <c r="F341" s="90">
        <v>190085.68</v>
      </c>
      <c r="G341" s="90">
        <v>116981.07</v>
      </c>
      <c r="H341" s="90">
        <v>36561.67</v>
      </c>
      <c r="I341" s="90">
        <v>850133.16</v>
      </c>
      <c r="J341" s="90">
        <v>23262.26</v>
      </c>
      <c r="K341" s="90">
        <v>0</v>
      </c>
      <c r="L341" s="90">
        <v>238051.56</v>
      </c>
      <c r="M341" s="90">
        <v>222691.88</v>
      </c>
      <c r="N341" s="90">
        <v>1082632.68</v>
      </c>
      <c r="O341" s="90">
        <v>515910.9</v>
      </c>
      <c r="P341" s="90">
        <v>27622.55</v>
      </c>
      <c r="Q341" s="90">
        <v>-0.32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4755366.76</v>
      </c>
      <c r="F348" s="225">
        <v>279744.58</v>
      </c>
      <c r="G348" s="225">
        <v>162265.51</v>
      </c>
      <c r="H348" s="225">
        <v>60095.57</v>
      </c>
      <c r="I348" s="225">
        <v>1186334.92</v>
      </c>
      <c r="J348" s="225">
        <v>34753.74</v>
      </c>
      <c r="K348" s="225">
        <v>0</v>
      </c>
      <c r="L348" s="225">
        <v>337364.43</v>
      </c>
      <c r="M348" s="225">
        <v>326316.08</v>
      </c>
      <c r="N348" s="225">
        <v>1543170.48</v>
      </c>
      <c r="O348" s="225">
        <v>781613.85</v>
      </c>
      <c r="P348" s="225">
        <v>43697.84</v>
      </c>
      <c r="Q348" s="225">
        <v>9.76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196776.9</v>
      </c>
      <c r="F349" s="90">
        <v>13521.8</v>
      </c>
      <c r="G349" s="90">
        <v>7536.39</v>
      </c>
      <c r="H349" s="90">
        <v>1030.54</v>
      </c>
      <c r="I349" s="90">
        <v>47387.44</v>
      </c>
      <c r="J349" s="90">
        <v>743.32</v>
      </c>
      <c r="K349" s="90">
        <v>0</v>
      </c>
      <c r="L349" s="90">
        <v>23264.94</v>
      </c>
      <c r="M349" s="90">
        <v>22341.77</v>
      </c>
      <c r="N349" s="90">
        <v>43927</v>
      </c>
      <c r="O349" s="90">
        <v>35801.58</v>
      </c>
      <c r="P349" s="90">
        <v>1212.78</v>
      </c>
      <c r="Q349" s="90">
        <v>9.34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570.22</v>
      </c>
      <c r="F350" s="90">
        <v>26.91</v>
      </c>
      <c r="G350" s="90">
        <v>15.2</v>
      </c>
      <c r="H350" s="90">
        <v>8.01</v>
      </c>
      <c r="I350" s="90">
        <v>136.38999999999999</v>
      </c>
      <c r="J350" s="90">
        <v>4.91</v>
      </c>
      <c r="K350" s="90">
        <v>0</v>
      </c>
      <c r="L350" s="90">
        <v>43.04</v>
      </c>
      <c r="M350" s="90">
        <v>41.98</v>
      </c>
      <c r="N350" s="90">
        <v>214.23</v>
      </c>
      <c r="O350" s="90">
        <v>71.55</v>
      </c>
      <c r="P350" s="90">
        <v>8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197347.12</v>
      </c>
      <c r="F351" s="90">
        <v>13548.71</v>
      </c>
      <c r="G351" s="90">
        <v>7551.59</v>
      </c>
      <c r="H351" s="90">
        <v>1038.55</v>
      </c>
      <c r="I351" s="90">
        <v>47523.83</v>
      </c>
      <c r="J351" s="90">
        <v>748.23</v>
      </c>
      <c r="K351" s="90">
        <v>0</v>
      </c>
      <c r="L351" s="90">
        <v>23307.98</v>
      </c>
      <c r="M351" s="90">
        <v>22383.75</v>
      </c>
      <c r="N351" s="90">
        <v>44141.23</v>
      </c>
      <c r="O351" s="90">
        <v>35873.129999999997</v>
      </c>
      <c r="P351" s="90">
        <v>1220.78</v>
      </c>
      <c r="Q351" s="90">
        <v>9.34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1818764.29</v>
      </c>
      <c r="F352" s="90">
        <v>112507.09</v>
      </c>
      <c r="G352" s="90">
        <v>64421.56</v>
      </c>
      <c r="H352" s="90">
        <v>21881.5</v>
      </c>
      <c r="I352" s="90">
        <v>460908.21</v>
      </c>
      <c r="J352" s="90">
        <v>16999.11</v>
      </c>
      <c r="K352" s="90">
        <v>0</v>
      </c>
      <c r="L352" s="90">
        <v>152623.48000000001</v>
      </c>
      <c r="M352" s="90">
        <v>132682.73000000001</v>
      </c>
      <c r="N352" s="90">
        <v>544377.81999999995</v>
      </c>
      <c r="O352" s="90">
        <v>293000.76</v>
      </c>
      <c r="P352" s="90">
        <v>19355.38</v>
      </c>
      <c r="Q352" s="90">
        <v>6.65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-1408.78</v>
      </c>
      <c r="F353" s="90">
        <v>18.97</v>
      </c>
      <c r="G353" s="90">
        <v>9.83</v>
      </c>
      <c r="H353" s="90">
        <v>4.9000000000000004</v>
      </c>
      <c r="I353" s="90">
        <v>93.17</v>
      </c>
      <c r="J353" s="90">
        <v>3.21</v>
      </c>
      <c r="K353" s="90">
        <v>0</v>
      </c>
      <c r="L353" s="90">
        <v>32.26</v>
      </c>
      <c r="M353" s="90">
        <v>29.47</v>
      </c>
      <c r="N353" s="90">
        <v>-1656.06</v>
      </c>
      <c r="O353" s="90">
        <v>50.24</v>
      </c>
      <c r="P353" s="90">
        <v>5.21</v>
      </c>
      <c r="Q353" s="90">
        <v>0.02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1817355.51</v>
      </c>
      <c r="F354" s="90">
        <v>112526.06</v>
      </c>
      <c r="G354" s="90">
        <v>64431.39</v>
      </c>
      <c r="H354" s="90">
        <v>21886.400000000001</v>
      </c>
      <c r="I354" s="90">
        <v>461001.38</v>
      </c>
      <c r="J354" s="90">
        <v>17002.32</v>
      </c>
      <c r="K354" s="90">
        <v>0</v>
      </c>
      <c r="L354" s="90">
        <v>152655.74</v>
      </c>
      <c r="M354" s="90">
        <v>132712.20000000001</v>
      </c>
      <c r="N354" s="90">
        <v>542721.76</v>
      </c>
      <c r="O354" s="90">
        <v>293051</v>
      </c>
      <c r="P354" s="90">
        <v>19360.59</v>
      </c>
      <c r="Q354" s="90">
        <v>6.67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1192854.3600000001</v>
      </c>
      <c r="F355" s="90">
        <v>158802.32</v>
      </c>
      <c r="G355" s="90">
        <v>88680.01</v>
      </c>
      <c r="H355" s="90">
        <v>11102.79</v>
      </c>
      <c r="I355" s="90">
        <v>157999.65</v>
      </c>
      <c r="J355" s="90">
        <v>6027.06</v>
      </c>
      <c r="K355" s="90">
        <v>0</v>
      </c>
      <c r="L355" s="90">
        <v>66546.23</v>
      </c>
      <c r="M355" s="90">
        <v>52627.93</v>
      </c>
      <c r="N355" s="90">
        <v>214425.99</v>
      </c>
      <c r="O355" s="90">
        <v>427735.96</v>
      </c>
      <c r="P355" s="90">
        <v>8927.4500000000007</v>
      </c>
      <c r="Q355" s="90">
        <v>-21.03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53.56</v>
      </c>
      <c r="F356" s="90">
        <v>2.09</v>
      </c>
      <c r="G356" s="90">
        <v>1.17</v>
      </c>
      <c r="H356" s="90">
        <v>0.62</v>
      </c>
      <c r="I356" s="90">
        <v>12.64</v>
      </c>
      <c r="J356" s="90">
        <v>0.41</v>
      </c>
      <c r="K356" s="90">
        <v>0</v>
      </c>
      <c r="L356" s="90">
        <v>4.24</v>
      </c>
      <c r="M356" s="90">
        <v>4.17</v>
      </c>
      <c r="N356" s="90">
        <v>21.52</v>
      </c>
      <c r="O356" s="90">
        <v>6.03</v>
      </c>
      <c r="P356" s="90">
        <v>0.67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1192907.92</v>
      </c>
      <c r="F357" s="90">
        <v>158804.41</v>
      </c>
      <c r="G357" s="90">
        <v>88681.18</v>
      </c>
      <c r="H357" s="90">
        <v>11103.41</v>
      </c>
      <c r="I357" s="90">
        <v>158012.29</v>
      </c>
      <c r="J357" s="90">
        <v>6027.47</v>
      </c>
      <c r="K357" s="90">
        <v>0</v>
      </c>
      <c r="L357" s="90">
        <v>66550.47</v>
      </c>
      <c r="M357" s="90">
        <v>52632.1</v>
      </c>
      <c r="N357" s="90">
        <v>214447.51</v>
      </c>
      <c r="O357" s="90">
        <v>427741.99</v>
      </c>
      <c r="P357" s="90">
        <v>8928.1200000000008</v>
      </c>
      <c r="Q357" s="90">
        <v>-21.03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3207610.55</v>
      </c>
      <c r="F358" s="93">
        <v>284879.18</v>
      </c>
      <c r="G358" s="93">
        <v>160664.16</v>
      </c>
      <c r="H358" s="93">
        <v>34028.36</v>
      </c>
      <c r="I358" s="93">
        <v>666537.5</v>
      </c>
      <c r="J358" s="93">
        <v>23778.02</v>
      </c>
      <c r="K358" s="93">
        <v>0</v>
      </c>
      <c r="L358" s="93">
        <v>242514.19</v>
      </c>
      <c r="M358" s="93">
        <v>207728.05</v>
      </c>
      <c r="N358" s="93">
        <v>801310.5</v>
      </c>
      <c r="O358" s="93">
        <v>756666.12</v>
      </c>
      <c r="P358" s="93">
        <v>29509.49</v>
      </c>
      <c r="Q358" s="93">
        <v>-5.0199999999999996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23668377.32</v>
      </c>
      <c r="F359" s="100">
        <v>1470007.37</v>
      </c>
      <c r="G359" s="100">
        <v>836215.45</v>
      </c>
      <c r="H359" s="100">
        <v>336141.94</v>
      </c>
      <c r="I359" s="100">
        <v>5278546.46</v>
      </c>
      <c r="J359" s="100">
        <v>193637.28</v>
      </c>
      <c r="K359" s="100">
        <v>0</v>
      </c>
      <c r="L359" s="100">
        <v>2124229.15</v>
      </c>
      <c r="M359" s="100">
        <v>1645598.99</v>
      </c>
      <c r="N359" s="100">
        <v>7267809.2599999998</v>
      </c>
      <c r="O359" s="100">
        <v>4237012.8600000003</v>
      </c>
      <c r="P359" s="100">
        <v>279286.86</v>
      </c>
      <c r="Q359" s="100">
        <v>-108.3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331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-168688.44</v>
      </c>
      <c r="F363" s="90">
        <v>127363.09</v>
      </c>
      <c r="G363" s="90">
        <v>47855.34</v>
      </c>
      <c r="H363" s="90">
        <v>35621.800000000003</v>
      </c>
      <c r="I363" s="90">
        <v>-250005.91</v>
      </c>
      <c r="J363" s="90">
        <v>-8581.99</v>
      </c>
      <c r="K363" s="90">
        <v>0</v>
      </c>
      <c r="L363" s="90">
        <v>-65274.31</v>
      </c>
      <c r="M363" s="90">
        <v>-64777.95</v>
      </c>
      <c r="N363" s="90">
        <v>-342046.33</v>
      </c>
      <c r="O363" s="90">
        <v>365618.99</v>
      </c>
      <c r="P363" s="90">
        <v>-14461.17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-168688.44</v>
      </c>
      <c r="F364" s="90">
        <v>127363.09</v>
      </c>
      <c r="G364" s="90">
        <v>47855.34</v>
      </c>
      <c r="H364" s="90">
        <v>35621.800000000003</v>
      </c>
      <c r="I364" s="90">
        <v>-250005.91</v>
      </c>
      <c r="J364" s="90">
        <v>-8581.99</v>
      </c>
      <c r="K364" s="90">
        <v>0</v>
      </c>
      <c r="L364" s="90">
        <v>-65274.31</v>
      </c>
      <c r="M364" s="90">
        <v>-64777.95</v>
      </c>
      <c r="N364" s="90">
        <v>-342046.33</v>
      </c>
      <c r="O364" s="90">
        <v>365618.99</v>
      </c>
      <c r="P364" s="90">
        <v>-14461.17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-168688.44</v>
      </c>
      <c r="F365" s="230">
        <v>127363.09</v>
      </c>
      <c r="G365" s="230">
        <v>47855.34</v>
      </c>
      <c r="H365" s="230">
        <v>35621.800000000003</v>
      </c>
      <c r="I365" s="230">
        <v>-250005.91</v>
      </c>
      <c r="J365" s="230">
        <v>-8581.99</v>
      </c>
      <c r="K365" s="230">
        <v>0</v>
      </c>
      <c r="L365" s="230">
        <v>-65274.31</v>
      </c>
      <c r="M365" s="230">
        <v>-64777.95</v>
      </c>
      <c r="N365" s="230">
        <v>-342046.33</v>
      </c>
      <c r="O365" s="230">
        <v>365618.99</v>
      </c>
      <c r="P365" s="230">
        <v>-14461.17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154104.76</v>
      </c>
      <c r="F366" s="90">
        <v>14464.37</v>
      </c>
      <c r="G366" s="90">
        <v>7336.79</v>
      </c>
      <c r="H366" s="90">
        <v>4048.17</v>
      </c>
      <c r="I366" s="90">
        <v>29995.57</v>
      </c>
      <c r="J366" s="90">
        <v>895.57</v>
      </c>
      <c r="K366" s="90">
        <v>0</v>
      </c>
      <c r="L366" s="90">
        <v>7855.78</v>
      </c>
      <c r="M366" s="90">
        <v>8027.03</v>
      </c>
      <c r="N366" s="90">
        <v>41829.39</v>
      </c>
      <c r="O366" s="90">
        <v>38190.89</v>
      </c>
      <c r="P366" s="90">
        <v>1461.2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154104.76</v>
      </c>
      <c r="F367" s="90">
        <v>14464.37</v>
      </c>
      <c r="G367" s="90">
        <v>7336.79</v>
      </c>
      <c r="H367" s="90">
        <v>4048.17</v>
      </c>
      <c r="I367" s="90">
        <v>29995.57</v>
      </c>
      <c r="J367" s="90">
        <v>895.57</v>
      </c>
      <c r="K367" s="90">
        <v>0</v>
      </c>
      <c r="L367" s="90">
        <v>7855.78</v>
      </c>
      <c r="M367" s="90">
        <v>8027.03</v>
      </c>
      <c r="N367" s="90">
        <v>41829.39</v>
      </c>
      <c r="O367" s="90">
        <v>38190.89</v>
      </c>
      <c r="P367" s="90">
        <v>1461.2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-44431.97</v>
      </c>
      <c r="F368" s="90">
        <v>-2039.44</v>
      </c>
      <c r="G368" s="90">
        <v>-1149.3800000000001</v>
      </c>
      <c r="H368" s="90">
        <v>-604.38</v>
      </c>
      <c r="I368" s="90">
        <v>-10634.67</v>
      </c>
      <c r="J368" s="90">
        <v>-384.08</v>
      </c>
      <c r="K368" s="90">
        <v>0</v>
      </c>
      <c r="L368" s="90">
        <v>-3369.05</v>
      </c>
      <c r="M368" s="90">
        <v>-3279.66</v>
      </c>
      <c r="N368" s="90">
        <v>-16945.41</v>
      </c>
      <c r="O368" s="90">
        <v>-5399.26</v>
      </c>
      <c r="P368" s="90">
        <v>-626.64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-44431.97</v>
      </c>
      <c r="F369" s="90">
        <v>-2039.44</v>
      </c>
      <c r="G369" s="90">
        <v>-1149.3800000000001</v>
      </c>
      <c r="H369" s="90">
        <v>-604.38</v>
      </c>
      <c r="I369" s="90">
        <v>-10634.67</v>
      </c>
      <c r="J369" s="90">
        <v>-384.08</v>
      </c>
      <c r="K369" s="90">
        <v>0</v>
      </c>
      <c r="L369" s="90">
        <v>-3369.05</v>
      </c>
      <c r="M369" s="90">
        <v>-3279.66</v>
      </c>
      <c r="N369" s="90">
        <v>-16945.41</v>
      </c>
      <c r="O369" s="90">
        <v>-5399.26</v>
      </c>
      <c r="P369" s="90">
        <v>-626.64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-24219.69</v>
      </c>
      <c r="F374" s="90">
        <v>20050.93</v>
      </c>
      <c r="G374" s="90">
        <v>11198.43</v>
      </c>
      <c r="H374" s="90">
        <v>5971.5</v>
      </c>
      <c r="I374" s="90">
        <v>-42584.43</v>
      </c>
      <c r="J374" s="90">
        <v>-1279.96</v>
      </c>
      <c r="K374" s="90">
        <v>0</v>
      </c>
      <c r="L374" s="90">
        <v>-11958.43</v>
      </c>
      <c r="M374" s="90">
        <v>-10651.42</v>
      </c>
      <c r="N374" s="90">
        <v>-46531.83</v>
      </c>
      <c r="O374" s="90">
        <v>53350.62</v>
      </c>
      <c r="P374" s="90">
        <v>-1785.1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-24219.69</v>
      </c>
      <c r="F375" s="90">
        <v>20050.93</v>
      </c>
      <c r="G375" s="90">
        <v>11198.43</v>
      </c>
      <c r="H375" s="90">
        <v>5971.5</v>
      </c>
      <c r="I375" s="90">
        <v>-42584.43</v>
      </c>
      <c r="J375" s="90">
        <v>-1279.96</v>
      </c>
      <c r="K375" s="90">
        <v>0</v>
      </c>
      <c r="L375" s="90">
        <v>-11958.43</v>
      </c>
      <c r="M375" s="90">
        <v>-10651.42</v>
      </c>
      <c r="N375" s="90">
        <v>-46531.83</v>
      </c>
      <c r="O375" s="90">
        <v>53350.62</v>
      </c>
      <c r="P375" s="90">
        <v>-1785.1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85453.1</v>
      </c>
      <c r="F380" s="225">
        <v>32475.86</v>
      </c>
      <c r="G380" s="225">
        <v>17385.84</v>
      </c>
      <c r="H380" s="225">
        <v>9415.2900000000009</v>
      </c>
      <c r="I380" s="225">
        <v>-23223.53</v>
      </c>
      <c r="J380" s="225">
        <v>-768.47</v>
      </c>
      <c r="K380" s="225">
        <v>0</v>
      </c>
      <c r="L380" s="225">
        <v>-7471.7</v>
      </c>
      <c r="M380" s="225">
        <v>-5904.05</v>
      </c>
      <c r="N380" s="225">
        <v>-21647.85</v>
      </c>
      <c r="O380" s="225">
        <v>86142.25</v>
      </c>
      <c r="P380" s="225">
        <v>-950.54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-52022.82</v>
      </c>
      <c r="F381" s="90">
        <v>-2295.9</v>
      </c>
      <c r="G381" s="90">
        <v>-1279.23</v>
      </c>
      <c r="H381" s="90">
        <v>-680.37</v>
      </c>
      <c r="I381" s="90">
        <v>-13213.36</v>
      </c>
      <c r="J381" s="90">
        <v>-446</v>
      </c>
      <c r="K381" s="90">
        <v>0</v>
      </c>
      <c r="L381" s="90">
        <v>-3912.24</v>
      </c>
      <c r="M381" s="90">
        <v>-3812.72</v>
      </c>
      <c r="N381" s="90">
        <v>-19576.48</v>
      </c>
      <c r="O381" s="90">
        <v>-6078.84</v>
      </c>
      <c r="P381" s="90">
        <v>-727.68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-52022.82</v>
      </c>
      <c r="F382" s="90">
        <v>-2295.9</v>
      </c>
      <c r="G382" s="90">
        <v>-1279.23</v>
      </c>
      <c r="H382" s="90">
        <v>-680.37</v>
      </c>
      <c r="I382" s="90">
        <v>-13213.36</v>
      </c>
      <c r="J382" s="90">
        <v>-446</v>
      </c>
      <c r="K382" s="90">
        <v>0</v>
      </c>
      <c r="L382" s="90">
        <v>-3912.24</v>
      </c>
      <c r="M382" s="90">
        <v>-3812.72</v>
      </c>
      <c r="N382" s="90">
        <v>-19576.48</v>
      </c>
      <c r="O382" s="90">
        <v>-6078.84</v>
      </c>
      <c r="P382" s="90">
        <v>-727.68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-99893.34</v>
      </c>
      <c r="F383" s="90">
        <v>89.56</v>
      </c>
      <c r="G383" s="90">
        <v>10.48</v>
      </c>
      <c r="H383" s="90">
        <v>50.25</v>
      </c>
      <c r="I383" s="90">
        <v>-29355.38</v>
      </c>
      <c r="J383" s="90">
        <v>-1265.1099999999999</v>
      </c>
      <c r="K383" s="90">
        <v>0</v>
      </c>
      <c r="L383" s="90">
        <v>-11097.02</v>
      </c>
      <c r="M383" s="90">
        <v>-9195.49</v>
      </c>
      <c r="N383" s="90">
        <v>-47307.34</v>
      </c>
      <c r="O383" s="90">
        <v>240.76</v>
      </c>
      <c r="P383" s="90">
        <v>-2064.0500000000002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-99893.34</v>
      </c>
      <c r="F384" s="90">
        <v>89.56</v>
      </c>
      <c r="G384" s="90">
        <v>10.48</v>
      </c>
      <c r="H384" s="90">
        <v>50.25</v>
      </c>
      <c r="I384" s="90">
        <v>-29355.38</v>
      </c>
      <c r="J384" s="90">
        <v>-1265.1099999999999</v>
      </c>
      <c r="K384" s="90">
        <v>0</v>
      </c>
      <c r="L384" s="90">
        <v>-11097.02</v>
      </c>
      <c r="M384" s="90">
        <v>-9195.49</v>
      </c>
      <c r="N384" s="90">
        <v>-47307.34</v>
      </c>
      <c r="O384" s="90">
        <v>240.76</v>
      </c>
      <c r="P384" s="90">
        <v>-2064.0500000000002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114984.42</v>
      </c>
      <c r="F385" s="90">
        <v>11056.12</v>
      </c>
      <c r="G385" s="90">
        <v>5581.83</v>
      </c>
      <c r="H385" s="90">
        <v>2762.81</v>
      </c>
      <c r="I385" s="90">
        <v>24005.91</v>
      </c>
      <c r="J385" s="90">
        <v>725.42</v>
      </c>
      <c r="K385" s="90">
        <v>0</v>
      </c>
      <c r="L385" s="90">
        <v>7993.53</v>
      </c>
      <c r="M385" s="90">
        <v>7785.91</v>
      </c>
      <c r="N385" s="90">
        <v>34375.370000000003</v>
      </c>
      <c r="O385" s="90">
        <v>19513.91</v>
      </c>
      <c r="P385" s="90">
        <v>1183.6099999999999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114984.42</v>
      </c>
      <c r="F386" s="90">
        <v>11056.12</v>
      </c>
      <c r="G386" s="90">
        <v>5581.83</v>
      </c>
      <c r="H386" s="90">
        <v>2762.81</v>
      </c>
      <c r="I386" s="90">
        <v>24005.91</v>
      </c>
      <c r="J386" s="90">
        <v>725.42</v>
      </c>
      <c r="K386" s="90">
        <v>0</v>
      </c>
      <c r="L386" s="90">
        <v>7993.53</v>
      </c>
      <c r="M386" s="90">
        <v>7785.91</v>
      </c>
      <c r="N386" s="90">
        <v>34375.370000000003</v>
      </c>
      <c r="O386" s="90">
        <v>19513.91</v>
      </c>
      <c r="P386" s="90">
        <v>1183.6099999999999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-36931.74</v>
      </c>
      <c r="F387" s="93">
        <v>8849.7800000000007</v>
      </c>
      <c r="G387" s="93">
        <v>4313.08</v>
      </c>
      <c r="H387" s="93">
        <v>2132.69</v>
      </c>
      <c r="I387" s="93">
        <v>-18562.830000000002</v>
      </c>
      <c r="J387" s="93">
        <v>-985.69</v>
      </c>
      <c r="K387" s="93">
        <v>0</v>
      </c>
      <c r="L387" s="93">
        <v>-7015.73</v>
      </c>
      <c r="M387" s="93">
        <v>-5222.3</v>
      </c>
      <c r="N387" s="93">
        <v>-32508.45</v>
      </c>
      <c r="O387" s="93">
        <v>13675.83</v>
      </c>
      <c r="P387" s="93">
        <v>-1608.12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-120167.08</v>
      </c>
      <c r="F388" s="100">
        <v>168688.73</v>
      </c>
      <c r="G388" s="100">
        <v>69554.259999999995</v>
      </c>
      <c r="H388" s="100">
        <v>47169.78</v>
      </c>
      <c r="I388" s="100">
        <v>-291792.27</v>
      </c>
      <c r="J388" s="100">
        <v>-10336.15</v>
      </c>
      <c r="K388" s="100">
        <v>0</v>
      </c>
      <c r="L388" s="100">
        <v>-79761.740000000005</v>
      </c>
      <c r="M388" s="100">
        <v>-75904.3</v>
      </c>
      <c r="N388" s="100">
        <v>-396202.63</v>
      </c>
      <c r="O388" s="100">
        <v>465437.07</v>
      </c>
      <c r="P388" s="100">
        <v>-17019.830000000002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23548210.239999998</v>
      </c>
      <c r="F389" s="90">
        <v>1638696.1</v>
      </c>
      <c r="G389" s="90">
        <v>905769.71</v>
      </c>
      <c r="H389" s="90">
        <v>383311.72</v>
      </c>
      <c r="I389" s="90">
        <v>4986754.1900000004</v>
      </c>
      <c r="J389" s="90">
        <v>183301.13</v>
      </c>
      <c r="K389" s="90">
        <v>0</v>
      </c>
      <c r="L389" s="90">
        <v>2044467.41</v>
      </c>
      <c r="M389" s="90">
        <v>1569694.69</v>
      </c>
      <c r="N389" s="90">
        <v>6871606.6299999999</v>
      </c>
      <c r="O389" s="90">
        <v>4702449.93</v>
      </c>
      <c r="P389" s="90">
        <v>262267.03000000003</v>
      </c>
      <c r="Q389" s="90">
        <v>-108.3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8" t="s">
        <v>2</v>
      </c>
      <c r="C423" s="776" t="s">
        <v>132</v>
      </c>
      <c r="D423" s="98" t="s">
        <v>70</v>
      </c>
      <c r="E423" s="100">
        <f>E359+E388-K359</f>
        <v>23548210.240000002</v>
      </c>
      <c r="F423" s="100">
        <f>F359</f>
        <v>1470007.37</v>
      </c>
      <c r="G423" s="100">
        <f t="shared" ref="G423:R423" si="10">G359</f>
        <v>836215.45</v>
      </c>
      <c r="H423" s="100">
        <f t="shared" si="10"/>
        <v>336141.94</v>
      </c>
      <c r="I423" s="100">
        <f t="shared" si="10"/>
        <v>5278546.46</v>
      </c>
      <c r="J423" s="100">
        <f t="shared" si="10"/>
        <v>193637.28</v>
      </c>
      <c r="K423" s="100">
        <f t="shared" si="10"/>
        <v>0</v>
      </c>
      <c r="L423" s="100">
        <f t="shared" si="10"/>
        <v>2124229.15</v>
      </c>
      <c r="M423" s="100">
        <f t="shared" si="10"/>
        <v>1645598.99</v>
      </c>
      <c r="N423" s="100">
        <f t="shared" si="10"/>
        <v>7267809.2599999998</v>
      </c>
      <c r="O423" s="100">
        <f t="shared" si="10"/>
        <v>4237012.8600000003</v>
      </c>
      <c r="P423" s="100">
        <f t="shared" si="10"/>
        <v>279286.86</v>
      </c>
      <c r="Q423" s="100">
        <f t="shared" si="10"/>
        <v>-108.3</v>
      </c>
      <c r="R423" s="100">
        <f t="shared" si="10"/>
        <v>0</v>
      </c>
    </row>
    <row r="424" spans="1:18" ht="12.75" customHeight="1" x14ac:dyDescent="0.25">
      <c r="B424" s="778"/>
      <c r="C424" s="776"/>
      <c r="D424" s="98" t="s">
        <v>73</v>
      </c>
      <c r="E424" s="100">
        <f>E388</f>
        <v>-120167.08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8" t="s">
        <v>160</v>
      </c>
      <c r="C426" s="776" t="s">
        <v>132</v>
      </c>
      <c r="D426" s="223" t="s">
        <v>70</v>
      </c>
      <c r="E426" s="225">
        <f>E380+E362+E348+E322-K322-K348</f>
        <v>4840819.8599999994</v>
      </c>
      <c r="F426" s="225">
        <f>F348+F322</f>
        <v>279744.58</v>
      </c>
      <c r="G426" s="225">
        <f t="shared" ref="G426:R426" si="11">G348+G322</f>
        <v>162265.51</v>
      </c>
      <c r="H426" s="225">
        <f t="shared" si="11"/>
        <v>60095.57</v>
      </c>
      <c r="I426" s="225">
        <f t="shared" si="11"/>
        <v>1186334.92</v>
      </c>
      <c r="J426" s="225">
        <f t="shared" si="11"/>
        <v>34753.74</v>
      </c>
      <c r="K426" s="225">
        <f t="shared" si="11"/>
        <v>0</v>
      </c>
      <c r="L426" s="225">
        <f t="shared" si="11"/>
        <v>337364.43</v>
      </c>
      <c r="M426" s="225">
        <f t="shared" si="11"/>
        <v>326316.08</v>
      </c>
      <c r="N426" s="225">
        <f t="shared" si="11"/>
        <v>1543170.48</v>
      </c>
      <c r="O426" s="225">
        <f t="shared" si="11"/>
        <v>781613.85</v>
      </c>
      <c r="P426" s="225">
        <f t="shared" si="11"/>
        <v>43697.84</v>
      </c>
      <c r="Q426" s="225">
        <f t="shared" si="11"/>
        <v>9.76</v>
      </c>
      <c r="R426" s="225">
        <f t="shared" si="11"/>
        <v>0</v>
      </c>
    </row>
    <row r="427" spans="1:18" ht="12.75" customHeight="1" x14ac:dyDescent="0.25">
      <c r="B427" s="778"/>
      <c r="C427" s="776"/>
      <c r="D427" s="223" t="s">
        <v>73</v>
      </c>
      <c r="E427" s="225">
        <f>E380+E362</f>
        <v>85453.1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8" t="s">
        <v>155</v>
      </c>
      <c r="C429" s="776" t="s">
        <v>132</v>
      </c>
      <c r="D429" s="221" t="s">
        <v>70</v>
      </c>
      <c r="E429" s="222">
        <f>E365+E326-K326</f>
        <v>15536711.57</v>
      </c>
      <c r="F429" s="222">
        <f t="shared" ref="F429:R429" si="12">F326</f>
        <v>905383.61</v>
      </c>
      <c r="G429" s="222">
        <f t="shared" si="12"/>
        <v>513285.78</v>
      </c>
      <c r="H429" s="222">
        <f t="shared" si="12"/>
        <v>242018.01</v>
      </c>
      <c r="I429" s="222">
        <f t="shared" si="12"/>
        <v>3425674.04</v>
      </c>
      <c r="J429" s="222">
        <f t="shared" si="12"/>
        <v>135105.51999999999</v>
      </c>
      <c r="K429" s="222">
        <f t="shared" si="12"/>
        <v>0</v>
      </c>
      <c r="L429" s="222">
        <f t="shared" si="12"/>
        <v>1544350.53</v>
      </c>
      <c r="M429" s="222">
        <f t="shared" si="12"/>
        <v>1111554.8600000001</v>
      </c>
      <c r="N429" s="222">
        <f t="shared" si="12"/>
        <v>4923328.28</v>
      </c>
      <c r="O429" s="222">
        <f t="shared" si="12"/>
        <v>2698732.89</v>
      </c>
      <c r="P429" s="222">
        <f t="shared" si="12"/>
        <v>206079.53</v>
      </c>
      <c r="Q429" s="222">
        <f t="shared" si="12"/>
        <v>-113.04</v>
      </c>
      <c r="R429" s="222">
        <f t="shared" si="12"/>
        <v>0</v>
      </c>
    </row>
    <row r="430" spans="1:18" ht="12.75" customHeight="1" x14ac:dyDescent="0.25">
      <c r="B430" s="778"/>
      <c r="C430" s="776"/>
      <c r="D430" s="221" t="s">
        <v>73</v>
      </c>
      <c r="E430" s="222">
        <f>E365</f>
        <v>-168688.44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9" t="s">
        <v>325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9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8" t="s">
        <v>119</v>
      </c>
      <c r="C435" s="776" t="s">
        <v>132</v>
      </c>
      <c r="D435" s="101" t="s">
        <v>70</v>
      </c>
      <c r="E435" s="93">
        <f>E358+E387-K358</f>
        <v>3170678.8099999996</v>
      </c>
      <c r="F435" s="93">
        <f t="shared" ref="F435:R435" si="13">F358</f>
        <v>284879.18</v>
      </c>
      <c r="G435" s="93">
        <f t="shared" si="13"/>
        <v>160664.16</v>
      </c>
      <c r="H435" s="93">
        <f t="shared" si="13"/>
        <v>34028.36</v>
      </c>
      <c r="I435" s="93">
        <f t="shared" si="13"/>
        <v>666537.5</v>
      </c>
      <c r="J435" s="93">
        <f t="shared" si="13"/>
        <v>23778.02</v>
      </c>
      <c r="K435" s="93">
        <f t="shared" si="13"/>
        <v>0</v>
      </c>
      <c r="L435" s="93">
        <f t="shared" si="13"/>
        <v>242514.19</v>
      </c>
      <c r="M435" s="93">
        <f t="shared" si="13"/>
        <v>207728.05</v>
      </c>
      <c r="N435" s="93">
        <f t="shared" si="13"/>
        <v>801310.5</v>
      </c>
      <c r="O435" s="93">
        <f t="shared" si="13"/>
        <v>756666.12</v>
      </c>
      <c r="P435" s="93">
        <f t="shared" si="13"/>
        <v>29509.49</v>
      </c>
      <c r="Q435" s="93">
        <f t="shared" si="13"/>
        <v>-5.0199999999999996</v>
      </c>
      <c r="R435" s="93">
        <f t="shared" si="13"/>
        <v>0</v>
      </c>
    </row>
    <row r="436" spans="1:18" ht="12.75" customHeight="1" x14ac:dyDescent="0.25">
      <c r="B436" s="778"/>
      <c r="C436" s="776"/>
      <c r="D436" s="101" t="s">
        <v>73</v>
      </c>
      <c r="E436" s="93">
        <f>E387</f>
        <v>-36931.74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7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7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331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26311853.800000001</v>
      </c>
      <c r="F447" s="90">
        <v>1495516.05</v>
      </c>
      <c r="G447" s="90">
        <v>853498.33</v>
      </c>
      <c r="H447" s="90">
        <v>424416.81</v>
      </c>
      <c r="I447" s="90">
        <v>6072059.0999999996</v>
      </c>
      <c r="J447" s="90">
        <v>199797.35</v>
      </c>
      <c r="K447" s="90">
        <v>0</v>
      </c>
      <c r="L447" s="90">
        <v>1893621.87</v>
      </c>
      <c r="M447" s="90">
        <v>1727387.53</v>
      </c>
      <c r="N447" s="90">
        <v>8616499.0800000001</v>
      </c>
      <c r="O447" s="90">
        <v>4708125.43</v>
      </c>
      <c r="P447" s="90">
        <v>321135.12</v>
      </c>
      <c r="Q447" s="90">
        <v>-202.87</v>
      </c>
      <c r="R447">
        <v>0</v>
      </c>
    </row>
    <row r="448" spans="1:18" ht="12.75" customHeight="1" x14ac:dyDescent="0.25">
      <c r="D448" s="89" t="s">
        <v>81</v>
      </c>
      <c r="E448" s="90">
        <v>42324.58</v>
      </c>
      <c r="F448" s="90">
        <v>2277.44</v>
      </c>
      <c r="G448" s="90">
        <v>1282.1300000000001</v>
      </c>
      <c r="H448" s="90">
        <v>674.91</v>
      </c>
      <c r="I448" s="90">
        <v>9398.64</v>
      </c>
      <c r="J448" s="90">
        <v>341.68</v>
      </c>
      <c r="K448" s="90">
        <v>0</v>
      </c>
      <c r="L448" s="90">
        <v>2994.67</v>
      </c>
      <c r="M448" s="90">
        <v>2904.48</v>
      </c>
      <c r="N448" s="90">
        <v>15014.19</v>
      </c>
      <c r="O448" s="90">
        <v>6879.37</v>
      </c>
      <c r="P448" s="90">
        <v>557.05999999999995</v>
      </c>
      <c r="Q448" s="90">
        <v>0.01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26354178.379999999</v>
      </c>
      <c r="F449" s="90">
        <v>1497793.49</v>
      </c>
      <c r="G449" s="90">
        <v>854780.46</v>
      </c>
      <c r="H449" s="90">
        <v>425091.72</v>
      </c>
      <c r="I449" s="90">
        <v>6081457.7400000002</v>
      </c>
      <c r="J449" s="90">
        <v>200139.03</v>
      </c>
      <c r="K449" s="90">
        <v>0</v>
      </c>
      <c r="L449" s="90">
        <v>1896616.54</v>
      </c>
      <c r="M449" s="90">
        <v>1730292.01</v>
      </c>
      <c r="N449" s="90">
        <v>8631513.2699999996</v>
      </c>
      <c r="O449" s="90">
        <v>4715004.8</v>
      </c>
      <c r="P449" s="90">
        <v>321692.18</v>
      </c>
      <c r="Q449" s="90">
        <v>-202.86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26354178.379999999</v>
      </c>
      <c r="F450" s="222">
        <v>1497793.49</v>
      </c>
      <c r="G450" s="222">
        <v>854780.46</v>
      </c>
      <c r="H450" s="222">
        <v>425091.72</v>
      </c>
      <c r="I450" s="222">
        <v>6081457.7400000002</v>
      </c>
      <c r="J450" s="222">
        <v>200139.03</v>
      </c>
      <c r="K450" s="222">
        <v>0</v>
      </c>
      <c r="L450" s="222">
        <v>1896616.54</v>
      </c>
      <c r="M450" s="222">
        <v>1730292.01</v>
      </c>
      <c r="N450" s="222">
        <v>8631513.2699999996</v>
      </c>
      <c r="O450" s="222">
        <v>4715004.8</v>
      </c>
      <c r="P450" s="222">
        <v>321692.18</v>
      </c>
      <c r="Q450" s="222">
        <v>-202.86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325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383844.81</v>
      </c>
      <c r="F455">
        <v>27933.53</v>
      </c>
      <c r="G455">
        <v>10869.33</v>
      </c>
      <c r="H455">
        <v>3609.23</v>
      </c>
      <c r="I455">
        <v>83289.89</v>
      </c>
      <c r="J455">
        <v>2627.1</v>
      </c>
      <c r="K455">
        <v>0</v>
      </c>
      <c r="L455">
        <v>42797.04</v>
      </c>
      <c r="M455">
        <v>22542.52</v>
      </c>
      <c r="N455">
        <v>90852.1</v>
      </c>
      <c r="O455">
        <v>95051.85</v>
      </c>
      <c r="P455">
        <v>4286.3100000000004</v>
      </c>
      <c r="Q455">
        <v>-14.09</v>
      </c>
      <c r="R455">
        <v>0</v>
      </c>
    </row>
    <row r="456" spans="2:19" ht="12.75" customHeight="1" x14ac:dyDescent="0.25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383844.81</v>
      </c>
      <c r="F457">
        <v>27933.53</v>
      </c>
      <c r="G457">
        <v>10869.33</v>
      </c>
      <c r="H457">
        <v>3609.23</v>
      </c>
      <c r="I457">
        <v>83289.89</v>
      </c>
      <c r="J457">
        <v>2627.1</v>
      </c>
      <c r="K457">
        <v>0</v>
      </c>
      <c r="L457">
        <v>42797.04</v>
      </c>
      <c r="M457">
        <v>22542.52</v>
      </c>
      <c r="N457">
        <v>90852.1</v>
      </c>
      <c r="O457">
        <v>95051.85</v>
      </c>
      <c r="P457">
        <v>4286.3100000000004</v>
      </c>
      <c r="Q457">
        <v>-14.09</v>
      </c>
      <c r="R457">
        <v>0</v>
      </c>
    </row>
    <row r="458" spans="2:19" ht="12.75" customHeight="1" x14ac:dyDescent="0.25">
      <c r="D458" t="s">
        <v>72</v>
      </c>
      <c r="E458" s="142">
        <v>561004.93999999994</v>
      </c>
      <c r="F458">
        <v>29041.02</v>
      </c>
      <c r="G458">
        <v>17346.38</v>
      </c>
      <c r="H458">
        <v>6274.06</v>
      </c>
      <c r="I458">
        <v>187470.65</v>
      </c>
      <c r="J458">
        <v>3767.03</v>
      </c>
      <c r="K458">
        <v>0</v>
      </c>
      <c r="L458">
        <v>31782.53</v>
      </c>
      <c r="M458">
        <v>31086.32</v>
      </c>
      <c r="N458">
        <v>165535.18</v>
      </c>
      <c r="O458">
        <v>83188.59</v>
      </c>
      <c r="P458">
        <v>5533.86</v>
      </c>
      <c r="Q458">
        <v>-20.68</v>
      </c>
      <c r="R458">
        <v>0</v>
      </c>
    </row>
    <row r="459" spans="2:19" ht="12.75" customHeight="1" x14ac:dyDescent="0.25">
      <c r="D459" t="s">
        <v>81</v>
      </c>
      <c r="E459" s="142">
        <v>183.49</v>
      </c>
      <c r="F459">
        <v>3.63</v>
      </c>
      <c r="G459">
        <v>2.04</v>
      </c>
      <c r="H459">
        <v>1.08</v>
      </c>
      <c r="I459">
        <v>12.19</v>
      </c>
      <c r="J459">
        <v>2.4</v>
      </c>
      <c r="K459">
        <v>0</v>
      </c>
      <c r="L459">
        <v>21.04</v>
      </c>
      <c r="M459">
        <v>20.399999999999999</v>
      </c>
      <c r="N459">
        <v>105.8</v>
      </c>
      <c r="O459">
        <v>11.02</v>
      </c>
      <c r="P459">
        <v>3.91</v>
      </c>
      <c r="Q459">
        <v>-0.02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561188.43000000005</v>
      </c>
      <c r="F460">
        <v>29044.65</v>
      </c>
      <c r="G460">
        <v>17348.419999999998</v>
      </c>
      <c r="H460">
        <v>6275.14</v>
      </c>
      <c r="I460">
        <v>187482.84</v>
      </c>
      <c r="J460">
        <v>3769.43</v>
      </c>
      <c r="K460">
        <v>0</v>
      </c>
      <c r="L460">
        <v>31803.57</v>
      </c>
      <c r="M460">
        <v>31106.720000000001</v>
      </c>
      <c r="N460">
        <v>165640.98000000001</v>
      </c>
      <c r="O460">
        <v>83199.61</v>
      </c>
      <c r="P460">
        <v>5537.77</v>
      </c>
      <c r="Q460">
        <v>-20.7</v>
      </c>
      <c r="R460">
        <v>0</v>
      </c>
    </row>
    <row r="461" spans="2:19" ht="12.75" customHeight="1" x14ac:dyDescent="0.25">
      <c r="D461" t="s">
        <v>72</v>
      </c>
      <c r="E461" s="142">
        <v>295708.49</v>
      </c>
      <c r="F461">
        <v>18178.79</v>
      </c>
      <c r="G461">
        <v>10116.719999999999</v>
      </c>
      <c r="H461">
        <v>4722.25</v>
      </c>
      <c r="I461">
        <v>69136.240000000005</v>
      </c>
      <c r="J461">
        <v>1876.5</v>
      </c>
      <c r="K461">
        <v>0</v>
      </c>
      <c r="L461">
        <v>16460.400000000001</v>
      </c>
      <c r="M461">
        <v>19322.16</v>
      </c>
      <c r="N461">
        <v>98114.16</v>
      </c>
      <c r="O461">
        <v>54113.78</v>
      </c>
      <c r="P461">
        <v>3673.98</v>
      </c>
      <c r="Q461">
        <v>-6.49</v>
      </c>
      <c r="R461">
        <v>0</v>
      </c>
    </row>
    <row r="462" spans="2:19" ht="12.75" customHeight="1" x14ac:dyDescent="0.25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295708.49</v>
      </c>
      <c r="F463">
        <v>18178.79</v>
      </c>
      <c r="G463">
        <v>10116.719999999999</v>
      </c>
      <c r="H463">
        <v>4722.25</v>
      </c>
      <c r="I463">
        <v>69136.240000000005</v>
      </c>
      <c r="J463">
        <v>1876.5</v>
      </c>
      <c r="K463">
        <v>0</v>
      </c>
      <c r="L463">
        <v>16460.400000000001</v>
      </c>
      <c r="M463">
        <v>19322.16</v>
      </c>
      <c r="N463">
        <v>98114.16</v>
      </c>
      <c r="O463">
        <v>54113.78</v>
      </c>
      <c r="P463">
        <v>3673.98</v>
      </c>
      <c r="Q463">
        <v>-6.49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1240741.73</v>
      </c>
      <c r="F464" s="93">
        <v>75156.97</v>
      </c>
      <c r="G464" s="93">
        <v>38334.47</v>
      </c>
      <c r="H464" s="93">
        <v>14606.62</v>
      </c>
      <c r="I464" s="93">
        <v>339908.97</v>
      </c>
      <c r="J464" s="93">
        <v>8273.0300000000007</v>
      </c>
      <c r="K464" s="93">
        <v>0</v>
      </c>
      <c r="L464" s="93">
        <v>91061.01</v>
      </c>
      <c r="M464" s="93">
        <v>72971.399999999994</v>
      </c>
      <c r="N464" s="93">
        <v>354607.24</v>
      </c>
      <c r="O464" s="93">
        <v>232365.24</v>
      </c>
      <c r="P464" s="93">
        <v>13498.06</v>
      </c>
      <c r="Q464" s="93">
        <v>-41.28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27594920.109999999</v>
      </c>
      <c r="F465" s="100">
        <v>1572950.46</v>
      </c>
      <c r="G465" s="100">
        <v>893114.93</v>
      </c>
      <c r="H465" s="100">
        <v>439698.34</v>
      </c>
      <c r="I465" s="100">
        <v>6421366.71</v>
      </c>
      <c r="J465" s="100">
        <v>208412.06</v>
      </c>
      <c r="K465" s="100">
        <v>0</v>
      </c>
      <c r="L465" s="100">
        <v>1987677.55</v>
      </c>
      <c r="M465" s="100">
        <v>1803263.41</v>
      </c>
      <c r="N465" s="100">
        <v>8986120.5099999998</v>
      </c>
      <c r="O465" s="100">
        <v>4947370.04</v>
      </c>
      <c r="P465" s="100">
        <v>335190.24</v>
      </c>
      <c r="Q465" s="100">
        <v>-244.14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331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134622.98000000001</v>
      </c>
      <c r="F469" s="90">
        <v>195501.29</v>
      </c>
      <c r="G469" s="90">
        <v>105727.32</v>
      </c>
      <c r="H469" s="90">
        <v>57523.31</v>
      </c>
      <c r="I469" s="90">
        <v>-238735.06</v>
      </c>
      <c r="J469" s="90">
        <v>-15391.69</v>
      </c>
      <c r="K469" s="90">
        <v>0</v>
      </c>
      <c r="L469" s="90">
        <v>-56648.79</v>
      </c>
      <c r="M469" s="90">
        <v>-57641.74</v>
      </c>
      <c r="N469" s="90">
        <v>-422028.28</v>
      </c>
      <c r="O469" s="90">
        <v>583288.16</v>
      </c>
      <c r="P469" s="90">
        <v>-16971.54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134622.98000000001</v>
      </c>
      <c r="F470" s="90">
        <v>195501.29</v>
      </c>
      <c r="G470" s="90">
        <v>105727.32</v>
      </c>
      <c r="H470" s="90">
        <v>57523.31</v>
      </c>
      <c r="I470" s="90">
        <v>-238735.06</v>
      </c>
      <c r="J470" s="90">
        <v>-15391.69</v>
      </c>
      <c r="K470" s="90">
        <v>0</v>
      </c>
      <c r="L470" s="90">
        <v>-56648.79</v>
      </c>
      <c r="M470" s="90">
        <v>-57641.74</v>
      </c>
      <c r="N470" s="90">
        <v>-422028.28</v>
      </c>
      <c r="O470" s="90">
        <v>583288.16</v>
      </c>
      <c r="P470" s="90">
        <v>-16971.54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134622.98000000001</v>
      </c>
      <c r="F471" s="222">
        <v>195501.29</v>
      </c>
      <c r="G471" s="222">
        <v>105727.32</v>
      </c>
      <c r="H471" s="222">
        <v>57523.31</v>
      </c>
      <c r="I471" s="222">
        <v>-238735.06</v>
      </c>
      <c r="J471" s="222">
        <v>-15391.69</v>
      </c>
      <c r="K471" s="222">
        <v>0</v>
      </c>
      <c r="L471" s="222">
        <v>-56648.79</v>
      </c>
      <c r="M471" s="222">
        <v>-57641.74</v>
      </c>
      <c r="N471" s="222">
        <v>-422028.28</v>
      </c>
      <c r="O471" s="222">
        <v>583288.16</v>
      </c>
      <c r="P471" s="222">
        <v>-16971.54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325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-127842.49</v>
      </c>
      <c r="F475" s="90">
        <v>-6564.36</v>
      </c>
      <c r="G475" s="90">
        <v>-3657.66</v>
      </c>
      <c r="H475" s="90">
        <v>-1945.36</v>
      </c>
      <c r="I475" s="90">
        <v>-31709.15</v>
      </c>
      <c r="J475" s="90">
        <v>-1013.36</v>
      </c>
      <c r="K475" s="90">
        <v>0</v>
      </c>
      <c r="L475" s="90">
        <v>-8888.59</v>
      </c>
      <c r="M475" s="90">
        <v>-8694.92</v>
      </c>
      <c r="N475" s="90">
        <v>-44151.32</v>
      </c>
      <c r="O475" s="90">
        <v>-19564.48</v>
      </c>
      <c r="P475" s="90">
        <v>-1653.29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-127842.49</v>
      </c>
      <c r="F476" s="90">
        <v>-6564.36</v>
      </c>
      <c r="G476" s="90">
        <v>-3657.66</v>
      </c>
      <c r="H476" s="90">
        <v>-1945.36</v>
      </c>
      <c r="I476" s="90">
        <v>-31709.15</v>
      </c>
      <c r="J476" s="90">
        <v>-1013.36</v>
      </c>
      <c r="K476" s="90">
        <v>0</v>
      </c>
      <c r="L476" s="90">
        <v>-8888.59</v>
      </c>
      <c r="M476" s="90">
        <v>-8694.92</v>
      </c>
      <c r="N476" s="90">
        <v>-44151.32</v>
      </c>
      <c r="O476" s="90">
        <v>-19564.48</v>
      </c>
      <c r="P476" s="90">
        <v>-1653.29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-119168.84</v>
      </c>
      <c r="F477" s="90">
        <v>-5116.2</v>
      </c>
      <c r="G477" s="90">
        <v>-2850.7</v>
      </c>
      <c r="H477" s="90">
        <v>-1516.22</v>
      </c>
      <c r="I477" s="90">
        <v>-31153</v>
      </c>
      <c r="J477" s="90">
        <v>-996.66</v>
      </c>
      <c r="K477" s="90">
        <v>0</v>
      </c>
      <c r="L477" s="90">
        <v>-8742.4599999999991</v>
      </c>
      <c r="M477" s="90">
        <v>-8537.89</v>
      </c>
      <c r="N477" s="90">
        <v>-43381.18</v>
      </c>
      <c r="O477" s="90">
        <v>-15248.44</v>
      </c>
      <c r="P477" s="90">
        <v>-1626.09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-119168.84</v>
      </c>
      <c r="F478" s="90">
        <v>-5116.2</v>
      </c>
      <c r="G478" s="90">
        <v>-2850.7</v>
      </c>
      <c r="H478" s="90">
        <v>-1516.22</v>
      </c>
      <c r="I478" s="90">
        <v>-31153</v>
      </c>
      <c r="J478" s="90">
        <v>-996.66</v>
      </c>
      <c r="K478" s="90">
        <v>0</v>
      </c>
      <c r="L478" s="90">
        <v>-8742.4599999999991</v>
      </c>
      <c r="M478" s="90">
        <v>-8537.89</v>
      </c>
      <c r="N478" s="90">
        <v>-43381.18</v>
      </c>
      <c r="O478" s="90">
        <v>-15248.44</v>
      </c>
      <c r="P478" s="90">
        <v>-1626.09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37528.949999999997</v>
      </c>
      <c r="F479" s="90">
        <v>2557.54</v>
      </c>
      <c r="G479" s="90">
        <v>1425.04</v>
      </c>
      <c r="H479" s="90">
        <v>1006.31</v>
      </c>
      <c r="I479" s="90">
        <v>8220.8799999999992</v>
      </c>
      <c r="J479" s="90">
        <v>262.7</v>
      </c>
      <c r="K479" s="90">
        <v>0</v>
      </c>
      <c r="L479" s="90">
        <v>2304.46</v>
      </c>
      <c r="M479" s="90">
        <v>2254.2600000000002</v>
      </c>
      <c r="N479" s="90">
        <v>11446.66</v>
      </c>
      <c r="O479" s="90">
        <v>7622.46</v>
      </c>
      <c r="P479" s="90">
        <v>428.64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37528.949999999997</v>
      </c>
      <c r="F480" s="90">
        <v>2557.54</v>
      </c>
      <c r="G480" s="90">
        <v>1425.04</v>
      </c>
      <c r="H480" s="90">
        <v>1006.31</v>
      </c>
      <c r="I480" s="90">
        <v>8220.8799999999992</v>
      </c>
      <c r="J480" s="90">
        <v>262.7</v>
      </c>
      <c r="K480" s="90">
        <v>0</v>
      </c>
      <c r="L480" s="90">
        <v>2304.46</v>
      </c>
      <c r="M480" s="90">
        <v>2254.2600000000002</v>
      </c>
      <c r="N480" s="90">
        <v>11446.66</v>
      </c>
      <c r="O480" s="90">
        <v>7622.46</v>
      </c>
      <c r="P480" s="90">
        <v>428.64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-209482.38</v>
      </c>
      <c r="F481" s="93">
        <v>-9123.02</v>
      </c>
      <c r="G481" s="93">
        <v>-5083.32</v>
      </c>
      <c r="H481" s="93">
        <v>-2455.27</v>
      </c>
      <c r="I481" s="93">
        <v>-54641.27</v>
      </c>
      <c r="J481" s="93">
        <v>-1747.32</v>
      </c>
      <c r="K481" s="93">
        <v>0</v>
      </c>
      <c r="L481" s="93">
        <v>-15326.59</v>
      </c>
      <c r="M481" s="93">
        <v>-14978.55</v>
      </c>
      <c r="N481" s="93">
        <v>-76085.84</v>
      </c>
      <c r="O481" s="93">
        <v>-27190.46</v>
      </c>
      <c r="P481" s="93">
        <v>-2850.74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-74859.399999999994</v>
      </c>
      <c r="F482" s="100">
        <v>186378.27</v>
      </c>
      <c r="G482" s="100">
        <v>100644</v>
      </c>
      <c r="H482" s="100">
        <v>55068.04</v>
      </c>
      <c r="I482" s="100">
        <v>-293376.33</v>
      </c>
      <c r="J482" s="100">
        <v>-17139.009999999998</v>
      </c>
      <c r="K482" s="100">
        <v>0</v>
      </c>
      <c r="L482" s="100">
        <v>-71975.38</v>
      </c>
      <c r="M482" s="100">
        <v>-72620.289999999994</v>
      </c>
      <c r="N482" s="100">
        <v>-498114.12</v>
      </c>
      <c r="O482" s="100">
        <v>556097.69999999995</v>
      </c>
      <c r="P482" s="100">
        <v>-19822.28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27520060.710000001</v>
      </c>
      <c r="F483" s="90">
        <v>1759328.73</v>
      </c>
      <c r="G483" s="90">
        <v>993758.93</v>
      </c>
      <c r="H483" s="90">
        <v>494766.38</v>
      </c>
      <c r="I483" s="90">
        <v>6127990.3799999999</v>
      </c>
      <c r="J483" s="90">
        <v>191273.05</v>
      </c>
      <c r="K483" s="90">
        <v>0</v>
      </c>
      <c r="L483" s="90">
        <v>1915702.17</v>
      </c>
      <c r="M483" s="90">
        <v>1730643.12</v>
      </c>
      <c r="N483" s="90">
        <v>8488006.3900000006</v>
      </c>
      <c r="O483" s="90">
        <v>5503467.7400000002</v>
      </c>
      <c r="P483" s="90">
        <v>315367.96000000002</v>
      </c>
      <c r="Q483" s="90">
        <v>-244.14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8" t="s">
        <v>2</v>
      </c>
      <c r="C510" s="776" t="s">
        <v>132</v>
      </c>
      <c r="D510" s="98" t="s">
        <v>70</v>
      </c>
      <c r="E510" s="100">
        <f>E482+E465-K465</f>
        <v>27520060.710000001</v>
      </c>
      <c r="F510" s="100">
        <f>F465</f>
        <v>1572950.46</v>
      </c>
      <c r="G510" s="100">
        <f t="shared" ref="G510:R510" si="14">G465</f>
        <v>893114.93</v>
      </c>
      <c r="H510" s="100">
        <f t="shared" si="14"/>
        <v>439698.34</v>
      </c>
      <c r="I510" s="100">
        <f t="shared" si="14"/>
        <v>6421366.71</v>
      </c>
      <c r="J510" s="100">
        <f t="shared" si="14"/>
        <v>208412.06</v>
      </c>
      <c r="K510" s="100">
        <f t="shared" si="14"/>
        <v>0</v>
      </c>
      <c r="L510" s="100">
        <f t="shared" si="14"/>
        <v>1987677.55</v>
      </c>
      <c r="M510" s="100">
        <f t="shared" si="14"/>
        <v>1803263.41</v>
      </c>
      <c r="N510" s="100">
        <f t="shared" si="14"/>
        <v>8986120.5099999998</v>
      </c>
      <c r="O510" s="100">
        <f t="shared" si="14"/>
        <v>4947370.04</v>
      </c>
      <c r="P510" s="100">
        <f>P465</f>
        <v>335190.24</v>
      </c>
      <c r="Q510" s="100">
        <f t="shared" si="14"/>
        <v>-244.14</v>
      </c>
      <c r="R510" s="100">
        <f t="shared" si="14"/>
        <v>0</v>
      </c>
    </row>
    <row r="511" spans="1:18" ht="12.75" customHeight="1" x14ac:dyDescent="0.25">
      <c r="B511" s="778"/>
      <c r="C511" s="776"/>
      <c r="D511" s="98" t="s">
        <v>73</v>
      </c>
      <c r="E511" s="100">
        <f>E482</f>
        <v>-74859.399999999994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8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8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8" t="s">
        <v>155</v>
      </c>
      <c r="C516" s="776" t="s">
        <v>132</v>
      </c>
      <c r="D516" s="221" t="s">
        <v>70</v>
      </c>
      <c r="E516" s="222">
        <f>E471+E468+E450+E446-K446-K450</f>
        <v>26488801.359999999</v>
      </c>
      <c r="F516" s="222">
        <f>F450+F446</f>
        <v>1497793.49</v>
      </c>
      <c r="G516" s="222">
        <f t="shared" ref="G516:R516" si="15">G450+G446</f>
        <v>854780.46</v>
      </c>
      <c r="H516" s="222">
        <f t="shared" si="15"/>
        <v>425091.72</v>
      </c>
      <c r="I516" s="222">
        <f t="shared" si="15"/>
        <v>6081457.7400000002</v>
      </c>
      <c r="J516" s="222">
        <f t="shared" si="15"/>
        <v>200139.03</v>
      </c>
      <c r="K516" s="222">
        <f t="shared" si="15"/>
        <v>0</v>
      </c>
      <c r="L516" s="222">
        <f t="shared" si="15"/>
        <v>1896616.54</v>
      </c>
      <c r="M516" s="222">
        <f t="shared" si="15"/>
        <v>1730292.01</v>
      </c>
      <c r="N516" s="222">
        <f t="shared" si="15"/>
        <v>8631513.2699999996</v>
      </c>
      <c r="O516" s="222">
        <f t="shared" si="15"/>
        <v>4715004.8</v>
      </c>
      <c r="P516" s="222">
        <f t="shared" si="15"/>
        <v>321692.18</v>
      </c>
      <c r="Q516" s="222">
        <f t="shared" si="15"/>
        <v>-202.86</v>
      </c>
      <c r="R516" s="222">
        <f t="shared" si="15"/>
        <v>0</v>
      </c>
    </row>
    <row r="517" spans="1:18" ht="12.75" customHeight="1" x14ac:dyDescent="0.25">
      <c r="B517" s="778"/>
      <c r="C517" s="776"/>
      <c r="D517" s="221" t="s">
        <v>73</v>
      </c>
      <c r="E517" s="222">
        <f>E471+E468</f>
        <v>134622.98000000001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9" t="s">
        <v>325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9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8" t="s">
        <v>119</v>
      </c>
      <c r="C522" s="776" t="s">
        <v>132</v>
      </c>
      <c r="D522" s="101" t="s">
        <v>70</v>
      </c>
      <c r="E522" s="93">
        <f>E464+E481-K464</f>
        <v>1031259.35</v>
      </c>
      <c r="F522" s="93">
        <f>F464</f>
        <v>75156.97</v>
      </c>
      <c r="G522" s="93">
        <f t="shared" ref="G522:R522" si="17">G464</f>
        <v>38334.47</v>
      </c>
      <c r="H522" s="93">
        <f t="shared" si="17"/>
        <v>14606.62</v>
      </c>
      <c r="I522" s="93">
        <f t="shared" si="17"/>
        <v>339908.97</v>
      </c>
      <c r="J522" s="93">
        <f t="shared" si="17"/>
        <v>8273.0300000000007</v>
      </c>
      <c r="K522" s="93">
        <f t="shared" si="17"/>
        <v>0</v>
      </c>
      <c r="L522" s="93">
        <f t="shared" si="17"/>
        <v>91061.01</v>
      </c>
      <c r="M522" s="93">
        <f t="shared" si="17"/>
        <v>72971.399999999994</v>
      </c>
      <c r="N522" s="93">
        <f t="shared" si="17"/>
        <v>354607.24</v>
      </c>
      <c r="O522" s="93">
        <f t="shared" si="17"/>
        <v>232365.24</v>
      </c>
      <c r="P522" s="93">
        <f t="shared" si="17"/>
        <v>13498.06</v>
      </c>
      <c r="Q522" s="93">
        <f t="shared" si="17"/>
        <v>-41.28</v>
      </c>
      <c r="R522" s="93">
        <f t="shared" si="17"/>
        <v>0</v>
      </c>
    </row>
    <row r="523" spans="1:18" ht="12.75" customHeight="1" x14ac:dyDescent="0.25">
      <c r="B523" s="778"/>
      <c r="C523" s="776"/>
      <c r="D523" s="101" t="s">
        <v>73</v>
      </c>
      <c r="E523" s="93">
        <f>E481</f>
        <v>-209482.38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7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7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522:B523"/>
    <mergeCell ref="C522:C523"/>
    <mergeCell ref="B525:B526"/>
    <mergeCell ref="C525:C526"/>
    <mergeCell ref="B519:B520"/>
    <mergeCell ref="C519:C520"/>
    <mergeCell ref="B510:B511"/>
    <mergeCell ref="C510:C511"/>
    <mergeCell ref="B513:B514"/>
    <mergeCell ref="C513:C514"/>
    <mergeCell ref="B516:B517"/>
    <mergeCell ref="C516:C517"/>
    <mergeCell ref="B435:B436"/>
    <mergeCell ref="C435:C436"/>
    <mergeCell ref="B438:B439"/>
    <mergeCell ref="C438:C439"/>
    <mergeCell ref="B432:B433"/>
    <mergeCell ref="C432:C433"/>
    <mergeCell ref="B423:B424"/>
    <mergeCell ref="C423:C424"/>
    <mergeCell ref="B426:B427"/>
    <mergeCell ref="C426:C427"/>
    <mergeCell ref="B429:B430"/>
    <mergeCell ref="C429:C430"/>
    <mergeCell ref="B311:B312"/>
    <mergeCell ref="C311:C312"/>
    <mergeCell ref="B308:B309"/>
    <mergeCell ref="C308:C309"/>
    <mergeCell ref="B314:B315"/>
    <mergeCell ref="C314:C315"/>
    <mergeCell ref="B299:B300"/>
    <mergeCell ref="C299:C300"/>
    <mergeCell ref="B302:B303"/>
    <mergeCell ref="C302:C303"/>
    <mergeCell ref="B305:B306"/>
    <mergeCell ref="C305:C306"/>
    <mergeCell ref="B57:B58"/>
    <mergeCell ref="C57:C58"/>
    <mergeCell ref="B60:B61"/>
    <mergeCell ref="C60:C61"/>
    <mergeCell ref="B66:B67"/>
    <mergeCell ref="C66:C67"/>
    <mergeCell ref="B63:B64"/>
    <mergeCell ref="C63:C64"/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-4753329.8600000003</v>
      </c>
      <c r="E3" s="618">
        <v>-214159.07</v>
      </c>
      <c r="F3" s="618">
        <v>-114902.14</v>
      </c>
      <c r="G3" s="620">
        <v>-61576.43</v>
      </c>
      <c r="H3" s="618">
        <v>-1165948.6200000001</v>
      </c>
      <c r="I3" s="618">
        <v>-45063.11</v>
      </c>
      <c r="J3" s="618">
        <v>-395289.43</v>
      </c>
      <c r="K3" s="618">
        <v>-369526.83</v>
      </c>
      <c r="L3" s="618">
        <v>-1753828.52</v>
      </c>
      <c r="M3" s="618">
        <v>-560155.38</v>
      </c>
      <c r="N3" s="618">
        <v>-72898.320000000007</v>
      </c>
      <c r="O3" s="618">
        <v>17.989999999999998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-12501.61</v>
      </c>
      <c r="E4" s="618">
        <v>-542.19000000000005</v>
      </c>
      <c r="F4" s="618">
        <v>-246.5</v>
      </c>
      <c r="G4" s="620">
        <v>-140.41999999999999</v>
      </c>
      <c r="H4" s="618">
        <v>-2800.13</v>
      </c>
      <c r="I4" s="618">
        <v>-138.59</v>
      </c>
      <c r="J4" s="618">
        <v>-1215.05</v>
      </c>
      <c r="K4" s="618">
        <v>-1024.58</v>
      </c>
      <c r="L4" s="618">
        <v>-4838.2299999999996</v>
      </c>
      <c r="M4" s="618">
        <v>-1328.64</v>
      </c>
      <c r="N4" s="618">
        <v>-227.04</v>
      </c>
      <c r="O4" s="618">
        <v>-0.24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-4765831.47</v>
      </c>
      <c r="E5" s="622">
        <v>-214701.26</v>
      </c>
      <c r="F5" s="622">
        <v>-115148.64</v>
      </c>
      <c r="G5" s="622">
        <v>-61716.85</v>
      </c>
      <c r="H5" s="622">
        <v>-1168748.75</v>
      </c>
      <c r="I5" s="622">
        <v>-45201.7</v>
      </c>
      <c r="J5" s="622">
        <v>-396504.48</v>
      </c>
      <c r="K5" s="622">
        <v>-370551.41</v>
      </c>
      <c r="L5" s="622">
        <v>-1758666.75</v>
      </c>
      <c r="M5" s="622">
        <v>-561484.02</v>
      </c>
      <c r="N5" s="622">
        <v>-73125.36</v>
      </c>
      <c r="O5" s="622">
        <v>17.75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1304634.18</v>
      </c>
      <c r="E6" s="618">
        <v>54873.86</v>
      </c>
      <c r="F6" s="618">
        <v>28576.76</v>
      </c>
      <c r="G6" s="620">
        <v>15506.07</v>
      </c>
      <c r="H6" s="618">
        <v>320570.26</v>
      </c>
      <c r="I6" s="618">
        <v>12973.15</v>
      </c>
      <c r="J6" s="618">
        <v>113799.96</v>
      </c>
      <c r="K6" s="618">
        <v>105110.1</v>
      </c>
      <c r="L6" s="618">
        <v>491550.49</v>
      </c>
      <c r="M6" s="618">
        <v>140506.71</v>
      </c>
      <c r="N6" s="618">
        <v>21166.82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1304634.18</v>
      </c>
      <c r="E7" s="624">
        <v>54873.86</v>
      </c>
      <c r="F7" s="624">
        <v>28576.76</v>
      </c>
      <c r="G7" s="624">
        <v>15506.07</v>
      </c>
      <c r="H7" s="624">
        <v>320570.26</v>
      </c>
      <c r="I7" s="624">
        <v>12973.15</v>
      </c>
      <c r="J7" s="624">
        <v>113799.96</v>
      </c>
      <c r="K7" s="624">
        <v>105110.1</v>
      </c>
      <c r="L7" s="624">
        <v>491550.49</v>
      </c>
      <c r="M7" s="624">
        <v>140506.71</v>
      </c>
      <c r="N7" s="624">
        <v>21166.82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-3461197.29</v>
      </c>
      <c r="E8" s="626">
        <v>-159827.4</v>
      </c>
      <c r="F8" s="626">
        <v>-86571.88</v>
      </c>
      <c r="G8" s="627">
        <v>-46210.78</v>
      </c>
      <c r="H8" s="626">
        <v>-848178.49</v>
      </c>
      <c r="I8" s="626">
        <v>-32228.55</v>
      </c>
      <c r="J8" s="626">
        <v>-282704.52</v>
      </c>
      <c r="K8" s="626">
        <v>-265441.31</v>
      </c>
      <c r="L8" s="626">
        <v>-1267116.26</v>
      </c>
      <c r="M8" s="626">
        <v>-420977.31</v>
      </c>
      <c r="N8" s="626">
        <v>-51958.54</v>
      </c>
      <c r="O8" s="626">
        <v>17.75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325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-83090.080000000002</v>
      </c>
      <c r="E15" s="618">
        <v>-4319.28</v>
      </c>
      <c r="F15" s="618">
        <v>-2439.6999999999998</v>
      </c>
      <c r="G15" s="620">
        <v>-1284.52</v>
      </c>
      <c r="H15" s="618">
        <v>-21380.91</v>
      </c>
      <c r="I15" s="618">
        <v>-495.68</v>
      </c>
      <c r="J15" s="618">
        <v>-4348.01</v>
      </c>
      <c r="K15" s="618">
        <v>-6438.31</v>
      </c>
      <c r="L15" s="618">
        <v>-29729.3</v>
      </c>
      <c r="M15" s="618">
        <v>-11838.57</v>
      </c>
      <c r="N15" s="618">
        <v>-808.72</v>
      </c>
      <c r="O15" s="618">
        <v>-7.08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-219.92</v>
      </c>
      <c r="E16" s="618">
        <v>-11.38</v>
      </c>
      <c r="F16" s="618">
        <v>-6.42</v>
      </c>
      <c r="G16" s="620">
        <v>-3.38</v>
      </c>
      <c r="H16" s="618">
        <v>-57.73</v>
      </c>
      <c r="I16" s="618">
        <v>-1.29</v>
      </c>
      <c r="J16" s="618">
        <v>-11.47</v>
      </c>
      <c r="K16" s="618">
        <v>-16.98</v>
      </c>
      <c r="L16" s="618">
        <v>-77.95</v>
      </c>
      <c r="M16" s="618">
        <v>-31.19</v>
      </c>
      <c r="N16" s="618">
        <v>-2.12</v>
      </c>
      <c r="O16" s="618">
        <v>-0.01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-83310</v>
      </c>
      <c r="E17" s="622">
        <v>-4330.66</v>
      </c>
      <c r="F17" s="622">
        <v>-2446.12</v>
      </c>
      <c r="G17" s="622">
        <v>-1287.9000000000001</v>
      </c>
      <c r="H17" s="622">
        <v>-21438.639999999999</v>
      </c>
      <c r="I17" s="622">
        <v>-496.97</v>
      </c>
      <c r="J17" s="622">
        <v>-4359.4799999999996</v>
      </c>
      <c r="K17" s="622">
        <v>-6455.29</v>
      </c>
      <c r="L17" s="622">
        <v>-29807.25</v>
      </c>
      <c r="M17" s="622">
        <v>-11869.76</v>
      </c>
      <c r="N17" s="622">
        <v>-810.84</v>
      </c>
      <c r="O17" s="622">
        <v>-7.09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-83310</v>
      </c>
      <c r="E20" s="628">
        <v>-4330.66</v>
      </c>
      <c r="F20" s="628">
        <v>-2446.12</v>
      </c>
      <c r="G20" s="628">
        <v>-1287.9000000000001</v>
      </c>
      <c r="H20" s="628">
        <v>-21438.639999999999</v>
      </c>
      <c r="I20" s="628">
        <v>-496.97</v>
      </c>
      <c r="J20" s="628">
        <v>-4359.4799999999996</v>
      </c>
      <c r="K20" s="628">
        <v>-6455.29</v>
      </c>
      <c r="L20" s="628">
        <v>-29807.25</v>
      </c>
      <c r="M20" s="628">
        <v>-11869.76</v>
      </c>
      <c r="N20" s="628">
        <v>-810.84</v>
      </c>
      <c r="O20" s="628">
        <v>-7.09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-3544507.29</v>
      </c>
      <c r="E21" s="630">
        <v>-164158.06</v>
      </c>
      <c r="F21" s="630">
        <v>-89018</v>
      </c>
      <c r="G21" s="630">
        <v>-47498.68</v>
      </c>
      <c r="H21" s="630">
        <v>-869617.13</v>
      </c>
      <c r="I21" s="630">
        <v>-32725.52</v>
      </c>
      <c r="J21" s="630">
        <v>-287064</v>
      </c>
      <c r="K21" s="630">
        <v>-271896.59999999998</v>
      </c>
      <c r="L21" s="630">
        <v>-1296923.51</v>
      </c>
      <c r="M21" s="630">
        <v>-432847.07</v>
      </c>
      <c r="N21" s="630">
        <v>-52769.38</v>
      </c>
      <c r="O21" s="630">
        <v>10.66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-3544507.29</v>
      </c>
      <c r="E79" s="766">
        <f>E5+E17</f>
        <v>-219031.92</v>
      </c>
      <c r="F79" s="766">
        <f t="shared" ref="F79:R79" si="0">F5+F17</f>
        <v>-117594.76</v>
      </c>
      <c r="G79" s="766">
        <f t="shared" si="0"/>
        <v>-63004.75</v>
      </c>
      <c r="H79" s="766">
        <f t="shared" si="0"/>
        <v>-1190187.3899999999</v>
      </c>
      <c r="I79" s="766">
        <f t="shared" si="0"/>
        <v>-45698.67</v>
      </c>
      <c r="J79" s="766">
        <f t="shared" si="0"/>
        <v>-400863.95999999996</v>
      </c>
      <c r="K79" s="766">
        <f t="shared" si="0"/>
        <v>-377006.69999999995</v>
      </c>
      <c r="L79" s="766">
        <f t="shared" si="0"/>
        <v>-1788474</v>
      </c>
      <c r="M79" s="766">
        <f t="shared" si="0"/>
        <v>-573353.78</v>
      </c>
      <c r="N79" s="766">
        <f t="shared" si="0"/>
        <v>-73936.2</v>
      </c>
      <c r="O79" s="766">
        <f t="shared" si="0"/>
        <v>10.66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1304634.18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-3461197.29</v>
      </c>
      <c r="E85" s="633">
        <f>E5</f>
        <v>-214701.26</v>
      </c>
      <c r="F85" s="633">
        <f t="shared" ref="F85:R85" si="1">F5</f>
        <v>-115148.64</v>
      </c>
      <c r="G85" s="633">
        <f t="shared" si="1"/>
        <v>-61716.85</v>
      </c>
      <c r="H85" s="633">
        <f t="shared" si="1"/>
        <v>-1168748.75</v>
      </c>
      <c r="I85" s="633">
        <f t="shared" si="1"/>
        <v>-45201.7</v>
      </c>
      <c r="J85" s="633">
        <f t="shared" si="1"/>
        <v>-396504.48</v>
      </c>
      <c r="K85" s="633">
        <f t="shared" si="1"/>
        <v>-370551.41</v>
      </c>
      <c r="L85" s="633">
        <f t="shared" si="1"/>
        <v>-1758666.75</v>
      </c>
      <c r="M85" s="633">
        <f t="shared" si="1"/>
        <v>-561484.02</v>
      </c>
      <c r="N85" s="633">
        <f t="shared" si="1"/>
        <v>-73125.36</v>
      </c>
      <c r="O85" s="633">
        <f t="shared" si="1"/>
        <v>17.75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1304634.18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3" t="s">
        <v>325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3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-83310</v>
      </c>
      <c r="E91" s="628">
        <f>E17</f>
        <v>-4330.66</v>
      </c>
      <c r="F91" s="628">
        <f t="shared" ref="F91:R91" si="3">F17</f>
        <v>-2446.12</v>
      </c>
      <c r="G91" s="628">
        <f t="shared" si="3"/>
        <v>-1287.9000000000001</v>
      </c>
      <c r="H91" s="628">
        <f t="shared" si="3"/>
        <v>-21438.639999999999</v>
      </c>
      <c r="I91" s="628">
        <f t="shared" si="3"/>
        <v>-496.97</v>
      </c>
      <c r="J91" s="628">
        <f t="shared" si="3"/>
        <v>-4359.4799999999996</v>
      </c>
      <c r="K91" s="628">
        <f t="shared" si="3"/>
        <v>-6455.29</v>
      </c>
      <c r="L91" s="628">
        <f t="shared" si="3"/>
        <v>-29807.25</v>
      </c>
      <c r="M91" s="628">
        <f t="shared" si="3"/>
        <v>-11869.76</v>
      </c>
      <c r="N91" s="628">
        <f t="shared" si="3"/>
        <v>-810.84</v>
      </c>
      <c r="O91" s="628">
        <f t="shared" si="3"/>
        <v>-7.09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0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0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-10237442.57</v>
      </c>
      <c r="E99" s="618">
        <v>-563399.38</v>
      </c>
      <c r="F99" s="618">
        <v>-316917.62</v>
      </c>
      <c r="G99" s="620">
        <v>-166722.74</v>
      </c>
      <c r="H99" s="618">
        <v>-2628414.17</v>
      </c>
      <c r="I99" s="618">
        <v>-89684.05</v>
      </c>
      <c r="J99" s="618">
        <v>-786699.09</v>
      </c>
      <c r="K99" s="618">
        <v>-766969.55</v>
      </c>
      <c r="L99" s="618">
        <v>-3636763.39</v>
      </c>
      <c r="M99" s="618">
        <v>-1109050.8</v>
      </c>
      <c r="N99" s="618">
        <v>-146326.35</v>
      </c>
      <c r="O99" s="618">
        <v>4.57</v>
      </c>
      <c r="P99" s="616">
        <v>-26500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-49535.64</v>
      </c>
      <c r="E100" s="618">
        <v>-2812.32</v>
      </c>
      <c r="F100" s="618">
        <v>-1322.36</v>
      </c>
      <c r="G100" s="620">
        <v>-716.51</v>
      </c>
      <c r="H100" s="618">
        <v>-13748.88</v>
      </c>
      <c r="I100" s="618">
        <v>-368.55</v>
      </c>
      <c r="J100" s="618">
        <v>-3233.3</v>
      </c>
      <c r="K100" s="618">
        <v>-3852.97</v>
      </c>
      <c r="L100" s="618">
        <v>-17279.39</v>
      </c>
      <c r="M100" s="618">
        <v>-5599.52</v>
      </c>
      <c r="N100" s="618">
        <v>-601.36</v>
      </c>
      <c r="O100" s="618">
        <v>-0.48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-10286978.210000001</v>
      </c>
      <c r="E101" s="622">
        <v>-566211.69999999995</v>
      </c>
      <c r="F101" s="622">
        <v>-318239.98</v>
      </c>
      <c r="G101" s="622">
        <v>-167439.25</v>
      </c>
      <c r="H101" s="622">
        <v>-2642163.0499999998</v>
      </c>
      <c r="I101" s="622">
        <v>-90052.6</v>
      </c>
      <c r="J101" s="622">
        <v>-789932.39</v>
      </c>
      <c r="K101" s="622">
        <v>-770822.52</v>
      </c>
      <c r="L101" s="622">
        <v>-3654042.78</v>
      </c>
      <c r="M101" s="622">
        <v>-1114650.32</v>
      </c>
      <c r="N101" s="622">
        <v>-146927.71</v>
      </c>
      <c r="O101" s="622">
        <v>4.09</v>
      </c>
      <c r="P101" s="621">
        <v>-26500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1547375.84</v>
      </c>
      <c r="E102" s="618">
        <v>29312.92</v>
      </c>
      <c r="F102" s="618">
        <v>16341.6</v>
      </c>
      <c r="G102" s="620">
        <v>8648.0499999999993</v>
      </c>
      <c r="H102" s="618">
        <v>470464.34</v>
      </c>
      <c r="I102" s="618">
        <v>15992.12</v>
      </c>
      <c r="J102" s="618">
        <v>140279.81</v>
      </c>
      <c r="K102" s="618">
        <v>136965.6</v>
      </c>
      <c r="L102" s="618">
        <v>646070.43000000005</v>
      </c>
      <c r="M102" s="618">
        <v>57208.93</v>
      </c>
      <c r="N102" s="618">
        <v>26092.04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1547375.84</v>
      </c>
      <c r="E103" s="624">
        <v>29312.92</v>
      </c>
      <c r="F103" s="624">
        <v>16341.6</v>
      </c>
      <c r="G103" s="636">
        <v>8648.0499999999993</v>
      </c>
      <c r="H103" s="624">
        <v>470464.34</v>
      </c>
      <c r="I103" s="624">
        <v>15992.12</v>
      </c>
      <c r="J103" s="624">
        <v>140279.81</v>
      </c>
      <c r="K103" s="624">
        <v>136965.6</v>
      </c>
      <c r="L103" s="624">
        <v>646070.43000000005</v>
      </c>
      <c r="M103" s="624">
        <v>57208.93</v>
      </c>
      <c r="N103" s="624">
        <v>26092.04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-8739602.3699999992</v>
      </c>
      <c r="E104" s="626">
        <v>-536898.78</v>
      </c>
      <c r="F104" s="626">
        <v>-301898.38</v>
      </c>
      <c r="G104" s="627">
        <v>-158791.20000000001</v>
      </c>
      <c r="H104" s="626">
        <v>-2171698.71</v>
      </c>
      <c r="I104" s="626">
        <v>-74060.479999999996</v>
      </c>
      <c r="J104" s="626">
        <v>-649652.57999999996</v>
      </c>
      <c r="K104" s="626">
        <v>-633856.92000000004</v>
      </c>
      <c r="L104" s="626">
        <v>-3007972.35</v>
      </c>
      <c r="M104" s="626">
        <v>-1057441.3899999999</v>
      </c>
      <c r="N104" s="626">
        <v>-120835.67</v>
      </c>
      <c r="O104" s="626">
        <v>4.09</v>
      </c>
      <c r="P104" s="625">
        <v>-26500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-8739602.3699999992</v>
      </c>
      <c r="E117" s="630">
        <v>-536898.78</v>
      </c>
      <c r="F117" s="630">
        <v>-301898.38</v>
      </c>
      <c r="G117" s="630">
        <v>-158791.20000000001</v>
      </c>
      <c r="H117" s="630">
        <v>-2171698.71</v>
      </c>
      <c r="I117" s="630">
        <v>-74060.479999999996</v>
      </c>
      <c r="J117" s="630">
        <v>-649652.57999999996</v>
      </c>
      <c r="K117" s="630">
        <v>-633856.92000000004</v>
      </c>
      <c r="L117" s="630">
        <v>-3007972.35</v>
      </c>
      <c r="M117" s="630">
        <v>-1057441.3899999999</v>
      </c>
      <c r="N117" s="630">
        <v>-120835.67</v>
      </c>
      <c r="O117" s="630">
        <v>4.09</v>
      </c>
      <c r="P117" s="631">
        <v>-26500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-8713102.3699999992</v>
      </c>
      <c r="E180" s="766">
        <f>E101+E107+E113</f>
        <v>-566211.69999999995</v>
      </c>
      <c r="F180" s="766">
        <f t="shared" ref="F180:R180" si="4">F101+F107+F113</f>
        <v>-318239.98</v>
      </c>
      <c r="G180" s="766">
        <f t="shared" si="4"/>
        <v>-167439.25</v>
      </c>
      <c r="H180" s="766">
        <f t="shared" si="4"/>
        <v>-2642163.0499999998</v>
      </c>
      <c r="I180" s="766">
        <f t="shared" si="4"/>
        <v>-90052.6</v>
      </c>
      <c r="J180" s="766">
        <f t="shared" si="4"/>
        <v>-789932.39</v>
      </c>
      <c r="K180" s="766">
        <f t="shared" si="4"/>
        <v>-770822.52</v>
      </c>
      <c r="L180" s="766">
        <f t="shared" si="4"/>
        <v>-3654042.78</v>
      </c>
      <c r="M180" s="766">
        <f t="shared" si="4"/>
        <v>-1114650.32</v>
      </c>
      <c r="N180" s="766">
        <f t="shared" si="4"/>
        <v>-146927.71</v>
      </c>
      <c r="O180" s="766">
        <f t="shared" si="4"/>
        <v>4.09</v>
      </c>
      <c r="P180" s="766">
        <f t="shared" si="4"/>
        <v>-26500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1547375.84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-8713102.3699999992</v>
      </c>
      <c r="E186" s="633">
        <f>E101</f>
        <v>-566211.69999999995</v>
      </c>
      <c r="F186" s="633">
        <f t="shared" ref="F186:R186" si="6">F101</f>
        <v>-318239.98</v>
      </c>
      <c r="G186" s="633">
        <f t="shared" si="6"/>
        <v>-167439.25</v>
      </c>
      <c r="H186" s="633">
        <f t="shared" si="6"/>
        <v>-2642163.0499999998</v>
      </c>
      <c r="I186" s="633">
        <f t="shared" si="6"/>
        <v>-90052.6</v>
      </c>
      <c r="J186" s="633">
        <f t="shared" si="6"/>
        <v>-789932.39</v>
      </c>
      <c r="K186" s="633">
        <f t="shared" si="6"/>
        <v>-770822.52</v>
      </c>
      <c r="L186" s="633">
        <f t="shared" si="6"/>
        <v>-3654042.78</v>
      </c>
      <c r="M186" s="633">
        <f t="shared" si="6"/>
        <v>-1114650.32</v>
      </c>
      <c r="N186" s="633">
        <f t="shared" si="6"/>
        <v>-146927.71</v>
      </c>
      <c r="O186" s="633">
        <f t="shared" si="6"/>
        <v>4.09</v>
      </c>
      <c r="P186" s="633">
        <f t="shared" si="6"/>
        <v>-26500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1547375.84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3" t="s">
        <v>325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3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0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0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-6968154.1600000001</v>
      </c>
      <c r="E200" s="618">
        <v>-329081.64</v>
      </c>
      <c r="F200" s="618">
        <v>-185597.2</v>
      </c>
      <c r="G200" s="618">
        <v>-97672.38</v>
      </c>
      <c r="H200" s="618">
        <v>-2008331.14</v>
      </c>
      <c r="I200" s="618">
        <v>-59494.92</v>
      </c>
      <c r="J200" s="618">
        <v>-518628.97</v>
      </c>
      <c r="K200" s="618">
        <v>-504844.61</v>
      </c>
      <c r="L200" s="618">
        <v>-2391600.6800000002</v>
      </c>
      <c r="M200" s="618">
        <v>-775803.2</v>
      </c>
      <c r="N200" s="618">
        <v>-97071.22</v>
      </c>
      <c r="O200" s="618">
        <v>-28.2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-1954.21</v>
      </c>
      <c r="E201" s="618">
        <v>-129.5</v>
      </c>
      <c r="F201" s="618">
        <v>-73.099999999999994</v>
      </c>
      <c r="G201" s="618">
        <v>-38.35</v>
      </c>
      <c r="H201" s="618">
        <v>-455.19</v>
      </c>
      <c r="I201" s="618">
        <v>-15.73</v>
      </c>
      <c r="J201" s="618">
        <v>-138.22999999999999</v>
      </c>
      <c r="K201" s="618">
        <v>-135.61000000000001</v>
      </c>
      <c r="L201" s="618">
        <v>-641.52</v>
      </c>
      <c r="M201" s="618">
        <v>-301.27</v>
      </c>
      <c r="N201" s="618">
        <v>-25.73</v>
      </c>
      <c r="O201" s="618">
        <v>0.02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-6970108.3700000001</v>
      </c>
      <c r="E202" s="622">
        <v>-329211.14</v>
      </c>
      <c r="F202" s="622">
        <v>-185670.3</v>
      </c>
      <c r="G202" s="622">
        <v>-97710.73</v>
      </c>
      <c r="H202" s="622">
        <v>-2008786.33</v>
      </c>
      <c r="I202" s="622">
        <v>-59510.65</v>
      </c>
      <c r="J202" s="622">
        <v>-518767.2</v>
      </c>
      <c r="K202" s="622">
        <v>-504980.22</v>
      </c>
      <c r="L202" s="622">
        <v>-2392242.2000000002</v>
      </c>
      <c r="M202" s="622">
        <v>-776104.47</v>
      </c>
      <c r="N202" s="622">
        <v>-97096.95</v>
      </c>
      <c r="O202" s="622">
        <v>-28.18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878534.48</v>
      </c>
      <c r="E203" s="618">
        <v>23290.01</v>
      </c>
      <c r="F203" s="618">
        <v>13131.96</v>
      </c>
      <c r="G203" s="618">
        <v>6902.39</v>
      </c>
      <c r="H203" s="618">
        <v>294747.34999999998</v>
      </c>
      <c r="I203" s="618">
        <v>8059.48</v>
      </c>
      <c r="J203" s="618">
        <v>70696.62</v>
      </c>
      <c r="K203" s="618">
        <v>68683.759999999995</v>
      </c>
      <c r="L203" s="618">
        <v>324708.43</v>
      </c>
      <c r="M203" s="618">
        <v>55164.959999999999</v>
      </c>
      <c r="N203" s="618">
        <v>13149.52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878534.48</v>
      </c>
      <c r="E204" s="624">
        <v>23290.01</v>
      </c>
      <c r="F204" s="624">
        <v>13131.96</v>
      </c>
      <c r="G204" s="636">
        <v>6902.39</v>
      </c>
      <c r="H204" s="624">
        <v>294747.34999999998</v>
      </c>
      <c r="I204" s="624">
        <v>8059.48</v>
      </c>
      <c r="J204" s="624">
        <v>70696.62</v>
      </c>
      <c r="K204" s="624">
        <v>68683.759999999995</v>
      </c>
      <c r="L204" s="624">
        <v>324708.43</v>
      </c>
      <c r="M204" s="624">
        <v>55164.959999999999</v>
      </c>
      <c r="N204" s="624">
        <v>13149.52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-6091573.8899999997</v>
      </c>
      <c r="E205" s="633">
        <v>-305921.13</v>
      </c>
      <c r="F205" s="633">
        <v>-172538.34</v>
      </c>
      <c r="G205" s="633">
        <v>-90808.34</v>
      </c>
      <c r="H205" s="633">
        <v>-1714038.98</v>
      </c>
      <c r="I205" s="633">
        <v>-51451.17</v>
      </c>
      <c r="J205" s="633">
        <v>-448070.58</v>
      </c>
      <c r="K205" s="633">
        <v>-436296.46</v>
      </c>
      <c r="L205" s="633">
        <v>-2067533.77</v>
      </c>
      <c r="M205" s="633">
        <v>-720939.51</v>
      </c>
      <c r="N205" s="633">
        <v>-83947.43</v>
      </c>
      <c r="O205" s="633">
        <v>-28.18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-40482.199999999997</v>
      </c>
      <c r="E206" s="618">
        <v>-1930.6</v>
      </c>
      <c r="F206" s="618">
        <v>-1090.02</v>
      </c>
      <c r="G206" s="620">
        <v>-572.11</v>
      </c>
      <c r="H206" s="618">
        <v>-10651</v>
      </c>
      <c r="I206" s="618">
        <v>-255.08</v>
      </c>
      <c r="J206" s="618">
        <v>-2237.5300000000002</v>
      </c>
      <c r="K206" s="618">
        <v>-3286.56</v>
      </c>
      <c r="L206" s="618">
        <v>-15556.53</v>
      </c>
      <c r="M206" s="618">
        <v>-4485.76</v>
      </c>
      <c r="N206" s="618">
        <v>-416.18</v>
      </c>
      <c r="O206" s="618">
        <v>-0.83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-40482.199999999997</v>
      </c>
      <c r="E208" s="622">
        <v>-1930.6</v>
      </c>
      <c r="F208" s="622">
        <v>-1090.02</v>
      </c>
      <c r="G208" s="622">
        <v>-572.11</v>
      </c>
      <c r="H208" s="622">
        <v>-10651</v>
      </c>
      <c r="I208" s="622">
        <v>-255.08</v>
      </c>
      <c r="J208" s="622">
        <v>-2237.5300000000002</v>
      </c>
      <c r="K208" s="622">
        <v>-3286.56</v>
      </c>
      <c r="L208" s="622">
        <v>-15556.53</v>
      </c>
      <c r="M208" s="622">
        <v>-4485.76</v>
      </c>
      <c r="N208" s="622">
        <v>-416.18</v>
      </c>
      <c r="O208" s="622">
        <v>-0.83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6072.2</v>
      </c>
      <c r="E209" s="618">
        <v>289.58999999999997</v>
      </c>
      <c r="F209" s="618">
        <v>163.5</v>
      </c>
      <c r="G209" s="620">
        <v>85.81</v>
      </c>
      <c r="H209" s="618">
        <v>1597.65</v>
      </c>
      <c r="I209" s="618">
        <v>38.26</v>
      </c>
      <c r="J209" s="618">
        <v>335.63</v>
      </c>
      <c r="K209" s="618">
        <v>492.99</v>
      </c>
      <c r="L209" s="618">
        <v>2333.48</v>
      </c>
      <c r="M209" s="618">
        <v>672.86</v>
      </c>
      <c r="N209" s="618">
        <v>62.43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6072.2</v>
      </c>
      <c r="E210" s="624">
        <v>289.58999999999997</v>
      </c>
      <c r="F210" s="624">
        <v>163.5</v>
      </c>
      <c r="G210" s="624">
        <v>85.81</v>
      </c>
      <c r="H210" s="624">
        <v>1597.65</v>
      </c>
      <c r="I210" s="624">
        <v>38.26</v>
      </c>
      <c r="J210" s="624">
        <v>335.63</v>
      </c>
      <c r="K210" s="624">
        <v>492.99</v>
      </c>
      <c r="L210" s="624">
        <v>2333.48</v>
      </c>
      <c r="M210" s="624">
        <v>672.86</v>
      </c>
      <c r="N210" s="624">
        <v>62.43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-34410</v>
      </c>
      <c r="E211" s="628">
        <v>-1641.01</v>
      </c>
      <c r="F211" s="628">
        <v>-926.52</v>
      </c>
      <c r="G211" s="628">
        <v>-486.3</v>
      </c>
      <c r="H211" s="628">
        <v>-9053.35</v>
      </c>
      <c r="I211" s="628">
        <v>-216.82</v>
      </c>
      <c r="J211" s="628">
        <v>-1901.9</v>
      </c>
      <c r="K211" s="628">
        <v>-2793.57</v>
      </c>
      <c r="L211" s="628">
        <v>-13223.05</v>
      </c>
      <c r="M211" s="628">
        <v>-3812.9</v>
      </c>
      <c r="N211" s="628">
        <v>-353.75</v>
      </c>
      <c r="O211" s="628">
        <v>-0.83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-6125983.8899999997</v>
      </c>
      <c r="E212" s="630">
        <v>-307562.14</v>
      </c>
      <c r="F212" s="630">
        <v>-173464.86</v>
      </c>
      <c r="G212" s="630">
        <v>-91294.64</v>
      </c>
      <c r="H212" s="630">
        <v>-1723092.33</v>
      </c>
      <c r="I212" s="630">
        <v>-51667.99</v>
      </c>
      <c r="J212" s="630">
        <v>-449972.47999999998</v>
      </c>
      <c r="K212" s="630">
        <v>-439090.03</v>
      </c>
      <c r="L212" s="630">
        <v>-2080756.82</v>
      </c>
      <c r="M212" s="630">
        <v>-724752.41</v>
      </c>
      <c r="N212" s="630">
        <v>-84301.18</v>
      </c>
      <c r="O212" s="630">
        <v>-29.01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-6125983.8899999997</v>
      </c>
      <c r="E217" s="766">
        <f>E202+E208</f>
        <v>-331141.74</v>
      </c>
      <c r="F217" s="766">
        <f t="shared" ref="F217:R217" si="8">F202+F208</f>
        <v>-186760.31999999998</v>
      </c>
      <c r="G217" s="766">
        <f t="shared" si="8"/>
        <v>-98282.84</v>
      </c>
      <c r="H217" s="766">
        <f t="shared" si="8"/>
        <v>-2019437.33</v>
      </c>
      <c r="I217" s="766">
        <f t="shared" si="8"/>
        <v>-59765.73</v>
      </c>
      <c r="J217" s="766">
        <f t="shared" si="8"/>
        <v>-521004.73000000004</v>
      </c>
      <c r="K217" s="766">
        <f t="shared" si="8"/>
        <v>-508266.77999999997</v>
      </c>
      <c r="L217" s="766">
        <f t="shared" si="8"/>
        <v>-2407798.73</v>
      </c>
      <c r="M217" s="766">
        <f t="shared" si="8"/>
        <v>-780590.23</v>
      </c>
      <c r="N217" s="766">
        <f t="shared" si="8"/>
        <v>-97513.12999999999</v>
      </c>
      <c r="O217" s="766">
        <f t="shared" si="8"/>
        <v>-29.009999999999998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884606.67999999993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-6091573.8899999997</v>
      </c>
      <c r="E223" s="633">
        <f>E202</f>
        <v>-329211.14</v>
      </c>
      <c r="F223" s="633">
        <f t="shared" ref="F223:R223" si="9">F202</f>
        <v>-185670.3</v>
      </c>
      <c r="G223" s="633">
        <f t="shared" si="9"/>
        <v>-97710.73</v>
      </c>
      <c r="H223" s="633">
        <f t="shared" si="9"/>
        <v>-2008786.33</v>
      </c>
      <c r="I223" s="633">
        <f t="shared" si="9"/>
        <v>-59510.65</v>
      </c>
      <c r="J223" s="633">
        <f t="shared" si="9"/>
        <v>-518767.2</v>
      </c>
      <c r="K223" s="633">
        <f t="shared" si="9"/>
        <v>-504980.22</v>
      </c>
      <c r="L223" s="633">
        <f t="shared" si="9"/>
        <v>-2392242.2000000002</v>
      </c>
      <c r="M223" s="633">
        <f t="shared" si="9"/>
        <v>-776104.47</v>
      </c>
      <c r="N223" s="633">
        <f t="shared" si="9"/>
        <v>-97096.95</v>
      </c>
      <c r="O223" s="633">
        <f t="shared" si="9"/>
        <v>-28.18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878534.48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3" t="s">
        <v>325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3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-34410</v>
      </c>
      <c r="E229" s="628">
        <f>E208</f>
        <v>-1930.6</v>
      </c>
      <c r="F229" s="628">
        <f t="shared" ref="F229:R229" si="10">F208</f>
        <v>-1090.02</v>
      </c>
      <c r="G229" s="628">
        <f t="shared" si="10"/>
        <v>-572.11</v>
      </c>
      <c r="H229" s="628">
        <f t="shared" si="10"/>
        <v>-10651</v>
      </c>
      <c r="I229" s="628">
        <f t="shared" si="10"/>
        <v>-255.08</v>
      </c>
      <c r="J229" s="628">
        <f t="shared" si="10"/>
        <v>-2237.5300000000002</v>
      </c>
      <c r="K229" s="628">
        <f t="shared" si="10"/>
        <v>-3286.56</v>
      </c>
      <c r="L229" s="628">
        <f t="shared" si="10"/>
        <v>-15556.53</v>
      </c>
      <c r="M229" s="628">
        <f t="shared" si="10"/>
        <v>-4485.76</v>
      </c>
      <c r="N229" s="628">
        <f t="shared" si="10"/>
        <v>-416.18</v>
      </c>
      <c r="O229" s="628">
        <f t="shared" si="10"/>
        <v>-0.83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6072.2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0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0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-20867961.32</v>
      </c>
      <c r="E237" s="618">
        <v>-1183575.92</v>
      </c>
      <c r="F237" s="618">
        <v>-660785.56000000006</v>
      </c>
      <c r="G237" s="620">
        <v>-360417.26</v>
      </c>
      <c r="H237" s="618">
        <v>-4675852.26</v>
      </c>
      <c r="I237" s="618">
        <v>-165970.21</v>
      </c>
      <c r="J237" s="618">
        <v>-1465578.76</v>
      </c>
      <c r="K237" s="618">
        <v>-1450674.81</v>
      </c>
      <c r="L237" s="618">
        <v>-7405960.3600000003</v>
      </c>
      <c r="M237" s="618">
        <v>-3230098.43</v>
      </c>
      <c r="N237" s="618">
        <v>-269110.48</v>
      </c>
      <c r="O237" s="618">
        <v>62.73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-70844.039999999994</v>
      </c>
      <c r="E238" s="618">
        <v>-12872.38</v>
      </c>
      <c r="F238" s="618">
        <v>-3618.8</v>
      </c>
      <c r="G238" s="620">
        <v>-466.49</v>
      </c>
      <c r="H238" s="618">
        <v>-10077.280000000001</v>
      </c>
      <c r="I238" s="618">
        <v>-549.6</v>
      </c>
      <c r="J238" s="618">
        <v>-4821.8599999999997</v>
      </c>
      <c r="K238" s="618">
        <v>-4702.8599999999997</v>
      </c>
      <c r="L238" s="618">
        <v>6554.19</v>
      </c>
      <c r="M238" s="618">
        <v>-39396.22</v>
      </c>
      <c r="N238" s="618">
        <v>-896.75</v>
      </c>
      <c r="O238" s="618">
        <v>4.01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-20938805.359999999</v>
      </c>
      <c r="E239" s="622">
        <v>-1196448.3</v>
      </c>
      <c r="F239" s="622">
        <v>-664404.36</v>
      </c>
      <c r="G239" s="622">
        <v>-360883.75</v>
      </c>
      <c r="H239" s="622">
        <v>-4685929.54</v>
      </c>
      <c r="I239" s="622">
        <v>-166519.81</v>
      </c>
      <c r="J239" s="622">
        <v>-1470400.62</v>
      </c>
      <c r="K239" s="622">
        <v>-1455377.67</v>
      </c>
      <c r="L239" s="622">
        <v>-7399406.1699999999</v>
      </c>
      <c r="M239" s="622">
        <v>-3269494.65</v>
      </c>
      <c r="N239" s="622">
        <v>-270007.23</v>
      </c>
      <c r="O239" s="622">
        <v>66.739999999999995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693280.58</v>
      </c>
      <c r="E240" s="618">
        <v>-60645.51</v>
      </c>
      <c r="F240" s="618">
        <v>-33250.49</v>
      </c>
      <c r="G240" s="620">
        <v>-18054.75</v>
      </c>
      <c r="H240" s="618">
        <v>283080.40999999997</v>
      </c>
      <c r="I240" s="618">
        <v>10777.75</v>
      </c>
      <c r="J240" s="618">
        <v>94543.45</v>
      </c>
      <c r="K240" s="618">
        <v>92360.66</v>
      </c>
      <c r="L240" s="618">
        <v>468946.29</v>
      </c>
      <c r="M240" s="618">
        <v>-162062.32</v>
      </c>
      <c r="N240" s="618">
        <v>17585.09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693280.58</v>
      </c>
      <c r="E241" s="624">
        <v>-60645.51</v>
      </c>
      <c r="F241" s="624">
        <v>-33250.49</v>
      </c>
      <c r="G241" s="624">
        <v>-18054.75</v>
      </c>
      <c r="H241" s="624">
        <v>283080.40999999997</v>
      </c>
      <c r="I241" s="624">
        <v>10777.75</v>
      </c>
      <c r="J241" s="624">
        <v>94543.45</v>
      </c>
      <c r="K241" s="624">
        <v>92360.66</v>
      </c>
      <c r="L241" s="624">
        <v>468946.29</v>
      </c>
      <c r="M241" s="624">
        <v>-162062.32</v>
      </c>
      <c r="N241" s="624">
        <v>17585.09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-20245524.780000001</v>
      </c>
      <c r="E242" s="757">
        <v>-1257093.81</v>
      </c>
      <c r="F242" s="757">
        <v>-697654.85</v>
      </c>
      <c r="G242" s="756">
        <v>-378938.5</v>
      </c>
      <c r="H242" s="757">
        <v>-4402849.13</v>
      </c>
      <c r="I242" s="757">
        <v>-155742.06</v>
      </c>
      <c r="J242" s="757">
        <v>-1375857.17</v>
      </c>
      <c r="K242" s="757">
        <v>-1363017.01</v>
      </c>
      <c r="L242" s="757">
        <v>-6930459.8799999999</v>
      </c>
      <c r="M242" s="757">
        <v>-3431556.97</v>
      </c>
      <c r="N242" s="757">
        <v>-252422.14</v>
      </c>
      <c r="O242" s="757">
        <v>66.739999999999995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-259479.77</v>
      </c>
      <c r="E243" s="618">
        <v>-15026.46</v>
      </c>
      <c r="F243" s="618">
        <v>-8271.59</v>
      </c>
      <c r="G243" s="620">
        <v>-4621.74</v>
      </c>
      <c r="H243" s="618">
        <v>-60252.47</v>
      </c>
      <c r="I243" s="618">
        <v>-1586.3</v>
      </c>
      <c r="J243" s="618">
        <v>-13915.03</v>
      </c>
      <c r="K243" s="618">
        <v>-18903.75</v>
      </c>
      <c r="L243" s="618">
        <v>-95910.51</v>
      </c>
      <c r="M243" s="618">
        <v>-38402.410000000003</v>
      </c>
      <c r="N243" s="618">
        <v>-2588.19</v>
      </c>
      <c r="O243" s="618">
        <v>-1.32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-49.05</v>
      </c>
      <c r="E244" s="618">
        <v>-4.09</v>
      </c>
      <c r="F244" s="618">
        <v>-1.88</v>
      </c>
      <c r="G244" s="620">
        <v>-1.1200000000000001</v>
      </c>
      <c r="H244" s="618">
        <v>-10.47</v>
      </c>
      <c r="I244" s="618">
        <v>-0.26</v>
      </c>
      <c r="J244" s="618">
        <v>-2.3199999999999998</v>
      </c>
      <c r="K244" s="618">
        <v>-3.03</v>
      </c>
      <c r="L244" s="618">
        <v>-15.29</v>
      </c>
      <c r="M244" s="618">
        <v>-10.16</v>
      </c>
      <c r="N244" s="618">
        <v>-0.43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-259528.82</v>
      </c>
      <c r="E245" s="622">
        <v>-15030.55</v>
      </c>
      <c r="F245" s="622">
        <v>-8273.4699999999993</v>
      </c>
      <c r="G245" s="622">
        <v>-4622.8599999999997</v>
      </c>
      <c r="H245" s="622">
        <v>-60262.94</v>
      </c>
      <c r="I245" s="622">
        <v>-1586.56</v>
      </c>
      <c r="J245" s="622">
        <v>-13917.35</v>
      </c>
      <c r="K245" s="622">
        <v>-18906.78</v>
      </c>
      <c r="L245" s="622">
        <v>-95925.8</v>
      </c>
      <c r="M245" s="622">
        <v>-38412.57</v>
      </c>
      <c r="N245" s="622">
        <v>-2588.62</v>
      </c>
      <c r="O245" s="622">
        <v>-1.32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-2471.1799999999998</v>
      </c>
      <c r="E246" s="618">
        <v>-1736.67</v>
      </c>
      <c r="F246" s="618">
        <v>-963.5</v>
      </c>
      <c r="G246" s="620">
        <v>-534.14</v>
      </c>
      <c r="H246" s="618">
        <v>1365.54</v>
      </c>
      <c r="I246" s="618">
        <v>52.25</v>
      </c>
      <c r="J246" s="618">
        <v>458.4</v>
      </c>
      <c r="K246" s="618">
        <v>430.98</v>
      </c>
      <c r="L246" s="618">
        <v>2147.44</v>
      </c>
      <c r="M246" s="618">
        <v>-3776.73</v>
      </c>
      <c r="N246" s="618">
        <v>85.25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-2471.1799999999998</v>
      </c>
      <c r="E247" s="624">
        <v>-1736.67</v>
      </c>
      <c r="F247" s="624">
        <v>-963.5</v>
      </c>
      <c r="G247" s="624">
        <v>-534.14</v>
      </c>
      <c r="H247" s="624">
        <v>1365.54</v>
      </c>
      <c r="I247" s="624">
        <v>52.25</v>
      </c>
      <c r="J247" s="624">
        <v>458.4</v>
      </c>
      <c r="K247" s="624">
        <v>430.98</v>
      </c>
      <c r="L247" s="624">
        <v>2147.44</v>
      </c>
      <c r="M247" s="624">
        <v>-3776.73</v>
      </c>
      <c r="N247" s="624">
        <v>85.25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-262000</v>
      </c>
      <c r="E248" s="764">
        <v>-16767.22</v>
      </c>
      <c r="F248" s="764">
        <v>-9236.9699999999993</v>
      </c>
      <c r="G248" s="765">
        <v>-5157</v>
      </c>
      <c r="H248" s="764">
        <v>-58897.4</v>
      </c>
      <c r="I248" s="764">
        <v>-1534.31</v>
      </c>
      <c r="J248" s="764">
        <v>-13458.95</v>
      </c>
      <c r="K248" s="764">
        <v>-18475.8</v>
      </c>
      <c r="L248" s="764">
        <v>-93778.36</v>
      </c>
      <c r="M248" s="764">
        <v>-42189.3</v>
      </c>
      <c r="N248" s="764">
        <v>-2503.37</v>
      </c>
      <c r="O248" s="764">
        <v>-1.32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-1635050.21</v>
      </c>
      <c r="E249" s="618">
        <v>-111870.23</v>
      </c>
      <c r="F249" s="618">
        <v>-35415.449999999997</v>
      </c>
      <c r="G249" s="620">
        <v>-15333.31</v>
      </c>
      <c r="H249" s="618">
        <v>-336426.68</v>
      </c>
      <c r="I249" s="618">
        <v>-13502.83</v>
      </c>
      <c r="J249" s="618">
        <v>-118446.26</v>
      </c>
      <c r="K249" s="618">
        <v>-113401.48</v>
      </c>
      <c r="L249" s="618">
        <v>-491215.82</v>
      </c>
      <c r="M249" s="618">
        <v>-378289.34</v>
      </c>
      <c r="N249" s="618">
        <v>-21170.29</v>
      </c>
      <c r="O249" s="618">
        <v>21.48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-314498.78000000003</v>
      </c>
      <c r="E250" s="618">
        <v>-44325.59</v>
      </c>
      <c r="F250" s="618">
        <v>-11077.12</v>
      </c>
      <c r="G250" s="620">
        <v>-1474.02</v>
      </c>
      <c r="H250" s="618">
        <v>-30552.42</v>
      </c>
      <c r="I250" s="618">
        <v>-1879</v>
      </c>
      <c r="J250" s="618">
        <v>-16482.18</v>
      </c>
      <c r="K250" s="618">
        <v>-15287.5</v>
      </c>
      <c r="L250" s="618">
        <v>-48055.15</v>
      </c>
      <c r="M250" s="618">
        <v>-142301.25</v>
      </c>
      <c r="N250" s="618">
        <v>-3065.58</v>
      </c>
      <c r="O250" s="618">
        <v>1.03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-1949548.99</v>
      </c>
      <c r="E251" s="622">
        <v>-156195.82</v>
      </c>
      <c r="F251" s="622">
        <v>-46492.57</v>
      </c>
      <c r="G251" s="622">
        <v>-16807.330000000002</v>
      </c>
      <c r="H251" s="622">
        <v>-366979.1</v>
      </c>
      <c r="I251" s="622">
        <v>-15381.83</v>
      </c>
      <c r="J251" s="622">
        <v>-134928.44</v>
      </c>
      <c r="K251" s="622">
        <v>-128688.98</v>
      </c>
      <c r="L251" s="622">
        <v>-539270.97</v>
      </c>
      <c r="M251" s="622">
        <v>-520590.59</v>
      </c>
      <c r="N251" s="622">
        <v>-24235.87</v>
      </c>
      <c r="O251" s="622">
        <v>22.51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207013.99</v>
      </c>
      <c r="E252" s="618">
        <v>4148.2700000000004</v>
      </c>
      <c r="F252" s="618">
        <v>10450.379999999999</v>
      </c>
      <c r="G252" s="620">
        <v>6186.7</v>
      </c>
      <c r="H252" s="618">
        <v>62465.45</v>
      </c>
      <c r="I252" s="618">
        <v>1934.51</v>
      </c>
      <c r="J252" s="618">
        <v>16968.900000000001</v>
      </c>
      <c r="K252" s="618">
        <v>17248.900000000001</v>
      </c>
      <c r="L252" s="618">
        <v>95821.56</v>
      </c>
      <c r="M252" s="618">
        <v>-11366.89</v>
      </c>
      <c r="N252" s="618">
        <v>3156.21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207013.99</v>
      </c>
      <c r="E253" s="624">
        <v>4148.2700000000004</v>
      </c>
      <c r="F253" s="624">
        <v>10450.379999999999</v>
      </c>
      <c r="G253" s="624">
        <v>6186.7</v>
      </c>
      <c r="H253" s="624">
        <v>62465.45</v>
      </c>
      <c r="I253" s="624">
        <v>1934.51</v>
      </c>
      <c r="J253" s="624">
        <v>16968.900000000001</v>
      </c>
      <c r="K253" s="624">
        <v>17248.900000000001</v>
      </c>
      <c r="L253" s="624">
        <v>95821.56</v>
      </c>
      <c r="M253" s="624">
        <v>-11366.89</v>
      </c>
      <c r="N253" s="624">
        <v>3156.21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-1742535</v>
      </c>
      <c r="E254" s="628">
        <v>-152047.54999999999</v>
      </c>
      <c r="F254" s="628">
        <v>-36042.19</v>
      </c>
      <c r="G254" s="628">
        <v>-10620.63</v>
      </c>
      <c r="H254" s="628">
        <v>-304513.65000000002</v>
      </c>
      <c r="I254" s="628">
        <v>-13447.32</v>
      </c>
      <c r="J254" s="628">
        <v>-117959.54</v>
      </c>
      <c r="K254" s="628">
        <v>-111440.08</v>
      </c>
      <c r="L254" s="628">
        <v>-443449.41</v>
      </c>
      <c r="M254" s="628">
        <v>-531957.48</v>
      </c>
      <c r="N254" s="628">
        <v>-21079.66</v>
      </c>
      <c r="O254" s="628">
        <v>22.51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-22250059.780000001</v>
      </c>
      <c r="E255" s="630">
        <v>-1425908.58</v>
      </c>
      <c r="F255" s="630">
        <v>-742934.01</v>
      </c>
      <c r="G255" s="630">
        <v>-394716.13</v>
      </c>
      <c r="H255" s="630">
        <v>-4766260.18</v>
      </c>
      <c r="I255" s="630">
        <v>-170723.69</v>
      </c>
      <c r="J255" s="630">
        <v>-1507275.66</v>
      </c>
      <c r="K255" s="630">
        <v>-1492932.89</v>
      </c>
      <c r="L255" s="630">
        <v>-7467687.6500000004</v>
      </c>
      <c r="M255" s="630">
        <v>-4005703.75</v>
      </c>
      <c r="N255" s="630">
        <v>-276005.17</v>
      </c>
      <c r="O255" s="630">
        <v>87.93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-22250059.780000001</v>
      </c>
      <c r="E332" s="766">
        <f>E251+E245+E239</f>
        <v>-1367674.67</v>
      </c>
      <c r="F332" s="766">
        <f t="shared" ref="F332:R332" si="11">F251+F245+F239</f>
        <v>-719170.4</v>
      </c>
      <c r="G332" s="766">
        <f t="shared" si="11"/>
        <v>-382313.94</v>
      </c>
      <c r="H332" s="766">
        <f t="shared" si="11"/>
        <v>-5113171.58</v>
      </c>
      <c r="I332" s="766">
        <f t="shared" si="11"/>
        <v>-183488.2</v>
      </c>
      <c r="J332" s="766">
        <f t="shared" si="11"/>
        <v>-1619246.4100000001</v>
      </c>
      <c r="K332" s="766">
        <f t="shared" si="11"/>
        <v>-1602973.43</v>
      </c>
      <c r="L332" s="766">
        <f t="shared" si="11"/>
        <v>-8034602.9399999995</v>
      </c>
      <c r="M332" s="766">
        <f t="shared" si="11"/>
        <v>-3828497.81</v>
      </c>
      <c r="N332" s="766">
        <f t="shared" si="11"/>
        <v>-296831.71999999997</v>
      </c>
      <c r="O332" s="766">
        <f t="shared" si="11"/>
        <v>87.929999999999993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897823.3899999999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-262000</v>
      </c>
      <c r="E335" s="632">
        <f>E245</f>
        <v>-15030.55</v>
      </c>
      <c r="F335" s="632">
        <f t="shared" ref="F335:R335" si="12">F245</f>
        <v>-8273.4699999999993</v>
      </c>
      <c r="G335" s="632">
        <f t="shared" si="12"/>
        <v>-4622.8599999999997</v>
      </c>
      <c r="H335" s="632">
        <f t="shared" si="12"/>
        <v>-60262.94</v>
      </c>
      <c r="I335" s="632">
        <f t="shared" si="12"/>
        <v>-1586.56</v>
      </c>
      <c r="J335" s="632">
        <f t="shared" si="12"/>
        <v>-13917.35</v>
      </c>
      <c r="K335" s="632">
        <f t="shared" si="12"/>
        <v>-18906.78</v>
      </c>
      <c r="L335" s="632">
        <f t="shared" si="12"/>
        <v>-95925.8</v>
      </c>
      <c r="M335" s="632">
        <f t="shared" si="12"/>
        <v>-38412.57</v>
      </c>
      <c r="N335" s="632">
        <f t="shared" si="12"/>
        <v>-2588.62</v>
      </c>
      <c r="O335" s="632">
        <f t="shared" si="12"/>
        <v>-1.32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-2471.1799999999998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-20245524.780000001</v>
      </c>
      <c r="E338" s="633">
        <f>E239</f>
        <v>-1196448.3</v>
      </c>
      <c r="F338" s="633">
        <f t="shared" ref="F338:R338" si="13">F239</f>
        <v>-664404.36</v>
      </c>
      <c r="G338" s="633">
        <f t="shared" si="13"/>
        <v>-360883.75</v>
      </c>
      <c r="H338" s="633">
        <f t="shared" si="13"/>
        <v>-4685929.54</v>
      </c>
      <c r="I338" s="633">
        <f t="shared" si="13"/>
        <v>-166519.81</v>
      </c>
      <c r="J338" s="633">
        <f t="shared" si="13"/>
        <v>-1470400.62</v>
      </c>
      <c r="K338" s="633">
        <f t="shared" si="13"/>
        <v>-1455377.67</v>
      </c>
      <c r="L338" s="633">
        <f t="shared" si="13"/>
        <v>-7399406.1699999999</v>
      </c>
      <c r="M338" s="633">
        <f t="shared" si="13"/>
        <v>-3269494.65</v>
      </c>
      <c r="N338" s="633">
        <f t="shared" si="13"/>
        <v>-270007.23</v>
      </c>
      <c r="O338" s="633">
        <f t="shared" si="13"/>
        <v>66.739999999999995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693280.58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3" t="s">
        <v>325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3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-1742535</v>
      </c>
      <c r="E344" s="628">
        <f>E251</f>
        <v>-156195.82</v>
      </c>
      <c r="F344" s="628">
        <f t="shared" ref="F344:R344" si="14">F251</f>
        <v>-46492.57</v>
      </c>
      <c r="G344" s="628">
        <f t="shared" si="14"/>
        <v>-16807.330000000002</v>
      </c>
      <c r="H344" s="628">
        <f t="shared" si="14"/>
        <v>-366979.1</v>
      </c>
      <c r="I344" s="628">
        <f t="shared" si="14"/>
        <v>-15381.83</v>
      </c>
      <c r="J344" s="628">
        <f t="shared" si="14"/>
        <v>-134928.44</v>
      </c>
      <c r="K344" s="628">
        <f t="shared" si="14"/>
        <v>-128688.98</v>
      </c>
      <c r="L344" s="628">
        <f t="shared" si="14"/>
        <v>-539270.97</v>
      </c>
      <c r="M344" s="628">
        <f t="shared" si="14"/>
        <v>-520590.59</v>
      </c>
      <c r="N344" s="628">
        <f t="shared" si="14"/>
        <v>-24235.87</v>
      </c>
      <c r="O344" s="628">
        <f t="shared" si="14"/>
        <v>22.51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207013.99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0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0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-8162006.3799999999</v>
      </c>
      <c r="E352" s="618">
        <v>-408784.36</v>
      </c>
      <c r="F352" s="618">
        <v>-229879.77</v>
      </c>
      <c r="G352" s="618">
        <v>-121121.96</v>
      </c>
      <c r="H352" s="618">
        <v>-1864311.67</v>
      </c>
      <c r="I352" s="618">
        <v>-67464.240000000005</v>
      </c>
      <c r="J352" s="618">
        <v>-591786.99</v>
      </c>
      <c r="K352" s="618">
        <v>-569367.79</v>
      </c>
      <c r="L352" s="618">
        <v>-2964768.19</v>
      </c>
      <c r="M352" s="618">
        <v>-1234403.82</v>
      </c>
      <c r="N352" s="618">
        <v>-110072.93</v>
      </c>
      <c r="O352" s="618">
        <v>-44.66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-1114.25</v>
      </c>
      <c r="E353" s="618">
        <v>-63.29</v>
      </c>
      <c r="F353" s="618">
        <v>-35.64</v>
      </c>
      <c r="G353" s="618">
        <v>-18.420000000000002</v>
      </c>
      <c r="H353" s="618">
        <v>-237.94</v>
      </c>
      <c r="I353" s="618">
        <v>-8.99</v>
      </c>
      <c r="J353" s="618">
        <v>-78.7</v>
      </c>
      <c r="K353" s="618">
        <v>-74.56</v>
      </c>
      <c r="L353" s="618">
        <v>-395.66</v>
      </c>
      <c r="M353" s="618">
        <v>-186.46</v>
      </c>
      <c r="N353" s="618">
        <v>-14.64</v>
      </c>
      <c r="O353" s="618">
        <v>0.05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-8163120.6299999999</v>
      </c>
      <c r="E354" s="622">
        <v>-408847.65</v>
      </c>
      <c r="F354" s="622">
        <v>-229915.41</v>
      </c>
      <c r="G354" s="622">
        <v>-121140.38</v>
      </c>
      <c r="H354" s="622">
        <v>-1864549.61</v>
      </c>
      <c r="I354" s="622">
        <v>-67473.23</v>
      </c>
      <c r="J354" s="622">
        <v>-591865.68999999994</v>
      </c>
      <c r="K354" s="622">
        <v>-569442.35</v>
      </c>
      <c r="L354" s="622">
        <v>-2965163.85</v>
      </c>
      <c r="M354" s="622">
        <v>-1234590.28</v>
      </c>
      <c r="N354" s="622">
        <v>-110087.57</v>
      </c>
      <c r="O354" s="622">
        <v>-44.61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-608199.37</v>
      </c>
      <c r="E355" s="618">
        <v>-38835.46</v>
      </c>
      <c r="F355" s="618">
        <v>-21836.62</v>
      </c>
      <c r="G355" s="618">
        <v>-11514.7</v>
      </c>
      <c r="H355" s="618">
        <v>-127556.2</v>
      </c>
      <c r="I355" s="618">
        <v>-4621.88</v>
      </c>
      <c r="J355" s="618">
        <v>-40543.78</v>
      </c>
      <c r="K355" s="618">
        <v>-35654.480000000003</v>
      </c>
      <c r="L355" s="618">
        <v>-202872.15</v>
      </c>
      <c r="M355" s="618">
        <v>-117222.72</v>
      </c>
      <c r="N355" s="618">
        <v>-7541.38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-608199.37</v>
      </c>
      <c r="E356" s="624">
        <v>-38835.46</v>
      </c>
      <c r="F356" s="624">
        <v>-21836.62</v>
      </c>
      <c r="G356" s="624">
        <v>-11514.7</v>
      </c>
      <c r="H356" s="624">
        <v>-127556.2</v>
      </c>
      <c r="I356" s="624">
        <v>-4621.88</v>
      </c>
      <c r="J356" s="624">
        <v>-40543.78</v>
      </c>
      <c r="K356" s="624">
        <v>-35654.480000000003</v>
      </c>
      <c r="L356" s="624">
        <v>-202872.15</v>
      </c>
      <c r="M356" s="624">
        <v>-117222.72</v>
      </c>
      <c r="N356" s="624">
        <v>-7541.38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-8771320</v>
      </c>
      <c r="E357" s="626">
        <v>-447683.11</v>
      </c>
      <c r="F357" s="626">
        <v>-251752.03</v>
      </c>
      <c r="G357" s="627">
        <v>-132655.07999999999</v>
      </c>
      <c r="H357" s="626">
        <v>-1992105.81</v>
      </c>
      <c r="I357" s="626">
        <v>-72095.11</v>
      </c>
      <c r="J357" s="626">
        <v>-632409.47</v>
      </c>
      <c r="K357" s="626">
        <v>-605096.82999999996</v>
      </c>
      <c r="L357" s="626">
        <v>-3168036</v>
      </c>
      <c r="M357" s="626">
        <v>-1351813</v>
      </c>
      <c r="N357" s="626">
        <v>-117628.95</v>
      </c>
      <c r="O357" s="626">
        <v>-44.61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325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-317541.65000000002</v>
      </c>
      <c r="E364" s="618">
        <v>-18555.23</v>
      </c>
      <c r="F364" s="618">
        <v>-9090</v>
      </c>
      <c r="G364" s="620">
        <v>-5095.16</v>
      </c>
      <c r="H364" s="618">
        <v>-68373.539999999994</v>
      </c>
      <c r="I364" s="618">
        <v>-2065.77</v>
      </c>
      <c r="J364" s="618">
        <v>-18120.55</v>
      </c>
      <c r="K364" s="618">
        <v>-22908.19</v>
      </c>
      <c r="L364" s="618">
        <v>-114566.95</v>
      </c>
      <c r="M364" s="618">
        <v>-55392.52</v>
      </c>
      <c r="N364" s="618">
        <v>-3370.42</v>
      </c>
      <c r="O364" s="618">
        <v>-3.32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-2512.8000000000002</v>
      </c>
      <c r="E365" s="618">
        <v>-161.58000000000001</v>
      </c>
      <c r="F365" s="618">
        <v>-75.53</v>
      </c>
      <c r="G365" s="620">
        <v>-42.42</v>
      </c>
      <c r="H365" s="618">
        <v>-583.63</v>
      </c>
      <c r="I365" s="618">
        <v>-14.97</v>
      </c>
      <c r="J365" s="618">
        <v>-131</v>
      </c>
      <c r="K365" s="618">
        <v>-167.72</v>
      </c>
      <c r="L365" s="618">
        <v>-828.38</v>
      </c>
      <c r="M365" s="618">
        <v>-483.11</v>
      </c>
      <c r="N365" s="618">
        <v>-24.39</v>
      </c>
      <c r="O365" s="618">
        <v>-7.0000000000000007E-2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-320054.45</v>
      </c>
      <c r="E366" s="622">
        <v>-18716.810000000001</v>
      </c>
      <c r="F366" s="622">
        <v>-9165.5300000000007</v>
      </c>
      <c r="G366" s="622">
        <v>-5137.58</v>
      </c>
      <c r="H366" s="622">
        <v>-68957.17</v>
      </c>
      <c r="I366" s="622">
        <v>-2080.7399999999998</v>
      </c>
      <c r="J366" s="622">
        <v>-18251.55</v>
      </c>
      <c r="K366" s="622">
        <v>-23075.91</v>
      </c>
      <c r="L366" s="622">
        <v>-115395.33</v>
      </c>
      <c r="M366" s="622">
        <v>-55875.63</v>
      </c>
      <c r="N366" s="622">
        <v>-3394.81</v>
      </c>
      <c r="O366" s="622">
        <v>-3.39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15274.45</v>
      </c>
      <c r="E367" s="618">
        <v>745.3</v>
      </c>
      <c r="F367" s="618">
        <v>345.39</v>
      </c>
      <c r="G367" s="620">
        <v>187.47</v>
      </c>
      <c r="H367" s="618">
        <v>2759.5</v>
      </c>
      <c r="I367" s="618">
        <v>128.05000000000001</v>
      </c>
      <c r="J367" s="618">
        <v>1123.27</v>
      </c>
      <c r="K367" s="618">
        <v>1258.3800000000001</v>
      </c>
      <c r="L367" s="618">
        <v>6288.74</v>
      </c>
      <c r="M367" s="618">
        <v>2229.41</v>
      </c>
      <c r="N367" s="618">
        <v>208.94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15274.45</v>
      </c>
      <c r="E368" s="624">
        <v>745.3</v>
      </c>
      <c r="F368" s="624">
        <v>345.39</v>
      </c>
      <c r="G368" s="624">
        <v>187.47</v>
      </c>
      <c r="H368" s="624">
        <v>2759.5</v>
      </c>
      <c r="I368" s="624">
        <v>128.05000000000001</v>
      </c>
      <c r="J368" s="624">
        <v>1123.27</v>
      </c>
      <c r="K368" s="624">
        <v>1258.3800000000001</v>
      </c>
      <c r="L368" s="624">
        <v>6288.74</v>
      </c>
      <c r="M368" s="624">
        <v>2229.41</v>
      </c>
      <c r="N368" s="624">
        <v>208.94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-304780</v>
      </c>
      <c r="E369" s="628">
        <v>-17971.509999999998</v>
      </c>
      <c r="F369" s="628">
        <v>-8820.14</v>
      </c>
      <c r="G369" s="628">
        <v>-4950.1099999999997</v>
      </c>
      <c r="H369" s="628">
        <v>-66197.67</v>
      </c>
      <c r="I369" s="628">
        <v>-1952.69</v>
      </c>
      <c r="J369" s="628">
        <v>-17128.28</v>
      </c>
      <c r="K369" s="628">
        <v>-21817.53</v>
      </c>
      <c r="L369" s="628">
        <v>-109106.59</v>
      </c>
      <c r="M369" s="628">
        <v>-53646.22</v>
      </c>
      <c r="N369" s="628">
        <v>-3185.87</v>
      </c>
      <c r="O369" s="628">
        <v>-3.39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-9076100</v>
      </c>
      <c r="E370" s="630">
        <v>-465654.62</v>
      </c>
      <c r="F370" s="630">
        <v>-260572.17</v>
      </c>
      <c r="G370" s="630">
        <v>-137605.19</v>
      </c>
      <c r="H370" s="630">
        <v>-2058303.48</v>
      </c>
      <c r="I370" s="630">
        <v>-74047.8</v>
      </c>
      <c r="J370" s="630">
        <v>-649537.75</v>
      </c>
      <c r="K370" s="630">
        <v>-626914.36</v>
      </c>
      <c r="L370" s="630">
        <v>-3277142.59</v>
      </c>
      <c r="M370" s="630">
        <v>-1405459.22</v>
      </c>
      <c r="N370" s="630">
        <v>-120814.82</v>
      </c>
      <c r="O370" s="630">
        <v>-48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-9076100</v>
      </c>
      <c r="E373" s="766">
        <f>E354+E366</f>
        <v>-427564.46</v>
      </c>
      <c r="F373" s="766">
        <f t="shared" ref="F373:R373" si="15">F354+F366</f>
        <v>-239080.94</v>
      </c>
      <c r="G373" s="766">
        <f t="shared" si="15"/>
        <v>-126277.96</v>
      </c>
      <c r="H373" s="766">
        <f t="shared" si="15"/>
        <v>-1933506.78</v>
      </c>
      <c r="I373" s="766">
        <f t="shared" si="15"/>
        <v>-69553.97</v>
      </c>
      <c r="J373" s="766">
        <f t="shared" si="15"/>
        <v>-610117.24</v>
      </c>
      <c r="K373" s="766">
        <f t="shared" si="15"/>
        <v>-592518.26</v>
      </c>
      <c r="L373" s="766">
        <f t="shared" si="15"/>
        <v>-3080559.18</v>
      </c>
      <c r="M373" s="766">
        <f t="shared" si="15"/>
        <v>-1290465.9099999999</v>
      </c>
      <c r="N373" s="766">
        <f t="shared" si="15"/>
        <v>-113482.38</v>
      </c>
      <c r="O373" s="766">
        <f t="shared" si="15"/>
        <v>-48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-592924.92000000004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-8771320</v>
      </c>
      <c r="E379" s="633">
        <f>E354</f>
        <v>-408847.65</v>
      </c>
      <c r="F379" s="633">
        <f t="shared" ref="F379:R379" si="16">F354</f>
        <v>-229915.41</v>
      </c>
      <c r="G379" s="633">
        <f t="shared" si="16"/>
        <v>-121140.38</v>
      </c>
      <c r="H379" s="633">
        <f t="shared" si="16"/>
        <v>-1864549.61</v>
      </c>
      <c r="I379" s="633">
        <f t="shared" si="16"/>
        <v>-67473.23</v>
      </c>
      <c r="J379" s="633">
        <f t="shared" si="16"/>
        <v>-591865.68999999994</v>
      </c>
      <c r="K379" s="633">
        <f t="shared" si="16"/>
        <v>-569442.35</v>
      </c>
      <c r="L379" s="633">
        <f t="shared" si="16"/>
        <v>-2965163.85</v>
      </c>
      <c r="M379" s="633">
        <f t="shared" si="16"/>
        <v>-1234590.28</v>
      </c>
      <c r="N379" s="633">
        <f t="shared" si="16"/>
        <v>-110087.57</v>
      </c>
      <c r="O379" s="633">
        <f t="shared" si="16"/>
        <v>-44.61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-608199.37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3" t="s">
        <v>325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3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-304780</v>
      </c>
      <c r="E385" s="628">
        <f>E366</f>
        <v>-18716.810000000001</v>
      </c>
      <c r="F385" s="628">
        <f t="shared" ref="F385:R385" si="18">F366</f>
        <v>-9165.5300000000007</v>
      </c>
      <c r="G385" s="628">
        <f t="shared" si="18"/>
        <v>-5137.58</v>
      </c>
      <c r="H385" s="628">
        <f t="shared" si="18"/>
        <v>-68957.17</v>
      </c>
      <c r="I385" s="628">
        <f t="shared" si="18"/>
        <v>-2080.7399999999998</v>
      </c>
      <c r="J385" s="628">
        <f t="shared" si="18"/>
        <v>-18251.55</v>
      </c>
      <c r="K385" s="628">
        <f t="shared" si="18"/>
        <v>-23075.91</v>
      </c>
      <c r="L385" s="628">
        <f t="shared" si="18"/>
        <v>-115395.33</v>
      </c>
      <c r="M385" s="628">
        <f t="shared" si="18"/>
        <v>-55875.63</v>
      </c>
      <c r="N385" s="628">
        <f t="shared" si="18"/>
        <v>-3394.81</v>
      </c>
      <c r="O385" s="628">
        <f t="shared" si="18"/>
        <v>-3.39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15274.45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0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0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-49709753.329999998</v>
      </c>
      <c r="E393" s="616">
        <f t="shared" si="19"/>
        <v>-2911624.4899999998</v>
      </c>
      <c r="F393" s="616">
        <f t="shared" si="19"/>
        <v>-1580846.4</v>
      </c>
      <c r="G393" s="616">
        <f t="shared" si="19"/>
        <v>-837318.74</v>
      </c>
      <c r="H393" s="616">
        <f t="shared" si="19"/>
        <v>-12898466.129999999</v>
      </c>
      <c r="I393" s="616">
        <f t="shared" si="19"/>
        <v>-448559.17000000004</v>
      </c>
      <c r="J393" s="616">
        <f t="shared" si="19"/>
        <v>-3941164.7300000004</v>
      </c>
      <c r="K393" s="616">
        <f t="shared" si="19"/>
        <v>-3851587.6899999995</v>
      </c>
      <c r="L393" s="616">
        <f t="shared" si="19"/>
        <v>-18965477.629999999</v>
      </c>
      <c r="M393" s="616">
        <f t="shared" si="19"/>
        <v>-7587558.0500000007</v>
      </c>
      <c r="N393" s="616">
        <f t="shared" si="19"/>
        <v>-728691.14</v>
      </c>
      <c r="O393" s="616">
        <f t="shared" si="19"/>
        <v>25.669999999999987</v>
      </c>
      <c r="P393" s="616">
        <f t="shared" si="19"/>
        <v>-26500</v>
      </c>
      <c r="Q393" s="616">
        <f t="shared" si="19"/>
        <v>0</v>
      </c>
      <c r="R393" s="616">
        <f t="shared" si="19"/>
        <v>0</v>
      </c>
    </row>
    <row r="394" spans="1:18" x14ac:dyDescent="0.25">
      <c r="D394" s="616">
        <f>D80+D181+D218+D333+D374</f>
        <v>4041515.17</v>
      </c>
    </row>
  </sheetData>
  <mergeCells count="60"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  <mergeCell ref="A79:A80"/>
    <mergeCell ref="B79:B80"/>
    <mergeCell ref="A82:A83"/>
    <mergeCell ref="B82:B83"/>
    <mergeCell ref="A85:A86"/>
    <mergeCell ref="B85:B86"/>
    <mergeCell ref="A192:A193"/>
    <mergeCell ref="B192:B193"/>
    <mergeCell ref="A195:A196"/>
    <mergeCell ref="B195:B196"/>
    <mergeCell ref="A217:A218"/>
    <mergeCell ref="B217:B218"/>
    <mergeCell ref="A220:A221"/>
    <mergeCell ref="B220:B221"/>
    <mergeCell ref="A223:A224"/>
    <mergeCell ref="B223:B224"/>
    <mergeCell ref="A229:A230"/>
    <mergeCell ref="B229:B230"/>
    <mergeCell ref="A232:A233"/>
    <mergeCell ref="B232:B233"/>
    <mergeCell ref="A332:A333"/>
    <mergeCell ref="B332:B333"/>
    <mergeCell ref="A335:A336"/>
    <mergeCell ref="B335:B336"/>
    <mergeCell ref="A338:A339"/>
    <mergeCell ref="B338:B339"/>
    <mergeCell ref="A344:A345"/>
    <mergeCell ref="B344:B345"/>
    <mergeCell ref="A341:A342"/>
    <mergeCell ref="B341:B342"/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H7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H26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H45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F1" zoomScaleNormal="100" workbookViewId="0">
      <selection activeCell="N26" sqref="N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46266</v>
      </c>
      <c r="G10" s="408"/>
      <c r="H10" s="397" t="s">
        <v>28</v>
      </c>
      <c r="I10" s="457">
        <f>'CONSOLIDADO_TOTAL RECAUDO'!K102</f>
        <v>46280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7108.83</v>
      </c>
      <c r="E12" s="424">
        <f>'Reporte Componentes R1'!G119*$D$24</f>
        <v>502.98</v>
      </c>
      <c r="F12" s="425">
        <f>'Reporte Componentes R1'!H119*$D$24</f>
        <v>213.69</v>
      </c>
      <c r="G12" s="425">
        <f>'Reporte Componentes R1'!I119*$D$24</f>
        <v>93.3</v>
      </c>
      <c r="H12" s="425">
        <f>'Reporte Componentes R1'!J119*$D$24</f>
        <v>1231.48</v>
      </c>
      <c r="I12" s="425">
        <f>'Reporte Componentes R1'!K119*$D$24</f>
        <v>79.58</v>
      </c>
      <c r="J12" s="426">
        <f t="shared" ref="J12:J16" si="0">D12-E12-F12-G12-H12-I12</f>
        <v>4987.8000000000011</v>
      </c>
      <c r="L12" s="428"/>
      <c r="N12" s="422">
        <v>1</v>
      </c>
      <c r="O12" s="423" t="s">
        <v>10</v>
      </c>
      <c r="P12" s="429">
        <f>'Reporte Componentes R1'!M119*$P$24</f>
        <v>698.02</v>
      </c>
      <c r="Q12" s="430">
        <f>'Reporte Componentes R1'!N119*$P$24</f>
        <v>584.16</v>
      </c>
      <c r="R12" s="430">
        <f>'Reporte Componentes R1'!O119*$P$24</f>
        <v>2331.79</v>
      </c>
      <c r="S12" s="430">
        <f>'Reporte Componentes R1'!P119*$P$24</f>
        <v>1243.99</v>
      </c>
      <c r="T12" s="430">
        <f>'Reporte Componentes R1'!Q119*$P$24</f>
        <v>129.84</v>
      </c>
      <c r="U12" s="464">
        <f>SUM(P12:T12)</f>
        <v>4987.8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274771.40999999997</v>
      </c>
      <c r="E13" s="425">
        <f>'Reporte Componentes R1'!G353*$D$24</f>
        <v>24590.67</v>
      </c>
      <c r="F13" s="425">
        <f>'Reporte Componentes R1'!H353*$D$24</f>
        <v>10446.86</v>
      </c>
      <c r="G13" s="425">
        <f>'Reporte Componentes R1'!I353*$D$24</f>
        <v>4562.18</v>
      </c>
      <c r="H13" s="425">
        <f>'Reporte Componentes R1'!J353*$D$24</f>
        <v>54962.58</v>
      </c>
      <c r="I13" s="425">
        <f>'Reporte Componentes R1'!K353*$D$24</f>
        <v>2264.61</v>
      </c>
      <c r="J13" s="426">
        <f t="shared" si="0"/>
        <v>177944.51</v>
      </c>
      <c r="L13" s="428"/>
      <c r="N13" s="432">
        <v>2</v>
      </c>
      <c r="O13" s="433" t="s">
        <v>11</v>
      </c>
      <c r="P13" s="434">
        <f>'Reporte Componentes R1'!M353*$P$24</f>
        <v>19865.54</v>
      </c>
      <c r="Q13" s="435">
        <f>'Reporte Componentes R1'!N353*$P$24</f>
        <v>24901.75</v>
      </c>
      <c r="R13" s="435">
        <f>'Reporte Componentes R1'!O353*$P$24</f>
        <v>83643.199999999997</v>
      </c>
      <c r="S13" s="435">
        <f>'Reporte Componentes R1'!P353*$P$24</f>
        <v>45838.96</v>
      </c>
      <c r="T13" s="435">
        <f>'Reporte Componentes R1'!Q353*$P$24</f>
        <v>3695.06</v>
      </c>
      <c r="U13" s="463">
        <f>SUM(P13:T13)</f>
        <v>177944.50999999998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5649.87</v>
      </c>
      <c r="E14" s="424">
        <f>'Reporte Componentes R1'!G514*$D$24</f>
        <v>501.3</v>
      </c>
      <c r="F14" s="424">
        <f>'Reporte Componentes R1'!H514*$D$24</f>
        <v>212.97</v>
      </c>
      <c r="G14" s="424">
        <f>'Reporte Componentes R1'!I514*$D$24</f>
        <v>93</v>
      </c>
      <c r="H14" s="424">
        <f>'Reporte Componentes R1'!J514*$D$24</f>
        <v>1090.28</v>
      </c>
      <c r="I14" s="424">
        <f>'Reporte Componentes R1'!K514*$D$24</f>
        <v>44.92</v>
      </c>
      <c r="J14" s="426">
        <f t="shared" si="0"/>
        <v>3707.3999999999996</v>
      </c>
      <c r="L14" s="428"/>
      <c r="N14" s="432">
        <v>3</v>
      </c>
      <c r="O14" s="433" t="s">
        <v>12</v>
      </c>
      <c r="P14" s="434">
        <f>'Reporte Componentes R1'!M514*$P$24</f>
        <v>394.01</v>
      </c>
      <c r="Q14" s="435">
        <f>'Reporte Componentes R1'!N514*$P$24</f>
        <v>493.87</v>
      </c>
      <c r="R14" s="435">
        <f>'Reporte Componentes R1'!O514*$P$24</f>
        <v>1658.87</v>
      </c>
      <c r="S14" s="435">
        <f>'Reporte Componentes R1'!P514*$P$24</f>
        <v>1087.3599999999999</v>
      </c>
      <c r="T14" s="435">
        <f>'Reporte Componentes R1'!Q514*$P$24</f>
        <v>73.290000000000006</v>
      </c>
      <c r="U14" s="463">
        <f>SUM(P14:T14)</f>
        <v>3707.3999999999996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45650</v>
      </c>
      <c r="E15" s="425">
        <f>'Reporte Componentes R1'!G722*$D$24</f>
        <v>3731.55</v>
      </c>
      <c r="F15" s="425">
        <f>'Reporte Componentes R1'!H722*$D$24</f>
        <v>1585.29</v>
      </c>
      <c r="G15" s="425">
        <f>'Reporte Componentes R1'!I722*$D$24</f>
        <v>692.31</v>
      </c>
      <c r="H15" s="425">
        <f>'Reporte Componentes R1'!J722*$D$24</f>
        <v>8401.52</v>
      </c>
      <c r="I15" s="425">
        <f>'Reporte Componentes R1'!K722*$D$24</f>
        <v>342.15</v>
      </c>
      <c r="J15" s="426">
        <f t="shared" si="0"/>
        <v>30897.179999999997</v>
      </c>
      <c r="L15" s="428"/>
      <c r="N15" s="432">
        <v>4</v>
      </c>
      <c r="O15" s="433" t="s">
        <v>13</v>
      </c>
      <c r="P15" s="434">
        <f>'Reporte Componentes R1'!M722*$P$24</f>
        <v>3001.2</v>
      </c>
      <c r="Q15" s="435">
        <f>'Reporte Componentes R1'!N722*$P$24</f>
        <v>3816.34</v>
      </c>
      <c r="R15" s="435">
        <f>'Reporte Componentes R1'!O722*$P$24</f>
        <v>14012.94</v>
      </c>
      <c r="S15" s="435">
        <f>'Reporte Componentes R1'!P722*$P$24</f>
        <v>9508.44</v>
      </c>
      <c r="T15" s="435">
        <f>'Reporte Componentes R1'!Q722*$P$24</f>
        <v>558.26</v>
      </c>
      <c r="U15" s="463">
        <f>SUM(P15:T15)</f>
        <v>30897.179999999997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29681.86</v>
      </c>
      <c r="E16" s="439">
        <f>'Reporte Componentes R1'!G841*$D$24</f>
        <v>2042.55</v>
      </c>
      <c r="F16" s="439">
        <f>'Reporte Componentes R1'!H841*$D$24</f>
        <v>867.73</v>
      </c>
      <c r="G16" s="439">
        <f>'Reporte Componentes R1'!I841*$D$24</f>
        <v>378.94</v>
      </c>
      <c r="H16" s="439">
        <f>'Reporte Componentes R1'!J841*$D$24</f>
        <v>5515.52</v>
      </c>
      <c r="I16" s="439">
        <f>'Reporte Componentes R1'!K841*$D$24</f>
        <v>317.57</v>
      </c>
      <c r="J16" s="426">
        <f t="shared" si="0"/>
        <v>20559.550000000003</v>
      </c>
      <c r="L16" s="428"/>
      <c r="N16" s="436">
        <v>5</v>
      </c>
      <c r="O16" s="437" t="s">
        <v>14</v>
      </c>
      <c r="P16" s="438">
        <f>'Reporte Componentes R1'!M841*$P$24</f>
        <v>2785.77</v>
      </c>
      <c r="Q16" s="439">
        <f>'Reporte Componentes R1'!N841*$P$24</f>
        <v>2498.4499999999998</v>
      </c>
      <c r="R16" s="439">
        <f>'Reporte Componentes R1'!O841*$P$24</f>
        <v>9132.41</v>
      </c>
      <c r="S16" s="439">
        <f>'Reporte Componentes R1'!P841*$P$24</f>
        <v>5624.76</v>
      </c>
      <c r="T16" s="439">
        <f>'Reporte Componentes R1'!Q841*$P$24</f>
        <v>518.16</v>
      </c>
      <c r="U16" s="467">
        <f>SUM(P16:T16)</f>
        <v>20559.55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362861.97</v>
      </c>
      <c r="E17" s="442">
        <f t="shared" si="3"/>
        <v>31369.049999999996</v>
      </c>
      <c r="F17" s="442">
        <f t="shared" si="3"/>
        <v>13326.54</v>
      </c>
      <c r="G17" s="442">
        <f t="shared" si="3"/>
        <v>5819.7300000000005</v>
      </c>
      <c r="H17" s="442">
        <f t="shared" si="3"/>
        <v>71201.38</v>
      </c>
      <c r="I17" s="442">
        <f t="shared" si="3"/>
        <v>3048.8300000000004</v>
      </c>
      <c r="J17" s="443">
        <f t="shared" si="3"/>
        <v>238096.44</v>
      </c>
      <c r="K17" s="444"/>
      <c r="L17" s="428"/>
      <c r="N17" s="440"/>
      <c r="O17" s="441" t="s">
        <v>2</v>
      </c>
      <c r="P17" s="445">
        <f>SUM(P12:P16)</f>
        <v>26744.54</v>
      </c>
      <c r="Q17" s="445">
        <f t="shared" ref="Q17:U17" si="4">SUM(Q12:Q16)</f>
        <v>32294.57</v>
      </c>
      <c r="R17" s="445">
        <f t="shared" si="4"/>
        <v>110779.20999999999</v>
      </c>
      <c r="S17" s="445">
        <f t="shared" si="4"/>
        <v>63303.51</v>
      </c>
      <c r="T17" s="445">
        <f t="shared" si="4"/>
        <v>4974.6099999999997</v>
      </c>
      <c r="U17" s="462">
        <f t="shared" si="4"/>
        <v>238096.43999999994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238096.44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A97" zoomScaleNormal="100" workbookViewId="0">
      <selection activeCell="A110" sqref="A1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46266</v>
      </c>
      <c r="J7" s="2" t="s">
        <v>28</v>
      </c>
      <c r="K7" s="9"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17418907415.929996</v>
      </c>
      <c r="E9" s="292">
        <f>'Reporte Componentes R1'!G89</f>
        <v>1001082264.04</v>
      </c>
      <c r="F9" s="292">
        <f>'Reporte Componentes R1'!H89</f>
        <v>558624112.1099999</v>
      </c>
      <c r="G9" s="292">
        <f>'Reporte Componentes R1'!I89</f>
        <v>295818860.42000002</v>
      </c>
      <c r="H9" s="292">
        <f>'Reporte Componentes R1'!J89</f>
        <v>4854981286.4100008</v>
      </c>
      <c r="I9" s="292">
        <f>'Reporte Componentes R1'!K89</f>
        <v>182023416.53</v>
      </c>
      <c r="J9" s="288">
        <f>'BCE SC POR FACT.'!F3</f>
        <v>2589335716.54</v>
      </c>
      <c r="K9" s="293">
        <f>D9-E9-F9-G9-H9-I9-J9</f>
        <v>7937041759.8799925</v>
      </c>
      <c r="L9" s="294">
        <f>INTERVENTORIA!N26</f>
        <v>189185987</v>
      </c>
      <c r="M9" s="293">
        <f>K9-L9</f>
        <v>7747855772.8799925</v>
      </c>
      <c r="N9" s="387">
        <f>'Reporte Componentes R1'!L89</f>
        <v>30635669.579999998</v>
      </c>
      <c r="O9" s="293">
        <f>M9+N9</f>
        <v>7778491442.4599924</v>
      </c>
      <c r="Q9" s="306"/>
      <c r="S9" s="303">
        <v>1</v>
      </c>
      <c r="T9" s="304" t="s">
        <v>10</v>
      </c>
      <c r="U9" s="307">
        <f>'Reporte Componentes R1'!M89</f>
        <v>1597682463.6300001</v>
      </c>
      <c r="V9" s="308">
        <f>'Reporte Componentes R1'!N89</f>
        <v>1526552801.8999999</v>
      </c>
      <c r="W9" s="308">
        <f>'Reporte Componentes R1'!O89</f>
        <v>7180877540.9399996</v>
      </c>
      <c r="X9" s="308">
        <f>'Reporte Componentes R1'!P89</f>
        <v>2725346868.8800001</v>
      </c>
      <c r="Y9" s="309">
        <f>'Reporte Componentes R1'!Q89</f>
        <v>297024103.53000003</v>
      </c>
      <c r="Z9" s="310">
        <f>L9*-1</f>
        <v>-189185987</v>
      </c>
      <c r="AA9" s="311">
        <f>'Reporte Componentes R1'!R89+'Reporte Componentes R1'!U89+'Reporte Componentes R1'!V89</f>
        <v>-46873.26</v>
      </c>
      <c r="AB9" s="312">
        <f>N9</f>
        <v>30635669.579999998</v>
      </c>
      <c r="AC9" s="320">
        <f>'Reporte Componentes R1'!T89+'Reporte Componentes R1'!W89+'Reporte Componentes R1'!X89+'Reporte Componentes R1'!Y89+'Reporte Componentes R1'!Z89+'Reporte Componentes R1'!S89</f>
        <v>392.74</v>
      </c>
      <c r="AD9" s="291">
        <f>-J9+AE9</f>
        <v>-5390395538.4799995</v>
      </c>
      <c r="AE9" s="291">
        <f>'Reporte Componentes R1'!F90</f>
        <v>-2801059821.9400001</v>
      </c>
      <c r="AF9" s="313">
        <f>SUM(U9:AD9)</f>
        <v>7778491442.4599991</v>
      </c>
      <c r="AG9" s="521">
        <f>(AF9-O9)</f>
        <v>6.67572021484375E-6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14054408759.650002</v>
      </c>
      <c r="E10" s="292">
        <f>'Reporte Componentes R1'!G323</f>
        <v>1088202523.8599999</v>
      </c>
      <c r="F10" s="292">
        <f>'Reporte Componentes R1'!H323</f>
        <v>603069813.52999997</v>
      </c>
      <c r="G10" s="292">
        <f>'Reporte Componentes R1'!I323</f>
        <v>319009174.52999997</v>
      </c>
      <c r="H10" s="292">
        <f>'Reporte Componentes R1'!J323</f>
        <v>4457807570.6099997</v>
      </c>
      <c r="I10" s="292">
        <f>'Reporte Componentes R1'!K323</f>
        <v>151586269.01999998</v>
      </c>
      <c r="J10" s="288">
        <f>'BCE SC POR FACT.'!F4</f>
        <v>-5093259797.2199993</v>
      </c>
      <c r="K10" s="295">
        <f>D10-E10-F10-G10-H10-I10-J10</f>
        <v>12527993205.32</v>
      </c>
      <c r="L10" s="294">
        <f>INTERVENTORIA!N27</f>
        <v>266580255</v>
      </c>
      <c r="M10" s="295">
        <f>K10-L10</f>
        <v>12261412950.32</v>
      </c>
      <c r="N10" s="294">
        <f>'Reporte Componentes R1'!L323</f>
        <v>43591201.600000001</v>
      </c>
      <c r="O10" s="295">
        <f>M10+N10</f>
        <v>12305004151.92</v>
      </c>
      <c r="Q10" s="306"/>
      <c r="S10" s="314">
        <v>2</v>
      </c>
      <c r="T10" s="315" t="s">
        <v>11</v>
      </c>
      <c r="U10" s="316">
        <f>'Reporte Componentes R1'!M323</f>
        <v>1328822138.54</v>
      </c>
      <c r="V10" s="317">
        <f>'Reporte Componentes R1'!N323</f>
        <v>1317202388.28</v>
      </c>
      <c r="W10" s="317">
        <f>'Reporte Componentes R1'!O323</f>
        <v>6178374673.29</v>
      </c>
      <c r="X10" s="317">
        <f>'Reporte Componentes R1'!P323</f>
        <v>2138079145.46</v>
      </c>
      <c r="Y10" s="318">
        <f>'Reporte Componentes R1'!Q323</f>
        <v>247785210.63</v>
      </c>
      <c r="Z10" s="319">
        <f>L10*-1</f>
        <v>-266580255</v>
      </c>
      <c r="AA10" s="320">
        <f>'Reporte Componentes R1'!R323+'Reporte Componentes R1'!U323+'Reporte Componentes R1'!V323</f>
        <v>60921.93</v>
      </c>
      <c r="AB10" s="321">
        <f>N10</f>
        <v>43591201.600000001</v>
      </c>
      <c r="AC10" s="320">
        <f>'Reporte Componentes R1'!T323+'Reporte Componentes R1'!W323+'Reporte Componentes R1'!X323+'Reporte Componentes R1'!Y323+'Reporte Componentes R1'!Z323+'Reporte Componentes R1'!S323</f>
        <v>-56807.54</v>
      </c>
      <c r="AD10" s="291">
        <f t="shared" ref="AD10:AD13" si="0">-J10+AE10</f>
        <v>1317725534.7299995</v>
      </c>
      <c r="AE10" s="291">
        <f>'Reporte Componentes R1'!F324</f>
        <v>-3775534262.4899998</v>
      </c>
      <c r="AF10" s="322">
        <f>SUM(U10:AD10)</f>
        <v>12305004151.919998</v>
      </c>
      <c r="AG10" s="522">
        <f>(AF10-O10)</f>
        <v>-1.9073486328125E-6</v>
      </c>
      <c r="AH10" s="305" t="b">
        <f t="shared" ref="AH10:AH13" si="1">INT(AG10)=0</f>
        <v>0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10873711675.940001</v>
      </c>
      <c r="E11" s="292">
        <f>'Reporte Componentes R1'!G484</f>
        <v>709480098.17000008</v>
      </c>
      <c r="F11" s="292">
        <f>'Reporte Componentes R1'!H484</f>
        <v>396797681.51999998</v>
      </c>
      <c r="G11" s="292">
        <f>'Reporte Componentes R1'!I484</f>
        <v>210072355.38</v>
      </c>
      <c r="H11" s="292">
        <f>'Reporte Componentes R1'!J484</f>
        <v>3086038541.25</v>
      </c>
      <c r="I11" s="292">
        <f>'Reporte Componentes R1'!K484</f>
        <v>102453809.81999999</v>
      </c>
      <c r="J11" s="288">
        <f>'BCE SC POR FACT.'!F5</f>
        <v>-1230396998.4399998</v>
      </c>
      <c r="K11" s="295">
        <f>D11-E11-F11-G11-H11-I11-J11</f>
        <v>7599266188.2400007</v>
      </c>
      <c r="L11" s="294">
        <f>INTERVENTORIA!N28</f>
        <v>154788535</v>
      </c>
      <c r="M11" s="295">
        <f>K11-L11</f>
        <v>7444477653.2400007</v>
      </c>
      <c r="N11" s="294">
        <f>'Reporte Componentes R1'!L484</f>
        <v>25517242.059999999</v>
      </c>
      <c r="O11" s="295">
        <f>M11+N11</f>
        <v>7469994895.3000011</v>
      </c>
      <c r="Q11" s="306"/>
      <c r="S11" s="314">
        <v>3</v>
      </c>
      <c r="T11" s="315" t="s">
        <v>12</v>
      </c>
      <c r="U11" s="316">
        <f>'Reporte Componentes R1'!M484</f>
        <v>898760633.08000004</v>
      </c>
      <c r="V11" s="317">
        <f>'Reporte Componentes R1'!N484</f>
        <v>879069803.20000005</v>
      </c>
      <c r="W11" s="317">
        <f>'Reporte Componentes R1'!O484</f>
        <v>4137828338.5999999</v>
      </c>
      <c r="X11" s="317">
        <f>'Reporte Componentes R1'!P484</f>
        <v>1679944527.1900001</v>
      </c>
      <c r="Y11" s="318">
        <f>'Reporte Componentes R1'!Q484</f>
        <v>167231419.58000001</v>
      </c>
      <c r="Z11" s="319">
        <f>L11*-1</f>
        <v>-154788535</v>
      </c>
      <c r="AA11" s="320">
        <f>'Reporte Componentes R1'!R484+'Reporte Componentes R1'!U484+'Reporte Componentes R1'!V484</f>
        <v>46878</v>
      </c>
      <c r="AB11" s="321">
        <f>N11</f>
        <v>25517242.059999999</v>
      </c>
      <c r="AC11" s="320">
        <f>'Reporte Componentes R1'!T484+'Reporte Componentes R1'!W484+'Reporte Componentes R1'!X484+'Reporte Componentes R1'!Y484+'Reporte Componentes R1'!Z484+'Reporte Componentes R1'!S484</f>
        <v>5.57</v>
      </c>
      <c r="AD11" s="291">
        <f t="shared" si="0"/>
        <v>-163615416.88000011</v>
      </c>
      <c r="AE11" s="291">
        <f>'Reporte Componentes R1'!F485</f>
        <v>-1394012415.3199999</v>
      </c>
      <c r="AF11" s="322">
        <f t="shared" ref="AF11:AF13" si="2">SUM(U11:AD11)</f>
        <v>7469994895.3999996</v>
      </c>
      <c r="AG11" s="522">
        <f>(AF11-O11)</f>
        <v>9.999847412109375E-2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11499013342.300001</v>
      </c>
      <c r="E12" s="292">
        <f>'Reporte Componentes R1'!G692</f>
        <v>650996403.70000005</v>
      </c>
      <c r="F12" s="292">
        <f>'Reporte Componentes R1'!H692</f>
        <v>361664569.63</v>
      </c>
      <c r="G12" s="292">
        <f>'Reporte Componentes R1'!I692</f>
        <v>191311695.88</v>
      </c>
      <c r="H12" s="292">
        <f>'Reporte Componentes R1'!J692</f>
        <v>2848443622.6900001</v>
      </c>
      <c r="I12" s="292">
        <f>'Reporte Componentes R1'!K692</f>
        <v>98370577</v>
      </c>
      <c r="J12" s="288">
        <f>'BCE SC POR FACT.'!F6</f>
        <v>38133905.800000012</v>
      </c>
      <c r="K12" s="295">
        <f>D12-E12-F12-G12-H12-I12-J12</f>
        <v>7310092567.6000013</v>
      </c>
      <c r="L12" s="294">
        <f>INTERVENTORIA!N29</f>
        <v>120391083</v>
      </c>
      <c r="M12" s="295">
        <f>K12-L12</f>
        <v>7189701484.6000013</v>
      </c>
      <c r="N12" s="294">
        <f>'Reporte Componentes R1'!L692</f>
        <v>23185407.98</v>
      </c>
      <c r="O12" s="295">
        <f>M12+N12</f>
        <v>7212886892.5800009</v>
      </c>
      <c r="Q12" s="306"/>
      <c r="S12" s="314">
        <v>4</v>
      </c>
      <c r="T12" s="315" t="s">
        <v>13</v>
      </c>
      <c r="U12" s="316">
        <f>'Reporte Componentes R1'!M692</f>
        <v>862525582.95999992</v>
      </c>
      <c r="V12" s="317">
        <f>'Reporte Componentes R1'!N692</f>
        <v>850278882.06999993</v>
      </c>
      <c r="W12" s="317">
        <f>'Reporte Componentes R1'!O692</f>
        <v>4334685078.6200008</v>
      </c>
      <c r="X12" s="317">
        <f>'Reporte Componentes R1'!P692</f>
        <v>1723212328.6599998</v>
      </c>
      <c r="Y12" s="318">
        <f>'Reporte Componentes R1'!Q692</f>
        <v>160807895.45000002</v>
      </c>
      <c r="Z12" s="319">
        <f>L12*-1</f>
        <v>-120391083</v>
      </c>
      <c r="AA12" s="320">
        <f>'Reporte Componentes R1'!R692+'Reporte Componentes R1'!U692+'Reporte Componentes R1'!V692</f>
        <v>-64274.34</v>
      </c>
      <c r="AB12" s="321">
        <f>N12</f>
        <v>23185407.98</v>
      </c>
      <c r="AC12" s="320">
        <f>'Reporte Componentes R1'!T692+'Reporte Componentes R1'!W692+'Reporte Componentes R1'!X692+'Reporte Componentes R1'!Y692+'Reporte Componentes R1'!Z692+'Reporte Componentes R1'!S692</f>
        <v>181.07</v>
      </c>
      <c r="AD12" s="291">
        <f t="shared" si="0"/>
        <v>-621353106.8900001</v>
      </c>
      <c r="AE12" s="291">
        <f>'Reporte Componentes R1'!F693</f>
        <v>-583219201.09000003</v>
      </c>
      <c r="AF12" s="322">
        <f t="shared" si="2"/>
        <v>7212886892.579999</v>
      </c>
      <c r="AG12" s="522">
        <f>(AF12-O12)</f>
        <v>-1.9073486328125E-6</v>
      </c>
      <c r="AH12" s="305" t="b">
        <f t="shared" si="1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9128674277.6200008</v>
      </c>
      <c r="E13" s="297">
        <f>'Reporte Componentes R1'!G811</f>
        <v>499993856.34999996</v>
      </c>
      <c r="F13" s="297">
        <f>'Reporte Componentes R1'!H811</f>
        <v>279295266.87</v>
      </c>
      <c r="G13" s="297">
        <f>'Reporte Componentes R1'!I811</f>
        <v>147928727.49000001</v>
      </c>
      <c r="H13" s="297">
        <f>'Reporte Componentes R1'!J811</f>
        <v>2095567575.6800001</v>
      </c>
      <c r="I13" s="297">
        <f>'Reporte Componentes R1'!K811</f>
        <v>75251314.050000012</v>
      </c>
      <c r="J13" s="289">
        <f>'BCE SC POR FACT.'!F7</f>
        <v>-1224100690.4600003</v>
      </c>
      <c r="K13" s="295">
        <f>D13-E13-F13-G13-H13-I13-J13</f>
        <v>7254738227.6400003</v>
      </c>
      <c r="L13" s="294">
        <f>INTERVENTORIA!N30</f>
        <v>128990445</v>
      </c>
      <c r="M13" s="298">
        <f>K13-L13</f>
        <v>7125747782.6400003</v>
      </c>
      <c r="N13" s="299">
        <f>'Reporte Componentes R1'!L811</f>
        <v>32575938.379999999</v>
      </c>
      <c r="O13" s="298">
        <f>M13+N13</f>
        <v>7158323721.0200005</v>
      </c>
      <c r="Q13" s="306"/>
      <c r="S13" s="324">
        <v>5</v>
      </c>
      <c r="T13" s="325" t="s">
        <v>14</v>
      </c>
      <c r="U13" s="296">
        <f>'Reporte Componentes R1'!M811</f>
        <v>660452138.73000002</v>
      </c>
      <c r="V13" s="297">
        <f>'Reporte Componentes R1'!N811</f>
        <v>642660437.5999999</v>
      </c>
      <c r="W13" s="297">
        <f>'Reporte Componentes R1'!O811</f>
        <v>3298285899.1500001</v>
      </c>
      <c r="X13" s="297">
        <f>'Reporte Componentes R1'!P811</f>
        <v>1497014790.46</v>
      </c>
      <c r="Y13" s="289">
        <f>'Reporte Componentes R1'!Q811</f>
        <v>122873482.37</v>
      </c>
      <c r="Z13" s="319">
        <f>L13*-1</f>
        <v>-128990445</v>
      </c>
      <c r="AA13" s="320">
        <f>'Reporte Componentes R1'!R811+'Reporte Componentes R1'!U811+'Reporte Componentes R1'!V811</f>
        <v>-16285.89</v>
      </c>
      <c r="AB13" s="321">
        <f>N13</f>
        <v>32575938.379999999</v>
      </c>
      <c r="AC13" s="320">
        <f>'Reporte Componentes R1'!T811+'Reporte Componentes R1'!W811+'Reporte Componentes R1'!X811+'Reporte Componentes R1'!Y811+'Reporte Componentes R1'!Z811+'Reporte Componentes R1'!S811</f>
        <v>-105.68</v>
      </c>
      <c r="AD13" s="291">
        <f t="shared" si="0"/>
        <v>1033467870.9000003</v>
      </c>
      <c r="AE13" s="291">
        <f>'Reporte Componentes R1'!F812</f>
        <v>-190632819.56</v>
      </c>
      <c r="AF13" s="322">
        <f t="shared" si="2"/>
        <v>7158323721.0199995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62974715471.440002</v>
      </c>
      <c r="E14" s="290">
        <f t="shared" ref="E14:O14" si="3">SUM(E9:E13)</f>
        <v>3949755146.1199994</v>
      </c>
      <c r="F14" s="290">
        <f t="shared" si="3"/>
        <v>2199451443.6599998</v>
      </c>
      <c r="G14" s="290">
        <f t="shared" ref="G14" si="4">SUM(G9:G13)</f>
        <v>1164140813.7</v>
      </c>
      <c r="H14" s="290">
        <f t="shared" si="3"/>
        <v>17342838596.639999</v>
      </c>
      <c r="I14" s="290">
        <f t="shared" si="3"/>
        <v>609685386.41999996</v>
      </c>
      <c r="J14" s="290">
        <f t="shared" si="3"/>
        <v>-4920287863.7799988</v>
      </c>
      <c r="K14" s="300">
        <f>SUM(K9:K13)</f>
        <v>42629131948.679993</v>
      </c>
      <c r="L14" s="301">
        <f>SUM(L9:L13)</f>
        <v>859936305</v>
      </c>
      <c r="M14" s="302">
        <f t="shared" si="3"/>
        <v>41769195643.679993</v>
      </c>
      <c r="N14" s="301">
        <f t="shared" si="3"/>
        <v>155505459.60000002</v>
      </c>
      <c r="O14" s="302">
        <f t="shared" si="3"/>
        <v>41924701103.279999</v>
      </c>
      <c r="P14" s="329"/>
      <c r="Q14" s="306"/>
      <c r="S14" s="327"/>
      <c r="T14" s="328" t="s">
        <v>2</v>
      </c>
      <c r="U14" s="330">
        <f>SUM(U9:U13)</f>
        <v>5348242956.9400005</v>
      </c>
      <c r="V14" s="330">
        <f t="shared" ref="V14:AF14" si="5">SUM(V9:V13)</f>
        <v>5215764313.0499992</v>
      </c>
      <c r="W14" s="330">
        <f t="shared" si="5"/>
        <v>25130051530.599998</v>
      </c>
      <c r="X14" s="330">
        <f t="shared" si="5"/>
        <v>9763597660.6500015</v>
      </c>
      <c r="Y14" s="330">
        <f t="shared" si="5"/>
        <v>995722111.56000018</v>
      </c>
      <c r="Z14" s="290">
        <f t="shared" si="5"/>
        <v>-859936305</v>
      </c>
      <c r="AA14" s="290">
        <f t="shared" si="5"/>
        <v>-19633.559999999998</v>
      </c>
      <c r="AB14" s="290">
        <f t="shared" si="5"/>
        <v>155505459.60000002</v>
      </c>
      <c r="AC14" s="290">
        <f>SUM(AC9:AC13)</f>
        <v>-56333.840000000004</v>
      </c>
      <c r="AD14" s="290">
        <f>SUM(AD9:AD13)</f>
        <v>-3824170656.6199999</v>
      </c>
      <c r="AE14" s="290">
        <f>SUM(AE9:AE13)</f>
        <v>-8744458520.3999996</v>
      </c>
      <c r="AF14" s="331">
        <f t="shared" si="5"/>
        <v>41924701103.379997</v>
      </c>
      <c r="AG14" s="524">
        <f>SUM(AG9:AG13)</f>
        <v>0.10000038146972656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46453378572.799995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34844954.140000001</v>
      </c>
      <c r="E28" s="292">
        <f>'Rem. Anticipos R2'!F57</f>
        <v>1865211.31</v>
      </c>
      <c r="F28" s="292">
        <f>'Rem. Anticipos R2'!G57</f>
        <v>1005487.32</v>
      </c>
      <c r="G28" s="292">
        <f>'Rem. Anticipos R2'!H57</f>
        <v>583812.15</v>
      </c>
      <c r="H28" s="292">
        <f>'Rem. Anticipos R2'!I57</f>
        <v>5020392.57</v>
      </c>
      <c r="I28" s="292">
        <f>'Rem. Anticipos R2'!J57</f>
        <v>230375.08</v>
      </c>
      <c r="J28" s="288">
        <v>0</v>
      </c>
      <c r="K28" s="293">
        <f>D28-E28-F28-G28-H28-I28-J28</f>
        <v>26139675.710000005</v>
      </c>
      <c r="L28" s="294">
        <v>0</v>
      </c>
      <c r="M28" s="293">
        <f>K28-L28</f>
        <v>26139675.710000005</v>
      </c>
      <c r="N28" s="294">
        <f>'Rem. Anticipos R2'!K57</f>
        <v>0</v>
      </c>
      <c r="O28" s="293">
        <f>M28+N28</f>
        <v>26139675.710000005</v>
      </c>
      <c r="Q28" s="306"/>
      <c r="S28" s="303">
        <v>1</v>
      </c>
      <c r="T28" s="304" t="s">
        <v>10</v>
      </c>
      <c r="U28" s="307">
        <f>'Rem. Anticipos R2'!L57</f>
        <v>2507180.08</v>
      </c>
      <c r="V28" s="308">
        <f>'Rem. Anticipos R2'!M57</f>
        <v>2526384.75</v>
      </c>
      <c r="W28" s="308">
        <f>'Rem. Anticipos R2'!N57</f>
        <v>12951452.1</v>
      </c>
      <c r="X28" s="308">
        <f>'Rem. Anticipos R2'!O57</f>
        <v>5510056.0099999998</v>
      </c>
      <c r="Y28" s="308">
        <f>'Rem. Anticipos R2'!P57</f>
        <v>369962.63</v>
      </c>
      <c r="Z28" s="310">
        <f>L28*-1</f>
        <v>0</v>
      </c>
      <c r="AA28" s="311">
        <f>'Rem. Anticipos R2'!Q57</f>
        <v>-21.97</v>
      </c>
      <c r="AB28" s="294">
        <f>N28</f>
        <v>0</v>
      </c>
      <c r="AC28" s="311">
        <f>'Rem. Anticipos R2'!R57</f>
        <v>0</v>
      </c>
      <c r="AD28" s="291">
        <f>-J28+AE28</f>
        <v>2274662.11</v>
      </c>
      <c r="AE28" s="291">
        <f>'Rem. Anticipos R2'!E58</f>
        <v>2274662.11</v>
      </c>
      <c r="AF28" s="313">
        <f>SUM(U28:AD28)</f>
        <v>26139675.709999997</v>
      </c>
      <c r="AG28" s="521">
        <f>(AF28-O28)</f>
        <v>-7.4505805969238281E-9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101662098.10999998</v>
      </c>
      <c r="E29" s="292">
        <f>'Rem. Anticipos R2'!F178</f>
        <v>8605592.6300000008</v>
      </c>
      <c r="F29" s="292">
        <f>'Rem. Anticipos R2'!G178</f>
        <v>4936937.04</v>
      </c>
      <c r="G29" s="292">
        <f>'Rem. Anticipos R2'!H178</f>
        <v>1904352.16</v>
      </c>
      <c r="H29" s="292">
        <f>'Rem. Anticipos R2'!I178</f>
        <v>30991475.91</v>
      </c>
      <c r="I29" s="292">
        <f>'Rem. Anticipos R2'!J178</f>
        <v>1003353.51</v>
      </c>
      <c r="J29" s="288">
        <v>0</v>
      </c>
      <c r="K29" s="295">
        <f>D29-E29-F29-G29-H29-I29-J29</f>
        <v>54220386.859999992</v>
      </c>
      <c r="L29" s="294">
        <v>0</v>
      </c>
      <c r="M29" s="295">
        <f>K29-L29</f>
        <v>54220386.859999992</v>
      </c>
      <c r="N29" s="294">
        <f>'Rem. Anticipos R2'!K178</f>
        <v>51372.12</v>
      </c>
      <c r="O29" s="295">
        <f t="shared" ref="O29:O32" si="6">M29+N29</f>
        <v>54271758.979999989</v>
      </c>
      <c r="Q29" s="306"/>
      <c r="S29" s="314">
        <v>2</v>
      </c>
      <c r="T29" s="315" t="s">
        <v>11</v>
      </c>
      <c r="U29" s="316">
        <f>'Rem. Anticipos R2'!L178</f>
        <v>10643668.619999999</v>
      </c>
      <c r="V29" s="317">
        <f>'Rem. Anticipos R2'!M178</f>
        <v>9614716.0800000001</v>
      </c>
      <c r="W29" s="317">
        <f>'Rem. Anticipos R2'!N178</f>
        <v>40202706.43</v>
      </c>
      <c r="X29" s="317">
        <f>'Rem. Anticipos R2'!O178</f>
        <v>17542860.43</v>
      </c>
      <c r="Y29" s="318">
        <f>'Rem. Anticipos R2'!P178</f>
        <v>1379320.38</v>
      </c>
      <c r="Z29" s="319">
        <f>L29*-1</f>
        <v>0</v>
      </c>
      <c r="AA29" s="320">
        <f>'Rem. Anticipos R2'!Q178</f>
        <v>497.4</v>
      </c>
      <c r="AB29" s="294">
        <f>N29</f>
        <v>51372.12</v>
      </c>
      <c r="AC29" s="320">
        <f>'Rem. Anticipos R2'!R178</f>
        <v>0</v>
      </c>
      <c r="AD29" s="291">
        <f>-J29+AE29</f>
        <v>-25163382.48</v>
      </c>
      <c r="AE29" s="291">
        <f>'Rem. Anticipos R2'!E179</f>
        <v>-25163382.48</v>
      </c>
      <c r="AF29" s="322">
        <f>SUM(U29:AD29)</f>
        <v>54271758.980000004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23583927.43</v>
      </c>
      <c r="E30" s="292">
        <f>'Rem. Anticipos R2'!F299</f>
        <v>1547938</v>
      </c>
      <c r="F30" s="292">
        <f>'Rem. Anticipos R2'!G299</f>
        <v>861396.51</v>
      </c>
      <c r="G30" s="292">
        <f>'Rem. Anticipos R2'!H299</f>
        <v>389140.56</v>
      </c>
      <c r="H30" s="292">
        <f>'Rem. Anticipos R2'!I299</f>
        <v>5713748.3200000003</v>
      </c>
      <c r="I30" s="292">
        <f>'Rem. Anticipos R2'!J299</f>
        <v>195637.95</v>
      </c>
      <c r="J30" s="288">
        <v>0</v>
      </c>
      <c r="K30" s="295">
        <f t="shared" ref="K30:K31" si="8">D30-E30-F30-G30-H30-I30-J30</f>
        <v>14876066.09</v>
      </c>
      <c r="L30" s="294">
        <v>0</v>
      </c>
      <c r="M30" s="295">
        <f>K30-L30</f>
        <v>14876066.09</v>
      </c>
      <c r="N30" s="294">
        <f>'Rem. Anticipos R2'!K299</f>
        <v>45286.42</v>
      </c>
      <c r="O30" s="295">
        <f t="shared" si="6"/>
        <v>14921352.51</v>
      </c>
      <c r="Q30" s="306"/>
      <c r="S30" s="314">
        <v>3</v>
      </c>
      <c r="T30" s="315" t="s">
        <v>12</v>
      </c>
      <c r="U30" s="316">
        <f>'Rem. Anticipos R2'!L299</f>
        <v>2152729</v>
      </c>
      <c r="V30" s="317">
        <f>'Rem. Anticipos R2'!M299</f>
        <v>1674276.08</v>
      </c>
      <c r="W30" s="317">
        <f>'Rem. Anticipos R2'!N299</f>
        <v>7520400.4699999997</v>
      </c>
      <c r="X30" s="317">
        <f>'Rem. Anticipos R2'!O299</f>
        <v>4675829.62</v>
      </c>
      <c r="Y30" s="318">
        <f>'Rem. Anticipos R2'!P299</f>
        <v>285203.71999999997</v>
      </c>
      <c r="Z30" s="319">
        <f>L30*-1</f>
        <v>0</v>
      </c>
      <c r="AA30" s="320">
        <f>'Rem. Anticipos R2'!Q299</f>
        <v>-187.1</v>
      </c>
      <c r="AB30" s="294">
        <f>N30</f>
        <v>45286.42</v>
      </c>
      <c r="AC30" s="320">
        <f>'Rem. Anticipos R2'!R299</f>
        <v>0</v>
      </c>
      <c r="AD30" s="291">
        <f t="shared" ref="AD30:AD32" si="9">-J30+AE30</f>
        <v>-1432185.7</v>
      </c>
      <c r="AE30" s="291">
        <f>'Rem. Anticipos R2'!E300</f>
        <v>-1432185.7</v>
      </c>
      <c r="AF30" s="322">
        <f>SUM(U30:AD30)</f>
        <v>14921352.510000004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23548210.240000002</v>
      </c>
      <c r="E31" s="292">
        <f>'Rem. Anticipos R2'!F423</f>
        <v>1470007.37</v>
      </c>
      <c r="F31" s="292">
        <f>'Rem. Anticipos R2'!G423</f>
        <v>836215.45</v>
      </c>
      <c r="G31" s="292">
        <f>'Rem. Anticipos R2'!H423</f>
        <v>336141.94</v>
      </c>
      <c r="H31" s="292">
        <f>'Rem. Anticipos R2'!I423</f>
        <v>5278546.46</v>
      </c>
      <c r="I31" s="292">
        <f>'Rem. Anticipos R2'!J423</f>
        <v>193637.28</v>
      </c>
      <c r="J31" s="288">
        <v>0</v>
      </c>
      <c r="K31" s="295">
        <f t="shared" si="8"/>
        <v>15433661.74</v>
      </c>
      <c r="L31" s="294">
        <v>0</v>
      </c>
      <c r="M31" s="295">
        <f>K31-L31</f>
        <v>15433661.74</v>
      </c>
      <c r="N31" s="294">
        <f>'Rem. Anticipos R2'!K423</f>
        <v>0</v>
      </c>
      <c r="O31" s="295">
        <f t="shared" si="6"/>
        <v>15433661.74</v>
      </c>
      <c r="Q31" s="306"/>
      <c r="S31" s="314">
        <v>4</v>
      </c>
      <c r="T31" s="315" t="s">
        <v>13</v>
      </c>
      <c r="U31" s="316">
        <f>'Rem. Anticipos R2'!L423</f>
        <v>2124229.15</v>
      </c>
      <c r="V31" s="317">
        <f>'Rem. Anticipos R2'!M423</f>
        <v>1645598.99</v>
      </c>
      <c r="W31" s="317">
        <f>'Rem. Anticipos R2'!N423</f>
        <v>7267809.2599999998</v>
      </c>
      <c r="X31" s="317">
        <f>'Rem. Anticipos R2'!O423</f>
        <v>4237012.8600000003</v>
      </c>
      <c r="Y31" s="318">
        <f>'Rem. Anticipos R2'!P423</f>
        <v>279286.86</v>
      </c>
      <c r="Z31" s="319">
        <f>L31*-1</f>
        <v>0</v>
      </c>
      <c r="AA31" s="320">
        <f>'Rem. Anticipos R2'!Q423</f>
        <v>-108.3</v>
      </c>
      <c r="AB31" s="294">
        <f>N31</f>
        <v>0</v>
      </c>
      <c r="AC31" s="320">
        <f>'Rem. Anticipos R2'!R423</f>
        <v>0</v>
      </c>
      <c r="AD31" s="291">
        <f t="shared" si="9"/>
        <v>-120167.08</v>
      </c>
      <c r="AE31" s="291">
        <f>'Rem. Anticipos R2'!E424</f>
        <v>-120167.08</v>
      </c>
      <c r="AF31" s="322">
        <f>SUM(U31:AD31)</f>
        <v>15433661.739999996</v>
      </c>
      <c r="AG31" s="522">
        <f t="shared" si="10"/>
        <v>-3.7252902984619141E-9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27520060.710000001</v>
      </c>
      <c r="E32" s="297">
        <f>'Rem. Anticipos R2'!F510</f>
        <v>1572950.46</v>
      </c>
      <c r="F32" s="297">
        <f>'Rem. Anticipos R2'!G510</f>
        <v>893114.93</v>
      </c>
      <c r="G32" s="297">
        <f>'Rem. Anticipos R2'!H510</f>
        <v>439698.34</v>
      </c>
      <c r="H32" s="297">
        <f>'Rem. Anticipos R2'!I510</f>
        <v>6421366.71</v>
      </c>
      <c r="I32" s="297">
        <f>'Rem. Anticipos R2'!J510</f>
        <v>208412.06</v>
      </c>
      <c r="J32" s="289">
        <v>0</v>
      </c>
      <c r="K32" s="295">
        <f>D32-E32-F32-G32-H32-I32-J32</f>
        <v>17984518.210000001</v>
      </c>
      <c r="L32" s="294">
        <v>0</v>
      </c>
      <c r="M32" s="298">
        <f>K32-L32</f>
        <v>17984518.210000001</v>
      </c>
      <c r="N32" s="299">
        <f>'Rem. Anticipos R2'!K510</f>
        <v>0</v>
      </c>
      <c r="O32" s="298">
        <f t="shared" si="6"/>
        <v>17984518.210000001</v>
      </c>
      <c r="Q32" s="306"/>
      <c r="S32" s="324">
        <v>5</v>
      </c>
      <c r="T32" s="325" t="s">
        <v>14</v>
      </c>
      <c r="U32" s="296">
        <f>'Rem. Anticipos R2'!L510</f>
        <v>1987677.55</v>
      </c>
      <c r="V32" s="297">
        <f>'Rem. Anticipos R2'!M510</f>
        <v>1803263.41</v>
      </c>
      <c r="W32" s="297">
        <f>'Rem. Anticipos R2'!N510</f>
        <v>8986120.5099999998</v>
      </c>
      <c r="X32" s="297">
        <f>'Rem. Anticipos R2'!O510</f>
        <v>4947370.04</v>
      </c>
      <c r="Y32" s="289">
        <f>'Rem. Anticipos R2'!P510</f>
        <v>335190.24</v>
      </c>
      <c r="Z32" s="319">
        <f>L32*-1</f>
        <v>0</v>
      </c>
      <c r="AA32" s="320">
        <f>'Rem. Anticipos R2'!Q510</f>
        <v>-244.14</v>
      </c>
      <c r="AB32" s="294">
        <f>N32</f>
        <v>0</v>
      </c>
      <c r="AC32" s="320">
        <f>'Rem. Anticipos R2'!R510</f>
        <v>0</v>
      </c>
      <c r="AD32" s="291">
        <f t="shared" si="9"/>
        <v>-74859.399999999994</v>
      </c>
      <c r="AE32" s="291">
        <f>'Rem. Anticipos R2'!E511</f>
        <v>-74859.399999999994</v>
      </c>
      <c r="AF32" s="322">
        <f>SUM(U32:AD32)</f>
        <v>17984518.209999997</v>
      </c>
      <c r="AG32" s="523">
        <f>(AF32-O32)</f>
        <v>-3.7252902984619141E-9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211159250.63000003</v>
      </c>
      <c r="E33" s="290">
        <f>SUM(E28:E32)</f>
        <v>15061699.770000003</v>
      </c>
      <c r="F33" s="290">
        <f t="shared" ref="F33:O33" si="11">SUM(F28:F32)</f>
        <v>8533151.25</v>
      </c>
      <c r="G33" s="290">
        <f t="shared" ref="G33" si="12">SUM(G28:G32)</f>
        <v>3653145.15</v>
      </c>
      <c r="H33" s="290">
        <f t="shared" si="11"/>
        <v>53425529.970000006</v>
      </c>
      <c r="I33" s="290">
        <f t="shared" si="11"/>
        <v>1831415.8800000001</v>
      </c>
      <c r="J33" s="290">
        <f t="shared" si="11"/>
        <v>0</v>
      </c>
      <c r="K33" s="300">
        <f t="shared" si="11"/>
        <v>128654308.60999998</v>
      </c>
      <c r="L33" s="301">
        <f t="shared" si="11"/>
        <v>0</v>
      </c>
      <c r="M33" s="302">
        <f t="shared" si="11"/>
        <v>128654308.60999998</v>
      </c>
      <c r="N33" s="301">
        <f t="shared" si="11"/>
        <v>96658.540000000008</v>
      </c>
      <c r="O33" s="302">
        <f t="shared" si="11"/>
        <v>128750967.15000001</v>
      </c>
      <c r="P33" s="329"/>
      <c r="Q33" s="306"/>
      <c r="S33" s="327"/>
      <c r="T33" s="328" t="s">
        <v>2</v>
      </c>
      <c r="U33" s="330">
        <f>SUM(U28:U32)</f>
        <v>19415484.399999999</v>
      </c>
      <c r="V33" s="330">
        <f t="shared" ref="V33:AF33" si="13">SUM(V28:V32)</f>
        <v>17264239.309999999</v>
      </c>
      <c r="W33" s="330">
        <f t="shared" si="13"/>
        <v>76928488.770000011</v>
      </c>
      <c r="X33" s="330">
        <f t="shared" si="13"/>
        <v>36913128.960000001</v>
      </c>
      <c r="Y33" s="330">
        <f t="shared" si="13"/>
        <v>2648963.83</v>
      </c>
      <c r="Z33" s="290">
        <f t="shared" si="13"/>
        <v>0</v>
      </c>
      <c r="AA33" s="290">
        <f t="shared" si="13"/>
        <v>-64.11000000000007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-24515932.549999997</v>
      </c>
      <c r="AE33" s="290">
        <f>SUM(AE28:AE32)</f>
        <v>-24515932.549999997</v>
      </c>
      <c r="AF33" s="331">
        <f t="shared" si="13"/>
        <v>128750967.14999999</v>
      </c>
      <c r="AG33" s="524">
        <f t="shared" ref="AG33" si="15">SUM(AG28:AG32)</f>
        <v>3.7252902984619141E-9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153170305.27000001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42680</v>
      </c>
      <c r="E47" s="292">
        <f>'Reporte Componentes R1'!G91</f>
        <v>2083.94</v>
      </c>
      <c r="F47" s="292">
        <f>'Reporte Componentes R1'!H91</f>
        <v>1161.1600000000001</v>
      </c>
      <c r="G47" s="292">
        <f>'Reporte Componentes R1'!I91</f>
        <v>617.55999999999995</v>
      </c>
      <c r="H47" s="292">
        <f>'Reporte Componentes R1'!J91</f>
        <v>10417.41</v>
      </c>
      <c r="I47" s="292">
        <f>'Reporte Componentes R1'!K91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R1'!L91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R1'!M91</f>
        <v>3360.38</v>
      </c>
      <c r="V47" s="308">
        <f>'Reporte Componentes R1'!N91</f>
        <v>3220.93</v>
      </c>
      <c r="W47" s="308">
        <f>'Reporte Componentes R1'!O91</f>
        <v>15119.8</v>
      </c>
      <c r="X47" s="308">
        <f>'Reporte Componentes R1'!P91</f>
        <v>5691.76</v>
      </c>
      <c r="Y47" s="309">
        <f>'Reporte Componentes R1'!Q91</f>
        <v>625.03</v>
      </c>
      <c r="Z47" s="310">
        <f>-L47</f>
        <v>0</v>
      </c>
      <c r="AA47" s="320">
        <f>'Reporte Componentes R1'!R91+'Reporte Componentes R1'!V91+'Reporte Componentes R1'!U91</f>
        <v>-1.06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28016.84</v>
      </c>
      <c r="AG47" s="521">
        <f>(AF47-O47)</f>
        <v>3.637978807091713E-12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169120</v>
      </c>
      <c r="E49" s="292">
        <f>'Reporte Componentes R1'!G486</f>
        <v>9182.42</v>
      </c>
      <c r="F49" s="292">
        <f>'Reporte Componentes R1'!H486</f>
        <v>5162.6400000000003</v>
      </c>
      <c r="G49" s="292">
        <f>'Reporte Componentes R1'!I486</f>
        <v>2721.2</v>
      </c>
      <c r="H49" s="292">
        <f>'Reporte Componentes R1'!J486</f>
        <v>52890.57</v>
      </c>
      <c r="I49" s="292">
        <f>'Reporte Componentes R1'!K486</f>
        <v>1377.07</v>
      </c>
      <c r="J49" s="288">
        <v>0</v>
      </c>
      <c r="K49" s="295">
        <f t="shared" si="16"/>
        <v>97786.099999999948</v>
      </c>
      <c r="L49" s="294">
        <v>0</v>
      </c>
      <c r="M49" s="295">
        <f>K49-L49</f>
        <v>97786.099999999948</v>
      </c>
      <c r="N49" s="294">
        <f>'Reporte Componentes R1'!L486</f>
        <v>0</v>
      </c>
      <c r="O49" s="295">
        <f t="shared" si="17"/>
        <v>97786.099999999948</v>
      </c>
      <c r="Q49" s="306"/>
      <c r="S49" s="314">
        <v>3</v>
      </c>
      <c r="T49" s="315" t="s">
        <v>12</v>
      </c>
      <c r="U49" s="316">
        <f>'Reporte Componentes R1'!M486</f>
        <v>12079.7</v>
      </c>
      <c r="V49" s="317">
        <f>'Reporte Componentes R1'!N486</f>
        <v>16023.47</v>
      </c>
      <c r="W49" s="317">
        <f>'Reporte Componentes R1'!O486</f>
        <v>75525.460000000006</v>
      </c>
      <c r="X49" s="317">
        <f>'Reporte Componentes R1'!P486</f>
        <v>21576.6</v>
      </c>
      <c r="Y49" s="318">
        <f>'Reporte Componentes R1'!Q486</f>
        <v>2246.83</v>
      </c>
      <c r="Z49" s="319">
        <f>-L49</f>
        <v>0</v>
      </c>
      <c r="AA49" s="320">
        <f>'Reporte Componentes R1'!R486+'Reporte Componentes R1'!V486+'Reporte Componentes R1'!U486</f>
        <v>-4.8899999999999997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-29661.07</v>
      </c>
      <c r="AE49" s="291">
        <f>'Reporte Componentes R1'!F487</f>
        <v>-29661.07</v>
      </c>
      <c r="AF49" s="322">
        <f t="shared" ref="AF49:AF51" si="20">SUM(U49:AD49)</f>
        <v>97786.1</v>
      </c>
      <c r="AG49" s="522">
        <f t="shared" ref="AG49:AG51" si="21">(AF49-O49)</f>
        <v>5.8207660913467407E-11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8635714</v>
      </c>
      <c r="E50" s="292">
        <f>'Reporte Componentes R1'!G694</f>
        <v>521617.57</v>
      </c>
      <c r="F50" s="292">
        <f>'Reporte Componentes R1'!H694</f>
        <v>295276.31</v>
      </c>
      <c r="G50" s="292">
        <f>'Reporte Componentes R1'!I694</f>
        <v>158970.97</v>
      </c>
      <c r="H50" s="292">
        <f>'Reporte Componentes R1'!J694</f>
        <v>1910496.63</v>
      </c>
      <c r="I50" s="292">
        <f>'Reporte Componentes R1'!K694</f>
        <v>53118.02</v>
      </c>
      <c r="J50" s="288">
        <v>0</v>
      </c>
      <c r="K50" s="295">
        <f t="shared" si="16"/>
        <v>5696234.5000000009</v>
      </c>
      <c r="L50" s="294">
        <v>0</v>
      </c>
      <c r="M50" s="295">
        <f>K50-L50</f>
        <v>5696234.5000000009</v>
      </c>
      <c r="N50" s="294">
        <f>'Reporte Componentes R1'!L694</f>
        <v>0</v>
      </c>
      <c r="O50" s="295">
        <f t="shared" si="17"/>
        <v>5696234.5000000009</v>
      </c>
      <c r="Q50" s="306"/>
      <c r="S50" s="314">
        <v>4</v>
      </c>
      <c r="T50" s="315" t="s">
        <v>13</v>
      </c>
      <c r="U50" s="316">
        <f>'Reporte Componentes R1'!M694</f>
        <v>465949.63</v>
      </c>
      <c r="V50" s="317">
        <f>'Reporte Componentes R1'!N694</f>
        <v>593731.16</v>
      </c>
      <c r="W50" s="317">
        <f>'Reporte Componentes R1'!O694</f>
        <v>3012620.79</v>
      </c>
      <c r="X50" s="317">
        <f>'Reporte Componentes R1'!P694</f>
        <v>1391474.98</v>
      </c>
      <c r="Y50" s="318">
        <f>'Reporte Componentes R1'!Q694</f>
        <v>87879.79</v>
      </c>
      <c r="Z50" s="319">
        <f>-L50</f>
        <v>0</v>
      </c>
      <c r="AA50" s="320">
        <f>'Reporte Componentes R1'!R694+'Reporte Componentes R1'!V694+'Reporte Componentes R1'!U694</f>
        <v>-15.83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144593.98000000001</v>
      </c>
      <c r="AE50" s="291">
        <f>'Reporte Componentes R1'!F695</f>
        <v>144593.98000000001</v>
      </c>
      <c r="AF50" s="322">
        <f t="shared" si="20"/>
        <v>5696234.5000000009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61140</v>
      </c>
      <c r="E51" s="297">
        <f>'Reporte Componentes R1'!G813</f>
        <v>2566.4299999999998</v>
      </c>
      <c r="F51" s="297">
        <f>'Reporte Componentes R1'!H813</f>
        <v>1430.01</v>
      </c>
      <c r="G51" s="297">
        <f>'Reporte Componentes R1'!I813</f>
        <v>760.56</v>
      </c>
      <c r="H51" s="297">
        <f>'Reporte Componentes R1'!J813</f>
        <v>11744.12</v>
      </c>
      <c r="I51" s="297">
        <f>'Reporte Componentes R1'!K813</f>
        <v>584.9</v>
      </c>
      <c r="J51" s="289">
        <v>0</v>
      </c>
      <c r="K51" s="295">
        <f t="shared" si="16"/>
        <v>44053.979999999996</v>
      </c>
      <c r="L51" s="294">
        <v>0</v>
      </c>
      <c r="M51" s="298">
        <f>K51-L51</f>
        <v>44053.979999999996</v>
      </c>
      <c r="N51" s="299">
        <f>'Reporte Componentes R1'!L813</f>
        <v>0</v>
      </c>
      <c r="O51" s="298">
        <f t="shared" si="17"/>
        <v>44053.979999999996</v>
      </c>
      <c r="Q51" s="306"/>
      <c r="S51" s="324">
        <v>5</v>
      </c>
      <c r="T51" s="325" t="s">
        <v>14</v>
      </c>
      <c r="U51" s="296">
        <f>'Reporte Componentes R1'!M813</f>
        <v>5130.67</v>
      </c>
      <c r="V51" s="297">
        <f>'Reporte Componentes R1'!N813</f>
        <v>5018.8999999999996</v>
      </c>
      <c r="W51" s="297">
        <f>'Reporte Componentes R1'!O813</f>
        <v>25484.97</v>
      </c>
      <c r="X51" s="297">
        <f>'Reporte Componentes R1'!P813</f>
        <v>7649.02</v>
      </c>
      <c r="Y51" s="289">
        <f>'Reporte Componentes R1'!Q813</f>
        <v>954.31</v>
      </c>
      <c r="Z51" s="319">
        <f>-L51</f>
        <v>0</v>
      </c>
      <c r="AA51" s="320">
        <f>'Reporte Componentes R1'!R813+'Reporte Componentes R1'!V813+'Reporte Componentes R1'!U813</f>
        <v>-4.74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-179.15</v>
      </c>
      <c r="AE51" s="291">
        <f>'Reporte Componentes R1'!F814</f>
        <v>-179.15</v>
      </c>
      <c r="AF51" s="322">
        <f t="shared" si="20"/>
        <v>44053.979999999996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8908654</v>
      </c>
      <c r="E52" s="290">
        <f t="shared" si="22"/>
        <v>535450.3600000001</v>
      </c>
      <c r="F52" s="290">
        <f t="shared" si="22"/>
        <v>303030.12</v>
      </c>
      <c r="G52" s="290">
        <f t="shared" ref="G52" si="23">SUM(G47:G51)</f>
        <v>163070.29</v>
      </c>
      <c r="H52" s="290">
        <f t="shared" si="22"/>
        <v>1985548.73</v>
      </c>
      <c r="I52" s="290">
        <f t="shared" si="22"/>
        <v>55463.079999999994</v>
      </c>
      <c r="J52" s="290">
        <f t="shared" si="22"/>
        <v>0</v>
      </c>
      <c r="K52" s="300">
        <f t="shared" si="22"/>
        <v>5866091.4200000018</v>
      </c>
      <c r="L52" s="301">
        <f t="shared" si="22"/>
        <v>0</v>
      </c>
      <c r="M52" s="302">
        <f t="shared" si="22"/>
        <v>5866091.4200000018</v>
      </c>
      <c r="N52" s="301">
        <f t="shared" si="22"/>
        <v>0</v>
      </c>
      <c r="O52" s="302">
        <f t="shared" si="22"/>
        <v>5866091.4200000018</v>
      </c>
      <c r="P52" s="329"/>
      <c r="Q52" s="306"/>
      <c r="S52" s="327"/>
      <c r="T52" s="328" t="s">
        <v>2</v>
      </c>
      <c r="U52" s="330">
        <f>SUM(U47:U51)</f>
        <v>486520.38</v>
      </c>
      <c r="V52" s="330">
        <f t="shared" ref="V52:AG52" si="24">SUM(V47:V51)</f>
        <v>617994.46000000008</v>
      </c>
      <c r="W52" s="330">
        <f t="shared" si="24"/>
        <v>3128751.02</v>
      </c>
      <c r="X52" s="330">
        <f t="shared" si="24"/>
        <v>1426392.36</v>
      </c>
      <c r="Y52" s="330">
        <f t="shared" si="24"/>
        <v>91705.959999999992</v>
      </c>
      <c r="Z52" s="290">
        <f t="shared" si="24"/>
        <v>0</v>
      </c>
      <c r="AA52" s="290">
        <f t="shared" si="24"/>
        <v>-26.520000000000003</v>
      </c>
      <c r="AB52" s="290">
        <f t="shared" si="24"/>
        <v>0</v>
      </c>
      <c r="AC52" s="290">
        <f t="shared" si="24"/>
        <v>0</v>
      </c>
      <c r="AD52" s="290">
        <f>SUM(AD47:AD51)</f>
        <v>114753.76000000001</v>
      </c>
      <c r="AE52" s="290">
        <f>SUM(AE47:AE51)</f>
        <v>114753.76000000001</v>
      </c>
      <c r="AF52" s="331">
        <f t="shared" si="24"/>
        <v>5866091.4200000018</v>
      </c>
      <c r="AG52" s="524">
        <f t="shared" si="24"/>
        <v>6.184563972055912E-11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5751364.1800000006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-3544507.29</v>
      </c>
      <c r="E66" s="292">
        <f>'Reversion Pagos R4'!E79</f>
        <v>-219031.92</v>
      </c>
      <c r="F66" s="292">
        <f>'Reversion Pagos R4'!F79</f>
        <v>-117594.76</v>
      </c>
      <c r="G66" s="292">
        <f>'Reversion Pagos R4'!G79</f>
        <v>-63004.75</v>
      </c>
      <c r="H66" s="292">
        <f>'Reversion Pagos R4'!H79</f>
        <v>-1190187.3899999999</v>
      </c>
      <c r="I66" s="292">
        <f>'Reversion Pagos R4'!I79</f>
        <v>-45698.67</v>
      </c>
      <c r="J66" s="288">
        <v>0</v>
      </c>
      <c r="K66" s="293">
        <f>D66-E66-F66-G66-H66-I66-J66</f>
        <v>-1908989.8000000005</v>
      </c>
      <c r="L66" s="294">
        <v>0</v>
      </c>
      <c r="M66" s="293">
        <f>K66-L66</f>
        <v>-1908989.8000000005</v>
      </c>
      <c r="N66" s="294">
        <f>'Reversion Pagos R4'!P79</f>
        <v>0</v>
      </c>
      <c r="O66" s="293">
        <f>M66+N66</f>
        <v>-1908989.8000000005</v>
      </c>
      <c r="Q66" s="306"/>
      <c r="S66" s="303">
        <v>1</v>
      </c>
      <c r="T66" s="304" t="s">
        <v>10</v>
      </c>
      <c r="U66" s="307">
        <f>'Reversion Pagos R4'!J79</f>
        <v>-400863.95999999996</v>
      </c>
      <c r="V66" s="308">
        <f>'Reversion Pagos R4'!K79</f>
        <v>-377006.69999999995</v>
      </c>
      <c r="W66" s="308">
        <f>'Reversion Pagos R4'!L79</f>
        <v>-1788474</v>
      </c>
      <c r="X66" s="308">
        <f>'Reversion Pagos R4'!M79</f>
        <v>-573353.78</v>
      </c>
      <c r="Y66" s="308">
        <f>'Reversion Pagos R4'!N79</f>
        <v>-73936.2</v>
      </c>
      <c r="Z66" s="310">
        <f>-L66</f>
        <v>0</v>
      </c>
      <c r="AA66" s="320">
        <f>'Reversion Pagos R4'!O79</f>
        <v>10.66</v>
      </c>
      <c r="AB66" s="294">
        <f>N66</f>
        <v>0</v>
      </c>
      <c r="AC66" s="320">
        <f>+'Reversion Pagos R4'!Q79+'Reversion Pagos R4'!R79</f>
        <v>0</v>
      </c>
      <c r="AD66" s="291">
        <f>-J66+AE66</f>
        <v>1304634.18</v>
      </c>
      <c r="AE66" s="291">
        <f>'Reversion Pagos R4'!D80</f>
        <v>1304634.18</v>
      </c>
      <c r="AF66" s="313">
        <f>SUM(U66:AD66)</f>
        <v>-1908989.8000000005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-8713102.3699999992</v>
      </c>
      <c r="E67" s="292">
        <f>'Reversion Pagos R4'!E180</f>
        <v>-566211.69999999995</v>
      </c>
      <c r="F67" s="292">
        <f>'Reversion Pagos R4'!F180</f>
        <v>-318239.98</v>
      </c>
      <c r="G67" s="292">
        <f>'Reversion Pagos R4'!G180</f>
        <v>-167439.25</v>
      </c>
      <c r="H67" s="292">
        <f>'Reversion Pagos R4'!H180</f>
        <v>-2642163.0499999998</v>
      </c>
      <c r="I67" s="292">
        <f>'Reversion Pagos R4'!I180</f>
        <v>-90052.6</v>
      </c>
      <c r="J67" s="288">
        <v>0</v>
      </c>
      <c r="K67" s="295">
        <f t="shared" ref="K67:K70" si="25">D67-E67-F67-G67-H67-I67-J67</f>
        <v>-4928995.79</v>
      </c>
      <c r="L67" s="294">
        <v>0</v>
      </c>
      <c r="M67" s="295">
        <f>K67-L67</f>
        <v>-4928995.79</v>
      </c>
      <c r="N67" s="294">
        <f>'Reversion Pagos R4'!P180</f>
        <v>-26500</v>
      </c>
      <c r="O67" s="295">
        <f t="shared" ref="O67:O70" si="26">M67+N67</f>
        <v>-4955495.79</v>
      </c>
      <c r="Q67" s="306"/>
      <c r="S67" s="314">
        <v>2</v>
      </c>
      <c r="T67" s="315" t="s">
        <v>11</v>
      </c>
      <c r="U67" s="316">
        <f>'Reversion Pagos R4'!J180</f>
        <v>-789932.39</v>
      </c>
      <c r="V67" s="317">
        <f>'Reversion Pagos R4'!K180</f>
        <v>-770822.52</v>
      </c>
      <c r="W67" s="317">
        <f>'Reversion Pagos R4'!L180</f>
        <v>-3654042.78</v>
      </c>
      <c r="X67" s="317">
        <f>'Reversion Pagos R4'!M180</f>
        <v>-1114650.32</v>
      </c>
      <c r="Y67" s="318">
        <f>'Reversion Pagos R4'!N180</f>
        <v>-146927.71</v>
      </c>
      <c r="Z67" s="319">
        <f t="shared" ref="Z67:Z70" si="27">-L67</f>
        <v>0</v>
      </c>
      <c r="AA67" s="320">
        <f>'Reversion Pagos R4'!O180</f>
        <v>4.09</v>
      </c>
      <c r="AB67" s="294">
        <f t="shared" ref="AB67:AB70" si="28">N67</f>
        <v>-26500</v>
      </c>
      <c r="AC67" s="320">
        <f>+'Reversion Pagos R4'!Q180+'Reversion Pagos R4'!R180</f>
        <v>0</v>
      </c>
      <c r="AD67" s="291">
        <f>-J67+AE67</f>
        <v>1547375.84</v>
      </c>
      <c r="AE67" s="291">
        <f>'Reversion Pagos R4'!D181</f>
        <v>1547375.84</v>
      </c>
      <c r="AF67" s="322">
        <f>SUM(U67:AD67)</f>
        <v>-4955495.79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-6125983.8899999997</v>
      </c>
      <c r="E68" s="292">
        <f>'Reversion Pagos R4'!E217</f>
        <v>-331141.74</v>
      </c>
      <c r="F68" s="292">
        <f>'Reversion Pagos R4'!F217</f>
        <v>-186760.31999999998</v>
      </c>
      <c r="G68" s="292">
        <f>'Reversion Pagos R4'!G217</f>
        <v>-98282.84</v>
      </c>
      <c r="H68" s="292">
        <f>'Reversion Pagos R4'!H217</f>
        <v>-2019437.33</v>
      </c>
      <c r="I68" s="292">
        <f>'Reversion Pagos R4'!I217</f>
        <v>-59765.73</v>
      </c>
      <c r="J68" s="288">
        <v>0</v>
      </c>
      <c r="K68" s="295">
        <f t="shared" si="25"/>
        <v>-3430595.9299999992</v>
      </c>
      <c r="L68" s="294">
        <v>0</v>
      </c>
      <c r="M68" s="295">
        <f>K68-L68</f>
        <v>-3430595.9299999992</v>
      </c>
      <c r="N68" s="294">
        <f>'Reversion Pagos R4'!P217</f>
        <v>0</v>
      </c>
      <c r="O68" s="295">
        <f t="shared" si="26"/>
        <v>-3430595.9299999992</v>
      </c>
      <c r="Q68" s="306"/>
      <c r="S68" s="314">
        <v>3</v>
      </c>
      <c r="T68" s="315" t="s">
        <v>12</v>
      </c>
      <c r="U68" s="316">
        <f>'Reversion Pagos R4'!J217</f>
        <v>-521004.73000000004</v>
      </c>
      <c r="V68" s="317">
        <f>'Reversion Pagos R4'!K217</f>
        <v>-508266.77999999997</v>
      </c>
      <c r="W68" s="317">
        <f>'Reversion Pagos R4'!L217</f>
        <v>-2407798.73</v>
      </c>
      <c r="X68" s="317">
        <f>'Reversion Pagos R4'!M217</f>
        <v>-780590.23</v>
      </c>
      <c r="Y68" s="318">
        <f>'Reversion Pagos R4'!N217</f>
        <v>-97513.12999999999</v>
      </c>
      <c r="Z68" s="319">
        <f t="shared" si="27"/>
        <v>0</v>
      </c>
      <c r="AA68" s="320">
        <f>'Reversion Pagos R4'!O217</f>
        <v>-29.009999999999998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884606.67999999993</v>
      </c>
      <c r="AE68" s="291">
        <f>'Reversion Pagos R4'!D218</f>
        <v>884606.67999999993</v>
      </c>
      <c r="AF68" s="322">
        <f t="shared" ref="AF68:AF70" si="31">SUM(U68:AD68)</f>
        <v>-3430595.9300000006</v>
      </c>
      <c r="AG68" s="522">
        <f t="shared" ref="AG68:AG70" si="32">(AF68-O68)</f>
        <v>-1.3969838619232178E-9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-22250059.780000001</v>
      </c>
      <c r="E69" s="292">
        <f>'Reversion Pagos R4'!E332</f>
        <v>-1367674.67</v>
      </c>
      <c r="F69" s="292">
        <f>'Reversion Pagos R4'!F332</f>
        <v>-719170.4</v>
      </c>
      <c r="G69" s="292">
        <f>'Reversion Pagos R4'!G332</f>
        <v>-382313.94</v>
      </c>
      <c r="H69" s="292">
        <f>'Reversion Pagos R4'!H332</f>
        <v>-5113171.58</v>
      </c>
      <c r="I69" s="292">
        <f>'Reversion Pagos R4'!I332</f>
        <v>-183488.2</v>
      </c>
      <c r="J69" s="288">
        <v>0</v>
      </c>
      <c r="K69" s="295">
        <f t="shared" si="25"/>
        <v>-14484240.99</v>
      </c>
      <c r="L69" s="294">
        <v>0</v>
      </c>
      <c r="M69" s="295">
        <f>K69-L69</f>
        <v>-14484240.99</v>
      </c>
      <c r="N69" s="294">
        <f>'Reversion Pagos R4'!P332</f>
        <v>0</v>
      </c>
      <c r="O69" s="295">
        <f t="shared" si="26"/>
        <v>-14484240.99</v>
      </c>
      <c r="Q69" s="306"/>
      <c r="S69" s="314">
        <v>4</v>
      </c>
      <c r="T69" s="315" t="s">
        <v>13</v>
      </c>
      <c r="U69" s="316">
        <f>'Reversion Pagos R4'!J332</f>
        <v>-1619246.4100000001</v>
      </c>
      <c r="V69" s="317">
        <f>'Reversion Pagos R4'!K332</f>
        <v>-1602973.43</v>
      </c>
      <c r="W69" s="317">
        <f>'Reversion Pagos R4'!L332</f>
        <v>-8034602.9399999995</v>
      </c>
      <c r="X69" s="317">
        <f>'Reversion Pagos R4'!M332</f>
        <v>-3828497.81</v>
      </c>
      <c r="Y69" s="318">
        <f>'Reversion Pagos R4'!N332</f>
        <v>-296831.71999999997</v>
      </c>
      <c r="Z69" s="319">
        <f t="shared" si="27"/>
        <v>0</v>
      </c>
      <c r="AA69" s="320">
        <f>'Reversion Pagos R4'!O332</f>
        <v>87.929999999999993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897823.3899999999</v>
      </c>
      <c r="AE69" s="291">
        <f>'Reversion Pagos R4'!D333</f>
        <v>897823.3899999999</v>
      </c>
      <c r="AF69" s="322">
        <f>SUM(U69:AD69)</f>
        <v>-14484240.99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-9076100</v>
      </c>
      <c r="E70" s="297">
        <f>'Reversion Pagos R4'!E373</f>
        <v>-427564.46</v>
      </c>
      <c r="F70" s="297">
        <f>'Reversion Pagos R4'!F373</f>
        <v>-239080.94</v>
      </c>
      <c r="G70" s="297">
        <f>'Reversion Pagos R4'!G373</f>
        <v>-126277.96</v>
      </c>
      <c r="H70" s="297">
        <f>'Reversion Pagos R4'!H373</f>
        <v>-1933506.78</v>
      </c>
      <c r="I70" s="297">
        <f>'Reversion Pagos R4'!I373</f>
        <v>-69553.97</v>
      </c>
      <c r="J70" s="289">
        <v>0</v>
      </c>
      <c r="K70" s="295">
        <f t="shared" si="25"/>
        <v>-6280115.8899999997</v>
      </c>
      <c r="L70" s="294">
        <v>0</v>
      </c>
      <c r="M70" s="298">
        <f>K70-L70</f>
        <v>-6280115.8899999997</v>
      </c>
      <c r="N70" s="294">
        <f>'Reversion Pagos R4'!P373</f>
        <v>0</v>
      </c>
      <c r="O70" s="298">
        <f t="shared" si="26"/>
        <v>-6280115.8899999997</v>
      </c>
      <c r="Q70" s="306"/>
      <c r="S70" s="324">
        <v>5</v>
      </c>
      <c r="T70" s="325" t="s">
        <v>14</v>
      </c>
      <c r="U70" s="296">
        <f>'Reversion Pagos R4'!J373</f>
        <v>-610117.24</v>
      </c>
      <c r="V70" s="297">
        <f>'Reversion Pagos R4'!K373</f>
        <v>-592518.26</v>
      </c>
      <c r="W70" s="297">
        <f>'Reversion Pagos R4'!L373</f>
        <v>-3080559.18</v>
      </c>
      <c r="X70" s="297">
        <f>'Reversion Pagos R4'!M373</f>
        <v>-1290465.9099999999</v>
      </c>
      <c r="Y70" s="289">
        <f>'Reversion Pagos R4'!N373</f>
        <v>-113482.38</v>
      </c>
      <c r="Z70" s="319">
        <f t="shared" si="27"/>
        <v>0</v>
      </c>
      <c r="AA70" s="320">
        <f>'Reversion Pagos R4'!O373</f>
        <v>-48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-592924.92000000004</v>
      </c>
      <c r="AE70" s="291">
        <f>'Reversion Pagos R4'!D374</f>
        <v>-592924.92000000004</v>
      </c>
      <c r="AF70" s="322">
        <f t="shared" si="31"/>
        <v>-6280115.8899999997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-49709753.329999998</v>
      </c>
      <c r="E71" s="290">
        <f t="shared" si="33"/>
        <v>-2911624.4899999998</v>
      </c>
      <c r="F71" s="290">
        <f t="shared" si="33"/>
        <v>-1580846.4</v>
      </c>
      <c r="G71" s="290">
        <f t="shared" ref="G71" si="34">SUM(G66:G70)</f>
        <v>-837318.74</v>
      </c>
      <c r="H71" s="290">
        <f t="shared" si="33"/>
        <v>-12898466.129999999</v>
      </c>
      <c r="I71" s="290">
        <f t="shared" si="33"/>
        <v>-448559.17000000004</v>
      </c>
      <c r="J71" s="290">
        <f t="shared" si="33"/>
        <v>0</v>
      </c>
      <c r="K71" s="300">
        <f t="shared" si="33"/>
        <v>-31032938.399999999</v>
      </c>
      <c r="L71" s="301">
        <f t="shared" si="33"/>
        <v>0</v>
      </c>
      <c r="M71" s="302">
        <f t="shared" si="33"/>
        <v>-31032938.399999999</v>
      </c>
      <c r="N71" s="301">
        <f t="shared" si="33"/>
        <v>-26500</v>
      </c>
      <c r="O71" s="302">
        <f t="shared" si="33"/>
        <v>-31059438.399999999</v>
      </c>
      <c r="P71" s="329"/>
      <c r="Q71" s="306"/>
      <c r="S71" s="327"/>
      <c r="T71" s="328" t="s">
        <v>2</v>
      </c>
      <c r="U71" s="330">
        <f>SUM(U66:U70)</f>
        <v>-3941164.7300000004</v>
      </c>
      <c r="V71" s="330">
        <f t="shared" ref="V71:AF71" si="35">SUM(V66:V70)</f>
        <v>-3851587.6899999995</v>
      </c>
      <c r="W71" s="330">
        <f t="shared" si="35"/>
        <v>-18965477.629999999</v>
      </c>
      <c r="X71" s="330">
        <f t="shared" si="35"/>
        <v>-7587558.0500000007</v>
      </c>
      <c r="Y71" s="330">
        <f t="shared" si="35"/>
        <v>-728691.14</v>
      </c>
      <c r="Z71" s="290">
        <f t="shared" si="35"/>
        <v>0</v>
      </c>
      <c r="AA71" s="290">
        <f>SUM(AA66:AA70)</f>
        <v>25.669999999999987</v>
      </c>
      <c r="AB71" s="290">
        <f t="shared" si="35"/>
        <v>-26500</v>
      </c>
      <c r="AC71" s="290">
        <f t="shared" ref="AC71" si="36">SUM(AC66:AC70)</f>
        <v>0</v>
      </c>
      <c r="AD71" s="290">
        <f>SUM(AD66:AD70)</f>
        <v>4041515.17</v>
      </c>
      <c r="AE71" s="290">
        <f>SUM(AE66:AE70)</f>
        <v>4041515.17</v>
      </c>
      <c r="AF71" s="331">
        <f t="shared" si="35"/>
        <v>-31059438.400000002</v>
      </c>
      <c r="AG71" s="524">
        <f t="shared" ref="AG71" si="37">SUM(AG66:AG70)</f>
        <v>-1.3969838619232178E-9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-35074479.239999995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17450250542.779995</v>
      </c>
      <c r="E104" s="292">
        <f t="shared" si="47"/>
        <v>1002730527.37</v>
      </c>
      <c r="F104" s="292">
        <f t="shared" si="47"/>
        <v>559513165.82999992</v>
      </c>
      <c r="G104" s="292">
        <f t="shared" ref="G104" si="48">G9+G28+G47+G66+G85</f>
        <v>296340285.38</v>
      </c>
      <c r="H104" s="292">
        <f t="shared" ref="H104:J108" si="49">H9+H28+H47+H66+H85</f>
        <v>4858821909</v>
      </c>
      <c r="I104" s="292">
        <f t="shared" si="49"/>
        <v>182208476.03000003</v>
      </c>
      <c r="J104" s="288">
        <f t="shared" si="49"/>
        <v>2589335716.54</v>
      </c>
      <c r="K104" s="293">
        <f>D104-E104-F104-G104-H104-I104-J104</f>
        <v>7961300462.6299944</v>
      </c>
      <c r="L104" s="294">
        <f>L9+L28+L47+L66+L85</f>
        <v>189185987</v>
      </c>
      <c r="M104" s="293">
        <f>K104-L104</f>
        <v>7772114475.6299944</v>
      </c>
      <c r="N104" s="294">
        <f>N9+N28+N47+N66+N85</f>
        <v>30635669.579999998</v>
      </c>
      <c r="O104" s="293">
        <f>M104+N104</f>
        <v>7802750145.2099943</v>
      </c>
      <c r="Q104" s="306"/>
      <c r="S104" s="303">
        <v>1</v>
      </c>
      <c r="T104" s="304" t="s">
        <v>10</v>
      </c>
      <c r="U104" s="307">
        <f t="shared" ref="U104:AB108" si="50">U9+U28+U47+U66+U85</f>
        <v>1599792140.1300001</v>
      </c>
      <c r="V104" s="308">
        <f t="shared" si="50"/>
        <v>1528705400.8799999</v>
      </c>
      <c r="W104" s="308">
        <f t="shared" si="50"/>
        <v>7192055638.8400002</v>
      </c>
      <c r="X104" s="308">
        <f t="shared" si="50"/>
        <v>2730289262.8700004</v>
      </c>
      <c r="Y104" s="309">
        <f t="shared" si="50"/>
        <v>297320754.99000001</v>
      </c>
      <c r="Z104" s="310">
        <f t="shared" si="50"/>
        <v>-189185987</v>
      </c>
      <c r="AA104" s="311">
        <f>AA9+AA28+AA47+AA66+AA85</f>
        <v>-46885.63</v>
      </c>
      <c r="AB104" s="294">
        <f t="shared" si="50"/>
        <v>30635669.579999998</v>
      </c>
      <c r="AC104" s="311">
        <f>AC9+AC28+AC47+AC66+AC85</f>
        <v>392.74</v>
      </c>
      <c r="AD104" s="291">
        <f>-J104+AE104</f>
        <v>-5386816242.1900005</v>
      </c>
      <c r="AE104" s="291">
        <f>AE9+AE28+AE47+AE66+AE85</f>
        <v>-2797480525.6500001</v>
      </c>
      <c r="AF104" s="313">
        <f>SUM(U104:AD104)</f>
        <v>7802750145.210001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14147357755.390001</v>
      </c>
      <c r="E105" s="292">
        <f>E10+E29+E48+E67+E86</f>
        <v>1096241904.79</v>
      </c>
      <c r="F105" s="292">
        <f t="shared" si="47"/>
        <v>607688510.58999991</v>
      </c>
      <c r="G105" s="292">
        <f t="shared" ref="G105" si="51">G10+G29+G48+G67+G86</f>
        <v>320746087.44</v>
      </c>
      <c r="H105" s="292">
        <f t="shared" si="49"/>
        <v>4486156883.4699993</v>
      </c>
      <c r="I105" s="292">
        <f t="shared" si="49"/>
        <v>152499569.92999998</v>
      </c>
      <c r="J105" s="288">
        <f t="shared" si="49"/>
        <v>-5093259797.2199993</v>
      </c>
      <c r="K105" s="295">
        <f t="shared" ref="K105:K108" si="52">D105-E105-F105-G105-H105-I105-J105</f>
        <v>12577284596.390001</v>
      </c>
      <c r="L105" s="294">
        <f>L10+L29+L48+L67+L86</f>
        <v>266580255</v>
      </c>
      <c r="M105" s="295">
        <f>K105-L105</f>
        <v>12310704341.390001</v>
      </c>
      <c r="N105" s="294">
        <f>N10+N29+N48+N67+N86</f>
        <v>43616073.719999999</v>
      </c>
      <c r="O105" s="295">
        <f t="shared" ref="O105:O108" si="53">M105+N105</f>
        <v>12354320415.110001</v>
      </c>
      <c r="Q105" s="306"/>
      <c r="S105" s="314">
        <v>2</v>
      </c>
      <c r="T105" s="315" t="s">
        <v>11</v>
      </c>
      <c r="U105" s="316">
        <f t="shared" si="50"/>
        <v>1338675874.7699997</v>
      </c>
      <c r="V105" s="317">
        <f t="shared" si="50"/>
        <v>1326046281.8399999</v>
      </c>
      <c r="W105" s="317">
        <f t="shared" si="50"/>
        <v>6214923336.9400005</v>
      </c>
      <c r="X105" s="317">
        <f t="shared" si="50"/>
        <v>2154507355.5699997</v>
      </c>
      <c r="Y105" s="318">
        <f t="shared" si="50"/>
        <v>249017603.29999998</v>
      </c>
      <c r="Z105" s="319">
        <f t="shared" si="50"/>
        <v>-266580255</v>
      </c>
      <c r="AA105" s="320">
        <f>AA10+AA29+AA48+AA67+AA86</f>
        <v>61423.42</v>
      </c>
      <c r="AB105" s="294">
        <f t="shared" si="50"/>
        <v>43616073.719999999</v>
      </c>
      <c r="AC105" s="320">
        <f>AC10+AC29+AC48+AC67+AC86</f>
        <v>-56807.54</v>
      </c>
      <c r="AD105" s="291">
        <f t="shared" ref="AD105:AD107" si="54">-J105+AE105</f>
        <v>1294109528.0899997</v>
      </c>
      <c r="AE105" s="291">
        <f>AE10+AE29+AE48+AE67+AE86</f>
        <v>-3799150269.1299996</v>
      </c>
      <c r="AF105" s="322">
        <f>SUM(U105:AD105)</f>
        <v>12354320415.109997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10891338739.480001</v>
      </c>
      <c r="E106" s="292">
        <f t="shared" si="47"/>
        <v>710706076.85000002</v>
      </c>
      <c r="F106" s="292">
        <f t="shared" si="47"/>
        <v>397477480.34999996</v>
      </c>
      <c r="G106" s="292">
        <f t="shared" ref="G106" si="56">G11+G30+G49+G68+G87</f>
        <v>210365934.29999998</v>
      </c>
      <c r="H106" s="292">
        <f t="shared" si="49"/>
        <v>3089785742.8100004</v>
      </c>
      <c r="I106" s="292">
        <f t="shared" si="49"/>
        <v>102591059.10999998</v>
      </c>
      <c r="J106" s="288">
        <f t="shared" si="49"/>
        <v>-1230396998.4399998</v>
      </c>
      <c r="K106" s="295">
        <f t="shared" si="52"/>
        <v>7610809444.500001</v>
      </c>
      <c r="L106" s="294">
        <f>L11+L30+L49+L68+L87</f>
        <v>154788535</v>
      </c>
      <c r="M106" s="295">
        <f>K106-L106</f>
        <v>7456020909.500001</v>
      </c>
      <c r="N106" s="294">
        <f>N11+N30+N49+N68+N87</f>
        <v>25562528.48</v>
      </c>
      <c r="O106" s="295">
        <f t="shared" si="53"/>
        <v>7481583437.9800005</v>
      </c>
      <c r="Q106" s="306"/>
      <c r="S106" s="314">
        <v>3</v>
      </c>
      <c r="T106" s="315" t="s">
        <v>12</v>
      </c>
      <c r="U106" s="316">
        <f t="shared" si="50"/>
        <v>900404437.05000007</v>
      </c>
      <c r="V106" s="317">
        <f t="shared" si="50"/>
        <v>880251835.97000015</v>
      </c>
      <c r="W106" s="317">
        <f t="shared" si="50"/>
        <v>4143016465.7999997</v>
      </c>
      <c r="X106" s="317">
        <f t="shared" si="50"/>
        <v>1683861343.1799998</v>
      </c>
      <c r="Y106" s="318">
        <f t="shared" si="50"/>
        <v>167421357.00000003</v>
      </c>
      <c r="Z106" s="319">
        <f t="shared" si="50"/>
        <v>-154788535</v>
      </c>
      <c r="AA106" s="320">
        <f>AA11+AA30+AA49+AA68+AA87</f>
        <v>46657</v>
      </c>
      <c r="AB106" s="294">
        <f t="shared" si="50"/>
        <v>25562528.48</v>
      </c>
      <c r="AC106" s="320">
        <f>AC11+AC30+AC49+AC68+AC87</f>
        <v>5.57</v>
      </c>
      <c r="AD106" s="291">
        <f t="shared" si="54"/>
        <v>-164192656.97000003</v>
      </c>
      <c r="AE106" s="291">
        <f>AE11+AE30+AE49+AE68+AE87</f>
        <v>-1394589655.4099998</v>
      </c>
      <c r="AF106" s="322">
        <f>SUM(U106:AD106)</f>
        <v>7481583438.079999</v>
      </c>
      <c r="AG106" s="522">
        <f>AF106-O106</f>
        <v>9.999847412109375E-2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11508947206.76</v>
      </c>
      <c r="E107" s="292">
        <f t="shared" ref="E107:F108" si="58">E12+E31+E50+E69+E88</f>
        <v>651620353.97000015</v>
      </c>
      <c r="F107" s="292">
        <f t="shared" si="58"/>
        <v>362076890.99000001</v>
      </c>
      <c r="G107" s="292">
        <f t="shared" ref="G107" si="59">G12+G31+G50+G69+G88</f>
        <v>191424494.84999999</v>
      </c>
      <c r="H107" s="292">
        <f t="shared" si="49"/>
        <v>2850519494.2000003</v>
      </c>
      <c r="I107" s="292">
        <f t="shared" si="49"/>
        <v>98433844.099999994</v>
      </c>
      <c r="J107" s="288">
        <f t="shared" si="49"/>
        <v>38133905.800000012</v>
      </c>
      <c r="K107" s="295">
        <f t="shared" si="52"/>
        <v>7316738222.8499994</v>
      </c>
      <c r="L107" s="294">
        <f>L12+L31+L50+L69+L88</f>
        <v>120391083</v>
      </c>
      <c r="M107" s="295">
        <f>K107-L107</f>
        <v>7196347139.8499994</v>
      </c>
      <c r="N107" s="294">
        <f>N12+N31+N50+N69+N88</f>
        <v>23185407.98</v>
      </c>
      <c r="O107" s="295">
        <f>M107+N107</f>
        <v>7219532547.829999</v>
      </c>
      <c r="Q107" s="306"/>
      <c r="S107" s="314">
        <v>4</v>
      </c>
      <c r="T107" s="315" t="s">
        <v>13</v>
      </c>
      <c r="U107" s="316">
        <f t="shared" si="50"/>
        <v>863496515.32999992</v>
      </c>
      <c r="V107" s="317">
        <f t="shared" si="50"/>
        <v>850915238.78999996</v>
      </c>
      <c r="W107" s="317">
        <f t="shared" si="50"/>
        <v>4336930905.7300014</v>
      </c>
      <c r="X107" s="317">
        <f t="shared" si="50"/>
        <v>1725012318.6899998</v>
      </c>
      <c r="Y107" s="318">
        <f t="shared" si="50"/>
        <v>160878230.38000003</v>
      </c>
      <c r="Z107" s="319">
        <f t="shared" si="50"/>
        <v>-120391083</v>
      </c>
      <c r="AA107" s="320">
        <f>AA12+AA31+AA50+AA69+AA88</f>
        <v>-64310.54</v>
      </c>
      <c r="AB107" s="294">
        <f t="shared" si="50"/>
        <v>23185407.98</v>
      </c>
      <c r="AC107" s="320">
        <f>AC12+AC31+AC50+AC69+AC88</f>
        <v>181.07</v>
      </c>
      <c r="AD107" s="291">
        <f t="shared" si="54"/>
        <v>-620430856.60000014</v>
      </c>
      <c r="AE107" s="291">
        <f>AE12+AE31+AE50+AE69+AE88</f>
        <v>-582296950.80000007</v>
      </c>
      <c r="AF107" s="322">
        <f>SUM(U107:AD107)</f>
        <v>7219532547.8299999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9147179378.3299999</v>
      </c>
      <c r="E108" s="297">
        <f t="shared" si="58"/>
        <v>501141808.77999997</v>
      </c>
      <c r="F108" s="297">
        <f t="shared" si="58"/>
        <v>279950730.87</v>
      </c>
      <c r="G108" s="297">
        <f t="shared" ref="G108" si="60">G13+G32+G51+G70+G89</f>
        <v>148242908.43000001</v>
      </c>
      <c r="H108" s="297">
        <f t="shared" si="49"/>
        <v>2100067179.73</v>
      </c>
      <c r="I108" s="297">
        <f t="shared" si="49"/>
        <v>75390757.040000021</v>
      </c>
      <c r="J108" s="289">
        <f t="shared" si="49"/>
        <v>-1224100690.4600003</v>
      </c>
      <c r="K108" s="295">
        <f t="shared" si="52"/>
        <v>7266486683.9399986</v>
      </c>
      <c r="L108" s="294">
        <f>L13+L32+L51+L70+L89</f>
        <v>128990445</v>
      </c>
      <c r="M108" s="298">
        <f>K108-L108</f>
        <v>7137496238.9399986</v>
      </c>
      <c r="N108" s="299">
        <f>N13+N32+N51+N70+N89</f>
        <v>32575938.379999999</v>
      </c>
      <c r="O108" s="298">
        <f t="shared" si="53"/>
        <v>7170072177.3199987</v>
      </c>
      <c r="Q108" s="306"/>
      <c r="S108" s="324">
        <v>5</v>
      </c>
      <c r="T108" s="325" t="s">
        <v>14</v>
      </c>
      <c r="U108" s="296">
        <f t="shared" si="50"/>
        <v>661834829.70999992</v>
      </c>
      <c r="V108" s="297">
        <f t="shared" si="50"/>
        <v>643876201.64999986</v>
      </c>
      <c r="W108" s="297">
        <f t="shared" si="50"/>
        <v>3304216945.4500003</v>
      </c>
      <c r="X108" s="297">
        <f t="shared" si="50"/>
        <v>1500679343.6099999</v>
      </c>
      <c r="Y108" s="289">
        <f t="shared" si="50"/>
        <v>123096144.54000001</v>
      </c>
      <c r="Z108" s="319">
        <f t="shared" si="50"/>
        <v>-128990445</v>
      </c>
      <c r="AA108" s="320">
        <f>AA13+AA32+AA51+AA70+AA89</f>
        <v>-16582.77</v>
      </c>
      <c r="AB108" s="294">
        <f t="shared" si="50"/>
        <v>32575938.379999999</v>
      </c>
      <c r="AC108" s="320">
        <f>AC13+AC32+AC51+AC70+AC89</f>
        <v>-105.68</v>
      </c>
      <c r="AD108" s="291">
        <f>-J108+AE108</f>
        <v>1032799907.4300003</v>
      </c>
      <c r="AE108" s="291">
        <f>AE13+AE32+AE51+AE70+AE89</f>
        <v>-191300783.03</v>
      </c>
      <c r="AF108" s="322">
        <f>SUM(U108:AD108)</f>
        <v>7170072177.3199987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63145073622.740005</v>
      </c>
      <c r="E109" s="290">
        <f t="shared" si="61"/>
        <v>3962440671.7600002</v>
      </c>
      <c r="F109" s="290">
        <f t="shared" si="61"/>
        <v>2206706778.6299996</v>
      </c>
      <c r="G109" s="290">
        <f t="shared" ref="G109" si="62">SUM(G104:G108)</f>
        <v>1167119710.3999999</v>
      </c>
      <c r="H109" s="290">
        <f t="shared" si="61"/>
        <v>17385351209.209999</v>
      </c>
      <c r="I109" s="290">
        <f t="shared" si="61"/>
        <v>611123706.21000004</v>
      </c>
      <c r="J109" s="290">
        <f t="shared" si="61"/>
        <v>-4920287863.7799988</v>
      </c>
      <c r="K109" s="300">
        <f t="shared" si="61"/>
        <v>42732619410.309998</v>
      </c>
      <c r="L109" s="301">
        <f t="shared" si="61"/>
        <v>859936305</v>
      </c>
      <c r="M109" s="302">
        <f t="shared" si="61"/>
        <v>41872683105.309998</v>
      </c>
      <c r="N109" s="301">
        <f t="shared" si="61"/>
        <v>155575618.14000002</v>
      </c>
      <c r="O109" s="302">
        <f>SUM(O104:O108)</f>
        <v>42028258723.449997</v>
      </c>
      <c r="P109" s="329"/>
      <c r="Q109" s="306"/>
      <c r="S109" s="327"/>
      <c r="T109" s="328" t="s">
        <v>2</v>
      </c>
      <c r="U109" s="330">
        <f>SUM(U104:U108)</f>
        <v>5364203796.9899998</v>
      </c>
      <c r="V109" s="330">
        <f t="shared" ref="V109:AF109" si="63">SUM(V104:V108)</f>
        <v>5229794959.1299992</v>
      </c>
      <c r="W109" s="330">
        <f t="shared" si="63"/>
        <v>25191143292.760006</v>
      </c>
      <c r="X109" s="330">
        <f t="shared" si="63"/>
        <v>9794349623.9200001</v>
      </c>
      <c r="Y109" s="330">
        <f t="shared" si="63"/>
        <v>997734090.20999992</v>
      </c>
      <c r="Z109" s="290">
        <f t="shared" si="63"/>
        <v>-859936305</v>
      </c>
      <c r="AA109" s="290">
        <f>SUM(AA104:AA108)</f>
        <v>-19698.52</v>
      </c>
      <c r="AB109" s="290">
        <f t="shared" si="63"/>
        <v>155575618.14000002</v>
      </c>
      <c r="AC109" s="290">
        <f>SUM(AC104:AC108)</f>
        <v>-56333.840000000004</v>
      </c>
      <c r="AD109" s="290">
        <f t="shared" si="63"/>
        <v>-3844530320.2400007</v>
      </c>
      <c r="AE109" s="290">
        <f>SUM(AE104:AE108)</f>
        <v>-8764818184.0200005</v>
      </c>
      <c r="AF109" s="331">
        <f t="shared" si="63"/>
        <v>42028258723.549995</v>
      </c>
      <c r="AG109" s="524">
        <f>SUM(AG104:AG108)</f>
        <v>9.999847412109375E-2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46577225763.010002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33419430.490000002</v>
      </c>
      <c r="E125" s="309">
        <v>0</v>
      </c>
      <c r="G125" s="336">
        <f>D47+N47</f>
        <v>42680</v>
      </c>
      <c r="H125" s="310">
        <f>D28+N28</f>
        <v>34844954.140000001</v>
      </c>
      <c r="I125" s="309">
        <f>D85+N85</f>
        <v>0</v>
      </c>
      <c r="J125" s="309">
        <f>D66+N66</f>
        <v>-3544507.29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88020913.75</v>
      </c>
      <c r="E126" s="288">
        <v>0</v>
      </c>
      <c r="G126" s="339">
        <f>D48+N48</f>
        <v>0</v>
      </c>
      <c r="H126" s="340">
        <f>D29+N29</f>
        <v>101713470.22999999</v>
      </c>
      <c r="I126" s="288">
        <f>D86+N86</f>
        <v>0</v>
      </c>
      <c r="J126" s="288">
        <f>D67+N67</f>
        <v>-8739602.3699999992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8946171</v>
      </c>
      <c r="E127" s="288">
        <v>0</v>
      </c>
      <c r="G127" s="339">
        <f>D49+N49</f>
        <v>169120</v>
      </c>
      <c r="H127" s="340">
        <f>D30+N30</f>
        <v>23629213.850000001</v>
      </c>
      <c r="I127" s="288">
        <f>D87+N87</f>
        <v>0</v>
      </c>
      <c r="J127" s="288">
        <f t="shared" ref="J127:J129" si="64">D68+N68</f>
        <v>-6125983.8899999997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41072279.719999999</v>
      </c>
      <c r="E128" s="288">
        <v>0</v>
      </c>
      <c r="G128" s="339">
        <f>D50+N50</f>
        <v>8635714</v>
      </c>
      <c r="H128" s="340">
        <f>D31+N31</f>
        <v>23548210.240000002</v>
      </c>
      <c r="I128" s="288">
        <f>D88+N88</f>
        <v>0</v>
      </c>
      <c r="J128" s="288">
        <f t="shared" si="64"/>
        <v>-22250059.780000001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14445987</v>
      </c>
      <c r="E129" s="344">
        <v>0</v>
      </c>
      <c r="G129" s="339">
        <f>D51+N51</f>
        <v>61140</v>
      </c>
      <c r="H129" s="340">
        <f>D32+N32</f>
        <v>27520060.710000001</v>
      </c>
      <c r="I129" s="288">
        <f>D89+N89</f>
        <v>0</v>
      </c>
      <c r="J129" s="288">
        <f t="shared" si="64"/>
        <v>-9076100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185904781.96000001</v>
      </c>
      <c r="E131" s="350">
        <f>SUM(E125:E130)</f>
        <v>0</v>
      </c>
      <c r="F131" s="351"/>
      <c r="G131" s="350">
        <f t="shared" ref="G131" si="65">SUM(G125:G129)</f>
        <v>8908654</v>
      </c>
      <c r="H131" s="350">
        <f>SUM(H125:H130)</f>
        <v>211255909.17000002</v>
      </c>
      <c r="I131" s="350">
        <f>SUM(I125:I130)</f>
        <v>0</v>
      </c>
      <c r="J131" s="350">
        <f>SUM(J125:J130)</f>
        <v>-49736253.329999998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17514305642.849998</v>
      </c>
      <c r="E142" s="110">
        <f>'Recaudo EAAB Reciprocidad'!D21+'Recaudo EAAB + Ciud Limp'!D21+'Recaudo Directa Occidente'!D21+'Recaudo ENEL'!D21+'Recaudo ENERBIT'!D21</f>
        <v>17482962516</v>
      </c>
      <c r="F142" s="110">
        <f>D28+N28</f>
        <v>34844954.140000001</v>
      </c>
      <c r="G142" s="110">
        <f>D66+N66</f>
        <v>-3544507.29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42680</v>
      </c>
      <c r="K142" s="111">
        <f t="shared" si="66"/>
        <v>34844954.140000001</v>
      </c>
      <c r="L142" s="597">
        <f>D142-E142-F142-G142-J142-H142-I142</f>
        <v>-1.5264376997947693E-6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14278994742.860001</v>
      </c>
      <c r="E143" s="18">
        <f>'Recaudo EAAB Reciprocidad'!D22+'Recaudo EAAB + Ciud Limp'!D22+'Recaudo Directa Occidente'!D22+'Recaudo ENEL'!D22+'Recaudo ENERBIT'!D22</f>
        <v>14185615645</v>
      </c>
      <c r="F143" s="18">
        <f>D29+N29</f>
        <v>101713470.22999999</v>
      </c>
      <c r="G143" s="18">
        <f>D67+N67</f>
        <v>-8739602.3699999992</v>
      </c>
      <c r="H143" s="18">
        <f>D86+N86</f>
        <v>0</v>
      </c>
      <c r="I143" s="18">
        <f>('REPORTE RECAUDO x BANCO'!E64+'REPORTE RECAUDO x BANCO'!E65+'REPORTE RECAUDO x BANCO'!E66+'REPORTE RECAUDO x BANCO'!E76)</f>
        <v>405230</v>
      </c>
      <c r="J143" s="18">
        <f>G126</f>
        <v>0</v>
      </c>
      <c r="K143" s="83">
        <f>H126</f>
        <v>101713470.22999999</v>
      </c>
      <c r="L143" s="597">
        <f>D143-E143-F143-G143-J143-H143-I143</f>
        <v>6.2026083469390869E-7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10925847438.960001</v>
      </c>
      <c r="E144" s="18">
        <f>'Recaudo EAAB Reciprocidad'!D23+'Recaudo EAAB + Ciud Limp'!D23+'Recaudo Directa Occidente'!D23+'Recaudo ENEL'!D23+'Recaudo ENERBIT'!D23</f>
        <v>10907983499</v>
      </c>
      <c r="F144" s="18">
        <f>D30+N30</f>
        <v>23629213.850000001</v>
      </c>
      <c r="G144" s="18">
        <f>D68+N68</f>
        <v>-6125983.8899999997</v>
      </c>
      <c r="H144" s="18">
        <f>D87+N87</f>
        <v>0</v>
      </c>
      <c r="I144" s="18">
        <f>('REPORTE RECAUDO x BANCO'!E67+'REPORTE RECAUDO x BANCO'!E68+'REPORTE RECAUDO x BANCO'!E77)</f>
        <v>191590</v>
      </c>
      <c r="J144" s="18">
        <f>G127</f>
        <v>169120</v>
      </c>
      <c r="K144" s="83">
        <f t="shared" si="66"/>
        <v>23629213.850000001</v>
      </c>
      <c r="L144" s="597">
        <f>D144-E144-F144-G144-J144-H144-I144</f>
        <v>9.8999589681625366E-7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11573204894.459999</v>
      </c>
      <c r="E145" s="18">
        <f>'Recaudo EAAB Reciprocidad'!D24+'Recaudo EAAB + Ciud Limp'!D24+'Recaudo Directa Occidente'!D24+'Recaudo ENEL'!D24+'Recaudo ENERBIT'!D24</f>
        <v>11562258440</v>
      </c>
      <c r="F145" s="18">
        <f>D31+N31</f>
        <v>23548210.240000002</v>
      </c>
      <c r="G145" s="18">
        <f>D69+N69</f>
        <v>-22250059.780000001</v>
      </c>
      <c r="H145" s="18">
        <f>D88+N88</f>
        <v>0</v>
      </c>
      <c r="I145" s="18">
        <f>('REPORTE RECAUDO x BANCO'!E69+'REPORTE RECAUDO x BANCO'!E70+'REPORTE RECAUDO x BANCO'!E71+'REPORTE RECAUDO x BANCO'!E78)</f>
        <v>1012590</v>
      </c>
      <c r="J145" s="18">
        <f t="shared" si="66"/>
        <v>8635714</v>
      </c>
      <c r="K145" s="83">
        <f>H128</f>
        <v>23548210.240000002</v>
      </c>
      <c r="L145" s="597">
        <f t="shared" ref="L145:L147" si="68">D145-E145-F145-G145-J145-H145-I145</f>
        <v>-9.1642141342163086E-7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9194201303.7099991</v>
      </c>
      <c r="E146" s="18">
        <f>'Recaudo EAAB Reciprocidad'!D25+'Recaudo EAAB + Ciud Limp'!D25+'Recaudo Directa Occidente'!D25+'Recaudo ENEL'!D25+'Recaudo ENERBIT'!D25</f>
        <v>9175344553</v>
      </c>
      <c r="F146" s="134">
        <f>D32+N32</f>
        <v>27520060.710000001</v>
      </c>
      <c r="G146" s="134">
        <f>D70+N70</f>
        <v>-9076100</v>
      </c>
      <c r="H146" s="134">
        <f>D89+N89</f>
        <v>0</v>
      </c>
      <c r="I146" s="134">
        <f>('REPORTE RECAUDO x BANCO'!E72+'REPORTE RECAUDO x BANCO'!E73+'REPORTE RECAUDO x BANCO'!E79)</f>
        <v>351650</v>
      </c>
      <c r="J146" s="134">
        <f t="shared" si="66"/>
        <v>61140</v>
      </c>
      <c r="K146" s="136">
        <f t="shared" si="66"/>
        <v>27520060.710000001</v>
      </c>
      <c r="L146" s="597">
        <f t="shared" si="68"/>
        <v>-9.1642141342163086E-7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63486554022.839996</v>
      </c>
      <c r="E147" s="47">
        <f>SUM(E142:E146)</f>
        <v>63314164653</v>
      </c>
      <c r="F147" s="47">
        <f t="shared" ref="F147:K147" si="69">SUM(F142:F146)</f>
        <v>211255909.17000002</v>
      </c>
      <c r="G147" s="47">
        <f t="shared" si="69"/>
        <v>-49736253.329999998</v>
      </c>
      <c r="H147" s="47">
        <f>SUM(H142:H146)</f>
        <v>0</v>
      </c>
      <c r="I147" s="47">
        <f t="shared" si="69"/>
        <v>1961060</v>
      </c>
      <c r="J147" s="47">
        <f t="shared" si="69"/>
        <v>8908654</v>
      </c>
      <c r="K147" s="47">
        <f t="shared" si="69"/>
        <v>211255909.17000002</v>
      </c>
      <c r="L147" s="597">
        <f t="shared" si="68"/>
        <v>-3.6805868148803711E-6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17482962516</v>
      </c>
      <c r="D3" s="292">
        <f>'CONSOLIDADO_TOTAL RECAUDO'!G125</f>
        <v>42680</v>
      </c>
      <c r="E3" s="292">
        <f>'CONSOLIDADO_TOTAL RECAUDO'!D28+'CONSOLIDADO_TOTAL RECAUDO'!N28</f>
        <v>34844954.140000001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17517850150.139999</v>
      </c>
      <c r="I3" s="291">
        <f>'CONSOLIDADO_TOTAL RECAUDO'!D104</f>
        <v>17450250542.779995</v>
      </c>
      <c r="J3" s="292">
        <f>'CONSOLIDADO_TOTAL RECAUDO'!N104</f>
        <v>30635669.579999998</v>
      </c>
      <c r="K3" s="292">
        <f>'CONSOLIDADO_TOTAL RECAUDO'!D125</f>
        <v>33419430.490000002</v>
      </c>
      <c r="L3" s="353">
        <f>'CONSOLIDADO_TOTAL RECAUDO'!E125</f>
        <v>0</v>
      </c>
      <c r="M3" s="292">
        <f>-'CONSOLIDADO_TOTAL RECAUDO'!D66-'CONSOLIDADO_TOTAL RECAUDO'!N66</f>
        <v>3544507.29</v>
      </c>
      <c r="N3" s="288">
        <f>SUM(I3:M3)</f>
        <v>17517850150.139999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14185615645</v>
      </c>
      <c r="D4" s="292">
        <f>'CONSOLIDADO_TOTAL RECAUDO'!G126</f>
        <v>0</v>
      </c>
      <c r="E4" s="292">
        <f>'CONSOLIDADO_TOTAL RECAUDO'!D29+'CONSOLIDADO_TOTAL RECAUDO'!N29</f>
        <v>101713470.22999999</v>
      </c>
      <c r="F4" s="292">
        <f>'CONSOLIDADO_TOTAL RECAUDO'!I143</f>
        <v>405230</v>
      </c>
      <c r="G4" s="292">
        <f>'CONSOLIDADO_TOTAL RECAUDO'!H143</f>
        <v>0</v>
      </c>
      <c r="H4" s="340">
        <f t="shared" ref="H4:H8" si="1">SUM(C4:G4)</f>
        <v>14287734345.23</v>
      </c>
      <c r="I4" s="291">
        <f>'CONSOLIDADO_TOTAL RECAUDO'!D105</f>
        <v>14147357755.390001</v>
      </c>
      <c r="J4" s="292">
        <f>'CONSOLIDADO_TOTAL RECAUDO'!N105</f>
        <v>43616073.719999999</v>
      </c>
      <c r="K4" s="292">
        <f>'CONSOLIDADO_TOTAL RECAUDO'!D126</f>
        <v>88020913.75</v>
      </c>
      <c r="L4" s="353">
        <f>'CONSOLIDADO_TOTAL RECAUDO'!E126</f>
        <v>0</v>
      </c>
      <c r="M4" s="292">
        <f>-'CONSOLIDADO_TOTAL RECAUDO'!D67-'CONSOLIDADO_TOTAL RECAUDO'!N67</f>
        <v>8739602.3699999992</v>
      </c>
      <c r="N4" s="318">
        <f>SUM(I4:M4)</f>
        <v>14287734345.230001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10907983499</v>
      </c>
      <c r="D5" s="292">
        <f>'CONSOLIDADO_TOTAL RECAUDO'!G127</f>
        <v>169120</v>
      </c>
      <c r="E5" s="292">
        <f>'CONSOLIDADO_TOTAL RECAUDO'!D30+'CONSOLIDADO_TOTAL RECAUDO'!N30</f>
        <v>23629213.850000001</v>
      </c>
      <c r="F5" s="292">
        <f>'CONSOLIDADO_TOTAL RECAUDO'!I144</f>
        <v>191590</v>
      </c>
      <c r="G5" s="292">
        <f>'CONSOLIDADO_TOTAL RECAUDO'!H144</f>
        <v>0</v>
      </c>
      <c r="H5" s="340">
        <f t="shared" si="1"/>
        <v>10931973422.85</v>
      </c>
      <c r="I5" s="291">
        <f>'CONSOLIDADO_TOTAL RECAUDO'!D106</f>
        <v>10891338739.480001</v>
      </c>
      <c r="J5" s="292">
        <f>'CONSOLIDADO_TOTAL RECAUDO'!N106</f>
        <v>25562528.48</v>
      </c>
      <c r="K5" s="292">
        <f>'CONSOLIDADO_TOTAL RECAUDO'!D127</f>
        <v>8946171</v>
      </c>
      <c r="L5" s="353">
        <f>'CONSOLIDADO_TOTAL RECAUDO'!E127</f>
        <v>0</v>
      </c>
      <c r="M5" s="292">
        <f>-'CONSOLIDADO_TOTAL RECAUDO'!D68-'CONSOLIDADO_TOTAL RECAUDO'!N68</f>
        <v>6125983.8899999997</v>
      </c>
      <c r="N5" s="318">
        <f>SUM(I5:M5)</f>
        <v>10931973422.85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11562258440</v>
      </c>
      <c r="D6" s="292">
        <f>'CONSOLIDADO_TOTAL RECAUDO'!G128</f>
        <v>8635714</v>
      </c>
      <c r="E6" s="292">
        <f>'CONSOLIDADO_TOTAL RECAUDO'!D31+'CONSOLIDADO_TOTAL RECAUDO'!N31</f>
        <v>23548210.240000002</v>
      </c>
      <c r="F6" s="292">
        <f>'CONSOLIDADO_TOTAL RECAUDO'!I145</f>
        <v>1012590</v>
      </c>
      <c r="G6" s="292">
        <f>'CONSOLIDADO_TOTAL RECAUDO'!H145</f>
        <v>0</v>
      </c>
      <c r="H6" s="340">
        <f t="shared" si="1"/>
        <v>11595454954.24</v>
      </c>
      <c r="I6" s="291">
        <f>'CONSOLIDADO_TOTAL RECAUDO'!D107</f>
        <v>11508947206.76</v>
      </c>
      <c r="J6" s="292">
        <f>'CONSOLIDADO_TOTAL RECAUDO'!N107</f>
        <v>23185407.98</v>
      </c>
      <c r="K6" s="292">
        <f>'CONSOLIDADO_TOTAL RECAUDO'!D128</f>
        <v>41072279.719999999</v>
      </c>
      <c r="L6" s="353">
        <f>'CONSOLIDADO_TOTAL RECAUDO'!E128</f>
        <v>0</v>
      </c>
      <c r="M6" s="292">
        <f>-'CONSOLIDADO_TOTAL RECAUDO'!D69-'CONSOLIDADO_TOTAL RECAUDO'!N69</f>
        <v>22250059.780000001</v>
      </c>
      <c r="N6" s="318">
        <f t="shared" ref="N6:N7" si="3">SUM(I6:M6)</f>
        <v>11595454954.24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9175344553</v>
      </c>
      <c r="D7" s="292">
        <f>'CONSOLIDADO_TOTAL RECAUDO'!G129</f>
        <v>61140</v>
      </c>
      <c r="E7" s="292">
        <f>'CONSOLIDADO_TOTAL RECAUDO'!D32+'CONSOLIDADO_TOTAL RECAUDO'!N32</f>
        <v>27520060.710000001</v>
      </c>
      <c r="F7" s="292">
        <f>'CONSOLIDADO_TOTAL RECAUDO'!I146</f>
        <v>351650</v>
      </c>
      <c r="G7" s="292">
        <f>'CONSOLIDADO_TOTAL RECAUDO'!H146</f>
        <v>0</v>
      </c>
      <c r="H7" s="340">
        <f>SUM(C7:G7)</f>
        <v>9203277403.7099991</v>
      </c>
      <c r="I7" s="291">
        <f>'CONSOLIDADO_TOTAL RECAUDO'!D108</f>
        <v>9147179378.3299999</v>
      </c>
      <c r="J7" s="292">
        <f>'CONSOLIDADO_TOTAL RECAUDO'!N108</f>
        <v>32575938.379999999</v>
      </c>
      <c r="K7" s="292">
        <f>'CONSOLIDADO_TOTAL RECAUDO'!D129</f>
        <v>14445987</v>
      </c>
      <c r="L7" s="353">
        <f>'CONSOLIDADO_TOTAL RECAUDO'!E129</f>
        <v>0</v>
      </c>
      <c r="M7" s="292">
        <f>-'CONSOLIDADO_TOTAL RECAUDO'!D70-'CONSOLIDADO_TOTAL RECAUDO'!N70</f>
        <v>9076100</v>
      </c>
      <c r="N7" s="318">
        <f t="shared" si="3"/>
        <v>9203277403.7099991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63314164653</v>
      </c>
      <c r="D9" s="290">
        <f t="shared" ref="D9:L9" si="4">SUM(D3:D8)</f>
        <v>8908654</v>
      </c>
      <c r="E9" s="290">
        <f t="shared" si="4"/>
        <v>211255909.17000002</v>
      </c>
      <c r="F9" s="290">
        <f t="shared" si="4"/>
        <v>1961060</v>
      </c>
      <c r="G9" s="290">
        <f t="shared" si="4"/>
        <v>0</v>
      </c>
      <c r="H9" s="290">
        <f>SUM(H3:H8)</f>
        <v>63536290276.169998</v>
      </c>
      <c r="I9" s="290">
        <f t="shared" si="4"/>
        <v>63145073622.740005</v>
      </c>
      <c r="J9" s="290">
        <f t="shared" si="4"/>
        <v>155575618.14000002</v>
      </c>
      <c r="K9" s="290">
        <f t="shared" si="4"/>
        <v>185904781.96000001</v>
      </c>
      <c r="L9" s="290">
        <f t="shared" si="4"/>
        <v>0</v>
      </c>
      <c r="M9" s="290">
        <f>SUM(M3:M8)</f>
        <v>49736253.329999998</v>
      </c>
      <c r="N9" s="290">
        <f>SUM(N3:N8)</f>
        <v>63536290276.169998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63314164653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19010440</v>
      </c>
      <c r="E20" s="695">
        <f>VALIDACION_RECIP!D9</f>
        <v>208970</v>
      </c>
      <c r="F20" s="695">
        <f>VALIDACION_RECIP!E9</f>
        <v>20863639.890000001</v>
      </c>
      <c r="G20" s="695">
        <f>VALIDACION_RECIP!F9</f>
        <v>0</v>
      </c>
      <c r="H20" s="695">
        <f>VALIDACION_RECIP!G9</f>
        <v>0</v>
      </c>
      <c r="I20" s="695">
        <f>VALIDACION_RECIP!H9</f>
        <v>40083049.890000001</v>
      </c>
      <c r="J20" s="695">
        <f>VALIDACION_RECIP!I9</f>
        <v>26413819.890000001</v>
      </c>
      <c r="K20" s="695">
        <f>VALIDACION_RECIP!J9</f>
        <v>0</v>
      </c>
      <c r="L20" s="695">
        <f>VALIDACION_RECIP!K9</f>
        <v>13407230</v>
      </c>
      <c r="M20" s="695">
        <f>VALIDACION_RECIP!L9</f>
        <v>0</v>
      </c>
      <c r="N20" s="695">
        <f>VALIDACION_RECIP!M9</f>
        <v>262000</v>
      </c>
      <c r="O20" s="695">
        <f>VALIDACION_RECIP!N9</f>
        <v>40083049.890000001</v>
      </c>
    </row>
    <row r="21" spans="3:18" x14ac:dyDescent="0.25">
      <c r="C21" s="167" t="s">
        <v>155</v>
      </c>
      <c r="D21" s="695">
        <f>VALIDACION_ENEL!C9</f>
        <v>59740889865</v>
      </c>
      <c r="E21" s="695">
        <f>VALIDACION_ENEL!D9</f>
        <v>8322850</v>
      </c>
      <c r="F21" s="695">
        <f>VALIDACION_ENEL!E9</f>
        <v>150594674.21999997</v>
      </c>
      <c r="G21" s="695">
        <f>VALIDACION_ENEL!F9</f>
        <v>1961060</v>
      </c>
      <c r="H21" s="695">
        <f>VALIDACION_ENEL!G9</f>
        <v>0</v>
      </c>
      <c r="I21" s="695">
        <f>VALIDACION_ENEL!H9</f>
        <v>59901768449.220001</v>
      </c>
      <c r="J21" s="695">
        <f>VALIDACION_ENEL!I9</f>
        <v>59677535897.490005</v>
      </c>
      <c r="K21" s="695">
        <f>VALIDACION_ENEL!J9</f>
        <v>80999589.399999991</v>
      </c>
      <c r="L21" s="695">
        <f>VALIDACION_ENEL!K9</f>
        <v>95923744</v>
      </c>
      <c r="M21" s="695">
        <f>VALIDACION_ENEL!L9</f>
        <v>0</v>
      </c>
      <c r="N21" s="695">
        <f>VALIDACION_ENEL!M9</f>
        <v>47309218.329999998</v>
      </c>
      <c r="O21" s="695">
        <f>VALIDACION_ENEL!N9</f>
        <v>59901768449.220009</v>
      </c>
    </row>
    <row r="22" spans="3:18" x14ac:dyDescent="0.25">
      <c r="C22" s="759" t="s">
        <v>325</v>
      </c>
      <c r="D22" s="695">
        <f>VALIDACION_ENERBIT!C9</f>
        <v>138550812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138550812</v>
      </c>
      <c r="J22" s="695">
        <f>VALIDACION_ENERBIT!I9</f>
        <v>137170902</v>
      </c>
      <c r="K22" s="695">
        <f>VALIDACION_ENERBIT!J9</f>
        <v>0</v>
      </c>
      <c r="L22" s="695">
        <f>VALIDACION_ENERBIT!K9</f>
        <v>1379910</v>
      </c>
      <c r="M22" s="695">
        <f>VALIDACION_ENERBIT!L9</f>
        <v>0</v>
      </c>
      <c r="N22" s="695">
        <f>VALIDACION_ENERBIT!M9</f>
        <v>0</v>
      </c>
      <c r="O22" s="695">
        <f>VALIDACION_ENERBIT!N9</f>
        <v>138550812</v>
      </c>
    </row>
    <row r="23" spans="3:18" x14ac:dyDescent="0.25">
      <c r="C23" s="212" t="s">
        <v>119</v>
      </c>
      <c r="D23" s="695">
        <f>VALIDACION_OCCIDENTE!C9</f>
        <v>3415713536</v>
      </c>
      <c r="E23" s="695">
        <f>VALIDACION_OCCIDENTE!D9</f>
        <v>376834</v>
      </c>
      <c r="F23" s="695">
        <f>VALIDACION_OCCIDENTE!E9</f>
        <v>39797595.060000002</v>
      </c>
      <c r="G23" s="695">
        <f>VALIDACION_OCCIDENTE!F9</f>
        <v>0</v>
      </c>
      <c r="H23" s="695">
        <f>VALIDACION_OCCIDENTE!G9</f>
        <v>0</v>
      </c>
      <c r="I23" s="695">
        <f>VALIDACION_OCCIDENTE!H9</f>
        <v>3455887965.0599999</v>
      </c>
      <c r="J23" s="695">
        <f>VALIDACION_OCCIDENTE!I9</f>
        <v>3303953003.3599997</v>
      </c>
      <c r="K23" s="695">
        <f>VALIDACION_OCCIDENTE!J9</f>
        <v>74576028.74000001</v>
      </c>
      <c r="L23" s="695">
        <f>VALIDACION_OCCIDENTE!K9</f>
        <v>75193897.960000008</v>
      </c>
      <c r="M23" s="695">
        <f>VALIDACION_OCCIDENTE!L9</f>
        <v>0</v>
      </c>
      <c r="N23" s="695">
        <f>VALIDACION_OCCIDENTE!M9</f>
        <v>2165035</v>
      </c>
      <c r="O23" s="695">
        <f>VALIDACION_OCCIDENTE!N9</f>
        <v>3455887965.0599999</v>
      </c>
    </row>
    <row r="24" spans="3:18" x14ac:dyDescent="0.25">
      <c r="D24" s="702">
        <f>SUM(D20:D23)</f>
        <v>63314164653</v>
      </c>
      <c r="E24" s="141">
        <f>SUM(E20:E23)</f>
        <v>8908654</v>
      </c>
      <c r="F24" s="141">
        <f>SUM(F20:F23)</f>
        <v>211255909.16999996</v>
      </c>
      <c r="G24" s="141">
        <f>SUM(G20:G23)</f>
        <v>1961060</v>
      </c>
      <c r="H24" s="141">
        <f t="shared" ref="H24:O24" si="5">SUM(H20:H23)</f>
        <v>0</v>
      </c>
      <c r="I24" s="141">
        <f t="shared" si="5"/>
        <v>63536290276.169998</v>
      </c>
      <c r="J24" s="141">
        <f t="shared" si="5"/>
        <v>63145073622.740005</v>
      </c>
      <c r="K24" s="141">
        <f t="shared" si="5"/>
        <v>155575618.13999999</v>
      </c>
      <c r="L24" s="141">
        <f t="shared" si="5"/>
        <v>185904781.96000001</v>
      </c>
      <c r="M24" s="141">
        <f t="shared" si="5"/>
        <v>0</v>
      </c>
      <c r="N24" s="141">
        <f t="shared" si="5"/>
        <v>49736253.329999998</v>
      </c>
      <c r="O24" s="141">
        <f t="shared" si="5"/>
        <v>63536290276.170006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26413819.890000001</v>
      </c>
      <c r="E29" s="695">
        <f>'REMUNERACION Reciprocidad EAAB'!N109</f>
        <v>0</v>
      </c>
      <c r="F29" s="695">
        <f>D29+E29</f>
        <v>26413819.890000001</v>
      </c>
      <c r="G29" s="703">
        <f>D20-F29</f>
        <v>-7403379.8900000006</v>
      </c>
      <c r="H29" s="695"/>
      <c r="I29" s="695">
        <f>'REMUNERACION Reciprocidad EAAB'!D131</f>
        <v>13407230</v>
      </c>
      <c r="J29" s="695"/>
      <c r="K29" s="695">
        <f>'REMUNERACION Reciprocidad EAAB'!G131</f>
        <v>208970</v>
      </c>
      <c r="L29" s="695">
        <f>'REMUNERACION Reciprocidad EAAB'!H131</f>
        <v>20863639.890000001</v>
      </c>
      <c r="M29" s="695">
        <f>'REMUNERACION Reciprocidad EAAB'!I131</f>
        <v>0</v>
      </c>
      <c r="N29" s="695">
        <f>+'REMUNERACION Reciprocidad EAAB'!J131</f>
        <v>-262000</v>
      </c>
      <c r="O29" s="695">
        <f>'REMUNERACION Reciprocidad EAAB'!I147</f>
        <v>0</v>
      </c>
      <c r="P29" s="703">
        <f>I29+J29-K29-L29-M29-N29-O29</f>
        <v>-7403379.8900000006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59677535897.490005</v>
      </c>
      <c r="E30" s="695">
        <f>REMUNERACION_ENEL!N109</f>
        <v>80999589.399999991</v>
      </c>
      <c r="F30" s="695">
        <f>D30+E30</f>
        <v>59758535486.890007</v>
      </c>
      <c r="G30" s="705">
        <f>D21-F30</f>
        <v>-17645621.890007019</v>
      </c>
      <c r="H30" s="695"/>
      <c r="I30" s="695">
        <f>REMUNERACION_ENEL!D131</f>
        <v>95923744</v>
      </c>
      <c r="J30" s="695"/>
      <c r="K30" s="695">
        <f>REMUNERACION_ENEL!G131</f>
        <v>8322850</v>
      </c>
      <c r="L30" s="695">
        <f>REMUNERACION_ENEL!H131</f>
        <v>150594674.21999997</v>
      </c>
      <c r="M30" s="695">
        <f>REMUNERACION_ENEL!I131</f>
        <v>0</v>
      </c>
      <c r="N30" s="695">
        <f>REMUNERACION_ENEL!J131</f>
        <v>-47309218.329999998</v>
      </c>
      <c r="O30" s="695">
        <f>REMUNERACION_ENEL!I147</f>
        <v>1961060</v>
      </c>
      <c r="P30" s="703">
        <f>I30+J30-K30-L30-M30-N30-O30</f>
        <v>-17645621.889999971</v>
      </c>
      <c r="Q30" s="704">
        <f>G30-P30</f>
        <v>-7.0482492446899414E-6</v>
      </c>
      <c r="R30" s="141"/>
    </row>
    <row r="31" spans="3:18" x14ac:dyDescent="0.25">
      <c r="C31" s="759" t="s">
        <v>325</v>
      </c>
      <c r="D31" s="695">
        <f>REMUNERACION_ENERBIT!D109</f>
        <v>137170902</v>
      </c>
      <c r="E31" s="695">
        <f>REMUNERACION_ENERBIT!N109</f>
        <v>0</v>
      </c>
      <c r="F31" s="695">
        <f>D31+E31</f>
        <v>137170902</v>
      </c>
      <c r="G31" s="705">
        <f>D22-F31</f>
        <v>1379910</v>
      </c>
      <c r="H31" s="695"/>
      <c r="I31" s="695">
        <f>REMUNERACION_ENERBIT!D131</f>
        <v>1379910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1379910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3303953003.3599997</v>
      </c>
      <c r="E32" s="695">
        <f>'REMUNERACION_OCCIDENTE_ Directa'!N109</f>
        <v>74576028.74000001</v>
      </c>
      <c r="F32" s="695">
        <f>D32+E32</f>
        <v>3378529032.0999994</v>
      </c>
      <c r="G32" s="705">
        <f>D23-F32</f>
        <v>37184503.900000572</v>
      </c>
      <c r="H32" s="695"/>
      <c r="I32" s="695">
        <f>'REMUNERACION_OCCIDENTE_ Directa'!D131</f>
        <v>75193897.960000008</v>
      </c>
      <c r="J32" s="695">
        <f>'CONSOLIDADO_TOTAL RECAUDO'!E131</f>
        <v>0</v>
      </c>
      <c r="K32" s="695">
        <f>'REMUNERACION_OCCIDENTE_ Directa'!G131</f>
        <v>376834</v>
      </c>
      <c r="L32" s="695">
        <f>'REMUNERACION_OCCIDENTE_ Directa'!H131</f>
        <v>39797595.060000002</v>
      </c>
      <c r="M32" s="695">
        <f>'REMUNERACION_OCCIDENTE_ Directa'!I131</f>
        <v>0</v>
      </c>
      <c r="N32" s="695">
        <f>'REMUNERACION_OCCIDENTE_ Directa'!J131</f>
        <v>-2165035</v>
      </c>
      <c r="O32" s="695">
        <f>'REMUNERACION_OCCIDENTE_ Directa'!I147</f>
        <v>0</v>
      </c>
      <c r="P32" s="703">
        <f t="shared" ref="P32" si="9">I32+J32-K32-L32-M32-N32-O32</f>
        <v>37184503.900000006</v>
      </c>
      <c r="Q32" s="704">
        <f t="shared" si="8"/>
        <v>5.6624412536621094E-7</v>
      </c>
      <c r="R32" s="141"/>
    </row>
    <row r="33" spans="4:17" x14ac:dyDescent="0.25">
      <c r="D33" s="695">
        <f>SUM(D29:D32)</f>
        <v>63145073622.740005</v>
      </c>
      <c r="E33" s="695">
        <f>SUM(E29:E32)</f>
        <v>155575618.13999999</v>
      </c>
      <c r="F33" s="706">
        <f>SUM(F29:F32)</f>
        <v>63300649240.880005</v>
      </c>
      <c r="G33" s="707">
        <f>D24-F33</f>
        <v>13515412.119995117</v>
      </c>
      <c r="H33" s="695"/>
      <c r="I33" s="695">
        <f>SUM(I29:I32)</f>
        <v>185904781.96000001</v>
      </c>
      <c r="J33" s="695">
        <f>SUM(J29:J32)</f>
        <v>0</v>
      </c>
      <c r="K33" s="695">
        <f>SUM(K29:K32)</f>
        <v>8908654</v>
      </c>
      <c r="L33" s="695">
        <f t="shared" ref="L33:N33" si="10">SUM(L29:L32)</f>
        <v>211255909.16999996</v>
      </c>
      <c r="M33" s="695">
        <f t="shared" si="10"/>
        <v>0</v>
      </c>
      <c r="N33" s="695">
        <f t="shared" si="10"/>
        <v>-49736253.329999998</v>
      </c>
      <c r="O33" s="695">
        <f>SUM(O29:O32)</f>
        <v>1961060</v>
      </c>
      <c r="P33" s="708">
        <f>SUM(P29:P32)</f>
        <v>13515412.120000035</v>
      </c>
      <c r="Q33" s="704">
        <f>SUM(Q29:Q32)</f>
        <v>-6.4820051193237305E-6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46266</v>
      </c>
      <c r="H7" s="45"/>
      <c r="I7" s="45"/>
      <c r="J7" s="555" t="s">
        <v>28</v>
      </c>
      <c r="K7" s="557">
        <f>'CONSOLIDADO_TOTAL RECAUDO'!K102</f>
        <v>46280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17450250542.779995</v>
      </c>
      <c r="E9" s="66">
        <f>'CONSOLIDADO_TOTAL RECAUDO'!E104</f>
        <v>1002730527.37</v>
      </c>
      <c r="F9" s="66">
        <f>'CONSOLIDADO_TOTAL RECAUDO'!F104</f>
        <v>559513165.82999992</v>
      </c>
      <c r="G9" s="66">
        <f>'CONSOLIDADO_TOTAL RECAUDO'!G104</f>
        <v>296340285.38</v>
      </c>
      <c r="H9" s="66">
        <f>'CONSOLIDADO_TOTAL RECAUDO'!H104</f>
        <v>4858821909</v>
      </c>
      <c r="I9" s="66">
        <f>'CONSOLIDADO_TOTAL RECAUDO'!I104</f>
        <v>182208476.03000003</v>
      </c>
      <c r="J9" s="66">
        <f>'CONSOLIDADO_TOTAL RECAUDO'!J104</f>
        <v>2589335716.54</v>
      </c>
      <c r="K9" s="30">
        <f>D9-E9-F9-G9-H9-I9-J9</f>
        <v>7961300462.6299944</v>
      </c>
      <c r="L9" s="66">
        <f>'CONSOLIDADO_TOTAL RECAUDO'!L104</f>
        <v>189185987</v>
      </c>
      <c r="M9" s="30">
        <f>K9-L9</f>
        <v>7772114475.6299944</v>
      </c>
      <c r="N9" s="66">
        <f>'CONSOLIDADO_TOTAL RECAUDO'!N104</f>
        <v>30635669.579999998</v>
      </c>
      <c r="O9" s="30">
        <f>M9+N9</f>
        <v>7802750145.2099943</v>
      </c>
      <c r="Q9" s="4"/>
      <c r="S9" s="14">
        <v>1</v>
      </c>
      <c r="T9" s="61" t="s">
        <v>10</v>
      </c>
      <c r="U9" s="66">
        <f>'CONSOLIDADO_TOTAL RECAUDO'!U104</f>
        <v>1599792140.1300001</v>
      </c>
      <c r="V9" s="66">
        <f>'CONSOLIDADO_TOTAL RECAUDO'!V104</f>
        <v>1528705400.8799999</v>
      </c>
      <c r="W9" s="66">
        <f>'CONSOLIDADO_TOTAL RECAUDO'!W104</f>
        <v>7192055638.8400002</v>
      </c>
      <c r="X9" s="66">
        <f>'CONSOLIDADO_TOTAL RECAUDO'!X104</f>
        <v>2730289262.8700004</v>
      </c>
      <c r="Y9" s="66">
        <f>'CONSOLIDADO_TOTAL RECAUDO'!Y104</f>
        <v>297320754.99000001</v>
      </c>
      <c r="Z9" s="66">
        <f>'CONSOLIDADO_TOTAL RECAUDO'!Z104</f>
        <v>-189185987</v>
      </c>
      <c r="AA9" s="66">
        <f>'CONSOLIDADO_TOTAL RECAUDO'!AA104</f>
        <v>-46885.63</v>
      </c>
      <c r="AB9" s="66">
        <f>'CONSOLIDADO_TOTAL RECAUDO'!AB104</f>
        <v>30635669.579999998</v>
      </c>
      <c r="AC9" s="66">
        <f>'CONSOLIDADO_TOTAL RECAUDO'!AC104</f>
        <v>392.74</v>
      </c>
      <c r="AD9" s="66">
        <f>'CONSOLIDADO_TOTAL RECAUDO'!AD104</f>
        <v>-5386816242.1900005</v>
      </c>
      <c r="AE9" s="66">
        <f>'CONSOLIDADO_TOTAL RECAUDO'!AE104</f>
        <v>-2797480525.6500001</v>
      </c>
      <c r="AF9" s="69">
        <f>SUM(U9:AD9)</f>
        <v>7802750145.210001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14147357755.390001</v>
      </c>
      <c r="E10" s="66">
        <f>'CONSOLIDADO_TOTAL RECAUDO'!E105</f>
        <v>1096241904.79</v>
      </c>
      <c r="F10" s="66">
        <f>'CONSOLIDADO_TOTAL RECAUDO'!F105</f>
        <v>607688510.58999991</v>
      </c>
      <c r="G10" s="66">
        <f>'CONSOLIDADO_TOTAL RECAUDO'!G105</f>
        <v>320746087.44</v>
      </c>
      <c r="H10" s="66">
        <f>'CONSOLIDADO_TOTAL RECAUDO'!H105</f>
        <v>4486156883.4699993</v>
      </c>
      <c r="I10" s="66">
        <f>'CONSOLIDADO_TOTAL RECAUDO'!I105</f>
        <v>152499569.92999998</v>
      </c>
      <c r="J10" s="66">
        <f>'CONSOLIDADO_TOTAL RECAUDO'!J105</f>
        <v>-5093259797.2199993</v>
      </c>
      <c r="K10" s="31">
        <f t="shared" ref="K10:K13" si="0">D10-E10-F10-G10-H10-I10-J10</f>
        <v>12577284596.390001</v>
      </c>
      <c r="L10" s="66">
        <f>'CONSOLIDADO_TOTAL RECAUDO'!L105</f>
        <v>266580255</v>
      </c>
      <c r="M10" s="31">
        <f>K10-L10</f>
        <v>12310704341.390001</v>
      </c>
      <c r="N10" s="66">
        <f>'CONSOLIDADO_TOTAL RECAUDO'!N105</f>
        <v>43616073.719999999</v>
      </c>
      <c r="O10" s="31">
        <f t="shared" ref="O10:O13" si="1">M10+N10</f>
        <v>12354320415.110001</v>
      </c>
      <c r="Q10" s="4"/>
      <c r="S10" s="16">
        <v>2</v>
      </c>
      <c r="T10" s="62" t="s">
        <v>11</v>
      </c>
      <c r="U10" s="66">
        <f>'CONSOLIDADO_TOTAL RECAUDO'!U105</f>
        <v>1338675874.7699997</v>
      </c>
      <c r="V10" s="66">
        <f>'CONSOLIDADO_TOTAL RECAUDO'!V105</f>
        <v>1326046281.8399999</v>
      </c>
      <c r="W10" s="66">
        <f>'CONSOLIDADO_TOTAL RECAUDO'!W105</f>
        <v>6214923336.9400005</v>
      </c>
      <c r="X10" s="66">
        <f>'CONSOLIDADO_TOTAL RECAUDO'!X105</f>
        <v>2154507355.5699997</v>
      </c>
      <c r="Y10" s="66">
        <f>'CONSOLIDADO_TOTAL RECAUDO'!Y105</f>
        <v>249017603.29999998</v>
      </c>
      <c r="Z10" s="66">
        <f>'CONSOLIDADO_TOTAL RECAUDO'!Z105</f>
        <v>-266580255</v>
      </c>
      <c r="AA10" s="66">
        <f>'CONSOLIDADO_TOTAL RECAUDO'!AA105</f>
        <v>61423.42</v>
      </c>
      <c r="AB10" s="66">
        <f>'CONSOLIDADO_TOTAL RECAUDO'!AB105</f>
        <v>43616073.719999999</v>
      </c>
      <c r="AC10" s="66">
        <f>'CONSOLIDADO_TOTAL RECAUDO'!AC105</f>
        <v>-56807.54</v>
      </c>
      <c r="AD10" s="66">
        <f>'CONSOLIDADO_TOTAL RECAUDO'!AD105</f>
        <v>1294109528.0899997</v>
      </c>
      <c r="AE10" s="66">
        <f>'CONSOLIDADO_TOTAL RECAUDO'!AE105</f>
        <v>-3799150269.1299996</v>
      </c>
      <c r="AF10" s="70">
        <f>SUM(U10:AD10)</f>
        <v>12354320415.109997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10891338739.480001</v>
      </c>
      <c r="E11" s="66">
        <f>'CONSOLIDADO_TOTAL RECAUDO'!E106</f>
        <v>710706076.85000002</v>
      </c>
      <c r="F11" s="66">
        <f>'CONSOLIDADO_TOTAL RECAUDO'!F106</f>
        <v>397477480.34999996</v>
      </c>
      <c r="G11" s="66">
        <f>'CONSOLIDADO_TOTAL RECAUDO'!G106</f>
        <v>210365934.29999998</v>
      </c>
      <c r="H11" s="66">
        <f>'CONSOLIDADO_TOTAL RECAUDO'!H106</f>
        <v>3089785742.8100004</v>
      </c>
      <c r="I11" s="66">
        <f>'CONSOLIDADO_TOTAL RECAUDO'!I106</f>
        <v>102591059.10999998</v>
      </c>
      <c r="J11" s="66">
        <f>'CONSOLIDADO_TOTAL RECAUDO'!J106</f>
        <v>-1230396998.4399998</v>
      </c>
      <c r="K11" s="31">
        <f t="shared" si="0"/>
        <v>7610809444.500001</v>
      </c>
      <c r="L11" s="66">
        <f>'CONSOLIDADO_TOTAL RECAUDO'!L106</f>
        <v>154788535</v>
      </c>
      <c r="M11" s="31">
        <f>K11-L11</f>
        <v>7456020909.500001</v>
      </c>
      <c r="N11" s="66">
        <f>'CONSOLIDADO_TOTAL RECAUDO'!N106</f>
        <v>25562528.48</v>
      </c>
      <c r="O11" s="31">
        <f t="shared" si="1"/>
        <v>7481583437.9800005</v>
      </c>
      <c r="Q11" s="4"/>
      <c r="S11" s="16">
        <v>3</v>
      </c>
      <c r="T11" s="62" t="s">
        <v>12</v>
      </c>
      <c r="U11" s="66">
        <f>'CONSOLIDADO_TOTAL RECAUDO'!U106</f>
        <v>900404437.05000007</v>
      </c>
      <c r="V11" s="66">
        <f>'CONSOLIDADO_TOTAL RECAUDO'!V106</f>
        <v>880251835.97000015</v>
      </c>
      <c r="W11" s="66">
        <f>'CONSOLIDADO_TOTAL RECAUDO'!W106</f>
        <v>4143016465.7999997</v>
      </c>
      <c r="X11" s="66">
        <f>'CONSOLIDADO_TOTAL RECAUDO'!X106</f>
        <v>1683861343.1799998</v>
      </c>
      <c r="Y11" s="66">
        <f>'CONSOLIDADO_TOTAL RECAUDO'!Y106</f>
        <v>167421357.00000003</v>
      </c>
      <c r="Z11" s="66">
        <f>'CONSOLIDADO_TOTAL RECAUDO'!Z106</f>
        <v>-154788535</v>
      </c>
      <c r="AA11" s="66">
        <f>'CONSOLIDADO_TOTAL RECAUDO'!AA106</f>
        <v>46657</v>
      </c>
      <c r="AB11" s="66">
        <f>'CONSOLIDADO_TOTAL RECAUDO'!AB106</f>
        <v>25562528.48</v>
      </c>
      <c r="AC11" s="66">
        <f>'CONSOLIDADO_TOTAL RECAUDO'!AC106</f>
        <v>5.57</v>
      </c>
      <c r="AD11" s="66">
        <f>'CONSOLIDADO_TOTAL RECAUDO'!AD106</f>
        <v>-164192656.97000003</v>
      </c>
      <c r="AE11" s="66">
        <f>'CONSOLIDADO_TOTAL RECAUDO'!AE106</f>
        <v>-1394589655.4099998</v>
      </c>
      <c r="AF11" s="70">
        <f>SUM(U11:AD11)</f>
        <v>7481583438.079999</v>
      </c>
      <c r="AG11" s="72">
        <f>AF11-O11</f>
        <v>9.999847412109375E-2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11508947206.76</v>
      </c>
      <c r="E12" s="66">
        <f>'CONSOLIDADO_TOTAL RECAUDO'!E107</f>
        <v>651620353.97000015</v>
      </c>
      <c r="F12" s="66">
        <f>'CONSOLIDADO_TOTAL RECAUDO'!F107</f>
        <v>362076890.99000001</v>
      </c>
      <c r="G12" s="66">
        <f>'CONSOLIDADO_TOTAL RECAUDO'!G107</f>
        <v>191424494.84999999</v>
      </c>
      <c r="H12" s="66">
        <f>'CONSOLIDADO_TOTAL RECAUDO'!H107</f>
        <v>2850519494.2000003</v>
      </c>
      <c r="I12" s="66">
        <f>'CONSOLIDADO_TOTAL RECAUDO'!I107</f>
        <v>98433844.099999994</v>
      </c>
      <c r="J12" s="66">
        <f>'CONSOLIDADO_TOTAL RECAUDO'!J107</f>
        <v>38133905.800000012</v>
      </c>
      <c r="K12" s="31">
        <f t="shared" si="0"/>
        <v>7316738222.8499994</v>
      </c>
      <c r="L12" s="66">
        <f>'CONSOLIDADO_TOTAL RECAUDO'!L107</f>
        <v>120391083</v>
      </c>
      <c r="M12" s="31">
        <f>K12-L12</f>
        <v>7196347139.8499994</v>
      </c>
      <c r="N12" s="66">
        <f>'CONSOLIDADO_TOTAL RECAUDO'!N107</f>
        <v>23185407.98</v>
      </c>
      <c r="O12" s="31">
        <f t="shared" si="1"/>
        <v>7219532547.829999</v>
      </c>
      <c r="Q12" s="4"/>
      <c r="S12" s="16">
        <v>4</v>
      </c>
      <c r="T12" s="62" t="s">
        <v>13</v>
      </c>
      <c r="U12" s="66">
        <f>'CONSOLIDADO_TOTAL RECAUDO'!U107</f>
        <v>863496515.32999992</v>
      </c>
      <c r="V12" s="66">
        <f>'CONSOLIDADO_TOTAL RECAUDO'!V107</f>
        <v>850915238.78999996</v>
      </c>
      <c r="W12" s="66">
        <f>'CONSOLIDADO_TOTAL RECAUDO'!W107</f>
        <v>4336930905.7300014</v>
      </c>
      <c r="X12" s="66">
        <f>'CONSOLIDADO_TOTAL RECAUDO'!X107</f>
        <v>1725012318.6899998</v>
      </c>
      <c r="Y12" s="66">
        <f>'CONSOLIDADO_TOTAL RECAUDO'!Y107</f>
        <v>160878230.38000003</v>
      </c>
      <c r="Z12" s="66">
        <f>'CONSOLIDADO_TOTAL RECAUDO'!Z107</f>
        <v>-120391083</v>
      </c>
      <c r="AA12" s="66">
        <f>'CONSOLIDADO_TOTAL RECAUDO'!AA107</f>
        <v>-64310.54</v>
      </c>
      <c r="AB12" s="66">
        <f>'CONSOLIDADO_TOTAL RECAUDO'!AB107</f>
        <v>23185407.98</v>
      </c>
      <c r="AC12" s="66">
        <f>'CONSOLIDADO_TOTAL RECAUDO'!AC107</f>
        <v>181.07</v>
      </c>
      <c r="AD12" s="66">
        <f>'CONSOLIDADO_TOTAL RECAUDO'!AD107</f>
        <v>-620430856.60000014</v>
      </c>
      <c r="AE12" s="66">
        <f>'CONSOLIDADO_TOTAL RECAUDO'!AE107</f>
        <v>-582296950.80000007</v>
      </c>
      <c r="AF12" s="70">
        <f>SUM(U12:AD12)</f>
        <v>7219532547.8299999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9147179378.3299999</v>
      </c>
      <c r="E13" s="66">
        <f>'CONSOLIDADO_TOTAL RECAUDO'!E108</f>
        <v>501141808.77999997</v>
      </c>
      <c r="F13" s="66">
        <f>'CONSOLIDADO_TOTAL RECAUDO'!F108</f>
        <v>279950730.87</v>
      </c>
      <c r="G13" s="66">
        <f>'CONSOLIDADO_TOTAL RECAUDO'!G108</f>
        <v>148242908.43000001</v>
      </c>
      <c r="H13" s="66">
        <f>'CONSOLIDADO_TOTAL RECAUDO'!H108</f>
        <v>2100067179.73</v>
      </c>
      <c r="I13" s="66">
        <f>'CONSOLIDADO_TOTAL RECAUDO'!I108</f>
        <v>75390757.040000021</v>
      </c>
      <c r="J13" s="66">
        <f>'CONSOLIDADO_TOTAL RECAUDO'!J108</f>
        <v>-1224100690.4600003</v>
      </c>
      <c r="K13" s="31">
        <f t="shared" si="0"/>
        <v>7266486683.9399986</v>
      </c>
      <c r="L13" s="66">
        <f>'CONSOLIDADO_TOTAL RECAUDO'!L108</f>
        <v>128990445</v>
      </c>
      <c r="M13" s="40">
        <f>K13-L13</f>
        <v>7137496238.9399986</v>
      </c>
      <c r="N13" s="66">
        <f>'CONSOLIDADO_TOTAL RECAUDO'!N108</f>
        <v>32575938.379999999</v>
      </c>
      <c r="O13" s="40">
        <f t="shared" si="1"/>
        <v>7170072177.3199987</v>
      </c>
      <c r="Q13" s="4"/>
      <c r="S13" s="19">
        <v>5</v>
      </c>
      <c r="T13" s="63" t="s">
        <v>14</v>
      </c>
      <c r="U13" s="66">
        <f>'CONSOLIDADO_TOTAL RECAUDO'!U108</f>
        <v>661834829.70999992</v>
      </c>
      <c r="V13" s="66">
        <f>'CONSOLIDADO_TOTAL RECAUDO'!V108</f>
        <v>643876201.64999986</v>
      </c>
      <c r="W13" s="66">
        <f>'CONSOLIDADO_TOTAL RECAUDO'!W108</f>
        <v>3304216945.4500003</v>
      </c>
      <c r="X13" s="66">
        <f>'CONSOLIDADO_TOTAL RECAUDO'!X108</f>
        <v>1500679343.6099999</v>
      </c>
      <c r="Y13" s="66">
        <f>'CONSOLIDADO_TOTAL RECAUDO'!Y108</f>
        <v>123096144.54000001</v>
      </c>
      <c r="Z13" s="66">
        <f>'CONSOLIDADO_TOTAL RECAUDO'!Z108</f>
        <v>-128990445</v>
      </c>
      <c r="AA13" s="66">
        <f>'CONSOLIDADO_TOTAL RECAUDO'!AA108</f>
        <v>-16582.77</v>
      </c>
      <c r="AB13" s="66">
        <f>'CONSOLIDADO_TOTAL RECAUDO'!AB108</f>
        <v>32575938.379999999</v>
      </c>
      <c r="AC13" s="66">
        <f>'CONSOLIDADO_TOTAL RECAUDO'!AC108</f>
        <v>-105.68</v>
      </c>
      <c r="AD13" s="66">
        <f>'CONSOLIDADO_TOTAL RECAUDO'!AD108</f>
        <v>1032799907.4300003</v>
      </c>
      <c r="AE13" s="66">
        <f>'CONSOLIDADO_TOTAL RECAUDO'!AE108</f>
        <v>-191300783.03</v>
      </c>
      <c r="AF13" s="70">
        <f>SUM(U13:AD13)</f>
        <v>7170072177.3199987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63145073622.740005</v>
      </c>
      <c r="E14" s="43">
        <f t="shared" si="3"/>
        <v>3962440671.7600002</v>
      </c>
      <c r="F14" s="43">
        <f t="shared" si="3"/>
        <v>2206706778.6299996</v>
      </c>
      <c r="G14" s="43">
        <f t="shared" si="3"/>
        <v>1167119710.3999999</v>
      </c>
      <c r="H14" s="43">
        <f t="shared" si="3"/>
        <v>17385351209.209999</v>
      </c>
      <c r="I14" s="43">
        <f t="shared" si="3"/>
        <v>611123706.21000004</v>
      </c>
      <c r="J14" s="43">
        <f t="shared" si="3"/>
        <v>-4920287863.7799988</v>
      </c>
      <c r="K14" s="32">
        <f t="shared" si="3"/>
        <v>42732619410.309998</v>
      </c>
      <c r="L14" s="23">
        <f t="shared" si="3"/>
        <v>859936305</v>
      </c>
      <c r="M14" s="76">
        <f t="shared" si="3"/>
        <v>41872683105.309998</v>
      </c>
      <c r="N14" s="23">
        <f t="shared" si="3"/>
        <v>155575618.14000002</v>
      </c>
      <c r="O14" s="76">
        <f t="shared" si="3"/>
        <v>42028258723.449997</v>
      </c>
      <c r="P14" s="2"/>
      <c r="Q14" s="4"/>
      <c r="S14" s="21"/>
      <c r="T14" s="22" t="s">
        <v>2</v>
      </c>
      <c r="U14" s="43">
        <f>SUM(U9:U13)</f>
        <v>5364203796.9899998</v>
      </c>
      <c r="V14" s="43">
        <f t="shared" ref="V14:AG14" si="4">SUM(V9:V13)</f>
        <v>5229794959.1299992</v>
      </c>
      <c r="W14" s="43">
        <f t="shared" si="4"/>
        <v>25191143292.760006</v>
      </c>
      <c r="X14" s="43">
        <f t="shared" si="4"/>
        <v>9794349623.9200001</v>
      </c>
      <c r="Y14" s="43">
        <f t="shared" si="4"/>
        <v>997734090.20999992</v>
      </c>
      <c r="Z14" s="43">
        <f t="shared" si="4"/>
        <v>-859936305</v>
      </c>
      <c r="AA14" s="43">
        <f t="shared" si="4"/>
        <v>-19698.52</v>
      </c>
      <c r="AB14" s="43">
        <f t="shared" si="4"/>
        <v>155575618.14000002</v>
      </c>
      <c r="AC14" s="43">
        <f t="shared" si="4"/>
        <v>-56333.840000000004</v>
      </c>
      <c r="AD14" s="43">
        <f t="shared" ref="AD14" si="5">SUM(AD9:AD13)</f>
        <v>-3844530320.2400007</v>
      </c>
      <c r="AE14" s="43">
        <f>SUM(AE9:AE13)</f>
        <v>-8764818184.0200005</v>
      </c>
      <c r="AF14" s="68">
        <f t="shared" si="4"/>
        <v>42028258723.549995</v>
      </c>
      <c r="AG14" s="43">
        <f t="shared" si="4"/>
        <v>9.999847412109375E-2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46577225763.010002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33419430.490000002</v>
      </c>
      <c r="E30" s="111">
        <f>'CONSOLIDADO_TOTAL RECAUDO'!E125</f>
        <v>0</v>
      </c>
      <c r="G30" s="140">
        <f>'CONSOLIDADO_TOTAL RECAUDO'!G125</f>
        <v>42680</v>
      </c>
      <c r="H30" s="110">
        <f>'CONSOLIDADO_TOTAL RECAUDO'!H125</f>
        <v>34844954.140000001</v>
      </c>
      <c r="I30" s="111">
        <f>'CONSOLIDADO_TOTAL RECAUDO'!I125</f>
        <v>0</v>
      </c>
      <c r="J30" s="111">
        <f>'CONSOLIDADO_TOTAL RECAUDO'!J125</f>
        <v>-3544507.29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88020913.75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101713470.22999999</v>
      </c>
      <c r="I31" s="83">
        <f>'CONSOLIDADO_TOTAL RECAUDO'!I126</f>
        <v>0</v>
      </c>
      <c r="J31" s="83">
        <f>'CONSOLIDADO_TOTAL RECAUDO'!J126</f>
        <v>-8739602.3699999992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8946171</v>
      </c>
      <c r="E32" s="74">
        <f>'CONSOLIDADO_TOTAL RECAUDO'!E127</f>
        <v>0</v>
      </c>
      <c r="G32" s="82">
        <f>'CONSOLIDADO_TOTAL RECAUDO'!G127</f>
        <v>169120</v>
      </c>
      <c r="H32" s="18">
        <f>'CONSOLIDADO_TOTAL RECAUDO'!H127</f>
        <v>23629213.850000001</v>
      </c>
      <c r="I32" s="83">
        <f>'CONSOLIDADO_TOTAL RECAUDO'!I127</f>
        <v>0</v>
      </c>
      <c r="J32" s="83">
        <f>'CONSOLIDADO_TOTAL RECAUDO'!J127</f>
        <v>-6125983.8899999997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41072279.719999999</v>
      </c>
      <c r="E33" s="74">
        <f>'CONSOLIDADO_TOTAL RECAUDO'!E128</f>
        <v>0</v>
      </c>
      <c r="G33" s="82">
        <f>'CONSOLIDADO_TOTAL RECAUDO'!G128</f>
        <v>8635714</v>
      </c>
      <c r="H33" s="18">
        <f>'CONSOLIDADO_TOTAL RECAUDO'!H128</f>
        <v>23548210.240000002</v>
      </c>
      <c r="I33" s="83">
        <f>'CONSOLIDADO_TOTAL RECAUDO'!I128</f>
        <v>0</v>
      </c>
      <c r="J33" s="83">
        <f>'CONSOLIDADO_TOTAL RECAUDO'!J128</f>
        <v>-22250059.780000001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14445987</v>
      </c>
      <c r="E34" s="139">
        <f>'CONSOLIDADO_TOTAL RECAUDO'!E129</f>
        <v>0</v>
      </c>
      <c r="G34" s="82">
        <f>'CONSOLIDADO_TOTAL RECAUDO'!G129</f>
        <v>61140</v>
      </c>
      <c r="H34" s="18">
        <f>'CONSOLIDADO_TOTAL RECAUDO'!H129</f>
        <v>27520060.710000001</v>
      </c>
      <c r="I34" s="83">
        <f>'CONSOLIDADO_TOTAL RECAUDO'!I129</f>
        <v>0</v>
      </c>
      <c r="J34" s="83">
        <f>'CONSOLIDADO_TOTAL RECAUDO'!J129</f>
        <v>-9076100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185904781.96000001</v>
      </c>
      <c r="E36" s="107">
        <f>'CONSOLIDADO_TOTAL RECAUDO'!E131</f>
        <v>0</v>
      </c>
      <c r="F36" s="45"/>
      <c r="G36" s="107">
        <f t="shared" ref="G36" si="7">SUM(G30:G34)</f>
        <v>8908654</v>
      </c>
      <c r="H36" s="107">
        <f t="shared" ref="H36:L36" si="8">SUM(H30:H34)</f>
        <v>211255909.17000002</v>
      </c>
      <c r="I36" s="107">
        <f t="shared" si="8"/>
        <v>0</v>
      </c>
      <c r="J36" s="107">
        <f t="shared" ref="J36" si="9">SUM(J30:J34)</f>
        <v>-49736253.329999998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3445900</v>
      </c>
      <c r="E10" s="292">
        <f>'Reporte Componentes R1'!G328</f>
        <v>267464.13</v>
      </c>
      <c r="F10" s="292">
        <f>'Reporte Componentes R1'!H328</f>
        <v>147953.18</v>
      </c>
      <c r="G10" s="292">
        <f>'Reporte Componentes R1'!I328</f>
        <v>78179.08</v>
      </c>
      <c r="H10" s="292">
        <f>'Reporte Componentes R1'!J328</f>
        <v>1184623.3500000001</v>
      </c>
      <c r="I10" s="292">
        <f>'Reporte Componentes R1'!K328</f>
        <v>36371.93</v>
      </c>
      <c r="J10" s="288">
        <v>0</v>
      </c>
      <c r="K10" s="295">
        <f t="shared" ref="K10:K13" si="0">D10-E10-F10-G10-H10-I10-J10</f>
        <v>1731308.3299999998</v>
      </c>
      <c r="L10" s="294">
        <v>0</v>
      </c>
      <c r="M10" s="295">
        <f>K10-L10</f>
        <v>1731308.3299999998</v>
      </c>
      <c r="N10" s="294">
        <f>'Reporte Componentes R1'!L328</f>
        <v>0</v>
      </c>
      <c r="O10" s="295">
        <f t="shared" ref="O10:O12" si="1">M10+N10</f>
        <v>1731308.3299999998</v>
      </c>
      <c r="Q10" s="306"/>
      <c r="S10" s="314">
        <v>2</v>
      </c>
      <c r="T10" s="315" t="s">
        <v>11</v>
      </c>
      <c r="U10" s="316">
        <f>'Reporte Componentes R1'!M328</f>
        <v>313529.02</v>
      </c>
      <c r="V10" s="317">
        <f>'Reporte Componentes R1'!N328</f>
        <v>351306.01</v>
      </c>
      <c r="W10" s="317">
        <f>'Reporte Componentes R1'!O328</f>
        <v>1657290.85</v>
      </c>
      <c r="X10" s="317">
        <f>'Reporte Componentes R1'!P328</f>
        <v>516566.24</v>
      </c>
      <c r="Y10" s="318">
        <f>'Reporte Componentes R1'!Q328</f>
        <v>59343.8</v>
      </c>
      <c r="Z10" s="319">
        <f>L10*-1</f>
        <v>0</v>
      </c>
      <c r="AA10" s="320">
        <f>'Reporte Componentes R1'!R328+'Reporte Componentes R1'!V328+'Reporte Componentes R1'!U328</f>
        <v>28.27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1.3499999999999999</v>
      </c>
      <c r="AD10" s="291">
        <f t="shared" ref="AD10:AD13" si="2">-J10+AE10</f>
        <v>-1166757.21</v>
      </c>
      <c r="AE10" s="291">
        <f>'Reporte Componentes R1'!F329</f>
        <v>-1166757.21</v>
      </c>
      <c r="AF10" s="322">
        <f>SUM(U10:AD10)</f>
        <v>1731308.33</v>
      </c>
      <c r="AG10" s="522">
        <f>(AF10-O10)</f>
        <v>2.3283064365386963E-10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2157310</v>
      </c>
      <c r="E12" s="292">
        <f>'Reporte Componentes R1'!G697</f>
        <v>107058.24000000001</v>
      </c>
      <c r="F12" s="292">
        <f>'Reporte Componentes R1'!H697</f>
        <v>57977.77</v>
      </c>
      <c r="G12" s="292">
        <f>'Reporte Componentes R1'!I697</f>
        <v>32702.82</v>
      </c>
      <c r="H12" s="292">
        <f>'Reporte Componentes R1'!J697</f>
        <v>535922.02</v>
      </c>
      <c r="I12" s="292">
        <f>'Reporte Componentes R1'!K697</f>
        <v>18523.8</v>
      </c>
      <c r="J12" s="288">
        <v>0</v>
      </c>
      <c r="K12" s="295">
        <f t="shared" si="0"/>
        <v>1405125.3499999999</v>
      </c>
      <c r="L12" s="294">
        <v>0</v>
      </c>
      <c r="M12" s="295">
        <f>K12-L12</f>
        <v>1405125.3499999999</v>
      </c>
      <c r="N12" s="294">
        <f>'Reporte Componentes R1'!L697</f>
        <v>0</v>
      </c>
      <c r="O12" s="295">
        <f t="shared" si="1"/>
        <v>1405125.3499999999</v>
      </c>
      <c r="Q12" s="306"/>
      <c r="S12" s="314">
        <v>4</v>
      </c>
      <c r="T12" s="315" t="s">
        <v>13</v>
      </c>
      <c r="U12" s="316">
        <f>'Reporte Componentes R1'!M697</f>
        <v>162490.31</v>
      </c>
      <c r="V12" s="317">
        <f>'Reporte Componentes R1'!N697</f>
        <v>173660.97</v>
      </c>
      <c r="W12" s="317">
        <f>'Reporte Componentes R1'!O697</f>
        <v>895916.8</v>
      </c>
      <c r="X12" s="317">
        <f>'Reporte Componentes R1'!P697</f>
        <v>284989.5</v>
      </c>
      <c r="Y12" s="318">
        <f>'Reporte Componentes R1'!Q697</f>
        <v>32042.240000000002</v>
      </c>
      <c r="Z12" s="319">
        <f>L12*-1</f>
        <v>0</v>
      </c>
      <c r="AA12" s="320">
        <f>'Reporte Componentes R1'!R697+'Reporte Componentes R1'!V697+'Reporte Componentes R1'!U697</f>
        <v>-5.69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-143968.78</v>
      </c>
      <c r="AE12" s="291">
        <f>'Reporte Componentes R1'!F698</f>
        <v>-143968.78</v>
      </c>
      <c r="AF12" s="322">
        <f t="shared" si="4"/>
        <v>1405125.35</v>
      </c>
      <c r="AG12" s="522">
        <f>(AF12-O12)</f>
        <v>2.3283064365386963E-10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5603210</v>
      </c>
      <c r="E14" s="290">
        <f t="shared" ref="E14:O14" si="5">SUM(E9:E13)</f>
        <v>374522.37</v>
      </c>
      <c r="F14" s="290">
        <f t="shared" si="5"/>
        <v>205930.94999999998</v>
      </c>
      <c r="G14" s="290">
        <f t="shared" si="5"/>
        <v>110881.9</v>
      </c>
      <c r="H14" s="290">
        <f t="shared" si="5"/>
        <v>1720545.37</v>
      </c>
      <c r="I14" s="290">
        <f t="shared" si="5"/>
        <v>54895.729999999996</v>
      </c>
      <c r="J14" s="290">
        <f t="shared" si="5"/>
        <v>0</v>
      </c>
      <c r="K14" s="300">
        <f t="shared" si="5"/>
        <v>3136433.6799999997</v>
      </c>
      <c r="L14" s="301">
        <f>SUM(L9:L13)</f>
        <v>0</v>
      </c>
      <c r="M14" s="302">
        <f t="shared" si="5"/>
        <v>3136433.6799999997</v>
      </c>
      <c r="N14" s="301">
        <f t="shared" si="5"/>
        <v>0</v>
      </c>
      <c r="O14" s="302">
        <f t="shared" si="5"/>
        <v>3136433.6799999997</v>
      </c>
      <c r="P14" s="329"/>
      <c r="Q14" s="306"/>
      <c r="S14" s="327"/>
      <c r="T14" s="328" t="s">
        <v>2</v>
      </c>
      <c r="U14" s="330">
        <f>SUM(U9:U13)</f>
        <v>476019.33</v>
      </c>
      <c r="V14" s="330">
        <f t="shared" ref="V14:AF14" si="6">SUM(V9:V13)</f>
        <v>524966.98</v>
      </c>
      <c r="W14" s="330">
        <f t="shared" si="6"/>
        <v>2553207.6500000004</v>
      </c>
      <c r="X14" s="330">
        <f t="shared" si="6"/>
        <v>801555.74</v>
      </c>
      <c r="Y14" s="330">
        <f t="shared" si="6"/>
        <v>91386.040000000008</v>
      </c>
      <c r="Z14" s="290">
        <f t="shared" si="6"/>
        <v>0</v>
      </c>
      <c r="AA14" s="290">
        <f t="shared" si="6"/>
        <v>22.58</v>
      </c>
      <c r="AB14" s="290">
        <f t="shared" si="6"/>
        <v>0</v>
      </c>
      <c r="AC14" s="290">
        <f t="shared" si="6"/>
        <v>1.3499999999999999</v>
      </c>
      <c r="AD14" s="290">
        <f>SUM(AD9:AD13)</f>
        <v>-1310725.99</v>
      </c>
      <c r="AE14" s="290">
        <f>SUM(AE9:AE13)</f>
        <v>-1310725.99</v>
      </c>
      <c r="AF14" s="331">
        <f t="shared" si="6"/>
        <v>3136433.68</v>
      </c>
      <c r="AG14" s="524">
        <f>SUM(AG9:AG13)</f>
        <v>4.6566128730773926E-10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4447135.74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16022820.030000001</v>
      </c>
      <c r="E29" s="292">
        <f>'Rem. Anticipos R2'!F181</f>
        <v>1363563.72</v>
      </c>
      <c r="F29" s="292">
        <f>'Rem. Anticipos R2'!G181</f>
        <v>820950.66</v>
      </c>
      <c r="G29" s="292">
        <f>'Rem. Anticipos R2'!H181</f>
        <v>239170.27</v>
      </c>
      <c r="H29" s="292">
        <f>'Rem. Anticipos R2'!I181</f>
        <v>6922017.6500000004</v>
      </c>
      <c r="I29" s="292">
        <f>'Rem. Anticipos R2'!J181</f>
        <v>207742.91</v>
      </c>
      <c r="J29" s="288">
        <v>0</v>
      </c>
      <c r="K29" s="295">
        <f t="shared" ref="K29:K31" si="7">D29-E29-F29-G29-H29-I29-J29</f>
        <v>6469374.8200000003</v>
      </c>
      <c r="L29" s="294">
        <v>0</v>
      </c>
      <c r="M29" s="295">
        <f>K29-L29</f>
        <v>6469374.8200000003</v>
      </c>
      <c r="N29" s="294">
        <f>'Rem. Anticipos R2'!K181</f>
        <v>0</v>
      </c>
      <c r="O29" s="295">
        <f t="shared" ref="O29:O32" si="8">M29+N29</f>
        <v>6469374.8200000003</v>
      </c>
      <c r="Q29" s="306"/>
      <c r="S29" s="314">
        <v>2</v>
      </c>
      <c r="T29" s="315" t="s">
        <v>11</v>
      </c>
      <c r="U29" s="316">
        <f>'Rem. Anticipos R2'!L181</f>
        <v>2074279.74</v>
      </c>
      <c r="V29" s="317">
        <f>'Rem. Anticipos R2'!M181</f>
        <v>1766598.37</v>
      </c>
      <c r="W29" s="317">
        <f>'Rem. Anticipos R2'!N181</f>
        <v>7092923.6799999997</v>
      </c>
      <c r="X29" s="317">
        <f>'Rem. Anticipos R2'!O181</f>
        <v>2735733.96</v>
      </c>
      <c r="Y29" s="318">
        <f>'Rem. Anticipos R2'!P181</f>
        <v>224551.9</v>
      </c>
      <c r="Z29" s="319">
        <f>L29*-1</f>
        <v>0</v>
      </c>
      <c r="AA29" s="320">
        <f>'Rem. Anticipos R2'!Q181</f>
        <v>157.16999999999999</v>
      </c>
      <c r="AB29" s="294">
        <f>N29</f>
        <v>0</v>
      </c>
      <c r="AC29" s="320">
        <f>'Rem. Anticipos R2'!R181</f>
        <v>0</v>
      </c>
      <c r="AD29" s="291">
        <f>-J29+AE29</f>
        <v>-7424870</v>
      </c>
      <c r="AE29" s="291">
        <f>'Rem. Anticipos R2'!E182</f>
        <v>-7424870</v>
      </c>
      <c r="AF29" s="322">
        <f>SUM(U29:AD29)</f>
        <v>6469374.8200000003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4840819.8599999994</v>
      </c>
      <c r="E31" s="292">
        <f>'Rem. Anticipos R2'!F426</f>
        <v>279744.58</v>
      </c>
      <c r="F31" s="292">
        <f>'Rem. Anticipos R2'!G426</f>
        <v>162265.51</v>
      </c>
      <c r="G31" s="292">
        <f>'Rem. Anticipos R2'!H426</f>
        <v>60095.57</v>
      </c>
      <c r="H31" s="292">
        <f>'Rem. Anticipos R2'!I426</f>
        <v>1186334.92</v>
      </c>
      <c r="I31" s="292">
        <f>'Rem. Anticipos R2'!J426</f>
        <v>34753.74</v>
      </c>
      <c r="J31" s="288">
        <v>0</v>
      </c>
      <c r="K31" s="295">
        <f t="shared" si="7"/>
        <v>3117625.5399999991</v>
      </c>
      <c r="L31" s="294">
        <v>0</v>
      </c>
      <c r="M31" s="295">
        <f>K31-L31</f>
        <v>3117625.5399999991</v>
      </c>
      <c r="N31" s="294">
        <f>'Rem. Anticipos R2'!K426</f>
        <v>0</v>
      </c>
      <c r="O31" s="295">
        <f t="shared" si="8"/>
        <v>3117625.5399999991</v>
      </c>
      <c r="Q31" s="306"/>
      <c r="S31" s="314">
        <v>4</v>
      </c>
      <c r="T31" s="315" t="s">
        <v>13</v>
      </c>
      <c r="U31" s="316">
        <f>'Rem. Anticipos R2'!L426</f>
        <v>337364.43</v>
      </c>
      <c r="V31" s="317">
        <f>'Rem. Anticipos R2'!M426</f>
        <v>326316.08</v>
      </c>
      <c r="W31" s="317">
        <f>'Rem. Anticipos R2'!N426</f>
        <v>1543170.48</v>
      </c>
      <c r="X31" s="317">
        <f>'Rem. Anticipos R2'!O426</f>
        <v>781613.85</v>
      </c>
      <c r="Y31" s="318">
        <f>'Rem. Anticipos R2'!P426</f>
        <v>43697.84</v>
      </c>
      <c r="Z31" s="319">
        <f>L31*-1</f>
        <v>0</v>
      </c>
      <c r="AA31" s="320">
        <f>'Rem. Anticipos R2'!Q426</f>
        <v>9.76</v>
      </c>
      <c r="AB31" s="294">
        <f>N31</f>
        <v>0</v>
      </c>
      <c r="AC31" s="320">
        <f>'Rem. Anticipos R2'!R426</f>
        <v>0</v>
      </c>
      <c r="AD31" s="291">
        <f t="shared" si="10"/>
        <v>85453.1</v>
      </c>
      <c r="AE31" s="291">
        <f>'Rem. Anticipos R2'!E427</f>
        <v>85453.1</v>
      </c>
      <c r="AF31" s="322">
        <f>SUM(U31:AD31)</f>
        <v>3117625.54</v>
      </c>
      <c r="AG31" s="522">
        <f t="shared" si="11"/>
        <v>9.3132257461547852E-10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20863639.890000001</v>
      </c>
      <c r="E33" s="290">
        <f>SUM(E28:E32)</f>
        <v>1643308.3</v>
      </c>
      <c r="F33" s="290">
        <f t="shared" ref="F33:O33" si="12">SUM(F28:F32)</f>
        <v>983216.17</v>
      </c>
      <c r="G33" s="290">
        <f t="shared" si="12"/>
        <v>299265.83999999997</v>
      </c>
      <c r="H33" s="290">
        <f t="shared" si="12"/>
        <v>8108352.5700000003</v>
      </c>
      <c r="I33" s="290">
        <f t="shared" si="12"/>
        <v>242496.65</v>
      </c>
      <c r="J33" s="290">
        <f t="shared" si="12"/>
        <v>0</v>
      </c>
      <c r="K33" s="300">
        <f t="shared" si="12"/>
        <v>9587000.3599999994</v>
      </c>
      <c r="L33" s="301">
        <f t="shared" si="12"/>
        <v>0</v>
      </c>
      <c r="M33" s="302">
        <f t="shared" si="12"/>
        <v>9587000.3599999994</v>
      </c>
      <c r="N33" s="301">
        <f t="shared" si="12"/>
        <v>0</v>
      </c>
      <c r="O33" s="302">
        <f t="shared" si="12"/>
        <v>9587000.3599999994</v>
      </c>
      <c r="P33" s="329"/>
      <c r="Q33" s="306"/>
      <c r="S33" s="327"/>
      <c r="T33" s="328" t="s">
        <v>2</v>
      </c>
      <c r="U33" s="330">
        <f>SUM(U28:U32)</f>
        <v>2411644.17</v>
      </c>
      <c r="V33" s="330">
        <f t="shared" ref="V33:AG33" si="13">SUM(V28:V32)</f>
        <v>2092914.4500000002</v>
      </c>
      <c r="W33" s="330">
        <f t="shared" si="13"/>
        <v>8636094.1600000001</v>
      </c>
      <c r="X33" s="330">
        <f t="shared" si="13"/>
        <v>3517347.81</v>
      </c>
      <c r="Y33" s="330">
        <f t="shared" si="13"/>
        <v>268249.74</v>
      </c>
      <c r="Z33" s="290">
        <f t="shared" si="13"/>
        <v>0</v>
      </c>
      <c r="AA33" s="290">
        <f t="shared" si="13"/>
        <v>166.92999999999998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-7339416.9000000004</v>
      </c>
      <c r="AE33" s="290">
        <f>SUM(AE28:AE32)</f>
        <v>-7339416.9000000004</v>
      </c>
      <c r="AF33" s="331">
        <f t="shared" si="13"/>
        <v>9587000.3599999994</v>
      </c>
      <c r="AG33" s="524">
        <f t="shared" si="13"/>
        <v>9.3132257461547852E-10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16926250.330000002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208970</v>
      </c>
      <c r="E50" s="292">
        <f>'Reporte Componentes R1'!G699</f>
        <v>18444.439999999999</v>
      </c>
      <c r="F50" s="292">
        <f>'Reporte Componentes R1'!H699</f>
        <v>10402.530000000001</v>
      </c>
      <c r="G50" s="292">
        <f>'Reporte Componentes R1'!I699</f>
        <v>5470.04</v>
      </c>
      <c r="H50" s="292">
        <f>'Reporte Componentes R1'!J699</f>
        <v>98621.6</v>
      </c>
      <c r="I50" s="292">
        <f>'Reporte Componentes R1'!K699</f>
        <v>3394.58</v>
      </c>
      <c r="J50" s="288">
        <v>0</v>
      </c>
      <c r="K50" s="295">
        <f t="shared" si="16"/>
        <v>72636.809999999983</v>
      </c>
      <c r="L50" s="294">
        <v>0</v>
      </c>
      <c r="M50" s="295">
        <f>K50-L50</f>
        <v>72636.809999999983</v>
      </c>
      <c r="N50" s="294">
        <f>'Reporte Componentes R1'!L699</f>
        <v>0</v>
      </c>
      <c r="O50" s="295">
        <f t="shared" si="17"/>
        <v>72636.809999999983</v>
      </c>
      <c r="Q50" s="306"/>
      <c r="S50" s="314">
        <v>4</v>
      </c>
      <c r="T50" s="315" t="s">
        <v>13</v>
      </c>
      <c r="U50" s="316">
        <f>'Reporte Componentes R1'!M699</f>
        <v>29777.14</v>
      </c>
      <c r="V50" s="317">
        <f>'Reporte Componentes R1'!N699</f>
        <v>30449</v>
      </c>
      <c r="W50" s="317">
        <f>'Reporte Componentes R1'!O699</f>
        <v>154481.26</v>
      </c>
      <c r="X50" s="317">
        <f>'Reporte Componentes R1'!P699</f>
        <v>48862.7</v>
      </c>
      <c r="Y50" s="318">
        <f>'Reporte Componentes R1'!Q699</f>
        <v>5538.51</v>
      </c>
      <c r="Z50" s="319">
        <f>-L50</f>
        <v>0</v>
      </c>
      <c r="AA50" s="320">
        <f>'Reporte Componentes R1'!R699+'Reporte Componentes R1'!V699+'Reporte Componentes R1'!U699</f>
        <v>-2.36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-196469.44</v>
      </c>
      <c r="AE50" s="291">
        <f>'Reporte Componentes R1'!F700</f>
        <v>-196469.44</v>
      </c>
      <c r="AF50" s="322">
        <f t="shared" si="19"/>
        <v>72636.810000000056</v>
      </c>
      <c r="AG50" s="522">
        <f t="shared" si="20"/>
        <v>7.2759576141834259E-11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208970</v>
      </c>
      <c r="E52" s="290">
        <f t="shared" si="21"/>
        <v>18444.439999999999</v>
      </c>
      <c r="F52" s="290">
        <f t="shared" si="21"/>
        <v>10402.530000000001</v>
      </c>
      <c r="G52" s="290">
        <f t="shared" ref="G52" si="22">SUM(G47:G51)</f>
        <v>5470.04</v>
      </c>
      <c r="H52" s="290">
        <f t="shared" si="21"/>
        <v>98621.6</v>
      </c>
      <c r="I52" s="290">
        <f t="shared" si="21"/>
        <v>3394.58</v>
      </c>
      <c r="J52" s="290">
        <f t="shared" si="21"/>
        <v>0</v>
      </c>
      <c r="K52" s="300">
        <f t="shared" si="21"/>
        <v>72636.809999999983</v>
      </c>
      <c r="L52" s="301">
        <f t="shared" si="21"/>
        <v>0</v>
      </c>
      <c r="M52" s="302">
        <f t="shared" si="21"/>
        <v>72636.809999999983</v>
      </c>
      <c r="N52" s="301">
        <f t="shared" si="21"/>
        <v>0</v>
      </c>
      <c r="O52" s="302">
        <f t="shared" si="21"/>
        <v>72636.809999999983</v>
      </c>
      <c r="P52" s="329"/>
      <c r="Q52" s="306"/>
      <c r="S52" s="327"/>
      <c r="T52" s="328" t="s">
        <v>2</v>
      </c>
      <c r="U52" s="330">
        <f>SUM(U47:U51)</f>
        <v>29777.14</v>
      </c>
      <c r="V52" s="330">
        <f t="shared" ref="V52:AG52" si="23">SUM(V47:V51)</f>
        <v>30449</v>
      </c>
      <c r="W52" s="330">
        <f t="shared" si="23"/>
        <v>154481.26</v>
      </c>
      <c r="X52" s="330">
        <f t="shared" si="23"/>
        <v>48862.7</v>
      </c>
      <c r="Y52" s="330">
        <f t="shared" si="23"/>
        <v>5538.51</v>
      </c>
      <c r="Z52" s="290">
        <f t="shared" si="23"/>
        <v>0</v>
      </c>
      <c r="AA52" s="290">
        <f t="shared" si="23"/>
        <v>-2.36</v>
      </c>
      <c r="AB52" s="290">
        <f t="shared" si="23"/>
        <v>0</v>
      </c>
      <c r="AC52" s="290">
        <f t="shared" si="23"/>
        <v>0</v>
      </c>
      <c r="AD52" s="290">
        <f>SUM(AD47:AD51)</f>
        <v>-196469.44</v>
      </c>
      <c r="AE52" s="290">
        <f>SUM(AE47:AE51)</f>
        <v>-196469.44</v>
      </c>
      <c r="AF52" s="331">
        <f t="shared" si="23"/>
        <v>72636.810000000056</v>
      </c>
      <c r="AG52" s="524">
        <f t="shared" si="23"/>
        <v>7.2759576141834259E-11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269108.61000000004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-262000</v>
      </c>
      <c r="E69" s="292">
        <f>'Reversion Pagos R4'!E335</f>
        <v>-15030.55</v>
      </c>
      <c r="F69" s="292">
        <f>'Reversion Pagos R4'!F335</f>
        <v>-8273.4699999999993</v>
      </c>
      <c r="G69" s="292">
        <f>'Reversion Pagos R4'!G335</f>
        <v>-4622.8599999999997</v>
      </c>
      <c r="H69" s="292">
        <f>'Reversion Pagos R4'!H335</f>
        <v>-60262.94</v>
      </c>
      <c r="I69" s="292">
        <f>'Reversion Pagos R4'!I335</f>
        <v>-1586.56</v>
      </c>
      <c r="J69" s="288">
        <v>0</v>
      </c>
      <c r="K69" s="295">
        <f t="shared" si="25"/>
        <v>-172223.62000000002</v>
      </c>
      <c r="L69" s="294">
        <v>0</v>
      </c>
      <c r="M69" s="295">
        <f>K69-L69</f>
        <v>-172223.62000000002</v>
      </c>
      <c r="N69" s="294">
        <f>'Reversion Pagos R4'!P335</f>
        <v>0</v>
      </c>
      <c r="O69" s="295">
        <f t="shared" si="26"/>
        <v>-172223.62000000002</v>
      </c>
      <c r="Q69" s="306"/>
      <c r="S69" s="314">
        <v>4</v>
      </c>
      <c r="T69" s="315" t="s">
        <v>13</v>
      </c>
      <c r="U69" s="316">
        <f>'Reversion Pagos R4'!J335</f>
        <v>-13917.35</v>
      </c>
      <c r="V69" s="317">
        <f>'Reversion Pagos R4'!K335</f>
        <v>-18906.78</v>
      </c>
      <c r="W69" s="317">
        <f>'Reversion Pagos R4'!L335</f>
        <v>-95925.8</v>
      </c>
      <c r="X69" s="317">
        <f>'Reversion Pagos R4'!M335</f>
        <v>-38412.57</v>
      </c>
      <c r="Y69" s="318">
        <f>'Reversion Pagos R4'!N335</f>
        <v>-2588.62</v>
      </c>
      <c r="Z69" s="319">
        <f t="shared" si="27"/>
        <v>0</v>
      </c>
      <c r="AA69" s="320">
        <f>'Reversion Pagos R4'!O335</f>
        <v>-1.32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-2471.1799999999998</v>
      </c>
      <c r="AE69" s="291">
        <f>'Reversion Pagos R4'!D336</f>
        <v>-2471.1799999999998</v>
      </c>
      <c r="AF69" s="322">
        <f>SUM(U69:AD69)</f>
        <v>-172223.62</v>
      </c>
      <c r="AG69" s="522">
        <f>(AF69-O69)</f>
        <v>2.9103830456733704E-11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-262000</v>
      </c>
      <c r="E71" s="290">
        <f t="shared" si="32"/>
        <v>-15030.55</v>
      </c>
      <c r="F71" s="290">
        <f t="shared" si="32"/>
        <v>-8273.4699999999993</v>
      </c>
      <c r="G71" s="290">
        <f t="shared" si="32"/>
        <v>-4622.8599999999997</v>
      </c>
      <c r="H71" s="290">
        <f t="shared" si="32"/>
        <v>-60262.94</v>
      </c>
      <c r="I71" s="290">
        <f t="shared" si="32"/>
        <v>-1586.56</v>
      </c>
      <c r="J71" s="290">
        <f t="shared" si="32"/>
        <v>0</v>
      </c>
      <c r="K71" s="300">
        <f t="shared" si="32"/>
        <v>-172223.62000000002</v>
      </c>
      <c r="L71" s="301">
        <f t="shared" si="32"/>
        <v>0</v>
      </c>
      <c r="M71" s="302">
        <f t="shared" si="32"/>
        <v>-172223.62000000002</v>
      </c>
      <c r="N71" s="301">
        <f t="shared" si="32"/>
        <v>0</v>
      </c>
      <c r="O71" s="302">
        <f t="shared" si="32"/>
        <v>-172223.62000000002</v>
      </c>
      <c r="P71" s="329"/>
      <c r="Q71" s="306"/>
      <c r="S71" s="327"/>
      <c r="T71" s="328" t="s">
        <v>2</v>
      </c>
      <c r="U71" s="330">
        <f>SUM(U66:U70)</f>
        <v>-13917.35</v>
      </c>
      <c r="V71" s="330">
        <f t="shared" ref="V71:AG71" si="33">SUM(V66:V70)</f>
        <v>-18906.78</v>
      </c>
      <c r="W71" s="330">
        <f t="shared" si="33"/>
        <v>-95925.8</v>
      </c>
      <c r="X71" s="330">
        <f t="shared" si="33"/>
        <v>-38412.57</v>
      </c>
      <c r="Y71" s="330">
        <f t="shared" si="33"/>
        <v>-2588.62</v>
      </c>
      <c r="Z71" s="290">
        <f t="shared" si="33"/>
        <v>0</v>
      </c>
      <c r="AA71" s="290">
        <f>SUM(AA66:AA70)</f>
        <v>-1.32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-2471.1799999999998</v>
      </c>
      <c r="AE71" s="290">
        <f>SUM(AE66:AE70)</f>
        <v>-2471.1799999999998</v>
      </c>
      <c r="AF71" s="331">
        <f t="shared" si="33"/>
        <v>-172223.62</v>
      </c>
      <c r="AG71" s="524">
        <f t="shared" si="33"/>
        <v>2.9103830456733704E-11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-169751.12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19468720.030000001</v>
      </c>
      <c r="E105" s="292">
        <f t="shared" si="43"/>
        <v>1631027.85</v>
      </c>
      <c r="F105" s="292">
        <f t="shared" si="43"/>
        <v>968903.84000000008</v>
      </c>
      <c r="G105" s="292">
        <f t="shared" si="43"/>
        <v>317349.34999999998</v>
      </c>
      <c r="H105" s="292">
        <f t="shared" si="43"/>
        <v>8106641</v>
      </c>
      <c r="I105" s="292">
        <f t="shared" si="43"/>
        <v>244114.84</v>
      </c>
      <c r="J105" s="288">
        <f t="shared" si="43"/>
        <v>0</v>
      </c>
      <c r="K105" s="295">
        <f t="shared" ref="K105:K108" si="46">D105-E105-F105-G105-H105-I105-J105</f>
        <v>8200683.1500000004</v>
      </c>
      <c r="L105" s="294">
        <f>L10+L29+L48+L67+L86</f>
        <v>0</v>
      </c>
      <c r="M105" s="295">
        <f>K105-L105</f>
        <v>8200683.1500000004</v>
      </c>
      <c r="N105" s="294">
        <f>N10+N29+N48+N67+N86</f>
        <v>0</v>
      </c>
      <c r="O105" s="295">
        <f t="shared" ref="O105:O108" si="47">M105+N105</f>
        <v>8200683.1500000004</v>
      </c>
      <c r="Q105" s="306"/>
      <c r="S105" s="314">
        <v>2</v>
      </c>
      <c r="T105" s="315" t="s">
        <v>11</v>
      </c>
      <c r="U105" s="316">
        <f t="shared" si="44"/>
        <v>2387808.7599999998</v>
      </c>
      <c r="V105" s="317">
        <f t="shared" si="44"/>
        <v>2117904.38</v>
      </c>
      <c r="W105" s="317">
        <f t="shared" si="44"/>
        <v>8750214.5299999993</v>
      </c>
      <c r="X105" s="317">
        <f t="shared" si="44"/>
        <v>3252300.2</v>
      </c>
      <c r="Y105" s="318">
        <f t="shared" si="44"/>
        <v>283895.7</v>
      </c>
      <c r="Z105" s="319">
        <f t="shared" si="44"/>
        <v>0</v>
      </c>
      <c r="AA105" s="320">
        <f t="shared" si="44"/>
        <v>185.44</v>
      </c>
      <c r="AB105" s="294">
        <f t="shared" si="44"/>
        <v>0</v>
      </c>
      <c r="AC105" s="320">
        <f t="shared" si="44"/>
        <v>1.3499999999999999</v>
      </c>
      <c r="AD105" s="291">
        <f t="shared" ref="AD105:AD107" si="48">-J105+AE105</f>
        <v>-8591627.2100000009</v>
      </c>
      <c r="AE105" s="291">
        <f>AE10+AE29+AE48+AE67+AE86</f>
        <v>-8591627.2100000009</v>
      </c>
      <c r="AF105" s="322">
        <f>SUM(U105:AD105)</f>
        <v>8200683.1499999985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6945099.8599999994</v>
      </c>
      <c r="E107" s="292">
        <f t="shared" si="43"/>
        <v>390216.71</v>
      </c>
      <c r="F107" s="292">
        <f t="shared" si="43"/>
        <v>222372.34</v>
      </c>
      <c r="G107" s="292">
        <f t="shared" si="43"/>
        <v>93645.569999999992</v>
      </c>
      <c r="H107" s="292">
        <f t="shared" si="43"/>
        <v>1760615.6</v>
      </c>
      <c r="I107" s="292">
        <f t="shared" si="43"/>
        <v>55085.56</v>
      </c>
      <c r="J107" s="288">
        <f t="shared" si="43"/>
        <v>0</v>
      </c>
      <c r="K107" s="295">
        <f t="shared" si="46"/>
        <v>4423164.0799999991</v>
      </c>
      <c r="L107" s="294">
        <f>L12+L31+L50+L69+L88</f>
        <v>0</v>
      </c>
      <c r="M107" s="295">
        <f>K107-L107</f>
        <v>4423164.0799999991</v>
      </c>
      <c r="N107" s="294">
        <f>N12+N31+N50+N69+N88</f>
        <v>0</v>
      </c>
      <c r="O107" s="295">
        <f t="shared" si="47"/>
        <v>4423164.0799999991</v>
      </c>
      <c r="Q107" s="306"/>
      <c r="S107" s="314">
        <v>4</v>
      </c>
      <c r="T107" s="315" t="s">
        <v>13</v>
      </c>
      <c r="U107" s="316">
        <f t="shared" si="44"/>
        <v>515714.53</v>
      </c>
      <c r="V107" s="317">
        <f t="shared" si="44"/>
        <v>511519.27</v>
      </c>
      <c r="W107" s="317">
        <f t="shared" si="44"/>
        <v>2497642.7400000002</v>
      </c>
      <c r="X107" s="317">
        <f t="shared" si="44"/>
        <v>1077053.48</v>
      </c>
      <c r="Y107" s="318">
        <f t="shared" si="44"/>
        <v>78689.97</v>
      </c>
      <c r="Z107" s="319">
        <f t="shared" si="44"/>
        <v>0</v>
      </c>
      <c r="AA107" s="320">
        <f t="shared" si="44"/>
        <v>0.38999999999999946</v>
      </c>
      <c r="AB107" s="294">
        <f t="shared" si="44"/>
        <v>0</v>
      </c>
      <c r="AC107" s="320">
        <f t="shared" si="44"/>
        <v>0</v>
      </c>
      <c r="AD107" s="291">
        <f t="shared" si="48"/>
        <v>-257456.3</v>
      </c>
      <c r="AE107" s="291">
        <f>AE12+AE31+AE50+AE69+AE88</f>
        <v>-257456.3</v>
      </c>
      <c r="AF107" s="322">
        <f>SUM(U107:AD107)</f>
        <v>4423164.0799999991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26413819.890000001</v>
      </c>
      <c r="E109" s="290">
        <f t="shared" si="49"/>
        <v>2021244.56</v>
      </c>
      <c r="F109" s="290">
        <f t="shared" si="49"/>
        <v>1191276.1800000002</v>
      </c>
      <c r="G109" s="290">
        <f t="shared" si="49"/>
        <v>410994.92</v>
      </c>
      <c r="H109" s="290">
        <f t="shared" si="49"/>
        <v>9867256.5999999996</v>
      </c>
      <c r="I109" s="290">
        <f t="shared" si="49"/>
        <v>299200.40000000002</v>
      </c>
      <c r="J109" s="290">
        <f t="shared" si="49"/>
        <v>0</v>
      </c>
      <c r="K109" s="300">
        <f t="shared" si="49"/>
        <v>12623847.23</v>
      </c>
      <c r="L109" s="301">
        <f t="shared" si="49"/>
        <v>0</v>
      </c>
      <c r="M109" s="302">
        <f t="shared" si="49"/>
        <v>12623847.23</v>
      </c>
      <c r="N109" s="301">
        <f t="shared" si="49"/>
        <v>0</v>
      </c>
      <c r="O109" s="302">
        <f t="shared" si="49"/>
        <v>12623847.23</v>
      </c>
      <c r="P109" s="329"/>
      <c r="Q109" s="306"/>
      <c r="S109" s="327"/>
      <c r="T109" s="328" t="s">
        <v>2</v>
      </c>
      <c r="U109" s="330">
        <f>SUM(U104:U108)</f>
        <v>2903523.29</v>
      </c>
      <c r="V109" s="330">
        <f t="shared" ref="V109:AF109" si="50">SUM(V104:V108)</f>
        <v>2629423.65</v>
      </c>
      <c r="W109" s="330">
        <f t="shared" si="50"/>
        <v>11247857.27</v>
      </c>
      <c r="X109" s="330">
        <f t="shared" si="50"/>
        <v>4329353.68</v>
      </c>
      <c r="Y109" s="330">
        <f t="shared" si="50"/>
        <v>362585.67000000004</v>
      </c>
      <c r="Z109" s="290">
        <f t="shared" si="50"/>
        <v>0</v>
      </c>
      <c r="AA109" s="290">
        <f t="shared" si="50"/>
        <v>185.82999999999998</v>
      </c>
      <c r="AB109" s="290">
        <f t="shared" si="50"/>
        <v>0</v>
      </c>
      <c r="AC109" s="290">
        <f t="shared" si="50"/>
        <v>1.3499999999999999</v>
      </c>
      <c r="AD109" s="290">
        <f t="shared" si="50"/>
        <v>-8849083.5100000016</v>
      </c>
      <c r="AE109" s="290">
        <f>SUM(AE104:AE108)</f>
        <v>-8849083.5100000016</v>
      </c>
      <c r="AF109" s="331">
        <f t="shared" si="50"/>
        <v>12623847.229999997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21472743.560000002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8181830</v>
      </c>
      <c r="E126" s="74">
        <v>0</v>
      </c>
      <c r="G126" s="339">
        <f>D48+N48</f>
        <v>0</v>
      </c>
      <c r="H126" s="340">
        <f>D29+N29</f>
        <v>16022820.030000001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5225400</v>
      </c>
      <c r="E128" s="74">
        <v>0</v>
      </c>
      <c r="G128" s="339">
        <f>D50+N50</f>
        <v>208970</v>
      </c>
      <c r="H128" s="340">
        <f>D31+N31</f>
        <v>4840819.8599999994</v>
      </c>
      <c r="I128" s="288">
        <f>D88+N88</f>
        <v>0</v>
      </c>
      <c r="J128" s="288">
        <f t="shared" si="51"/>
        <v>-262000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13407230</v>
      </c>
      <c r="E131" s="107">
        <f>SUM(E125:E130)</f>
        <v>0</v>
      </c>
      <c r="F131" s="45"/>
      <c r="G131" s="350">
        <f t="shared" ref="G131" si="52">SUM(G125:G129)</f>
        <v>208970</v>
      </c>
      <c r="H131" s="350">
        <f>SUM(H125:H130)</f>
        <v>20863639.890000001</v>
      </c>
      <c r="I131" s="350">
        <f>SUM(I125:I130)</f>
        <v>0</v>
      </c>
      <c r="J131" s="350">
        <f>SUM(J125:J130)</f>
        <v>-262000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27650550.030000001</v>
      </c>
      <c r="E143" s="18">
        <f>'Recaudo EAAB Reciprocidad'!F22</f>
        <v>0</v>
      </c>
      <c r="F143" s="18">
        <f>D29+N29</f>
        <v>16022820.030000001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16022820.030000001</v>
      </c>
      <c r="L143" s="597">
        <f>D143-E143-F143-G143-J143-H143-I143</f>
        <v>11627730</v>
      </c>
      <c r="M143" s="1" t="b">
        <f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12170499.859999999</v>
      </c>
      <c r="E145" s="18">
        <f>'Recaudo EAAB Reciprocidad'!F24</f>
        <v>0</v>
      </c>
      <c r="F145" s="18">
        <f>D31+N31</f>
        <v>4840819.8599999994</v>
      </c>
      <c r="G145" s="18">
        <f>D69+N69</f>
        <v>-262000</v>
      </c>
      <c r="H145" s="18">
        <f>D88+N88</f>
        <v>0</v>
      </c>
      <c r="I145" s="18">
        <f>('REPORTE RECAUDO x BANCO'!E69)</f>
        <v>0</v>
      </c>
      <c r="J145" s="18">
        <f t="shared" si="53"/>
        <v>208970</v>
      </c>
      <c r="K145" s="83">
        <f t="shared" si="53"/>
        <v>4840819.8599999994</v>
      </c>
      <c r="L145" s="597">
        <f>D145-E145-F145-G145-J145-H145-I145</f>
        <v>7382710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39821049.890000001</v>
      </c>
      <c r="E147" s="47">
        <f>SUM(E142:E146)</f>
        <v>0</v>
      </c>
      <c r="F147" s="47">
        <f t="shared" ref="F147:K147" si="55">SUM(F142:F146)</f>
        <v>20863639.890000001</v>
      </c>
      <c r="G147" s="47">
        <f t="shared" si="55"/>
        <v>-262000</v>
      </c>
      <c r="H147" s="47">
        <f t="shared" si="55"/>
        <v>0</v>
      </c>
      <c r="I147" s="47">
        <f t="shared" si="55"/>
        <v>0</v>
      </c>
      <c r="J147" s="47">
        <f t="shared" si="55"/>
        <v>208970</v>
      </c>
      <c r="K147" s="47">
        <f t="shared" si="55"/>
        <v>20863639.890000001</v>
      </c>
      <c r="L147" s="597">
        <f>SUM(L142:L146)</f>
        <v>19010440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11627730</v>
      </c>
      <c r="D4" s="292">
        <f>'REMUNERACION Reciprocidad EAAB'!G126</f>
        <v>0</v>
      </c>
      <c r="E4" s="292">
        <f>'REMUNERACION Reciprocidad EAAB'!D29+'REMUNERACION Reciprocidad EAAB'!N29</f>
        <v>16022820.030000001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27650550.030000001</v>
      </c>
      <c r="I4" s="291">
        <f>'REMUNERACION Reciprocidad EAAB'!D105</f>
        <v>19468720.030000001</v>
      </c>
      <c r="J4" s="292">
        <f>'REMUNERACION Reciprocidad EAAB'!N105</f>
        <v>0</v>
      </c>
      <c r="K4" s="292">
        <f>'REMUNERACION Reciprocidad EAAB'!D126</f>
        <v>8181830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27650550.030000001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7382710</v>
      </c>
      <c r="D6" s="292">
        <f>'REMUNERACION Reciprocidad EAAB'!G128</f>
        <v>208970</v>
      </c>
      <c r="E6" s="292">
        <f>'REMUNERACION Reciprocidad EAAB'!D31+'REMUNERACION Reciprocidad EAAB'!N31</f>
        <v>4840819.8599999994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12432499.859999999</v>
      </c>
      <c r="I6" s="291">
        <f>'REMUNERACION Reciprocidad EAAB'!D107</f>
        <v>6945099.8599999994</v>
      </c>
      <c r="J6" s="292">
        <f>'REMUNERACION Reciprocidad EAAB'!N107</f>
        <v>0</v>
      </c>
      <c r="K6" s="292">
        <f>'REMUNERACION Reciprocidad EAAB'!D128</f>
        <v>5225400</v>
      </c>
      <c r="L6" s="353">
        <f>'REMUNERACION Reciprocidad EAAB'!E128</f>
        <v>0</v>
      </c>
      <c r="M6" s="292">
        <f>-'REMUNERACION Reciprocidad EAAB'!D69-'REMUNERACION Reciprocidad EAAB'!N69</f>
        <v>262000</v>
      </c>
      <c r="N6" s="318">
        <f t="shared" ref="N6:N7" si="3">SUM(I6:M6)</f>
        <v>12432499.859999999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19010440</v>
      </c>
      <c r="D9" s="290">
        <f t="shared" ref="D9:M9" si="4">SUM(D3:D8)</f>
        <v>208970</v>
      </c>
      <c r="E9" s="290">
        <f>SUM(E3:E8)</f>
        <v>20863639.890000001</v>
      </c>
      <c r="F9" s="290">
        <f t="shared" si="4"/>
        <v>0</v>
      </c>
      <c r="G9" s="290">
        <f t="shared" si="4"/>
        <v>0</v>
      </c>
      <c r="H9" s="290">
        <f t="shared" si="4"/>
        <v>40083049.890000001</v>
      </c>
      <c r="I9" s="290">
        <f t="shared" si="4"/>
        <v>26413819.890000001</v>
      </c>
      <c r="J9" s="290">
        <f t="shared" si="4"/>
        <v>0</v>
      </c>
      <c r="K9" s="290">
        <f t="shared" si="4"/>
        <v>13407230</v>
      </c>
      <c r="L9" s="290">
        <f t="shared" si="4"/>
        <v>0</v>
      </c>
      <c r="M9" s="290">
        <f t="shared" si="4"/>
        <v>262000</v>
      </c>
      <c r="N9" s="290">
        <f>SUM(N3:N8)</f>
        <v>40083049.890000001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19010440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46266</v>
      </c>
      <c r="J7" s="2" t="s">
        <v>28</v>
      </c>
      <c r="K7" s="9">
        <f>'REMUNERACION Reciprocidad EAAB'!K102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19468720.030000001</v>
      </c>
      <c r="E10" s="66">
        <f>'REMUNERACION Reciprocidad EAAB'!E105</f>
        <v>1631027.85</v>
      </c>
      <c r="F10" s="66">
        <f>'REMUNERACION Reciprocidad EAAB'!F105</f>
        <v>968903.84000000008</v>
      </c>
      <c r="G10" s="66">
        <f>'REMUNERACION Reciprocidad EAAB'!G105</f>
        <v>317349.34999999998</v>
      </c>
      <c r="H10" s="66">
        <f>'REMUNERACION Reciprocidad EAAB'!H105</f>
        <v>8106641</v>
      </c>
      <c r="I10" s="66">
        <f>'REMUNERACION Reciprocidad EAAB'!I105</f>
        <v>244114.84</v>
      </c>
      <c r="J10" s="66">
        <f>'REMUNERACION Reciprocidad EAAB'!J105</f>
        <v>0</v>
      </c>
      <c r="K10" s="31">
        <f t="shared" ref="K10:K13" si="0">D10-E10-F10-G10-H10-I10-J10</f>
        <v>8200683.1500000004</v>
      </c>
      <c r="L10" s="66">
        <f>'REMUNERACION Reciprocidad EAAB'!L105</f>
        <v>0</v>
      </c>
      <c r="M10" s="31">
        <f>K10-L10</f>
        <v>8200683.1500000004</v>
      </c>
      <c r="N10" s="66">
        <f>'REMUNERACION Reciprocidad EAAB'!N105</f>
        <v>0</v>
      </c>
      <c r="O10" s="31">
        <f t="shared" ref="O10:O13" si="1">M10+N10</f>
        <v>8200683.1500000004</v>
      </c>
      <c r="Q10" s="4"/>
      <c r="S10" s="16">
        <v>2</v>
      </c>
      <c r="T10" s="62" t="s">
        <v>11</v>
      </c>
      <c r="U10" s="66">
        <f>'REMUNERACION Reciprocidad EAAB'!U105</f>
        <v>2387808.7599999998</v>
      </c>
      <c r="V10" s="66">
        <f>'REMUNERACION Reciprocidad EAAB'!V105</f>
        <v>2117904.38</v>
      </c>
      <c r="W10" s="66">
        <f>'REMUNERACION Reciprocidad EAAB'!W105</f>
        <v>8750214.5299999993</v>
      </c>
      <c r="X10" s="66">
        <f>'REMUNERACION Reciprocidad EAAB'!X105</f>
        <v>3252300.2</v>
      </c>
      <c r="Y10" s="66">
        <f>'REMUNERACION Reciprocidad EAAB'!Y105</f>
        <v>283895.7</v>
      </c>
      <c r="Z10" s="66">
        <f>'REMUNERACION Reciprocidad EAAB'!Z105</f>
        <v>0</v>
      </c>
      <c r="AA10" s="66">
        <f>'REMUNERACION Reciprocidad EAAB'!AA105</f>
        <v>185.44</v>
      </c>
      <c r="AB10" s="66">
        <f>'REMUNERACION Reciprocidad EAAB'!AB105</f>
        <v>0</v>
      </c>
      <c r="AC10" s="66">
        <f>'REMUNERACION Reciprocidad EAAB'!AC105</f>
        <v>1.3499999999999999</v>
      </c>
      <c r="AD10" s="66">
        <f>'REMUNERACION Reciprocidad EAAB'!AD105</f>
        <v>-8591627.2100000009</v>
      </c>
      <c r="AE10" s="66">
        <f>'REMUNERACION Reciprocidad EAAB'!AE105</f>
        <v>-8591627.2100000009</v>
      </c>
      <c r="AF10" s="70">
        <f>SUM(U10:AD10)</f>
        <v>8200683.1499999985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6945099.8599999994</v>
      </c>
      <c r="E12" s="66">
        <f>'REMUNERACION Reciprocidad EAAB'!E107</f>
        <v>390216.71</v>
      </c>
      <c r="F12" s="66">
        <f>'REMUNERACION Reciprocidad EAAB'!F107</f>
        <v>222372.34</v>
      </c>
      <c r="G12" s="66">
        <f>'REMUNERACION Reciprocidad EAAB'!G107</f>
        <v>93645.569999999992</v>
      </c>
      <c r="H12" s="66">
        <f>'REMUNERACION Reciprocidad EAAB'!H107</f>
        <v>1760615.6</v>
      </c>
      <c r="I12" s="66">
        <f>'REMUNERACION Reciprocidad EAAB'!I107</f>
        <v>55085.56</v>
      </c>
      <c r="J12" s="66">
        <f>'REMUNERACION Reciprocidad EAAB'!J107</f>
        <v>0</v>
      </c>
      <c r="K12" s="31">
        <f t="shared" si="0"/>
        <v>4423164.0799999991</v>
      </c>
      <c r="L12" s="66">
        <f>'REMUNERACION Reciprocidad EAAB'!L107</f>
        <v>0</v>
      </c>
      <c r="M12" s="31">
        <f>K12-L12</f>
        <v>4423164.0799999991</v>
      </c>
      <c r="N12" s="66">
        <f>'REMUNERACION Reciprocidad EAAB'!N107</f>
        <v>0</v>
      </c>
      <c r="O12" s="31">
        <f t="shared" si="1"/>
        <v>4423164.0799999991</v>
      </c>
      <c r="Q12" s="4"/>
      <c r="S12" s="16">
        <v>4</v>
      </c>
      <c r="T12" s="62" t="s">
        <v>13</v>
      </c>
      <c r="U12" s="66">
        <f>'REMUNERACION Reciprocidad EAAB'!U107</f>
        <v>515714.53</v>
      </c>
      <c r="V12" s="66">
        <f>'REMUNERACION Reciprocidad EAAB'!V107</f>
        <v>511519.27</v>
      </c>
      <c r="W12" s="66">
        <f>'REMUNERACION Reciprocidad EAAB'!W107</f>
        <v>2497642.7400000002</v>
      </c>
      <c r="X12" s="66">
        <f>'REMUNERACION Reciprocidad EAAB'!X107</f>
        <v>1077053.48</v>
      </c>
      <c r="Y12" s="66">
        <f>'REMUNERACION Reciprocidad EAAB'!Y107</f>
        <v>78689.97</v>
      </c>
      <c r="Z12" s="66">
        <f>'REMUNERACION Reciprocidad EAAB'!Z107</f>
        <v>0</v>
      </c>
      <c r="AA12" s="66">
        <f>'REMUNERACION Reciprocidad EAAB'!AA107</f>
        <v>0.38999999999999946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-257456.3</v>
      </c>
      <c r="AE12" s="66">
        <f>'REMUNERACION Reciprocidad EAAB'!AE107</f>
        <v>-257456.3</v>
      </c>
      <c r="AF12" s="70">
        <f>SUM(U12:AD12)</f>
        <v>4423164.0799999991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26413819.890000001</v>
      </c>
      <c r="E14" s="43">
        <f t="shared" si="3"/>
        <v>2021244.56</v>
      </c>
      <c r="F14" s="43">
        <f t="shared" si="3"/>
        <v>1191276.1800000002</v>
      </c>
      <c r="G14" s="43">
        <f t="shared" si="3"/>
        <v>410994.92</v>
      </c>
      <c r="H14" s="43">
        <f t="shared" si="3"/>
        <v>9867256.5999999996</v>
      </c>
      <c r="I14" s="43">
        <f t="shared" si="3"/>
        <v>299200.40000000002</v>
      </c>
      <c r="J14" s="43">
        <f t="shared" si="3"/>
        <v>0</v>
      </c>
      <c r="K14" s="32">
        <f t="shared" si="3"/>
        <v>12623847.23</v>
      </c>
      <c r="L14" s="23">
        <f t="shared" si="3"/>
        <v>0</v>
      </c>
      <c r="M14" s="76">
        <f t="shared" si="3"/>
        <v>12623847.23</v>
      </c>
      <c r="N14" s="23">
        <f t="shared" si="3"/>
        <v>0</v>
      </c>
      <c r="O14" s="76">
        <f t="shared" si="3"/>
        <v>12623847.23</v>
      </c>
      <c r="P14" s="2"/>
      <c r="Q14" s="4"/>
      <c r="S14" s="21"/>
      <c r="T14" s="22" t="s">
        <v>2</v>
      </c>
      <c r="U14" s="43">
        <f>SUM(U9:U13)</f>
        <v>2903523.29</v>
      </c>
      <c r="V14" s="43">
        <f t="shared" ref="V14:AG14" si="4">SUM(V9:V13)</f>
        <v>2629423.65</v>
      </c>
      <c r="W14" s="43">
        <f t="shared" si="4"/>
        <v>11247857.27</v>
      </c>
      <c r="X14" s="43">
        <f t="shared" si="4"/>
        <v>4329353.68</v>
      </c>
      <c r="Y14" s="43">
        <f t="shared" si="4"/>
        <v>362585.67000000004</v>
      </c>
      <c r="Z14" s="43">
        <f t="shared" si="4"/>
        <v>0</v>
      </c>
      <c r="AA14" s="43">
        <f t="shared" si="4"/>
        <v>185.82999999999998</v>
      </c>
      <c r="AB14" s="43">
        <f t="shared" si="4"/>
        <v>0</v>
      </c>
      <c r="AC14" s="43">
        <f t="shared" si="4"/>
        <v>1.3499999999999999</v>
      </c>
      <c r="AD14" s="43">
        <f t="shared" si="4"/>
        <v>-8849083.5100000016</v>
      </c>
      <c r="AE14" s="43">
        <f>SUM(AE9:AE13)</f>
        <v>-8849083.5100000016</v>
      </c>
      <c r="AF14" s="68">
        <f t="shared" si="4"/>
        <v>12623847.229999997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21472743.560000002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46266</v>
      </c>
      <c r="J27" s="2" t="s">
        <v>28</v>
      </c>
      <c r="K27" s="9">
        <f>'REMUNERACION Reciprocidad EAAB'!K122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8181830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16022820.030000001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5225400</v>
      </c>
      <c r="E33" s="74">
        <f>'REMUNERACION Reciprocidad EAAB'!E128</f>
        <v>0</v>
      </c>
      <c r="G33" s="339">
        <f>'REMUNERACION Reciprocidad EAAB'!G128</f>
        <v>208970</v>
      </c>
      <c r="H33" s="340">
        <f>'REMUNERACION Reciprocidad EAAB'!H128</f>
        <v>4840819.8599999994</v>
      </c>
      <c r="I33" s="288">
        <f>'REMUNERACION Reciprocidad EAAB'!I128</f>
        <v>0</v>
      </c>
      <c r="J33" s="288">
        <f>'REMUNERACION Reciprocidad EAAB'!J128</f>
        <v>-262000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13407230</v>
      </c>
      <c r="E36" s="107">
        <f>'REMUNERACION Reciprocidad EAAB'!E131</f>
        <v>0</v>
      </c>
      <c r="F36" s="45"/>
      <c r="G36" s="350">
        <f t="shared" ref="G36:L36" si="5">SUM(G30:G34)</f>
        <v>208970</v>
      </c>
      <c r="H36" s="350">
        <f t="shared" si="5"/>
        <v>20863639.890000001</v>
      </c>
      <c r="I36" s="350">
        <f t="shared" si="5"/>
        <v>0</v>
      </c>
      <c r="J36" s="350">
        <f t="shared" si="5"/>
        <v>-262000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16894110431.770002</v>
      </c>
      <c r="E9" s="292">
        <f>'Reporte Componentes R1'!G99</f>
        <v>950018293.41999996</v>
      </c>
      <c r="F9" s="292">
        <f>'Reporte Componentes R1'!H99</f>
        <v>530683846.98000002</v>
      </c>
      <c r="G9" s="292">
        <f>'Reporte Componentes R1'!I99</f>
        <v>281227226.59999996</v>
      </c>
      <c r="H9" s="292">
        <f>'Reporte Componentes R1'!J99</f>
        <v>4812230149.0900002</v>
      </c>
      <c r="I9" s="292">
        <f>'Reporte Componentes R1'!K99</f>
        <v>180501948.17999998</v>
      </c>
      <c r="J9" s="292">
        <f>'CONSOLIDADO_TOTAL RECAUDO'!J9</f>
        <v>2589335716.54</v>
      </c>
      <c r="K9" s="293">
        <f>D9-E9-F9-G9-H9-I9-J9</f>
        <v>7550113250.9600019</v>
      </c>
      <c r="L9" s="294">
        <f>'CONSOLIDADO_TOTAL RECAUDO'!L9</f>
        <v>189185987</v>
      </c>
      <c r="M9" s="293">
        <f>K9-L9</f>
        <v>7360927263.9600019</v>
      </c>
      <c r="N9" s="294">
        <f>'Reporte Componentes R1'!L99</f>
        <v>28845491.23</v>
      </c>
      <c r="O9" s="293">
        <f>M9+N9</f>
        <v>7389772755.1900015</v>
      </c>
      <c r="Q9" s="306"/>
      <c r="S9" s="303">
        <v>1</v>
      </c>
      <c r="T9" s="304" t="s">
        <v>10</v>
      </c>
      <c r="U9" s="307">
        <f>'Reporte Componentes R1'!M99</f>
        <v>1584327181.6800001</v>
      </c>
      <c r="V9" s="308">
        <f>'Reporte Componentes R1'!N99</f>
        <v>1511201523.6099999</v>
      </c>
      <c r="W9" s="308">
        <f>'Reporte Componentes R1'!O99</f>
        <v>7109953067.9800005</v>
      </c>
      <c r="X9" s="308">
        <f>'Reporte Componentes R1'!P99</f>
        <v>2585588740.3400002</v>
      </c>
      <c r="Y9" s="309">
        <f>'Reporte Componentes R1'!Q99</f>
        <v>294540590.01000005</v>
      </c>
      <c r="Z9" s="310">
        <f>L9*-1</f>
        <v>-189185987</v>
      </c>
      <c r="AA9" s="311">
        <f>'Reporte Componentes R1'!R99+'Reporte Componentes R1'!V99+'Reporte Componentes R1'!U99</f>
        <v>-46192.160000000003</v>
      </c>
      <c r="AB9" s="294">
        <f>N9</f>
        <v>28845491.23</v>
      </c>
      <c r="AC9" s="311">
        <f>'Reporte Componentes R1'!T99+'Reporte Componentes R1'!W99+'Reporte Componentes R1'!X99+'Reporte Componentes R1'!Y99+'Reporte Componentes R1'!Z99+'Reporte Componentes R1'!S99</f>
        <v>37.270000000000003</v>
      </c>
      <c r="AD9" s="291">
        <f>-J9+AE9</f>
        <v>-5535451697.7700005</v>
      </c>
      <c r="AE9" s="291">
        <f>'Reporte Componentes R1'!F100</f>
        <v>-2946115981.23</v>
      </c>
      <c r="AF9" s="313">
        <f>SUM(U9:AD9)</f>
        <v>7389772755.1900005</v>
      </c>
      <c r="AG9" s="311">
        <f>(AF9-O9)</f>
        <v>-9.5367431640625E-7</v>
      </c>
      <c r="AH9" s="1" t="b">
        <f>INT(AG9)=0</f>
        <v>0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12711433921.790001</v>
      </c>
      <c r="E10" s="292">
        <f>'Reporte Componentes R1'!G333</f>
        <v>929029134.42000008</v>
      </c>
      <c r="F10" s="292">
        <f>'Reporte Componentes R1'!H333</f>
        <v>517154998.83999997</v>
      </c>
      <c r="G10" s="292">
        <f>'Reporte Componentes R1'!I333</f>
        <v>273013885.82999998</v>
      </c>
      <c r="H10" s="292">
        <f>'Reporte Componentes R1'!J333</f>
        <v>4306010126.79</v>
      </c>
      <c r="I10" s="292">
        <f>'Reporte Componentes R1'!K333</f>
        <v>147591794.69999999</v>
      </c>
      <c r="J10" s="292">
        <f>'CONSOLIDADO_TOTAL RECAUDO'!J10</f>
        <v>-5093259797.2199993</v>
      </c>
      <c r="K10" s="295">
        <f>D10-E10-F10-G10-H10-I10-J10</f>
        <v>11631893778.43</v>
      </c>
      <c r="L10" s="294">
        <f>'CONSOLIDADO_TOTAL RECAUDO'!L10</f>
        <v>266580255</v>
      </c>
      <c r="M10" s="295">
        <f>K10-L10</f>
        <v>11365313523.43</v>
      </c>
      <c r="N10" s="294">
        <f>'Reporte Componentes R1'!L333</f>
        <v>12959141.210000001</v>
      </c>
      <c r="O10" s="295">
        <f t="shared" ref="O10:O12" si="0">M10+N10</f>
        <v>11378272664.639999</v>
      </c>
      <c r="Q10" s="306"/>
      <c r="S10" s="314">
        <v>2</v>
      </c>
      <c r="T10" s="315" t="s">
        <v>11</v>
      </c>
      <c r="U10" s="316">
        <f>'Reporte Componentes R1'!M333</f>
        <v>1293806249.53</v>
      </c>
      <c r="V10" s="317">
        <f>'Reporte Componentes R1'!N333</f>
        <v>1269733184.03</v>
      </c>
      <c r="W10" s="317">
        <f>'Reporte Componentes R1'!O333</f>
        <v>5952913878.7699995</v>
      </c>
      <c r="X10" s="317">
        <f>'Reporte Componentes R1'!P333</f>
        <v>1820733812.24</v>
      </c>
      <c r="Y10" s="318">
        <f>'Reporte Componentes R1'!Q333</f>
        <v>241222198.57000002</v>
      </c>
      <c r="Z10" s="319">
        <f>L10*-1</f>
        <v>-266580255</v>
      </c>
      <c r="AA10" s="320">
        <f>'Reporte Componentes R1'!R333+'Reporte Componentes R1'!V333+'Reporte Componentes R1'!U333</f>
        <v>61759.7</v>
      </c>
      <c r="AB10" s="294">
        <f>N10</f>
        <v>12959141.210000001</v>
      </c>
      <c r="AC10" s="320">
        <f>'Reporte Componentes R1'!T333+'Reporte Componentes R1'!W333+'Reporte Componentes R1'!X333+'Reporte Componentes R1'!Y333+'Reporte Componentes R1'!Z333+'Reporte Componentes R1'!S333</f>
        <v>-34.57</v>
      </c>
      <c r="AD10" s="291">
        <f t="shared" ref="AD10:AD13" si="1">-J10+AE10</f>
        <v>1053422730.1599994</v>
      </c>
      <c r="AE10" s="291">
        <f>'Reporte Componentes R1'!F334</f>
        <v>-4039837067.0599999</v>
      </c>
      <c r="AF10" s="322">
        <f>SUM(U10:AD10)</f>
        <v>11378272664.639999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10189726607.76</v>
      </c>
      <c r="E11" s="292">
        <f>'Reporte Componentes R1'!G494</f>
        <v>628253759.54999995</v>
      </c>
      <c r="F11" s="292">
        <f>'Reporte Componentes R1'!H494</f>
        <v>351483694.52999997</v>
      </c>
      <c r="G11" s="292">
        <f>'Reporte Componentes R1'!I494</f>
        <v>186109795.21000001</v>
      </c>
      <c r="H11" s="292">
        <f>'Reporte Componentes R1'!J494</f>
        <v>3058153715.6300001</v>
      </c>
      <c r="I11" s="292">
        <f>'Reporte Componentes R1'!K494</f>
        <v>101588366.84999999</v>
      </c>
      <c r="J11" s="292">
        <f>'CONSOLIDADO_TOTAL RECAUDO'!J11</f>
        <v>-1230396998.4399998</v>
      </c>
      <c r="K11" s="295">
        <f t="shared" ref="K11:K13" si="3">D11-E11-F11-G11-H11-I11-J11</f>
        <v>7094534274.4300003</v>
      </c>
      <c r="L11" s="294">
        <f>'CONSOLIDADO_TOTAL RECAUDO'!L11</f>
        <v>154788535</v>
      </c>
      <c r="M11" s="295">
        <f>K11-L11</f>
        <v>6939745739.4300003</v>
      </c>
      <c r="N11" s="294">
        <f>'Reporte Componentes R1'!L494</f>
        <v>13400453.24</v>
      </c>
      <c r="O11" s="295">
        <f t="shared" si="0"/>
        <v>6953146192.6700001</v>
      </c>
      <c r="Q11" s="306"/>
      <c r="S11" s="314">
        <v>3</v>
      </c>
      <c r="T11" s="315" t="s">
        <v>12</v>
      </c>
      <c r="U11" s="316">
        <f>'Reporte Componentes R1'!M494</f>
        <v>891194715.38</v>
      </c>
      <c r="V11" s="317">
        <f>'Reporte Componentes R1'!N494</f>
        <v>869002975.08000004</v>
      </c>
      <c r="W11" s="317">
        <f>'Reporte Componentes R1'!O494</f>
        <v>4090764850.1700001</v>
      </c>
      <c r="X11" s="317">
        <f>'Reporte Componentes R1'!P494</f>
        <v>1487947208.5799999</v>
      </c>
      <c r="Y11" s="318">
        <f>'Reporte Componentes R1'!Q494</f>
        <v>165816869.65000001</v>
      </c>
      <c r="Z11" s="319">
        <f>L11*-1</f>
        <v>-154788535</v>
      </c>
      <c r="AA11" s="320">
        <f>'Reporte Componentes R1'!R494+'Reporte Componentes R1'!V494+'Reporte Componentes R1'!U494</f>
        <v>49301.37</v>
      </c>
      <c r="AB11" s="294">
        <f>N11</f>
        <v>13400453.24</v>
      </c>
      <c r="AC11" s="320">
        <f>'Reporte Componentes R1'!T494+'Reporte Componentes R1'!W494+'Reporte Componentes R1'!X494+'Reporte Componentes R1'!Y494+'Reporte Componentes R1'!Z494+'Reporte Componentes R1'!S494</f>
        <v>1.07</v>
      </c>
      <c r="AD11" s="291">
        <f t="shared" si="1"/>
        <v>-410241646.87000012</v>
      </c>
      <c r="AE11" s="291">
        <f>'Reporte Componentes R1'!F495</f>
        <v>-1640638645.3099999</v>
      </c>
      <c r="AF11" s="322">
        <f t="shared" ref="AF11:AF13" si="4">SUM(U11:AD11)</f>
        <v>6953146192.6699991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10987764488.809999</v>
      </c>
      <c r="E12" s="292">
        <f>'Reporte Componentes R1'!G702</f>
        <v>612557857.25</v>
      </c>
      <c r="F12" s="292">
        <f>'Reporte Componentes R1'!H702</f>
        <v>340984400.07999998</v>
      </c>
      <c r="G12" s="292">
        <f>'Reporte Componentes R1'!I702</f>
        <v>180726001.72</v>
      </c>
      <c r="H12" s="292">
        <f>'Reporte Componentes R1'!J702</f>
        <v>2767605714.1100001</v>
      </c>
      <c r="I12" s="292">
        <f>'Reporte Componentes R1'!K702</f>
        <v>95976498.929999992</v>
      </c>
      <c r="J12" s="292">
        <f>'CONSOLIDADO_TOTAL RECAUDO'!J12</f>
        <v>38133905.800000012</v>
      </c>
      <c r="K12" s="295">
        <f>D12-E12-F12-G12-H12-I12-J12</f>
        <v>6951780110.9199991</v>
      </c>
      <c r="L12" s="294">
        <f>'CONSOLIDADO_TOTAL RECAUDO'!L12</f>
        <v>120391083</v>
      </c>
      <c r="M12" s="295">
        <f>K12-L12</f>
        <v>6831389027.9199991</v>
      </c>
      <c r="N12" s="294">
        <f>'Reporte Componentes R1'!L702</f>
        <v>19861983.190000001</v>
      </c>
      <c r="O12" s="295">
        <f t="shared" si="0"/>
        <v>6851251011.1099987</v>
      </c>
      <c r="Q12" s="306"/>
      <c r="S12" s="314">
        <v>4</v>
      </c>
      <c r="T12" s="315" t="s">
        <v>13</v>
      </c>
      <c r="U12" s="316">
        <f>'Reporte Componentes R1'!M702</f>
        <v>841283585.59000003</v>
      </c>
      <c r="V12" s="317">
        <f>'Reporte Componentes R1'!N702</f>
        <v>822232449.48000002</v>
      </c>
      <c r="W12" s="317">
        <f>'Reporte Componentes R1'!O702</f>
        <v>4196162453.2199998</v>
      </c>
      <c r="X12" s="317">
        <f>'Reporte Componentes R1'!P702</f>
        <v>1621394965.4099998</v>
      </c>
      <c r="Y12" s="318">
        <f>'Reporte Componentes R1'!Q702</f>
        <v>156889985.03999999</v>
      </c>
      <c r="Z12" s="319">
        <f>L12*-1</f>
        <v>-120391083</v>
      </c>
      <c r="AA12" s="320">
        <f>'Reporte Componentes R1'!R702+'Reporte Componentes R1'!V702+'Reporte Componentes R1'!U702</f>
        <v>-64065.8</v>
      </c>
      <c r="AB12" s="294">
        <f>N12</f>
        <v>19861983.190000001</v>
      </c>
      <c r="AC12" s="320">
        <f>'Reporte Componentes R1'!T702+'Reporte Componentes R1'!W702+'Reporte Componentes R1'!X702+'Reporte Componentes R1'!Y702+'Reporte Componentes R1'!Z702+'Reporte Componentes R1'!S702</f>
        <v>31.950000000000024</v>
      </c>
      <c r="AD12" s="291">
        <f t="shared" si="1"/>
        <v>-686119293.97000003</v>
      </c>
      <c r="AE12" s="291">
        <f>'Reporte Componentes R1'!F703</f>
        <v>-647985388.16999996</v>
      </c>
      <c r="AF12" s="322">
        <f t="shared" si="4"/>
        <v>6851251011.1099987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8782962300.0100002</v>
      </c>
      <c r="E13" s="297">
        <f>'Reporte Componentes R1'!G821</f>
        <v>474204302.95999998</v>
      </c>
      <c r="F13" s="297">
        <f>'Reporte Componentes R1'!H821</f>
        <v>265133967.25</v>
      </c>
      <c r="G13" s="297">
        <f>'Reporte Componentes R1'!I821</f>
        <v>140434645.56</v>
      </c>
      <c r="H13" s="297">
        <f>'Reporte Componentes R1'!J821</f>
        <v>2041090494.45</v>
      </c>
      <c r="I13" s="297">
        <f>'Reporte Componentes R1'!K821</f>
        <v>73126805.170000002</v>
      </c>
      <c r="J13" s="292">
        <f>'CONSOLIDADO_TOTAL RECAUDO'!J13</f>
        <v>-1224100690.4600003</v>
      </c>
      <c r="K13" s="295">
        <f t="shared" si="3"/>
        <v>7013072775.0799999</v>
      </c>
      <c r="L13" s="294">
        <f>'CONSOLIDADO_TOTAL RECAUDO'!L13</f>
        <v>128990445</v>
      </c>
      <c r="M13" s="298">
        <f>K13-L13</f>
        <v>6884082330.0799999</v>
      </c>
      <c r="N13" s="299">
        <f>'Reporte Componentes R1'!L821</f>
        <v>5862361.9900000002</v>
      </c>
      <c r="O13" s="298">
        <f>M13+N13</f>
        <v>6889944692.0699997</v>
      </c>
      <c r="Q13" s="306"/>
      <c r="S13" s="324">
        <v>5</v>
      </c>
      <c r="T13" s="325" t="s">
        <v>14</v>
      </c>
      <c r="U13" s="296">
        <f>'Reporte Componentes R1'!M821</f>
        <v>641840330.98000002</v>
      </c>
      <c r="V13" s="297">
        <f>'Reporte Componentes R1'!N821</f>
        <v>622946276.96000004</v>
      </c>
      <c r="W13" s="297">
        <f>'Reporte Componentes R1'!O821</f>
        <v>3197299686.1199999</v>
      </c>
      <c r="X13" s="297">
        <f>'Reporte Componentes R1'!P821</f>
        <v>1419950178.04</v>
      </c>
      <c r="Y13" s="289">
        <f>'Reporte Componentes R1'!Q821</f>
        <v>119382561.47999999</v>
      </c>
      <c r="Z13" s="319">
        <f>L13*-1</f>
        <v>-128990445</v>
      </c>
      <c r="AA13" s="320">
        <f>'Reporte Componentes R1'!R821+'Reporte Componentes R1'!V821+'Reporte Componentes R1'!U821</f>
        <v>-12784.43</v>
      </c>
      <c r="AB13" s="294">
        <f>N13</f>
        <v>5862361.9900000002</v>
      </c>
      <c r="AC13" s="320">
        <f>'Reporte Componentes R1'!T821+'Reporte Componentes R1'!W821+'Reporte Componentes R1'!X821+'Reporte Componentes R1'!Y821+'Reporte Componentes R1'!Z821+'Reporte Componentes R1'!S821</f>
        <v>-37.089999999999996</v>
      </c>
      <c r="AD13" s="291">
        <f t="shared" si="1"/>
        <v>1011666563.0200002</v>
      </c>
      <c r="AE13" s="291">
        <f>'Reporte Componentes R1'!F822</f>
        <v>-212434127.44</v>
      </c>
      <c r="AF13" s="322">
        <f t="shared" si="4"/>
        <v>6889944692.0699987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59565997750.140007</v>
      </c>
      <c r="E14" s="290">
        <f t="shared" ref="E14:O14" si="5">SUM(E9:E13)</f>
        <v>3594063347.6000004</v>
      </c>
      <c r="F14" s="290">
        <f t="shared" si="5"/>
        <v>2005440907.6799998</v>
      </c>
      <c r="G14" s="290">
        <f t="shared" si="5"/>
        <v>1061511554.9200001</v>
      </c>
      <c r="H14" s="290">
        <f t="shared" si="5"/>
        <v>16985090200.070004</v>
      </c>
      <c r="I14" s="290">
        <f t="shared" si="5"/>
        <v>598785413.83000004</v>
      </c>
      <c r="J14" s="290">
        <f t="shared" si="5"/>
        <v>-4920287863.7799988</v>
      </c>
      <c r="K14" s="300">
        <f t="shared" si="5"/>
        <v>40241394189.82</v>
      </c>
      <c r="L14" s="301">
        <f>SUM(L9:L13)</f>
        <v>859936305</v>
      </c>
      <c r="M14" s="302">
        <f t="shared" si="5"/>
        <v>39381457884.82</v>
      </c>
      <c r="N14" s="301">
        <f t="shared" si="5"/>
        <v>80929430.859999999</v>
      </c>
      <c r="O14" s="302">
        <f t="shared" si="5"/>
        <v>39462387315.68</v>
      </c>
      <c r="P14" s="329"/>
      <c r="Q14" s="306"/>
      <c r="S14" s="327"/>
      <c r="T14" s="328" t="s">
        <v>2</v>
      </c>
      <c r="U14" s="330">
        <f>SUM(U9:U13)</f>
        <v>5252452063.1599998</v>
      </c>
      <c r="V14" s="330">
        <f t="shared" ref="V14:AF14" si="6">SUM(V9:V13)</f>
        <v>5095116409.1599998</v>
      </c>
      <c r="W14" s="330">
        <f t="shared" si="6"/>
        <v>24547093936.259998</v>
      </c>
      <c r="X14" s="330">
        <f t="shared" si="6"/>
        <v>8935614904.6100006</v>
      </c>
      <c r="Y14" s="330">
        <f t="shared" si="6"/>
        <v>977852204.75</v>
      </c>
      <c r="Z14" s="290">
        <f t="shared" si="6"/>
        <v>-859936305</v>
      </c>
      <c r="AA14" s="290">
        <f t="shared" si="6"/>
        <v>-11981.320000000007</v>
      </c>
      <c r="AB14" s="290">
        <f t="shared" si="6"/>
        <v>80929430.859999999</v>
      </c>
      <c r="AC14" s="290">
        <f t="shared" si="6"/>
        <v>-1.369999999999969</v>
      </c>
      <c r="AD14" s="290">
        <f>SUM(AD9:AD13)</f>
        <v>-4566723345.4300003</v>
      </c>
      <c r="AE14" s="290">
        <f>SUM(AE9:AE13)</f>
        <v>-9487011209.210001</v>
      </c>
      <c r="AF14" s="331">
        <f t="shared" si="6"/>
        <v>39462387315.68</v>
      </c>
      <c r="AG14" s="332">
        <f>SUM(AG9:AG13)</f>
        <v>-2.86102294921875E-6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44808129517.940002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30254522.43</v>
      </c>
      <c r="E28" s="292">
        <f>'Rem. Anticipos R2'!F63</f>
        <v>1628680.68</v>
      </c>
      <c r="F28" s="292">
        <f>'Rem. Anticipos R2'!G63</f>
        <v>888879.83</v>
      </c>
      <c r="G28" s="292">
        <f>'Rem. Anticipos R2'!H63</f>
        <v>520121.55</v>
      </c>
      <c r="H28" s="292">
        <f>'Rem. Anticipos R2'!I63</f>
        <v>4494789.55</v>
      </c>
      <c r="I28" s="292">
        <f>'Rem. Anticipos R2'!J63</f>
        <v>206682.07</v>
      </c>
      <c r="J28" s="289">
        <v>0</v>
      </c>
      <c r="K28" s="293">
        <f>D28-E28-F28-G28-H28-I28-J28</f>
        <v>22515368.75</v>
      </c>
      <c r="L28" s="294">
        <v>0</v>
      </c>
      <c r="M28" s="293">
        <f>K28-L28</f>
        <v>22515368.75</v>
      </c>
      <c r="N28" s="294">
        <f>'Rem. Anticipos R2'!K63</f>
        <v>0</v>
      </c>
      <c r="O28" s="293">
        <f>M28+N28</f>
        <v>22515368.75</v>
      </c>
      <c r="Q28" s="306"/>
      <c r="S28" s="303">
        <v>1</v>
      </c>
      <c r="T28" s="304" t="s">
        <v>10</v>
      </c>
      <c r="U28" s="307">
        <f>'Rem. Anticipos R2'!L63</f>
        <v>2286008.7000000002</v>
      </c>
      <c r="V28" s="308">
        <f>'Rem. Anticipos R2'!M63</f>
        <v>2318211.14</v>
      </c>
      <c r="W28" s="308">
        <f>'Rem. Anticipos R2'!N63</f>
        <v>11917028.199999999</v>
      </c>
      <c r="X28" s="308">
        <f>'Rem. Anticipos R2'!O63</f>
        <v>4523338.08</v>
      </c>
      <c r="Y28" s="309">
        <f>'Rem. Anticipos R2'!P63</f>
        <v>331306.05</v>
      </c>
      <c r="Z28" s="310">
        <f>L28*-1</f>
        <v>0</v>
      </c>
      <c r="AA28" s="311">
        <f>'Rem. Anticipos R2'!Q63</f>
        <v>-26.65</v>
      </c>
      <c r="AB28" s="294">
        <f>N28</f>
        <v>0</v>
      </c>
      <c r="AC28" s="311">
        <f>'Rem. Anticipos R2'!R63</f>
        <v>0</v>
      </c>
      <c r="AD28" s="291">
        <f>-J28+AE28</f>
        <v>1139503.23</v>
      </c>
      <c r="AE28" s="291">
        <f>'Rem. Anticipos R2'!E64</f>
        <v>1139503.23</v>
      </c>
      <c r="AF28" s="313">
        <f>SUM(U28:AD28)</f>
        <v>22515368.75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56389807.619999997</v>
      </c>
      <c r="E29" s="292">
        <f>'Rem. Anticipos R2'!F184</f>
        <v>4330549.46</v>
      </c>
      <c r="F29" s="292">
        <f>'Rem. Anticipos R2'!G184</f>
        <v>2500825.34</v>
      </c>
      <c r="G29" s="292">
        <f>'Rem. Anticipos R2'!H184</f>
        <v>900138.33</v>
      </c>
      <c r="H29" s="292">
        <f>'Rem. Anticipos R2'!I184</f>
        <v>19218828.109999999</v>
      </c>
      <c r="I29" s="292">
        <f>'Rem. Anticipos R2'!J184</f>
        <v>614720.18999999994</v>
      </c>
      <c r="J29" s="288">
        <v>0</v>
      </c>
      <c r="K29" s="295">
        <f t="shared" ref="K29:K31" si="7">D29-E29-F29-G29-H29-I29-J29</f>
        <v>28824746.189999994</v>
      </c>
      <c r="L29" s="294">
        <v>0</v>
      </c>
      <c r="M29" s="295">
        <f>K29-L29</f>
        <v>28824746.189999994</v>
      </c>
      <c r="N29" s="294">
        <f>'Rem. Anticipos R2'!K184</f>
        <v>51372.12</v>
      </c>
      <c r="O29" s="295">
        <f t="shared" ref="O29:O32" si="8">M29+N29</f>
        <v>28876118.309999995</v>
      </c>
      <c r="Q29" s="306"/>
      <c r="S29" s="314">
        <v>2</v>
      </c>
      <c r="T29" s="315" t="s">
        <v>11</v>
      </c>
      <c r="U29" s="316">
        <f>'Rem. Anticipos R2'!L184</f>
        <v>6720576.6200000001</v>
      </c>
      <c r="V29" s="317">
        <f>'Rem. Anticipos R2'!M184</f>
        <v>6169326.2000000002</v>
      </c>
      <c r="W29" s="317">
        <f>'Rem. Anticipos R2'!N184</f>
        <v>26235526.309999999</v>
      </c>
      <c r="X29" s="317">
        <f>'Rem. Anticipos R2'!O184</f>
        <v>8936888.9700000007</v>
      </c>
      <c r="Y29" s="318">
        <f>'Rem. Anticipos R2'!P184</f>
        <v>899091.23</v>
      </c>
      <c r="Z29" s="319">
        <f>L29*-1</f>
        <v>0</v>
      </c>
      <c r="AA29" s="320">
        <f>'Rem. Anticipos R2'!Q184</f>
        <v>271.12</v>
      </c>
      <c r="AB29" s="294">
        <f>N29</f>
        <v>51372.12</v>
      </c>
      <c r="AC29" s="320">
        <f>'Rem. Anticipos R2'!R184</f>
        <v>0</v>
      </c>
      <c r="AD29" s="291">
        <f>-J29+AE29</f>
        <v>-20136934.260000002</v>
      </c>
      <c r="AE29" s="291">
        <f>'Rem. Anticipos R2'!E185</f>
        <v>-20136934.260000002</v>
      </c>
      <c r="AF29" s="322">
        <f>SUM(U29:AD29)</f>
        <v>28876118.309999984</v>
      </c>
      <c r="AG29" s="323">
        <f>(AF29-O29)</f>
        <v>-1.1175870895385742E-8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21828172.699999999</v>
      </c>
      <c r="E30" s="292">
        <f>'Rem. Anticipos R2'!F305</f>
        <v>1359804.3</v>
      </c>
      <c r="F30" s="292">
        <f>'Rem. Anticipos R2'!G305</f>
        <v>759042.94</v>
      </c>
      <c r="G30" s="292">
        <f>'Rem. Anticipos R2'!H305</f>
        <v>333725.65000000002</v>
      </c>
      <c r="H30" s="292">
        <f>'Rem. Anticipos R2'!I305</f>
        <v>5462361.0700000003</v>
      </c>
      <c r="I30" s="292">
        <f>'Rem. Anticipos R2'!J305</f>
        <v>185191.13</v>
      </c>
      <c r="J30" s="288">
        <v>0</v>
      </c>
      <c r="K30" s="295">
        <f t="shared" si="7"/>
        <v>13728047.609999998</v>
      </c>
      <c r="L30" s="294">
        <v>0</v>
      </c>
      <c r="M30" s="295">
        <f>K30-L30</f>
        <v>13728047.609999998</v>
      </c>
      <c r="N30" s="294">
        <f>'Rem. Anticipos R2'!K305</f>
        <v>45286.42</v>
      </c>
      <c r="O30" s="295">
        <f t="shared" si="8"/>
        <v>13773334.029999997</v>
      </c>
      <c r="Q30" s="306"/>
      <c r="S30" s="314">
        <v>3</v>
      </c>
      <c r="T30" s="315" t="s">
        <v>12</v>
      </c>
      <c r="U30" s="316">
        <f>'Rem. Anticipos R2'!L305</f>
        <v>2065156.11</v>
      </c>
      <c r="V30" s="317">
        <f>'Rem. Anticipos R2'!M305</f>
        <v>1589655.8</v>
      </c>
      <c r="W30" s="317">
        <f>'Rem. Anticipos R2'!N305</f>
        <v>7142216.7800000003</v>
      </c>
      <c r="X30" s="317">
        <f>'Rem. Anticipos R2'!O305</f>
        <v>4233936.76</v>
      </c>
      <c r="Y30" s="318">
        <f>'Rem. Anticipos R2'!P305</f>
        <v>268158.90000000002</v>
      </c>
      <c r="Z30" s="319">
        <f>L30*-1</f>
        <v>0</v>
      </c>
      <c r="AA30" s="320">
        <f>'Rem. Anticipos R2'!Q305</f>
        <v>-187</v>
      </c>
      <c r="AB30" s="294">
        <f>N30</f>
        <v>45286.42</v>
      </c>
      <c r="AC30" s="320">
        <f>'Rem. Anticipos R2'!R305</f>
        <v>0</v>
      </c>
      <c r="AD30" s="291">
        <f t="shared" ref="AD30:AD32" si="10">-J30+AE30</f>
        <v>-1570889.74</v>
      </c>
      <c r="AE30" s="291">
        <f>'Rem. Anticipos R2'!E306</f>
        <v>-1570889.74</v>
      </c>
      <c r="AF30" s="322">
        <f>SUM(U30:AD30)</f>
        <v>13773334.030000001</v>
      </c>
      <c r="AG30" s="323">
        <f t="shared" ref="AG30:AG31" si="11">(AF30-O30)</f>
        <v>3.7252902984619141E-9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15536711.57</v>
      </c>
      <c r="E31" s="292">
        <f>'Rem. Anticipos R2'!F429</f>
        <v>905383.61</v>
      </c>
      <c r="F31" s="292">
        <f>'Rem. Anticipos R2'!G429</f>
        <v>513285.78</v>
      </c>
      <c r="G31" s="292">
        <f>'Rem. Anticipos R2'!H429</f>
        <v>242018.01</v>
      </c>
      <c r="H31" s="292">
        <f>'Rem. Anticipos R2'!I429</f>
        <v>3425674.04</v>
      </c>
      <c r="I31" s="292">
        <f>'Rem. Anticipos R2'!J429</f>
        <v>135105.51999999999</v>
      </c>
      <c r="J31" s="288">
        <v>0</v>
      </c>
      <c r="K31" s="295">
        <f t="shared" si="7"/>
        <v>10315244.610000003</v>
      </c>
      <c r="L31" s="294">
        <v>0</v>
      </c>
      <c r="M31" s="295">
        <f>K31-L31</f>
        <v>10315244.610000003</v>
      </c>
      <c r="N31" s="294">
        <f>'Rem. Anticipos R2'!K429</f>
        <v>0</v>
      </c>
      <c r="O31" s="295">
        <f t="shared" si="8"/>
        <v>10315244.610000003</v>
      </c>
      <c r="Q31" s="306"/>
      <c r="S31" s="314">
        <v>4</v>
      </c>
      <c r="T31" s="315" t="s">
        <v>13</v>
      </c>
      <c r="U31" s="316">
        <f>'Rem. Anticipos R2'!L429</f>
        <v>1544350.53</v>
      </c>
      <c r="V31" s="317">
        <f>'Rem. Anticipos R2'!M429</f>
        <v>1111554.8600000001</v>
      </c>
      <c r="W31" s="317">
        <f>'Rem. Anticipos R2'!N429</f>
        <v>4923328.28</v>
      </c>
      <c r="X31" s="317">
        <f>'Rem. Anticipos R2'!O429</f>
        <v>2698732.89</v>
      </c>
      <c r="Y31" s="318">
        <f>'Rem. Anticipos R2'!P429</f>
        <v>206079.53</v>
      </c>
      <c r="Z31" s="319">
        <f>L31*-1</f>
        <v>0</v>
      </c>
      <c r="AA31" s="320">
        <f>'Rem. Anticipos R2'!Q429</f>
        <v>-113.04</v>
      </c>
      <c r="AB31" s="294">
        <f>N31</f>
        <v>0</v>
      </c>
      <c r="AC31" s="320">
        <f>'Rem. Anticipos R2'!R429</f>
        <v>0</v>
      </c>
      <c r="AD31" s="291">
        <f t="shared" si="10"/>
        <v>-168688.44</v>
      </c>
      <c r="AE31" s="291">
        <f>'Rem. Anticipos R2'!E430</f>
        <v>-168688.44</v>
      </c>
      <c r="AF31" s="322">
        <f>SUM(U31:AD31)</f>
        <v>10315244.610000001</v>
      </c>
      <c r="AG31" s="323">
        <f t="shared" si="11"/>
        <v>-1.862645149230957E-9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26488801.359999999</v>
      </c>
      <c r="E32" s="297">
        <f>'Rem. Anticipos R2'!F516</f>
        <v>1497793.49</v>
      </c>
      <c r="F32" s="297">
        <f>'Rem. Anticipos R2'!G516</f>
        <v>854780.46</v>
      </c>
      <c r="G32" s="297">
        <f>'Rem. Anticipos R2'!H516</f>
        <v>425091.72</v>
      </c>
      <c r="H32" s="297">
        <f>'Rem. Anticipos R2'!I516</f>
        <v>6081457.7400000002</v>
      </c>
      <c r="I32" s="297">
        <f>'Rem. Anticipos R2'!J516</f>
        <v>200139.03</v>
      </c>
      <c r="J32" s="289">
        <v>0</v>
      </c>
      <c r="K32" s="295">
        <f>D32-E32-F32-G32-H32-I32-J32</f>
        <v>17429538.920000002</v>
      </c>
      <c r="L32" s="294">
        <v>0</v>
      </c>
      <c r="M32" s="298">
        <f>K32-L32</f>
        <v>17429538.920000002</v>
      </c>
      <c r="N32" s="299">
        <f>'Rem. Anticipos R2'!K516</f>
        <v>0</v>
      </c>
      <c r="O32" s="298">
        <f t="shared" si="8"/>
        <v>17429538.920000002</v>
      </c>
      <c r="Q32" s="306"/>
      <c r="S32" s="324">
        <v>5</v>
      </c>
      <c r="T32" s="325" t="s">
        <v>14</v>
      </c>
      <c r="U32" s="296">
        <f>'Rem. Anticipos R2'!L516</f>
        <v>1896616.54</v>
      </c>
      <c r="V32" s="297">
        <f>'Rem. Anticipos R2'!M516</f>
        <v>1730292.01</v>
      </c>
      <c r="W32" s="297">
        <f>'Rem. Anticipos R2'!N516</f>
        <v>8631513.2699999996</v>
      </c>
      <c r="X32" s="297">
        <f>'Rem. Anticipos R2'!O516</f>
        <v>4715004.8</v>
      </c>
      <c r="Y32" s="289">
        <f>'Rem. Anticipos R2'!P516</f>
        <v>321692.18</v>
      </c>
      <c r="Z32" s="319">
        <f>L32*-1</f>
        <v>0</v>
      </c>
      <c r="AA32" s="320">
        <f>'Rem. Anticipos R2'!Q516</f>
        <v>-202.86</v>
      </c>
      <c r="AB32" s="294">
        <f>N32</f>
        <v>0</v>
      </c>
      <c r="AC32" s="320">
        <f>'Rem. Anticipos R2'!R516</f>
        <v>0</v>
      </c>
      <c r="AD32" s="291">
        <f t="shared" si="10"/>
        <v>134622.98000000001</v>
      </c>
      <c r="AE32" s="291">
        <f>'Rem. Anticipos R2'!E517</f>
        <v>134622.98000000001</v>
      </c>
      <c r="AF32" s="322">
        <f>SUM(U32:AD32)</f>
        <v>17429538.920000002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150498015.68000001</v>
      </c>
      <c r="E33" s="290">
        <f>SUM(E28:E32)</f>
        <v>9722211.5399999991</v>
      </c>
      <c r="F33" s="290">
        <f t="shared" ref="F33:O33" si="12">SUM(F28:F32)</f>
        <v>5516814.3499999996</v>
      </c>
      <c r="G33" s="290">
        <f t="shared" si="12"/>
        <v>2421095.2599999998</v>
      </c>
      <c r="H33" s="290">
        <f t="shared" si="12"/>
        <v>38683110.509999998</v>
      </c>
      <c r="I33" s="290">
        <f t="shared" si="12"/>
        <v>1341837.94</v>
      </c>
      <c r="J33" s="290">
        <f t="shared" si="12"/>
        <v>0</v>
      </c>
      <c r="K33" s="300">
        <f t="shared" si="12"/>
        <v>92812946.079999998</v>
      </c>
      <c r="L33" s="301">
        <f t="shared" si="12"/>
        <v>0</v>
      </c>
      <c r="M33" s="302">
        <f t="shared" si="12"/>
        <v>92812946.079999998</v>
      </c>
      <c r="N33" s="301">
        <f t="shared" si="12"/>
        <v>96658.540000000008</v>
      </c>
      <c r="O33" s="302">
        <f t="shared" si="12"/>
        <v>92909604.61999999</v>
      </c>
      <c r="P33" s="329"/>
      <c r="Q33" s="306"/>
      <c r="S33" s="327"/>
      <c r="T33" s="328" t="s">
        <v>2</v>
      </c>
      <c r="U33" s="330">
        <f>SUM(U28:U32)</f>
        <v>14512708.5</v>
      </c>
      <c r="V33" s="330">
        <f t="shared" ref="V33:AG33" si="13">SUM(V28:V32)</f>
        <v>12919040.01</v>
      </c>
      <c r="W33" s="330">
        <f t="shared" si="13"/>
        <v>58849612.840000004</v>
      </c>
      <c r="X33" s="330">
        <f t="shared" si="13"/>
        <v>25107901.500000004</v>
      </c>
      <c r="Y33" s="330">
        <f t="shared" si="13"/>
        <v>2026327.8900000001</v>
      </c>
      <c r="Z33" s="290">
        <f t="shared" si="13"/>
        <v>0</v>
      </c>
      <c r="AA33" s="290">
        <f t="shared" si="13"/>
        <v>-258.43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-20602386.23</v>
      </c>
      <c r="AE33" s="290">
        <f>SUM(AE28:AE32)</f>
        <v>-20602386.23</v>
      </c>
      <c r="AF33" s="331">
        <f t="shared" si="13"/>
        <v>92909604.61999999</v>
      </c>
      <c r="AG33" s="332">
        <f t="shared" si="13"/>
        <v>-9.3132257461547852E-9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113415590.73999999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135940</v>
      </c>
      <c r="E49" s="292">
        <f>'Reporte Componentes R1'!G496</f>
        <v>7398.44</v>
      </c>
      <c r="F49" s="292">
        <f>'Reporte Componentes R1'!H496</f>
        <v>4166.07</v>
      </c>
      <c r="G49" s="292">
        <f>'Reporte Componentes R1'!I496</f>
        <v>2192.52</v>
      </c>
      <c r="H49" s="292">
        <f>'Reporte Componentes R1'!J496</f>
        <v>42403.82</v>
      </c>
      <c r="I49" s="292">
        <f>'Reporte Componentes R1'!K496</f>
        <v>1128.43</v>
      </c>
      <c r="J49" s="288">
        <v>0</v>
      </c>
      <c r="K49" s="295">
        <f t="shared" si="15"/>
        <v>78650.720000000001</v>
      </c>
      <c r="L49" s="294">
        <v>0</v>
      </c>
      <c r="M49" s="295">
        <f>K49-L49</f>
        <v>78650.720000000001</v>
      </c>
      <c r="N49" s="294">
        <f>'Reporte Componentes R1'!L496</f>
        <v>0</v>
      </c>
      <c r="O49" s="295">
        <f t="shared" si="16"/>
        <v>78650.720000000001</v>
      </c>
      <c r="Q49" s="306"/>
      <c r="S49" s="314">
        <v>3</v>
      </c>
      <c r="T49" s="315" t="s">
        <v>12</v>
      </c>
      <c r="U49" s="316">
        <f>'Reporte Componentes R1'!M496</f>
        <v>9898.65</v>
      </c>
      <c r="V49" s="317">
        <f>'Reporte Componentes R1'!N496</f>
        <v>12836.88</v>
      </c>
      <c r="W49" s="317">
        <f>'Reporte Componentes R1'!O496</f>
        <v>60544.68</v>
      </c>
      <c r="X49" s="317">
        <f>'Reporte Componentes R1'!P496</f>
        <v>17346.64</v>
      </c>
      <c r="Y49" s="318">
        <f>'Reporte Componentes R1'!Q496</f>
        <v>1841.15</v>
      </c>
      <c r="Z49" s="319">
        <f>-L49</f>
        <v>0</v>
      </c>
      <c r="AA49" s="320">
        <f>'Reporte Componentes R1'!R496+'Reporte Componentes R1'!V496+'Reporte Componentes R1'!U496</f>
        <v>-4.96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-23812.32</v>
      </c>
      <c r="AE49" s="291">
        <f>'Reporte Componentes R1'!F497</f>
        <v>-23812.32</v>
      </c>
      <c r="AF49" s="322">
        <f t="shared" ref="AF49:AF51" si="19">SUM(U49:AD49)</f>
        <v>78650.719999999972</v>
      </c>
      <c r="AG49" s="323">
        <f t="shared" ref="AG49:AG51" si="20">(AF49-O49)</f>
        <v>-2.9103830456733704E-11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8186910</v>
      </c>
      <c r="E50" s="292">
        <f>'Reporte Componentes R1'!G704</f>
        <v>490323.77</v>
      </c>
      <c r="F50" s="292">
        <f>'Reporte Componentes R1'!H704</f>
        <v>277627.11</v>
      </c>
      <c r="G50" s="292">
        <f>'Reporte Componentes R1'!I704</f>
        <v>149666.72</v>
      </c>
      <c r="H50" s="292">
        <f>'Reporte Componentes R1'!J704</f>
        <v>1748538.41</v>
      </c>
      <c r="I50" s="292">
        <f>'Reporte Componentes R1'!K704</f>
        <v>47474.16</v>
      </c>
      <c r="J50" s="288">
        <v>0</v>
      </c>
      <c r="K50" s="295">
        <f t="shared" si="15"/>
        <v>5473279.8300000001</v>
      </c>
      <c r="L50" s="294">
        <v>0</v>
      </c>
      <c r="M50" s="295">
        <f>K50-L50</f>
        <v>5473279.8300000001</v>
      </c>
      <c r="N50" s="294">
        <f>'Reporte Componentes R1'!L704</f>
        <v>0</v>
      </c>
      <c r="O50" s="295">
        <f t="shared" si="16"/>
        <v>5473279.8300000001</v>
      </c>
      <c r="Q50" s="306"/>
      <c r="S50" s="314">
        <v>4</v>
      </c>
      <c r="T50" s="315" t="s">
        <v>13</v>
      </c>
      <c r="U50" s="316">
        <f>'Reporte Componentes R1'!M704</f>
        <v>416441.8</v>
      </c>
      <c r="V50" s="317">
        <f>'Reporte Componentes R1'!N704</f>
        <v>543766.17000000004</v>
      </c>
      <c r="W50" s="317">
        <f>'Reporte Componentes R1'!O704</f>
        <v>2759239.45</v>
      </c>
      <c r="X50" s="317">
        <f>'Reporte Componentes R1'!P704</f>
        <v>1308401.52</v>
      </c>
      <c r="Y50" s="318">
        <f>'Reporte Componentes R1'!Q704</f>
        <v>78671.37</v>
      </c>
      <c r="Z50" s="319">
        <f>-L50</f>
        <v>0</v>
      </c>
      <c r="AA50" s="320">
        <f>'Reporte Componentes R1'!R704+'Reporte Componentes R1'!V704+'Reporte Componentes R1'!U704</f>
        <v>-18.91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366778.43</v>
      </c>
      <c r="AE50" s="291">
        <f>'Reporte Componentes R1'!F705</f>
        <v>366778.43</v>
      </c>
      <c r="AF50" s="322">
        <f t="shared" si="19"/>
        <v>5473279.8299999991</v>
      </c>
      <c r="AG50" s="323">
        <f t="shared" si="20"/>
        <v>-9.3132257461547852E-10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8322850</v>
      </c>
      <c r="E52" s="290">
        <f t="shared" si="21"/>
        <v>497722.21</v>
      </c>
      <c r="F52" s="290">
        <f t="shared" si="21"/>
        <v>281793.18</v>
      </c>
      <c r="G52" s="290">
        <f t="shared" ref="G52" si="22">SUM(G47:G51)</f>
        <v>151859.24</v>
      </c>
      <c r="H52" s="290">
        <f t="shared" si="21"/>
        <v>1790942.23</v>
      </c>
      <c r="I52" s="290">
        <f t="shared" si="21"/>
        <v>48602.590000000004</v>
      </c>
      <c r="J52" s="290">
        <f t="shared" si="21"/>
        <v>0</v>
      </c>
      <c r="K52" s="300">
        <f t="shared" si="21"/>
        <v>5551930.5499999998</v>
      </c>
      <c r="L52" s="301">
        <f t="shared" si="21"/>
        <v>0</v>
      </c>
      <c r="M52" s="302">
        <f t="shared" si="21"/>
        <v>5551930.5499999998</v>
      </c>
      <c r="N52" s="301">
        <f t="shared" si="21"/>
        <v>0</v>
      </c>
      <c r="O52" s="302">
        <f t="shared" si="21"/>
        <v>5551930.5499999998</v>
      </c>
      <c r="P52" s="329"/>
      <c r="Q52" s="306"/>
      <c r="S52" s="327"/>
      <c r="T52" s="328" t="s">
        <v>2</v>
      </c>
      <c r="U52" s="330">
        <f>SUM(U47:U51)</f>
        <v>426340.45</v>
      </c>
      <c r="V52" s="330">
        <f t="shared" ref="V52:AG52" si="23">SUM(V47:V51)</f>
        <v>556603.05000000005</v>
      </c>
      <c r="W52" s="330">
        <f t="shared" si="23"/>
        <v>2819784.1300000004</v>
      </c>
      <c r="X52" s="330">
        <f t="shared" si="23"/>
        <v>1325748.1599999999</v>
      </c>
      <c r="Y52" s="330">
        <f t="shared" si="23"/>
        <v>80512.51999999999</v>
      </c>
      <c r="Z52" s="290">
        <f t="shared" si="23"/>
        <v>0</v>
      </c>
      <c r="AA52" s="290">
        <f t="shared" si="23"/>
        <v>-23.87</v>
      </c>
      <c r="AB52" s="290">
        <f t="shared" si="23"/>
        <v>0</v>
      </c>
      <c r="AC52" s="290">
        <f t="shared" si="23"/>
        <v>0</v>
      </c>
      <c r="AD52" s="290">
        <f>SUM(AD47:AD51)</f>
        <v>342966.11</v>
      </c>
      <c r="AE52" s="290">
        <f>SUM(AE47:AE51)</f>
        <v>342966.11</v>
      </c>
      <c r="AF52" s="331">
        <f t="shared" si="23"/>
        <v>5551930.5499999989</v>
      </c>
      <c r="AG52" s="332">
        <f t="shared" si="23"/>
        <v>-9.6042640507221222E-10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5208988.3099999996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-3461197.29</v>
      </c>
      <c r="E66" s="292">
        <f>'Reversion Pagos R4'!E85</f>
        <v>-214701.26</v>
      </c>
      <c r="F66" s="292">
        <f>'Reversion Pagos R4'!F85</f>
        <v>-115148.64</v>
      </c>
      <c r="G66" s="292">
        <f>'Reversion Pagos R4'!G85</f>
        <v>-61716.85</v>
      </c>
      <c r="H66" s="292">
        <f>'Reversion Pagos R4'!H85</f>
        <v>-1168748.75</v>
      </c>
      <c r="I66" s="292">
        <f>'Reversion Pagos R4'!I85</f>
        <v>-45201.7</v>
      </c>
      <c r="J66" s="309">
        <v>0</v>
      </c>
      <c r="K66" s="293">
        <f>D66-E66-F66-G66-H66-I66-J66</f>
        <v>-1855680.09</v>
      </c>
      <c r="L66" s="294">
        <v>0</v>
      </c>
      <c r="M66" s="293">
        <f>K66-L66</f>
        <v>-1855680.09</v>
      </c>
      <c r="N66" s="294">
        <f>'Reversion Pagos R4'!P85</f>
        <v>0</v>
      </c>
      <c r="O66" s="293">
        <f>M66+N66</f>
        <v>-1855680.09</v>
      </c>
      <c r="Q66" s="306"/>
      <c r="S66" s="303">
        <v>1</v>
      </c>
      <c r="T66" s="304" t="s">
        <v>10</v>
      </c>
      <c r="U66" s="307">
        <f>'Reversion Pagos R4'!J85</f>
        <v>-396504.48</v>
      </c>
      <c r="V66" s="308">
        <f>'Reversion Pagos R4'!K85</f>
        <v>-370551.41</v>
      </c>
      <c r="W66" s="308">
        <f>'Reversion Pagos R4'!L85</f>
        <v>-1758666.75</v>
      </c>
      <c r="X66" s="308">
        <f>'Reversion Pagos R4'!M85</f>
        <v>-561484.02</v>
      </c>
      <c r="Y66" s="309">
        <f>'Reversion Pagos R4'!N85</f>
        <v>-73125.36</v>
      </c>
      <c r="Z66" s="310">
        <f>-L66</f>
        <v>0</v>
      </c>
      <c r="AA66" s="311">
        <f>+'Reversion Pagos R4'!O85</f>
        <v>17.75</v>
      </c>
      <c r="AB66" s="294">
        <f>N66</f>
        <v>0</v>
      </c>
      <c r="AC66" s="311">
        <f>+'Reversion Pagos R4'!Q85+'Reversion Pagos R4'!R85</f>
        <v>0</v>
      </c>
      <c r="AD66" s="291">
        <f>-J66+AE66</f>
        <v>1304634.18</v>
      </c>
      <c r="AE66" s="291">
        <f>'Reversion Pagos R4'!D86</f>
        <v>1304634.18</v>
      </c>
      <c r="AF66" s="313">
        <f>SUM(U66:AD66)</f>
        <v>-1855680.0899999996</v>
      </c>
      <c r="AG66" s="311">
        <f>(AF66-O66)</f>
        <v>4.6566128730773926E-10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-8713102.3699999992</v>
      </c>
      <c r="E67" s="292">
        <f>'Reversion Pagos R4'!E186</f>
        <v>-566211.69999999995</v>
      </c>
      <c r="F67" s="292">
        <f>'Reversion Pagos R4'!F186</f>
        <v>-318239.98</v>
      </c>
      <c r="G67" s="292">
        <f>'Reversion Pagos R4'!G186</f>
        <v>-167439.25</v>
      </c>
      <c r="H67" s="292">
        <f>'Reversion Pagos R4'!H186</f>
        <v>-2642163.0499999998</v>
      </c>
      <c r="I67" s="292">
        <f>'Reversion Pagos R4'!I186</f>
        <v>-90052.6</v>
      </c>
      <c r="J67" s="288">
        <v>0</v>
      </c>
      <c r="K67" s="295">
        <f t="shared" ref="K67:K70" si="24">D67-E67-F67-G67-H67-I67-J67</f>
        <v>-4928995.79</v>
      </c>
      <c r="L67" s="294">
        <v>0</v>
      </c>
      <c r="M67" s="295">
        <f>K67-L67</f>
        <v>-4928995.79</v>
      </c>
      <c r="N67" s="294">
        <f>'Reversion Pagos R4'!P186</f>
        <v>-26500</v>
      </c>
      <c r="O67" s="295">
        <f t="shared" ref="O67:O70" si="25">M67+N67</f>
        <v>-4955495.79</v>
      </c>
      <c r="Q67" s="306"/>
      <c r="S67" s="314">
        <v>2</v>
      </c>
      <c r="T67" s="315" t="s">
        <v>11</v>
      </c>
      <c r="U67" s="316">
        <f>'Reversion Pagos R4'!J186</f>
        <v>-789932.39</v>
      </c>
      <c r="V67" s="317">
        <f>'Reversion Pagos R4'!K186</f>
        <v>-770822.52</v>
      </c>
      <c r="W67" s="317">
        <f>'Reversion Pagos R4'!L186</f>
        <v>-3654042.78</v>
      </c>
      <c r="X67" s="317">
        <f>'Reversion Pagos R4'!M186</f>
        <v>-1114650.32</v>
      </c>
      <c r="Y67" s="318">
        <f>'Reversion Pagos R4'!N186</f>
        <v>-146927.71</v>
      </c>
      <c r="Z67" s="319">
        <f t="shared" ref="Z67:Z70" si="26">-L67</f>
        <v>0</v>
      </c>
      <c r="AA67" s="320">
        <f>'Reversion Pagos R4'!O186</f>
        <v>4.09</v>
      </c>
      <c r="AB67" s="294">
        <f t="shared" ref="AB67:AB70" si="27">N67</f>
        <v>-26500</v>
      </c>
      <c r="AC67" s="320">
        <f>'Reversion Pagos R4'!Q186+'Reversion Pagos R4'!R186</f>
        <v>0</v>
      </c>
      <c r="AD67" s="291">
        <f t="shared" ref="AD67:AD70" si="28">-J67+AE67</f>
        <v>1547375.84</v>
      </c>
      <c r="AE67" s="291">
        <f>'Reversion Pagos R4'!D187</f>
        <v>1547375.84</v>
      </c>
      <c r="AF67" s="322">
        <f>SUM(U67:AD67)</f>
        <v>-4955495.79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-6091573.8899999997</v>
      </c>
      <c r="E68" s="292">
        <f>'Reversion Pagos R4'!E223</f>
        <v>-329211.14</v>
      </c>
      <c r="F68" s="292">
        <f>'Reversion Pagos R4'!F223</f>
        <v>-185670.3</v>
      </c>
      <c r="G68" s="292">
        <f>'Reversion Pagos R4'!G223</f>
        <v>-97710.73</v>
      </c>
      <c r="H68" s="292">
        <f>'Reversion Pagos R4'!H223</f>
        <v>-2008786.33</v>
      </c>
      <c r="I68" s="292">
        <f>'Reversion Pagos R4'!I223</f>
        <v>-59510.65</v>
      </c>
      <c r="J68" s="288">
        <v>0</v>
      </c>
      <c r="K68" s="295">
        <f t="shared" si="24"/>
        <v>-3410684.7399999998</v>
      </c>
      <c r="L68" s="294">
        <v>0</v>
      </c>
      <c r="M68" s="295">
        <f>K68-L68</f>
        <v>-3410684.7399999998</v>
      </c>
      <c r="N68" s="294">
        <f>'Reversion Pagos R4'!P223</f>
        <v>0</v>
      </c>
      <c r="O68" s="295">
        <f t="shared" si="25"/>
        <v>-3410684.7399999998</v>
      </c>
      <c r="Q68" s="306"/>
      <c r="S68" s="314">
        <v>3</v>
      </c>
      <c r="T68" s="315" t="s">
        <v>12</v>
      </c>
      <c r="U68" s="316">
        <f>'Reversion Pagos R4'!J223</f>
        <v>-518767.2</v>
      </c>
      <c r="V68" s="317">
        <f>'Reversion Pagos R4'!K223</f>
        <v>-504980.22</v>
      </c>
      <c r="W68" s="317">
        <f>'Reversion Pagos R4'!L223</f>
        <v>-2392242.2000000002</v>
      </c>
      <c r="X68" s="317">
        <f>'Reversion Pagos R4'!M223</f>
        <v>-776104.47</v>
      </c>
      <c r="Y68" s="318">
        <f>'Reversion Pagos R4'!N223</f>
        <v>-97096.95</v>
      </c>
      <c r="Z68" s="319">
        <f t="shared" si="26"/>
        <v>0</v>
      </c>
      <c r="AA68" s="320">
        <f>'Reversion Pagos R4'!O223</f>
        <v>-28.18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878534.48</v>
      </c>
      <c r="AE68" s="291">
        <f>'Reversion Pagos R4'!D224</f>
        <v>878534.48</v>
      </c>
      <c r="AF68" s="322">
        <f t="shared" ref="AF68:AF70" si="30">SUM(U68:AD68)</f>
        <v>-3410684.7399999998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-20245524.780000001</v>
      </c>
      <c r="E69" s="292">
        <f>'Reversion Pagos R4'!E338</f>
        <v>-1196448.3</v>
      </c>
      <c r="F69" s="292">
        <f>'Reversion Pagos R4'!F338</f>
        <v>-664404.36</v>
      </c>
      <c r="G69" s="292">
        <f>'Reversion Pagos R4'!G338</f>
        <v>-360883.75</v>
      </c>
      <c r="H69" s="292">
        <f>'Reversion Pagos R4'!H338</f>
        <v>-4685929.54</v>
      </c>
      <c r="I69" s="292">
        <f>'Reversion Pagos R4'!I338</f>
        <v>-166519.81</v>
      </c>
      <c r="J69" s="288">
        <v>0</v>
      </c>
      <c r="K69" s="295">
        <f t="shared" si="24"/>
        <v>-13171339.020000001</v>
      </c>
      <c r="L69" s="294">
        <v>0</v>
      </c>
      <c r="M69" s="295">
        <f>K69-L69</f>
        <v>-13171339.020000001</v>
      </c>
      <c r="N69" s="294">
        <f>'Reversion Pagos R4'!P338</f>
        <v>0</v>
      </c>
      <c r="O69" s="295">
        <f t="shared" si="25"/>
        <v>-13171339.020000001</v>
      </c>
      <c r="Q69" s="306"/>
      <c r="S69" s="314">
        <v>4</v>
      </c>
      <c r="T69" s="315" t="s">
        <v>13</v>
      </c>
      <c r="U69" s="316">
        <f>'Reversion Pagos R4'!J338</f>
        <v>-1470400.62</v>
      </c>
      <c r="V69" s="317">
        <f>'Reversion Pagos R4'!K338</f>
        <v>-1455377.67</v>
      </c>
      <c r="W69" s="317">
        <f>'Reversion Pagos R4'!L338</f>
        <v>-7399406.1699999999</v>
      </c>
      <c r="X69" s="317">
        <f>'Reversion Pagos R4'!M338</f>
        <v>-3269494.65</v>
      </c>
      <c r="Y69" s="318">
        <f>'Reversion Pagos R4'!N338</f>
        <v>-270007.23</v>
      </c>
      <c r="Z69" s="319">
        <f t="shared" si="26"/>
        <v>0</v>
      </c>
      <c r="AA69" s="320">
        <f>'Reversion Pagos R4'!O338</f>
        <v>66.739999999999995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693280.58</v>
      </c>
      <c r="AE69" s="291">
        <f>'Reversion Pagos R4'!D339</f>
        <v>693280.58</v>
      </c>
      <c r="AF69" s="322">
        <f>SUM(U69:AD69)</f>
        <v>-13171339.020000001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-8771320</v>
      </c>
      <c r="E70" s="297">
        <f>'Reversion Pagos R4'!E379</f>
        <v>-408847.65</v>
      </c>
      <c r="F70" s="297">
        <f>'Reversion Pagos R4'!F379</f>
        <v>-229915.41</v>
      </c>
      <c r="G70" s="297">
        <f>'Reversion Pagos R4'!G379</f>
        <v>-121140.38</v>
      </c>
      <c r="H70" s="297">
        <f>'Reversion Pagos R4'!H379</f>
        <v>-1864549.61</v>
      </c>
      <c r="I70" s="297">
        <f>'Reversion Pagos R4'!I379</f>
        <v>-67473.23</v>
      </c>
      <c r="J70" s="289">
        <v>0</v>
      </c>
      <c r="K70" s="295">
        <f t="shared" si="24"/>
        <v>-6079393.7199999988</v>
      </c>
      <c r="L70" s="294">
        <v>0</v>
      </c>
      <c r="M70" s="298">
        <f>K70-L70</f>
        <v>-6079393.7199999988</v>
      </c>
      <c r="N70" s="294">
        <f>'Reversion Pagos R4'!P379</f>
        <v>0</v>
      </c>
      <c r="O70" s="298">
        <f t="shared" si="25"/>
        <v>-6079393.7199999988</v>
      </c>
      <c r="Q70" s="306"/>
      <c r="S70" s="324">
        <v>5</v>
      </c>
      <c r="T70" s="325" t="s">
        <v>14</v>
      </c>
      <c r="U70" s="296">
        <f>'Reversion Pagos R4'!J379</f>
        <v>-591865.68999999994</v>
      </c>
      <c r="V70" s="297">
        <f>'Reversion Pagos R4'!K379</f>
        <v>-569442.35</v>
      </c>
      <c r="W70" s="297">
        <f>'Reversion Pagos R4'!L379</f>
        <v>-2965163.85</v>
      </c>
      <c r="X70" s="297">
        <f>'Reversion Pagos R4'!M379</f>
        <v>-1234590.28</v>
      </c>
      <c r="Y70" s="289">
        <f>'Reversion Pagos R4'!N379</f>
        <v>-110087.57</v>
      </c>
      <c r="Z70" s="319">
        <f t="shared" si="26"/>
        <v>0</v>
      </c>
      <c r="AA70" s="320">
        <f>'Reversion Pagos R4'!O379</f>
        <v>-44.61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-608199.37</v>
      </c>
      <c r="AE70" s="291">
        <f>'Reversion Pagos R4'!D380</f>
        <v>-608199.37</v>
      </c>
      <c r="AF70" s="322">
        <f t="shared" si="30"/>
        <v>-6079393.7200000007</v>
      </c>
      <c r="AG70" s="326">
        <f t="shared" si="31"/>
        <v>-1.862645149230957E-9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-47282718.329999998</v>
      </c>
      <c r="E71" s="290">
        <f t="shared" si="32"/>
        <v>-2715420.0500000003</v>
      </c>
      <c r="F71" s="290">
        <f t="shared" si="32"/>
        <v>-1513378.6899999997</v>
      </c>
      <c r="G71" s="290">
        <f t="shared" si="32"/>
        <v>-808890.96000000008</v>
      </c>
      <c r="H71" s="290">
        <f t="shared" si="32"/>
        <v>-12370177.279999999</v>
      </c>
      <c r="I71" s="290">
        <f t="shared" si="32"/>
        <v>-428757.99</v>
      </c>
      <c r="J71" s="290">
        <f t="shared" si="32"/>
        <v>0</v>
      </c>
      <c r="K71" s="300">
        <f t="shared" si="32"/>
        <v>-29446093.359999999</v>
      </c>
      <c r="L71" s="301">
        <f t="shared" si="32"/>
        <v>0</v>
      </c>
      <c r="M71" s="302">
        <f t="shared" si="32"/>
        <v>-29446093.359999999</v>
      </c>
      <c r="N71" s="301">
        <f t="shared" si="32"/>
        <v>-26500</v>
      </c>
      <c r="O71" s="302">
        <f t="shared" si="32"/>
        <v>-29472593.359999999</v>
      </c>
      <c r="P71" s="329"/>
      <c r="Q71" s="306"/>
      <c r="S71" s="327"/>
      <c r="T71" s="328" t="s">
        <v>2</v>
      </c>
      <c r="U71" s="330">
        <f>SUM(U66:U70)</f>
        <v>-3767470.3800000004</v>
      </c>
      <c r="V71" s="330">
        <f t="shared" ref="V71:AG71" si="33">SUM(V66:V70)</f>
        <v>-3671174.17</v>
      </c>
      <c r="W71" s="330">
        <f t="shared" si="33"/>
        <v>-18169521.75</v>
      </c>
      <c r="X71" s="330">
        <f t="shared" si="33"/>
        <v>-6956323.7400000002</v>
      </c>
      <c r="Y71" s="330">
        <f t="shared" si="33"/>
        <v>-697244.82000000007</v>
      </c>
      <c r="Z71" s="290">
        <f t="shared" si="33"/>
        <v>0</v>
      </c>
      <c r="AA71" s="290">
        <f>SUM(AA66:AA70)</f>
        <v>15.789999999999992</v>
      </c>
      <c r="AB71" s="290">
        <f t="shared" si="33"/>
        <v>-26500</v>
      </c>
      <c r="AC71" s="290">
        <f t="shared" ref="AC71" si="34">SUM(AC66:AC70)</f>
        <v>0</v>
      </c>
      <c r="AD71" s="290">
        <f>SUM(AD66:AD70)</f>
        <v>3815625.71</v>
      </c>
      <c r="AE71" s="290">
        <f>SUM(AE66:AE70)</f>
        <v>3815625.71</v>
      </c>
      <c r="AF71" s="331">
        <f t="shared" si="33"/>
        <v>-29472593.359999999</v>
      </c>
      <c r="AG71" s="332">
        <f t="shared" si="33"/>
        <v>-1.3969838619232178E-9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-33261734.859999999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16920903756.910002</v>
      </c>
      <c r="E104" s="292">
        <f t="shared" si="43"/>
        <v>951432272.83999991</v>
      </c>
      <c r="F104" s="292">
        <f t="shared" si="43"/>
        <v>531457578.17000002</v>
      </c>
      <c r="G104" s="292">
        <f t="shared" si="43"/>
        <v>281685631.29999995</v>
      </c>
      <c r="H104" s="292">
        <f t="shared" si="43"/>
        <v>4815556189.8900003</v>
      </c>
      <c r="I104" s="292">
        <f t="shared" si="43"/>
        <v>180663428.54999998</v>
      </c>
      <c r="J104" s="292">
        <f t="shared" si="43"/>
        <v>2589335716.54</v>
      </c>
      <c r="K104" s="293">
        <f>D104-E104-F104-G104-H104-I104-J104</f>
        <v>7570772939.6200037</v>
      </c>
      <c r="L104" s="294">
        <f>L9+L28+L47+L66+L85</f>
        <v>189185987</v>
      </c>
      <c r="M104" s="293">
        <f>K104-L104</f>
        <v>7381586952.6200037</v>
      </c>
      <c r="N104" s="294">
        <f>N9+N28+N47+N66+N85</f>
        <v>28845491.23</v>
      </c>
      <c r="O104" s="293">
        <f>M104+N104</f>
        <v>7410432443.8500032</v>
      </c>
      <c r="Q104" s="306"/>
      <c r="S104" s="303">
        <v>1</v>
      </c>
      <c r="T104" s="304" t="s">
        <v>10</v>
      </c>
      <c r="U104" s="307">
        <f t="shared" ref="U104:AB108" si="44">U9+U28+U47+U66+U85</f>
        <v>1586216685.9000001</v>
      </c>
      <c r="V104" s="308">
        <f t="shared" si="44"/>
        <v>1513149183.3399999</v>
      </c>
      <c r="W104" s="308">
        <f t="shared" si="44"/>
        <v>7120111429.4300003</v>
      </c>
      <c r="X104" s="308">
        <f t="shared" si="44"/>
        <v>2589550594.4000001</v>
      </c>
      <c r="Y104" s="309">
        <f t="shared" si="44"/>
        <v>294798770.70000005</v>
      </c>
      <c r="Z104" s="310">
        <f t="shared" si="44"/>
        <v>-189185987</v>
      </c>
      <c r="AA104" s="311">
        <f>AA9+AA28+AA47+AA66+AA85</f>
        <v>-46201.060000000005</v>
      </c>
      <c r="AB104" s="294">
        <f>AB9+AB28+AB47+AB66+AB85</f>
        <v>28845491.23</v>
      </c>
      <c r="AC104" s="311">
        <f>AC9+AC28+AC47+AC66+AC85</f>
        <v>37.270000000000003</v>
      </c>
      <c r="AD104" s="291">
        <f>-J104+AE104</f>
        <v>-5533007560.3600006</v>
      </c>
      <c r="AE104" s="291">
        <f>AE9+AE28+AE47+AE66+AE85</f>
        <v>-2943671843.8200002</v>
      </c>
      <c r="AF104" s="313">
        <f>SUM(U104:AD104)</f>
        <v>7410432443.8500004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12759110627.040001</v>
      </c>
      <c r="E105" s="292">
        <f t="shared" si="43"/>
        <v>932793472.18000007</v>
      </c>
      <c r="F105" s="292">
        <f t="shared" si="43"/>
        <v>519337584.19999993</v>
      </c>
      <c r="G105" s="292">
        <f t="shared" si="43"/>
        <v>273746584.90999997</v>
      </c>
      <c r="H105" s="292">
        <f t="shared" si="43"/>
        <v>4322586791.8499994</v>
      </c>
      <c r="I105" s="292">
        <f t="shared" si="43"/>
        <v>148116462.28999999</v>
      </c>
      <c r="J105" s="292">
        <f t="shared" si="43"/>
        <v>-5093259797.2199993</v>
      </c>
      <c r="K105" s="295">
        <f t="shared" ref="K105:K108" si="45">D105-E105-F105-G105-H105-I105-J105</f>
        <v>11655789528.83</v>
      </c>
      <c r="L105" s="294">
        <f>L10+L29+L48+L67+L86</f>
        <v>266580255</v>
      </c>
      <c r="M105" s="295">
        <f>K105-L105</f>
        <v>11389209273.83</v>
      </c>
      <c r="N105" s="294">
        <f>N10+N29+N48+N67+N86</f>
        <v>12984013.33</v>
      </c>
      <c r="O105" s="295">
        <f t="shared" ref="O105:O108" si="46">M105+N105</f>
        <v>11402193287.16</v>
      </c>
      <c r="Q105" s="306"/>
      <c r="S105" s="314">
        <v>2</v>
      </c>
      <c r="T105" s="315" t="s">
        <v>11</v>
      </c>
      <c r="U105" s="316">
        <f t="shared" si="44"/>
        <v>1299736893.7599998</v>
      </c>
      <c r="V105" s="317">
        <f t="shared" si="44"/>
        <v>1275131687.71</v>
      </c>
      <c r="W105" s="317">
        <f t="shared" si="44"/>
        <v>5975495362.3000002</v>
      </c>
      <c r="X105" s="317">
        <f t="shared" si="44"/>
        <v>1828556050.8900001</v>
      </c>
      <c r="Y105" s="318">
        <f t="shared" si="44"/>
        <v>241974362.09</v>
      </c>
      <c r="Z105" s="319">
        <f t="shared" si="44"/>
        <v>-266580255</v>
      </c>
      <c r="AA105" s="320">
        <f t="shared" si="44"/>
        <v>62034.909999999996</v>
      </c>
      <c r="AB105" s="294">
        <f t="shared" si="44"/>
        <v>12984013.33</v>
      </c>
      <c r="AC105" s="320">
        <f t="shared" ref="AC105" si="47">AC10+AC29+AC48+AC67+AC86</f>
        <v>-34.57</v>
      </c>
      <c r="AD105" s="291">
        <f t="shared" ref="AD105:AD106" si="48">-J105+AE105</f>
        <v>1034833171.7399993</v>
      </c>
      <c r="AE105" s="291">
        <f>AE10+AE29+AE48+AE67+AE86</f>
        <v>-4058426625.48</v>
      </c>
      <c r="AF105" s="322">
        <f>SUM(U105:AD105)</f>
        <v>11402193287.16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10205599146.570002</v>
      </c>
      <c r="E106" s="292">
        <f t="shared" si="43"/>
        <v>629291751.14999998</v>
      </c>
      <c r="F106" s="292">
        <f t="shared" si="43"/>
        <v>352061233.23999995</v>
      </c>
      <c r="G106" s="292">
        <f t="shared" si="43"/>
        <v>186348002.65000004</v>
      </c>
      <c r="H106" s="292">
        <f t="shared" si="43"/>
        <v>3061649694.1900005</v>
      </c>
      <c r="I106" s="292">
        <f t="shared" si="43"/>
        <v>101715175.75999999</v>
      </c>
      <c r="J106" s="292">
        <f t="shared" si="43"/>
        <v>-1230396998.4399998</v>
      </c>
      <c r="K106" s="295">
        <f t="shared" si="45"/>
        <v>7104930288.0200014</v>
      </c>
      <c r="L106" s="294">
        <f>L11+L30+L49+L68+L87</f>
        <v>154788535</v>
      </c>
      <c r="M106" s="295">
        <f>K106-L106</f>
        <v>6950141753.0200014</v>
      </c>
      <c r="N106" s="294">
        <f>N11+N30+N49+N68+N87</f>
        <v>13445739.66</v>
      </c>
      <c r="O106" s="295">
        <f t="shared" si="46"/>
        <v>6963587492.6800013</v>
      </c>
      <c r="Q106" s="306"/>
      <c r="S106" s="314">
        <v>3</v>
      </c>
      <c r="T106" s="315" t="s">
        <v>12</v>
      </c>
      <c r="U106" s="316">
        <f t="shared" si="44"/>
        <v>892751002.93999994</v>
      </c>
      <c r="V106" s="317">
        <f t="shared" si="44"/>
        <v>870100487.53999996</v>
      </c>
      <c r="W106" s="317">
        <f t="shared" si="44"/>
        <v>4095575369.4300003</v>
      </c>
      <c r="X106" s="317">
        <f t="shared" si="44"/>
        <v>1491422387.51</v>
      </c>
      <c r="Y106" s="318">
        <f t="shared" si="44"/>
        <v>165989772.75000003</v>
      </c>
      <c r="Z106" s="319">
        <f t="shared" si="44"/>
        <v>-154788535</v>
      </c>
      <c r="AA106" s="320">
        <f t="shared" si="44"/>
        <v>49081.23</v>
      </c>
      <c r="AB106" s="294">
        <f t="shared" si="44"/>
        <v>13445739.66</v>
      </c>
      <c r="AC106" s="320">
        <f t="shared" ref="AC106" si="50">AC11+AC30+AC49+AC68+AC87</f>
        <v>1.07</v>
      </c>
      <c r="AD106" s="291">
        <f t="shared" si="48"/>
        <v>-410957814.45000005</v>
      </c>
      <c r="AE106" s="291">
        <f>AE11+AE30+AE49+AE68+AE87</f>
        <v>-1641354812.8899999</v>
      </c>
      <c r="AF106" s="322">
        <f>SUM(U106:AD106)</f>
        <v>6963587492.6799994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10991242585.599998</v>
      </c>
      <c r="E107" s="292">
        <f t="shared" si="43"/>
        <v>612757116.33000004</v>
      </c>
      <c r="F107" s="292">
        <f t="shared" si="43"/>
        <v>341110908.60999995</v>
      </c>
      <c r="G107" s="292">
        <f t="shared" si="43"/>
        <v>180756802.69999999</v>
      </c>
      <c r="H107" s="292">
        <f t="shared" si="43"/>
        <v>2768093997.02</v>
      </c>
      <c r="I107" s="292">
        <f t="shared" si="43"/>
        <v>95992558.799999982</v>
      </c>
      <c r="J107" s="292">
        <f t="shared" si="43"/>
        <v>38133905.800000012</v>
      </c>
      <c r="K107" s="295">
        <f t="shared" si="45"/>
        <v>6954397296.3399963</v>
      </c>
      <c r="L107" s="294">
        <f>L12+L31+L50+L69+L88</f>
        <v>120391083</v>
      </c>
      <c r="M107" s="295">
        <f>K107-L107</f>
        <v>6834006213.3399963</v>
      </c>
      <c r="N107" s="294">
        <f>N12+N31+N50+N69+N88</f>
        <v>19861983.190000001</v>
      </c>
      <c r="O107" s="295">
        <f>M107+N107</f>
        <v>6853868196.5299959</v>
      </c>
      <c r="Q107" s="306"/>
      <c r="S107" s="314">
        <v>4</v>
      </c>
      <c r="T107" s="315" t="s">
        <v>13</v>
      </c>
      <c r="U107" s="316">
        <f t="shared" si="44"/>
        <v>841773977.29999995</v>
      </c>
      <c r="V107" s="317">
        <f t="shared" si="44"/>
        <v>822432392.84000003</v>
      </c>
      <c r="W107" s="317">
        <f t="shared" si="44"/>
        <v>4196445614.7799997</v>
      </c>
      <c r="X107" s="317">
        <f t="shared" si="44"/>
        <v>1622132605.1699998</v>
      </c>
      <c r="Y107" s="318">
        <f t="shared" si="44"/>
        <v>156904728.71000001</v>
      </c>
      <c r="Z107" s="319">
        <f t="shared" si="44"/>
        <v>-120391083</v>
      </c>
      <c r="AA107" s="320">
        <f>AA12+AA31+AA50+AA69+AA88</f>
        <v>-64131.010000000009</v>
      </c>
      <c r="AB107" s="294">
        <f t="shared" si="44"/>
        <v>19861983.190000001</v>
      </c>
      <c r="AC107" s="320">
        <f t="shared" ref="AC107" si="51">AC12+AC31+AC50+AC69+AC88</f>
        <v>31.950000000000024</v>
      </c>
      <c r="AD107" s="291">
        <f t="shared" ref="AD107" si="52">-J107+AE107</f>
        <v>-685227923.4000001</v>
      </c>
      <c r="AE107" s="291">
        <f>AE12+AE31+AE50+AE69+AE88</f>
        <v>-647094017.60000002</v>
      </c>
      <c r="AF107" s="322">
        <f t="shared" ref="AF107:AF108" si="53">SUM(U107:AD107)</f>
        <v>6853868196.5299988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8800679781.3700008</v>
      </c>
      <c r="E108" s="297">
        <f t="shared" si="43"/>
        <v>475293248.80000001</v>
      </c>
      <c r="F108" s="297">
        <f t="shared" si="43"/>
        <v>265758832.30000001</v>
      </c>
      <c r="G108" s="297">
        <f t="shared" si="43"/>
        <v>140738596.90000001</v>
      </c>
      <c r="H108" s="297">
        <f t="shared" si="43"/>
        <v>2045307402.5800002</v>
      </c>
      <c r="I108" s="297">
        <f t="shared" si="43"/>
        <v>73259470.969999999</v>
      </c>
      <c r="J108" s="297">
        <f t="shared" si="43"/>
        <v>-1224100690.4600003</v>
      </c>
      <c r="K108" s="295">
        <f t="shared" si="45"/>
        <v>7024422920.2800007</v>
      </c>
      <c r="L108" s="294">
        <f>L13+L32+L51+L70+L89</f>
        <v>128990445</v>
      </c>
      <c r="M108" s="298">
        <f>K108-L108</f>
        <v>6895432475.2800007</v>
      </c>
      <c r="N108" s="299">
        <f>N13+N32+N51+N70+N89</f>
        <v>5862361.9900000002</v>
      </c>
      <c r="O108" s="298">
        <f t="shared" si="46"/>
        <v>6901294837.2700005</v>
      </c>
      <c r="Q108" s="306"/>
      <c r="S108" s="324">
        <v>5</v>
      </c>
      <c r="T108" s="325" t="s">
        <v>14</v>
      </c>
      <c r="U108" s="296">
        <f t="shared" si="44"/>
        <v>643145081.82999992</v>
      </c>
      <c r="V108" s="297">
        <f t="shared" si="44"/>
        <v>624107126.62</v>
      </c>
      <c r="W108" s="297">
        <f t="shared" si="44"/>
        <v>3202966035.54</v>
      </c>
      <c r="X108" s="297">
        <f t="shared" si="44"/>
        <v>1423430592.5599999</v>
      </c>
      <c r="Y108" s="289">
        <f t="shared" si="44"/>
        <v>119594166.09</v>
      </c>
      <c r="Z108" s="319">
        <f t="shared" si="44"/>
        <v>-128990445</v>
      </c>
      <c r="AA108" s="320">
        <f t="shared" si="44"/>
        <v>-13031.900000000001</v>
      </c>
      <c r="AB108" s="294">
        <f t="shared" si="44"/>
        <v>5862361.9900000002</v>
      </c>
      <c r="AC108" s="320">
        <f t="shared" ref="AC108" si="54">AC13+AC32+AC51+AC70+AC89</f>
        <v>-37.089999999999996</v>
      </c>
      <c r="AD108" s="291">
        <f>-J108+AE108</f>
        <v>1011192986.6300002</v>
      </c>
      <c r="AE108" s="291">
        <f>AE13+AE32+AE51+AE70+AE89</f>
        <v>-212907703.83000001</v>
      </c>
      <c r="AF108" s="322">
        <f t="shared" si="53"/>
        <v>6901294837.2699995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59677535897.490005</v>
      </c>
      <c r="E109" s="290">
        <f t="shared" ref="E109:O109" si="55">SUM(E104:E108)</f>
        <v>3601567861.3000002</v>
      </c>
      <c r="F109" s="290">
        <f t="shared" si="55"/>
        <v>2009726136.5199997</v>
      </c>
      <c r="G109" s="290">
        <f t="shared" si="55"/>
        <v>1063275618.4599999</v>
      </c>
      <c r="H109" s="290">
        <f t="shared" si="55"/>
        <v>17013194075.530001</v>
      </c>
      <c r="I109" s="290">
        <f t="shared" si="55"/>
        <v>599747096.37</v>
      </c>
      <c r="J109" s="290">
        <f t="shared" si="55"/>
        <v>-4920287863.7799988</v>
      </c>
      <c r="K109" s="300">
        <f t="shared" si="55"/>
        <v>40310312973.090004</v>
      </c>
      <c r="L109" s="301">
        <f t="shared" si="55"/>
        <v>859936305</v>
      </c>
      <c r="M109" s="302">
        <f t="shared" si="55"/>
        <v>39450376668.090004</v>
      </c>
      <c r="N109" s="301">
        <f>SUM(N104:N108)</f>
        <v>80999589.399999991</v>
      </c>
      <c r="O109" s="302">
        <f t="shared" si="55"/>
        <v>39531376257.489998</v>
      </c>
      <c r="P109" s="329"/>
      <c r="Q109" s="306"/>
      <c r="S109" s="327"/>
      <c r="T109" s="328" t="s">
        <v>2</v>
      </c>
      <c r="U109" s="330">
        <f>SUM(U104:U108)</f>
        <v>5263623641.7299995</v>
      </c>
      <c r="V109" s="330">
        <f t="shared" ref="V109:AF109" si="56">SUM(V104:V108)</f>
        <v>5104920878.0500002</v>
      </c>
      <c r="W109" s="330">
        <f t="shared" si="56"/>
        <v>24590593811.48</v>
      </c>
      <c r="X109" s="330">
        <f t="shared" si="56"/>
        <v>8955092230.5300007</v>
      </c>
      <c r="Y109" s="330">
        <f t="shared" si="56"/>
        <v>979261800.34000015</v>
      </c>
      <c r="Z109" s="290">
        <f t="shared" si="56"/>
        <v>-859936305</v>
      </c>
      <c r="AA109" s="290">
        <f t="shared" si="56"/>
        <v>-12247.830000000016</v>
      </c>
      <c r="AB109" s="290">
        <f t="shared" si="56"/>
        <v>80999589.399999991</v>
      </c>
      <c r="AC109" s="290">
        <f t="shared" si="56"/>
        <v>-1.369999999999969</v>
      </c>
      <c r="AD109" s="290">
        <f t="shared" si="56"/>
        <v>-4583167139.8400011</v>
      </c>
      <c r="AE109" s="290">
        <f>SUM(AE104:AE108)</f>
        <v>-9503455003.6200008</v>
      </c>
      <c r="AF109" s="331">
        <f t="shared" si="56"/>
        <v>39531376257.489998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44893492362.12999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25429155</v>
      </c>
      <c r="E125" s="111">
        <v>0</v>
      </c>
      <c r="G125" s="336">
        <f>D47+N47</f>
        <v>0</v>
      </c>
      <c r="H125" s="310">
        <f>D28+N28</f>
        <v>30254522.43</v>
      </c>
      <c r="I125" s="309">
        <f>D85+N85</f>
        <v>0</v>
      </c>
      <c r="J125" s="309">
        <f>D66+N66</f>
        <v>-3461197.29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27050219</v>
      </c>
      <c r="E126" s="74">
        <v>0</v>
      </c>
      <c r="G126" s="339">
        <f>D48+N48</f>
        <v>0</v>
      </c>
      <c r="H126" s="340">
        <f>D29+N29</f>
        <v>56441179.739999995</v>
      </c>
      <c r="I126" s="288">
        <f>D86+N86</f>
        <v>0</v>
      </c>
      <c r="J126" s="288">
        <f t="shared" ref="J126:J129" si="57">D67+N67</f>
        <v>-8739602.3699999992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6025131</v>
      </c>
      <c r="E127" s="74">
        <v>0</v>
      </c>
      <c r="G127" s="339">
        <f>D49+N49</f>
        <v>135940</v>
      </c>
      <c r="H127" s="340">
        <f>D30+N30</f>
        <v>21873459.120000001</v>
      </c>
      <c r="I127" s="288">
        <f>D87+N87</f>
        <v>0</v>
      </c>
      <c r="J127" s="288">
        <f t="shared" si="57"/>
        <v>-6091573.8899999997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27660196</v>
      </c>
      <c r="E128" s="74">
        <v>0</v>
      </c>
      <c r="G128" s="339">
        <f>D50+N50</f>
        <v>8186910</v>
      </c>
      <c r="H128" s="340">
        <f>D31+N31</f>
        <v>15536711.57</v>
      </c>
      <c r="I128" s="288">
        <f>D88+N88</f>
        <v>0</v>
      </c>
      <c r="J128" s="288">
        <f t="shared" si="57"/>
        <v>-20245524.780000001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9759043</v>
      </c>
      <c r="E129" s="139">
        <v>0</v>
      </c>
      <c r="G129" s="339">
        <f>D51+N51</f>
        <v>0</v>
      </c>
      <c r="H129" s="340">
        <f>D32+N32</f>
        <v>26488801.359999999</v>
      </c>
      <c r="I129" s="288">
        <f>D89+N89</f>
        <v>0</v>
      </c>
      <c r="J129" s="288">
        <f t="shared" si="57"/>
        <v>-8771320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95923744</v>
      </c>
      <c r="E131" s="107">
        <f>SUM(E125:E130)</f>
        <v>0</v>
      </c>
      <c r="F131" s="45"/>
      <c r="G131" s="350">
        <f t="shared" ref="G131" si="58">SUM(G125:G129)</f>
        <v>8322850</v>
      </c>
      <c r="H131" s="350">
        <f>SUM(H125:H130)</f>
        <v>150594674.21999997</v>
      </c>
      <c r="I131" s="350">
        <f>SUM(I125:I130)</f>
        <v>0</v>
      </c>
      <c r="J131" s="350">
        <f>SUM(J125:J130)</f>
        <v>-47309218.329999998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16975178403.140001</v>
      </c>
      <c r="E142" s="110">
        <f>'Recaudo ENEL'!F21</f>
        <v>0</v>
      </c>
      <c r="F142" s="110">
        <f>D28+N28</f>
        <v>30254522.43</v>
      </c>
      <c r="G142" s="110">
        <f>D66+N66</f>
        <v>-3461197.29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30254522.43</v>
      </c>
      <c r="L142" s="525">
        <f>D142-E142-F142-G142-J142-H142-I142</f>
        <v>16948385078.000002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12799144859.370001</v>
      </c>
      <c r="E143" s="18">
        <f>'Recaudo ENEL'!F22</f>
        <v>0</v>
      </c>
      <c r="F143" s="18">
        <f>D29+N29</f>
        <v>56441179.739999995</v>
      </c>
      <c r="G143" s="18">
        <f>D67+N67</f>
        <v>-8739602.3699999992</v>
      </c>
      <c r="H143" s="18">
        <f>D86+N86</f>
        <v>0</v>
      </c>
      <c r="I143" s="18">
        <f>('REPORTE RECAUDO x BANCO'!E65)</f>
        <v>405230</v>
      </c>
      <c r="J143" s="18">
        <f t="shared" si="59"/>
        <v>0</v>
      </c>
      <c r="K143" s="83">
        <f t="shared" si="59"/>
        <v>56441179.739999995</v>
      </c>
      <c r="L143" s="525">
        <f>D143-E143-F143-G143-J143-H143-I143</f>
        <v>12751038052.000002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10225070017.230001</v>
      </c>
      <c r="E144" s="18">
        <f>'Recaudo ENEL'!F23</f>
        <v>0</v>
      </c>
      <c r="F144" s="18">
        <f>D30+N30</f>
        <v>21873459.120000001</v>
      </c>
      <c r="G144" s="18">
        <f>D68+N68</f>
        <v>-6091573.8899999997</v>
      </c>
      <c r="H144" s="18">
        <f>D87+N87</f>
        <v>0</v>
      </c>
      <c r="I144" s="18">
        <f>('REPORTE RECAUDO x BANCO'!E67)</f>
        <v>191590</v>
      </c>
      <c r="J144" s="18">
        <f t="shared" si="59"/>
        <v>135940</v>
      </c>
      <c r="K144" s="83">
        <f t="shared" si="59"/>
        <v>21873459.120000001</v>
      </c>
      <c r="L144" s="525">
        <f>D144-E144-F144-G144-J144-H144-I144</f>
        <v>10208960602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11038764764.789999</v>
      </c>
      <c r="E145" s="18">
        <f>'Recaudo ENEL'!F24</f>
        <v>0</v>
      </c>
      <c r="F145" s="18">
        <f>D31+N31</f>
        <v>15536711.57</v>
      </c>
      <c r="G145" s="18">
        <f>D69+N69</f>
        <v>-20245524.780000001</v>
      </c>
      <c r="H145" s="18">
        <f>D88+N88</f>
        <v>0</v>
      </c>
      <c r="I145" s="18">
        <f>('REPORTE RECAUDO x BANCO'!E70)</f>
        <v>1012590</v>
      </c>
      <c r="J145" s="18">
        <f t="shared" si="59"/>
        <v>8186910</v>
      </c>
      <c r="K145" s="83">
        <f t="shared" si="59"/>
        <v>15536711.57</v>
      </c>
      <c r="L145" s="525">
        <f>D145-E145-F145-G145-J145-H145-I145</f>
        <v>11034274078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8816301186.3600006</v>
      </c>
      <c r="E146" s="18">
        <f>'Recaudo ENEL'!F25</f>
        <v>0</v>
      </c>
      <c r="F146" s="134">
        <f>D32+N32</f>
        <v>26488801.359999999</v>
      </c>
      <c r="G146" s="134">
        <f>D70+N70</f>
        <v>-8771320</v>
      </c>
      <c r="H146" s="134">
        <f>D89+N89</f>
        <v>0</v>
      </c>
      <c r="I146" s="134">
        <f>('REPORTE RECAUDO x BANCO'!E72)</f>
        <v>351650</v>
      </c>
      <c r="J146" s="134">
        <f t="shared" si="59"/>
        <v>0</v>
      </c>
      <c r="K146" s="136">
        <f t="shared" si="59"/>
        <v>26488801.359999999</v>
      </c>
      <c r="L146" s="525">
        <f>D146-E146-F146-G146-J146-H146-I146</f>
        <v>8798232055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59854459230.890007</v>
      </c>
      <c r="E147" s="47">
        <f>SUM(E142:E146)</f>
        <v>0</v>
      </c>
      <c r="F147" s="47">
        <f t="shared" ref="F147:K147" si="61">SUM(F142:F146)</f>
        <v>150594674.21999997</v>
      </c>
      <c r="G147" s="47">
        <f t="shared" si="61"/>
        <v>-47309218.329999998</v>
      </c>
      <c r="H147" s="47">
        <f t="shared" si="61"/>
        <v>0</v>
      </c>
      <c r="I147" s="47">
        <f t="shared" si="61"/>
        <v>1961060</v>
      </c>
      <c r="J147" s="47">
        <f t="shared" si="61"/>
        <v>8322850</v>
      </c>
      <c r="K147" s="47">
        <f t="shared" si="61"/>
        <v>150594674.21999997</v>
      </c>
      <c r="L147" s="525">
        <f>SUM(L142:L146)</f>
        <v>59740889865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16948385078</v>
      </c>
      <c r="D3" s="292">
        <f>REMUNERACION_ENEL!G125</f>
        <v>0</v>
      </c>
      <c r="E3" s="292">
        <f>REMUNERACION_ENEL!D28+REMUNERACION_ENEL!N28</f>
        <v>30254522.43</v>
      </c>
      <c r="F3" s="292">
        <f>REMUNERACION_ENEL!I142</f>
        <v>0</v>
      </c>
      <c r="G3" s="292">
        <f>REMUNERACION_ENEL!H142</f>
        <v>0</v>
      </c>
      <c r="H3" s="340">
        <f>SUM(C3:G3)</f>
        <v>16978639600.43</v>
      </c>
      <c r="I3" s="291">
        <f>REMUNERACION_ENEL!D104</f>
        <v>16920903756.910002</v>
      </c>
      <c r="J3" s="292">
        <f>REMUNERACION_ENEL!N104</f>
        <v>28845491.23</v>
      </c>
      <c r="K3" s="292">
        <f>REMUNERACION_ENEL!D125</f>
        <v>25429155</v>
      </c>
      <c r="L3" s="353">
        <f>REMUNERACION_ENEL!E125</f>
        <v>0</v>
      </c>
      <c r="M3" s="292">
        <f>-REMUNERACION_ENEL!D66-REMUNERACION_ENEL!N66</f>
        <v>3461197.29</v>
      </c>
      <c r="N3" s="288">
        <f>SUM(I3:M3)</f>
        <v>16978639600.430002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12751038052</v>
      </c>
      <c r="D4" s="292">
        <f>REMUNERACION_ENEL!G126</f>
        <v>0</v>
      </c>
      <c r="E4" s="292">
        <f>REMUNERACION_ENEL!D29+REMUNERACION_ENEL!N29</f>
        <v>56441179.739999995</v>
      </c>
      <c r="F4" s="292">
        <f>REMUNERACION_ENEL!I143</f>
        <v>405230</v>
      </c>
      <c r="G4" s="292">
        <f>REMUNERACION_ENEL!H143</f>
        <v>0</v>
      </c>
      <c r="H4" s="340">
        <f t="shared" ref="H4:H8" si="1">SUM(C4:G4)</f>
        <v>12807884461.74</v>
      </c>
      <c r="I4" s="291">
        <f>REMUNERACION_ENEL!D105</f>
        <v>12759110627.040001</v>
      </c>
      <c r="J4" s="292">
        <f>REMUNERACION_ENEL!N105</f>
        <v>12984013.33</v>
      </c>
      <c r="K4" s="292">
        <f>REMUNERACION_ENEL!D126</f>
        <v>27050219</v>
      </c>
      <c r="L4" s="353">
        <f>REMUNERACION_ENEL!E126</f>
        <v>0</v>
      </c>
      <c r="M4" s="292">
        <f>-REMUNERACION_ENEL!D67-REMUNERACION_ENEL!N67</f>
        <v>8739602.3699999992</v>
      </c>
      <c r="N4" s="318">
        <f>SUM(I4:M4)</f>
        <v>12807884461.740002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10208960602</v>
      </c>
      <c r="D5" s="292">
        <f>REMUNERACION_ENEL!G127</f>
        <v>135940</v>
      </c>
      <c r="E5" s="292">
        <f>REMUNERACION_ENEL!D30+REMUNERACION_ENEL!N30</f>
        <v>21873459.120000001</v>
      </c>
      <c r="F5" s="292">
        <f>REMUNERACION_ENEL!I144</f>
        <v>191590</v>
      </c>
      <c r="G5" s="292">
        <f>REMUNERACION_ENEL!H144</f>
        <v>0</v>
      </c>
      <c r="H5" s="340">
        <f t="shared" si="1"/>
        <v>10231161591.120001</v>
      </c>
      <c r="I5" s="291">
        <f>REMUNERACION_ENEL!D106</f>
        <v>10205599146.570002</v>
      </c>
      <c r="J5" s="292">
        <f>REMUNERACION_ENEL!N106</f>
        <v>13445739.66</v>
      </c>
      <c r="K5" s="292">
        <f>REMUNERACION_ENEL!D127</f>
        <v>6025131</v>
      </c>
      <c r="L5" s="353">
        <f>REMUNERACION_ENEL!E127</f>
        <v>0</v>
      </c>
      <c r="M5" s="292">
        <f>-REMUNERACION_ENEL!D68-REMUNERACION_ENEL!N68</f>
        <v>6091573.8899999997</v>
      </c>
      <c r="N5" s="318">
        <f>SUM(I5:M5)</f>
        <v>10231161591.120001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11034274078</v>
      </c>
      <c r="D6" s="292">
        <f>REMUNERACION_ENEL!G128</f>
        <v>8186910</v>
      </c>
      <c r="E6" s="292">
        <f>REMUNERACION_ENEL!D31+REMUNERACION_ENEL!N31</f>
        <v>15536711.57</v>
      </c>
      <c r="F6" s="292">
        <f>REMUNERACION_ENEL!I145</f>
        <v>1012590</v>
      </c>
      <c r="G6" s="292">
        <f>REMUNERACION_ENEL!H145</f>
        <v>0</v>
      </c>
      <c r="H6" s="340">
        <f t="shared" si="1"/>
        <v>11059010289.57</v>
      </c>
      <c r="I6" s="291">
        <f>REMUNERACION_ENEL!D107</f>
        <v>10991242585.599998</v>
      </c>
      <c r="J6" s="292">
        <f>REMUNERACION_ENEL!N107</f>
        <v>19861983.190000001</v>
      </c>
      <c r="K6" s="292">
        <f>REMUNERACION_ENEL!D128</f>
        <v>27660196</v>
      </c>
      <c r="L6" s="353">
        <f>REMUNERACION_ENEL!E128</f>
        <v>0</v>
      </c>
      <c r="M6" s="292">
        <f>-REMUNERACION_ENEL!D69-REMUNERACION_ENEL!N69</f>
        <v>20245524.780000001</v>
      </c>
      <c r="N6" s="318">
        <f t="shared" ref="N6:N7" si="3">SUM(I6:M6)</f>
        <v>11059010289.57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8798232055</v>
      </c>
      <c r="D7" s="292">
        <f>REMUNERACION_ENEL!G129</f>
        <v>0</v>
      </c>
      <c r="E7" s="292">
        <f>REMUNERACION_ENEL!D32+REMUNERACION_ENEL!N32</f>
        <v>26488801.359999999</v>
      </c>
      <c r="F7" s="292">
        <f>REMUNERACION_ENEL!I146</f>
        <v>351650</v>
      </c>
      <c r="G7" s="292">
        <f>REMUNERACION_ENEL!H146</f>
        <v>0</v>
      </c>
      <c r="H7" s="340">
        <f t="shared" si="1"/>
        <v>8825072506.3600006</v>
      </c>
      <c r="I7" s="291">
        <f>REMUNERACION_ENEL!D108</f>
        <v>8800679781.3700008</v>
      </c>
      <c r="J7" s="292">
        <f>REMUNERACION_ENEL!N108</f>
        <v>5862361.9900000002</v>
      </c>
      <c r="K7" s="292">
        <f>REMUNERACION_ENEL!D129</f>
        <v>9759043</v>
      </c>
      <c r="L7" s="353">
        <f>REMUNERACION_ENEL!E129</f>
        <v>0</v>
      </c>
      <c r="M7" s="292">
        <f>-REMUNERACION_ENEL!D70-REMUNERACION_ENEL!N70</f>
        <v>8771320</v>
      </c>
      <c r="N7" s="318">
        <f t="shared" si="3"/>
        <v>8825072506.3600006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59740889865</v>
      </c>
      <c r="D9" s="290">
        <f t="shared" ref="D9:M9" si="4">SUM(D3:D8)</f>
        <v>8322850</v>
      </c>
      <c r="E9" s="290">
        <f t="shared" si="4"/>
        <v>150594674.21999997</v>
      </c>
      <c r="F9" s="290">
        <f t="shared" si="4"/>
        <v>1961060</v>
      </c>
      <c r="G9" s="290">
        <f t="shared" si="4"/>
        <v>0</v>
      </c>
      <c r="H9" s="290">
        <f t="shared" si="4"/>
        <v>59901768449.220001</v>
      </c>
      <c r="I9" s="290">
        <f t="shared" si="4"/>
        <v>59677535897.490005</v>
      </c>
      <c r="J9" s="290">
        <f t="shared" si="4"/>
        <v>80999589.399999991</v>
      </c>
      <c r="K9" s="290">
        <f t="shared" si="4"/>
        <v>95923744</v>
      </c>
      <c r="L9" s="290">
        <f t="shared" si="4"/>
        <v>0</v>
      </c>
      <c r="M9" s="290">
        <f t="shared" si="4"/>
        <v>47309218.329999998</v>
      </c>
      <c r="N9" s="290">
        <f>SUM(N3:N8)</f>
        <v>59901768449.220009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59740889865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46266</v>
      </c>
      <c r="J7" s="2" t="s">
        <v>28</v>
      </c>
      <c r="K7" s="9">
        <f>REMUNERACION_ENEL!K102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16920903756.910002</v>
      </c>
      <c r="E9" s="66">
        <f>REMUNERACION_ENEL!E104</f>
        <v>951432272.83999991</v>
      </c>
      <c r="F9" s="66">
        <f>REMUNERACION_ENEL!F104</f>
        <v>531457578.17000002</v>
      </c>
      <c r="G9" s="66">
        <f>REMUNERACION_ENEL!G104</f>
        <v>281685631.29999995</v>
      </c>
      <c r="H9" s="66">
        <f>REMUNERACION_ENEL!H104</f>
        <v>4815556189.8900003</v>
      </c>
      <c r="I9" s="66">
        <f>REMUNERACION_ENEL!I104</f>
        <v>180663428.54999998</v>
      </c>
      <c r="J9" s="66">
        <f>REMUNERACION_ENEL!J104</f>
        <v>2589335716.54</v>
      </c>
      <c r="K9" s="30">
        <f>D9-E9-F9-G9-H9-I9-J9</f>
        <v>7570772939.6200037</v>
      </c>
      <c r="L9" s="66">
        <f>REMUNERACION_ENEL!L104</f>
        <v>189185987</v>
      </c>
      <c r="M9" s="30">
        <f>K9-L9</f>
        <v>7381586952.6200037</v>
      </c>
      <c r="N9" s="66">
        <f>REMUNERACION_ENEL!N104</f>
        <v>28845491.23</v>
      </c>
      <c r="O9" s="30">
        <f>M9+N9</f>
        <v>7410432443.8500032</v>
      </c>
      <c r="Q9" s="4"/>
      <c r="S9" s="14">
        <v>1</v>
      </c>
      <c r="T9" s="61" t="s">
        <v>10</v>
      </c>
      <c r="U9" s="66">
        <f>REMUNERACION_ENEL!U104</f>
        <v>1586216685.9000001</v>
      </c>
      <c r="V9" s="66">
        <f>REMUNERACION_ENEL!V104</f>
        <v>1513149183.3399999</v>
      </c>
      <c r="W9" s="66">
        <f>REMUNERACION_ENEL!W104</f>
        <v>7120111429.4300003</v>
      </c>
      <c r="X9" s="66">
        <f>REMUNERACION_ENEL!X104</f>
        <v>2589550594.4000001</v>
      </c>
      <c r="Y9" s="66">
        <f>REMUNERACION_ENEL!Y104</f>
        <v>294798770.70000005</v>
      </c>
      <c r="Z9" s="66">
        <f>REMUNERACION_ENEL!Z104</f>
        <v>-189185987</v>
      </c>
      <c r="AA9" s="66">
        <f>REMUNERACION_ENEL!AA104</f>
        <v>-46201.060000000005</v>
      </c>
      <c r="AB9" s="66">
        <f>REMUNERACION_ENEL!AB104</f>
        <v>28845491.23</v>
      </c>
      <c r="AC9" s="66">
        <f>REMUNERACION_ENEL!AC104</f>
        <v>37.270000000000003</v>
      </c>
      <c r="AD9" s="66">
        <f>REMUNERACION_ENEL!AD104</f>
        <v>-5533007560.3600006</v>
      </c>
      <c r="AE9" s="66">
        <f>REMUNERACION_ENEL!AE104</f>
        <v>-2943671843.8200002</v>
      </c>
      <c r="AF9" s="69">
        <f>SUM(U9:AD9)</f>
        <v>7410432443.8500004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12759110627.040001</v>
      </c>
      <c r="E10" s="66">
        <f>REMUNERACION_ENEL!E105</f>
        <v>932793472.18000007</v>
      </c>
      <c r="F10" s="66">
        <f>REMUNERACION_ENEL!F105</f>
        <v>519337584.19999993</v>
      </c>
      <c r="G10" s="66">
        <f>REMUNERACION_ENEL!G105</f>
        <v>273746584.90999997</v>
      </c>
      <c r="H10" s="66">
        <f>REMUNERACION_ENEL!H105</f>
        <v>4322586791.8499994</v>
      </c>
      <c r="I10" s="66">
        <f>REMUNERACION_ENEL!I105</f>
        <v>148116462.28999999</v>
      </c>
      <c r="J10" s="66">
        <f>REMUNERACION_ENEL!J105</f>
        <v>-5093259797.2199993</v>
      </c>
      <c r="K10" s="31">
        <f t="shared" ref="K10:K13" si="0">D10-E10-F10-G10-H10-I10-J10</f>
        <v>11655789528.83</v>
      </c>
      <c r="L10" s="66">
        <f>REMUNERACION_ENEL!L105</f>
        <v>266580255</v>
      </c>
      <c r="M10" s="31">
        <f>K10-L10</f>
        <v>11389209273.83</v>
      </c>
      <c r="N10" s="66">
        <f>REMUNERACION_ENEL!N105</f>
        <v>12984013.33</v>
      </c>
      <c r="O10" s="31">
        <f t="shared" ref="O10:O13" si="1">M10+N10</f>
        <v>11402193287.16</v>
      </c>
      <c r="Q10" s="4"/>
      <c r="S10" s="16">
        <v>2</v>
      </c>
      <c r="T10" s="62" t="s">
        <v>11</v>
      </c>
      <c r="U10" s="66">
        <f>REMUNERACION_ENEL!U105</f>
        <v>1299736893.7599998</v>
      </c>
      <c r="V10" s="66">
        <f>REMUNERACION_ENEL!V105</f>
        <v>1275131687.71</v>
      </c>
      <c r="W10" s="66">
        <f>REMUNERACION_ENEL!W105</f>
        <v>5975495362.3000002</v>
      </c>
      <c r="X10" s="66">
        <f>REMUNERACION_ENEL!X105</f>
        <v>1828556050.8900001</v>
      </c>
      <c r="Y10" s="66">
        <f>REMUNERACION_ENEL!Y105</f>
        <v>241974362.09</v>
      </c>
      <c r="Z10" s="66">
        <f>REMUNERACION_ENEL!Z105</f>
        <v>-266580255</v>
      </c>
      <c r="AA10" s="66">
        <f>REMUNERACION_ENEL!AA105</f>
        <v>62034.909999999996</v>
      </c>
      <c r="AB10" s="66">
        <f>REMUNERACION_ENEL!AB105</f>
        <v>12984013.33</v>
      </c>
      <c r="AC10" s="66">
        <f>REMUNERACION_ENEL!AC105</f>
        <v>-34.57</v>
      </c>
      <c r="AD10" s="66">
        <f>REMUNERACION_ENEL!AD105</f>
        <v>1034833171.7399993</v>
      </c>
      <c r="AE10" s="66">
        <f>REMUNERACION_ENEL!AE105</f>
        <v>-4058426625.48</v>
      </c>
      <c r="AF10" s="70">
        <f>SUM(U10:AD10)</f>
        <v>11402193287.16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10205599146.570002</v>
      </c>
      <c r="E11" s="66">
        <f>REMUNERACION_ENEL!E106</f>
        <v>629291751.14999998</v>
      </c>
      <c r="F11" s="66">
        <f>REMUNERACION_ENEL!F106</f>
        <v>352061233.23999995</v>
      </c>
      <c r="G11" s="66">
        <f>REMUNERACION_ENEL!G106</f>
        <v>186348002.65000004</v>
      </c>
      <c r="H11" s="66">
        <f>REMUNERACION_ENEL!H106</f>
        <v>3061649694.1900005</v>
      </c>
      <c r="I11" s="66">
        <f>REMUNERACION_ENEL!I106</f>
        <v>101715175.75999999</v>
      </c>
      <c r="J11" s="66">
        <f>REMUNERACION_ENEL!J106</f>
        <v>-1230396998.4399998</v>
      </c>
      <c r="K11" s="31">
        <f t="shared" si="0"/>
        <v>7104930288.0200014</v>
      </c>
      <c r="L11" s="66">
        <f>REMUNERACION_ENEL!L106</f>
        <v>154788535</v>
      </c>
      <c r="M11" s="31">
        <f>K11-L11</f>
        <v>6950141753.0200014</v>
      </c>
      <c r="N11" s="66">
        <f>REMUNERACION_ENEL!N106</f>
        <v>13445739.66</v>
      </c>
      <c r="O11" s="31">
        <f t="shared" si="1"/>
        <v>6963587492.6800013</v>
      </c>
      <c r="Q11" s="4"/>
      <c r="S11" s="16">
        <v>3</v>
      </c>
      <c r="T11" s="62" t="s">
        <v>12</v>
      </c>
      <c r="U11" s="66">
        <f>REMUNERACION_ENEL!U106</f>
        <v>892751002.93999994</v>
      </c>
      <c r="V11" s="66">
        <f>REMUNERACION_ENEL!V106</f>
        <v>870100487.53999996</v>
      </c>
      <c r="W11" s="66">
        <f>REMUNERACION_ENEL!W106</f>
        <v>4095575369.4300003</v>
      </c>
      <c r="X11" s="66">
        <f>REMUNERACION_ENEL!X106</f>
        <v>1491422387.51</v>
      </c>
      <c r="Y11" s="66">
        <f>REMUNERACION_ENEL!Y106</f>
        <v>165989772.75000003</v>
      </c>
      <c r="Z11" s="66">
        <f>REMUNERACION_ENEL!Z106</f>
        <v>-154788535</v>
      </c>
      <c r="AA11" s="66">
        <f>REMUNERACION_ENEL!AA106</f>
        <v>49081.23</v>
      </c>
      <c r="AB11" s="66">
        <f>REMUNERACION_ENEL!AB106</f>
        <v>13445739.66</v>
      </c>
      <c r="AC11" s="66">
        <f>REMUNERACION_ENEL!AC106</f>
        <v>1.07</v>
      </c>
      <c r="AD11" s="66">
        <f>REMUNERACION_ENEL!AD106</f>
        <v>-410957814.45000005</v>
      </c>
      <c r="AE11" s="66">
        <f>REMUNERACION_ENEL!AE106</f>
        <v>-1641354812.8899999</v>
      </c>
      <c r="AF11" s="70">
        <f>SUM(U11:AD11)</f>
        <v>6963587492.6799994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10991242585.599998</v>
      </c>
      <c r="E12" s="66">
        <f>REMUNERACION_ENEL!E107</f>
        <v>612757116.33000004</v>
      </c>
      <c r="F12" s="66">
        <f>REMUNERACION_ENEL!F107</f>
        <v>341110908.60999995</v>
      </c>
      <c r="G12" s="66">
        <f>REMUNERACION_ENEL!G107</f>
        <v>180756802.69999999</v>
      </c>
      <c r="H12" s="66">
        <f>REMUNERACION_ENEL!H107</f>
        <v>2768093997.02</v>
      </c>
      <c r="I12" s="66">
        <f>REMUNERACION_ENEL!I107</f>
        <v>95992558.799999982</v>
      </c>
      <c r="J12" s="66">
        <f>REMUNERACION_ENEL!J107</f>
        <v>38133905.800000012</v>
      </c>
      <c r="K12" s="31">
        <f t="shared" si="0"/>
        <v>6954397296.3399963</v>
      </c>
      <c r="L12" s="66">
        <f>REMUNERACION_ENEL!L107</f>
        <v>120391083</v>
      </c>
      <c r="M12" s="31">
        <f>K12-L12</f>
        <v>6834006213.3399963</v>
      </c>
      <c r="N12" s="66">
        <f>REMUNERACION_ENEL!N107</f>
        <v>19861983.190000001</v>
      </c>
      <c r="O12" s="31">
        <f t="shared" si="1"/>
        <v>6853868196.5299959</v>
      </c>
      <c r="Q12" s="4"/>
      <c r="S12" s="16">
        <v>4</v>
      </c>
      <c r="T12" s="62" t="s">
        <v>13</v>
      </c>
      <c r="U12" s="66">
        <f>REMUNERACION_ENEL!U107</f>
        <v>841773977.29999995</v>
      </c>
      <c r="V12" s="66">
        <f>REMUNERACION_ENEL!V107</f>
        <v>822432392.84000003</v>
      </c>
      <c r="W12" s="66">
        <f>REMUNERACION_ENEL!W107</f>
        <v>4196445614.7799997</v>
      </c>
      <c r="X12" s="66">
        <f>REMUNERACION_ENEL!X107</f>
        <v>1622132605.1699998</v>
      </c>
      <c r="Y12" s="66">
        <f>REMUNERACION_ENEL!Y107</f>
        <v>156904728.71000001</v>
      </c>
      <c r="Z12" s="66">
        <f>REMUNERACION_ENEL!Z107</f>
        <v>-120391083</v>
      </c>
      <c r="AA12" s="66">
        <f>REMUNERACION_ENEL!AA107</f>
        <v>-64131.010000000009</v>
      </c>
      <c r="AB12" s="66">
        <f>REMUNERACION_ENEL!AB107</f>
        <v>19861983.190000001</v>
      </c>
      <c r="AC12" s="66">
        <f>REMUNERACION_ENEL!AC107</f>
        <v>31.950000000000024</v>
      </c>
      <c r="AD12" s="66">
        <f>REMUNERACION_ENEL!AD107</f>
        <v>-685227923.4000001</v>
      </c>
      <c r="AE12" s="66">
        <f>REMUNERACION_ENEL!AE107</f>
        <v>-647094017.60000002</v>
      </c>
      <c r="AF12" s="70">
        <f>SUM(U12:AD12)</f>
        <v>6853868196.5299988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8800679781.3700008</v>
      </c>
      <c r="E13" s="66">
        <f>REMUNERACION_ENEL!E108</f>
        <v>475293248.80000001</v>
      </c>
      <c r="F13" s="66">
        <f>REMUNERACION_ENEL!F108</f>
        <v>265758832.30000001</v>
      </c>
      <c r="G13" s="66">
        <f>REMUNERACION_ENEL!G108</f>
        <v>140738596.90000001</v>
      </c>
      <c r="H13" s="66">
        <f>REMUNERACION_ENEL!H108</f>
        <v>2045307402.5800002</v>
      </c>
      <c r="I13" s="66">
        <f>REMUNERACION_ENEL!I108</f>
        <v>73259470.969999999</v>
      </c>
      <c r="J13" s="66">
        <f>REMUNERACION_ENEL!J108</f>
        <v>-1224100690.4600003</v>
      </c>
      <c r="K13" s="31">
        <f t="shared" si="0"/>
        <v>7024422920.2800007</v>
      </c>
      <c r="L13" s="66">
        <f>REMUNERACION_ENEL!L108</f>
        <v>128990445</v>
      </c>
      <c r="M13" s="40">
        <f>K13-L13</f>
        <v>6895432475.2800007</v>
      </c>
      <c r="N13" s="66">
        <f>REMUNERACION_ENEL!N108</f>
        <v>5862361.9900000002</v>
      </c>
      <c r="O13" s="40">
        <f t="shared" si="1"/>
        <v>6901294837.2700005</v>
      </c>
      <c r="Q13" s="4"/>
      <c r="S13" s="19">
        <v>5</v>
      </c>
      <c r="T13" s="63" t="s">
        <v>14</v>
      </c>
      <c r="U13" s="66">
        <f>REMUNERACION_ENEL!U108</f>
        <v>643145081.82999992</v>
      </c>
      <c r="V13" s="66">
        <f>REMUNERACION_ENEL!V108</f>
        <v>624107126.62</v>
      </c>
      <c r="W13" s="66">
        <f>REMUNERACION_ENEL!W108</f>
        <v>3202966035.54</v>
      </c>
      <c r="X13" s="66">
        <f>REMUNERACION_ENEL!X108</f>
        <v>1423430592.5599999</v>
      </c>
      <c r="Y13" s="66">
        <f>REMUNERACION_ENEL!Y108</f>
        <v>119594166.09</v>
      </c>
      <c r="Z13" s="66">
        <f>REMUNERACION_ENEL!Z108</f>
        <v>-128990445</v>
      </c>
      <c r="AA13" s="66">
        <f>REMUNERACION_ENEL!AA108</f>
        <v>-13031.900000000001</v>
      </c>
      <c r="AB13" s="66">
        <f>REMUNERACION_ENEL!AB108</f>
        <v>5862361.9900000002</v>
      </c>
      <c r="AC13" s="66">
        <f>REMUNERACION_ENEL!AC108</f>
        <v>-37.089999999999996</v>
      </c>
      <c r="AD13" s="66">
        <f>REMUNERACION_ENEL!AD108</f>
        <v>1011192986.6300002</v>
      </c>
      <c r="AE13" s="66">
        <f>REMUNERACION_ENEL!AE108</f>
        <v>-212907703.83000001</v>
      </c>
      <c r="AF13" s="70">
        <f>SUM(U13:AD13)</f>
        <v>6901294837.2699995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59677535897.490005</v>
      </c>
      <c r="E14" s="43">
        <f t="shared" si="3"/>
        <v>3601567861.3000002</v>
      </c>
      <c r="F14" s="43">
        <f t="shared" si="3"/>
        <v>2009726136.5199997</v>
      </c>
      <c r="G14" s="43">
        <f t="shared" si="3"/>
        <v>1063275618.4599999</v>
      </c>
      <c r="H14" s="43">
        <f t="shared" si="3"/>
        <v>17013194075.530001</v>
      </c>
      <c r="I14" s="43">
        <f t="shared" si="3"/>
        <v>599747096.37</v>
      </c>
      <c r="J14" s="43">
        <f t="shared" si="3"/>
        <v>-4920287863.7799988</v>
      </c>
      <c r="K14" s="32">
        <f t="shared" si="3"/>
        <v>40310312973.090004</v>
      </c>
      <c r="L14" s="23">
        <f t="shared" si="3"/>
        <v>859936305</v>
      </c>
      <c r="M14" s="76">
        <f t="shared" si="3"/>
        <v>39450376668.090004</v>
      </c>
      <c r="N14" s="23">
        <f t="shared" si="3"/>
        <v>80999589.399999991</v>
      </c>
      <c r="O14" s="76">
        <f t="shared" si="3"/>
        <v>39531376257.489998</v>
      </c>
      <c r="P14" s="2"/>
      <c r="Q14" s="4"/>
      <c r="S14" s="21"/>
      <c r="T14" s="22" t="s">
        <v>2</v>
      </c>
      <c r="U14" s="43">
        <f>SUM(U9:U13)</f>
        <v>5263623641.7299995</v>
      </c>
      <c r="V14" s="43">
        <f t="shared" ref="V14:AG14" si="4">SUM(V9:V13)</f>
        <v>5104920878.0500002</v>
      </c>
      <c r="W14" s="43">
        <f t="shared" si="4"/>
        <v>24590593811.48</v>
      </c>
      <c r="X14" s="43">
        <f t="shared" si="4"/>
        <v>8955092230.5300007</v>
      </c>
      <c r="Y14" s="43">
        <f t="shared" si="4"/>
        <v>979261800.34000015</v>
      </c>
      <c r="Z14" s="43">
        <f t="shared" si="4"/>
        <v>-859936305</v>
      </c>
      <c r="AA14" s="43">
        <f t="shared" si="4"/>
        <v>-12247.830000000016</v>
      </c>
      <c r="AB14" s="43">
        <f t="shared" si="4"/>
        <v>80999589.399999991</v>
      </c>
      <c r="AC14" s="43">
        <f t="shared" si="4"/>
        <v>-1.369999999999969</v>
      </c>
      <c r="AD14" s="43">
        <f t="shared" si="4"/>
        <v>-4583167139.8400011</v>
      </c>
      <c r="AE14" s="43">
        <f>SUM(AE9:AE13)</f>
        <v>-9503455003.6200008</v>
      </c>
      <c r="AF14" s="68">
        <f t="shared" si="4"/>
        <v>39531376257.489998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44893492362.12999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46266</v>
      </c>
      <c r="J27" s="2" t="s">
        <v>28</v>
      </c>
      <c r="K27" s="9">
        <f>REMUNERACION_ENEL!K122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25429155</v>
      </c>
      <c r="E30" s="111">
        <f>REMUNERACION_ENEL!E125</f>
        <v>0</v>
      </c>
      <c r="G30" s="336">
        <f>REMUNERACION_ENEL!G125</f>
        <v>0</v>
      </c>
      <c r="H30" s="310">
        <f>REMUNERACION_ENEL!H125</f>
        <v>30254522.43</v>
      </c>
      <c r="I30" s="309">
        <f>REMUNERACION_ENEL!I125</f>
        <v>0</v>
      </c>
      <c r="J30" s="309">
        <f>REMUNERACION_ENEL!J125</f>
        <v>-3461197.29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27050219</v>
      </c>
      <c r="E31" s="74">
        <f>REMUNERACION_ENEL!E126</f>
        <v>0</v>
      </c>
      <c r="G31" s="339">
        <f>REMUNERACION_ENEL!G126</f>
        <v>0</v>
      </c>
      <c r="H31" s="340">
        <f>REMUNERACION_ENEL!H126</f>
        <v>56441179.739999995</v>
      </c>
      <c r="I31" s="288">
        <f>REMUNERACION_ENEL!I126</f>
        <v>0</v>
      </c>
      <c r="J31" s="288">
        <f>REMUNERACION_ENEL!J126</f>
        <v>-8739602.3699999992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6025131</v>
      </c>
      <c r="E32" s="74">
        <f>REMUNERACION_ENEL!E127</f>
        <v>0</v>
      </c>
      <c r="G32" s="339">
        <f>REMUNERACION_ENEL!G127</f>
        <v>135940</v>
      </c>
      <c r="H32" s="340">
        <f>REMUNERACION_ENEL!H127</f>
        <v>21873459.120000001</v>
      </c>
      <c r="I32" s="288">
        <f>REMUNERACION_ENEL!I127</f>
        <v>0</v>
      </c>
      <c r="J32" s="288">
        <f>REMUNERACION_ENEL!J127</f>
        <v>-6091573.8899999997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27660196</v>
      </c>
      <c r="E33" s="74">
        <f>REMUNERACION_ENEL!E128</f>
        <v>0</v>
      </c>
      <c r="G33" s="339">
        <f>REMUNERACION_ENEL!G128</f>
        <v>8186910</v>
      </c>
      <c r="H33" s="340">
        <f>REMUNERACION_ENEL!H128</f>
        <v>15536711.57</v>
      </c>
      <c r="I33" s="288">
        <f>REMUNERACION_ENEL!I128</f>
        <v>0</v>
      </c>
      <c r="J33" s="288">
        <f>REMUNERACION_ENEL!J128</f>
        <v>-20245524.780000001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9759043</v>
      </c>
      <c r="E34" s="139">
        <f>REMUNERACION_ENEL!E129</f>
        <v>0</v>
      </c>
      <c r="G34" s="339">
        <f>REMUNERACION_ENEL!G129</f>
        <v>0</v>
      </c>
      <c r="H34" s="340">
        <f>REMUNERACION_ENEL!H129</f>
        <v>26488801.359999999</v>
      </c>
      <c r="I34" s="288">
        <f>REMUNERACION_ENEL!I129</f>
        <v>0</v>
      </c>
      <c r="J34" s="288">
        <f>REMUNERACION_ENEL!J129</f>
        <v>-8771320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95923744</v>
      </c>
      <c r="E36" s="107">
        <f>REMUNERACION_ENEL!E131</f>
        <v>0</v>
      </c>
      <c r="F36" s="45"/>
      <c r="G36" s="350">
        <f t="shared" ref="G36:L36" si="6">SUM(G30:G34)</f>
        <v>8322850</v>
      </c>
      <c r="H36" s="350">
        <f t="shared" si="6"/>
        <v>150594674.21999997</v>
      </c>
      <c r="I36" s="350">
        <f t="shared" si="6"/>
        <v>0</v>
      </c>
      <c r="J36" s="350">
        <f t="shared" si="6"/>
        <v>-47309218.329999998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137170902</v>
      </c>
      <c r="E13" s="296">
        <f>'Reporte Componentes R1'!G826</f>
        <v>8742692.4100000001</v>
      </c>
      <c r="F13" s="296">
        <f>'Reporte Componentes R1'!H826</f>
        <v>4875107.3</v>
      </c>
      <c r="G13" s="296">
        <f>'Reporte Componentes R1'!I826</f>
        <v>2601178.42</v>
      </c>
      <c r="H13" s="296">
        <f>'Reporte Componentes R1'!J826</f>
        <v>34828590.310000002</v>
      </c>
      <c r="I13" s="296">
        <f>'Reporte Componentes R1'!K826</f>
        <v>1248070.6599999999</v>
      </c>
      <c r="J13" s="296">
        <v>0</v>
      </c>
      <c r="K13" s="295">
        <f t="shared" si="0"/>
        <v>84875262.900000006</v>
      </c>
      <c r="L13" s="294">
        <v>0</v>
      </c>
      <c r="M13" s="298">
        <f>K13-L13</f>
        <v>84875262.900000006</v>
      </c>
      <c r="N13" s="299">
        <f>'Reporte Componentes R1'!L826</f>
        <v>0</v>
      </c>
      <c r="O13" s="298">
        <f>M13+N13</f>
        <v>84875262.900000006</v>
      </c>
      <c r="Q13" s="306"/>
      <c r="S13" s="324">
        <v>5</v>
      </c>
      <c r="T13" s="325" t="s">
        <v>14</v>
      </c>
      <c r="U13" s="296">
        <f>'Reporte Componentes R1'!M826</f>
        <v>10923976.050000001</v>
      </c>
      <c r="V13" s="296">
        <f>'Reporte Componentes R1'!N826</f>
        <v>10791847.6</v>
      </c>
      <c r="W13" s="296">
        <f>'Reporte Componentes R1'!O826</f>
        <v>55071465.420000002</v>
      </c>
      <c r="X13" s="296">
        <f>'Reporte Componentes R1'!P826</f>
        <v>26210306.420000002</v>
      </c>
      <c r="Y13" s="296">
        <f>'Reporte Componentes R1'!Q826</f>
        <v>2042410.35</v>
      </c>
      <c r="Z13" s="319">
        <f>L13*-1</f>
        <v>0</v>
      </c>
      <c r="AA13" s="320">
        <f>'Reporte Componentes R1'!R826+'Reporte Componentes R1'!V826+'Reporte Componentes R1'!U826</f>
        <v>-1404.48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-20163338.460000001</v>
      </c>
      <c r="AE13" s="291">
        <f>'Reporte Componentes R1'!F827</f>
        <v>-20163338.460000001</v>
      </c>
      <c r="AF13" s="322">
        <f t="shared" si="4"/>
        <v>84875262.899999976</v>
      </c>
      <c r="AG13" s="326">
        <f>(AF13-O13)</f>
        <v>-2.9802322387695313E-8</v>
      </c>
      <c r="AH13" s="1" t="b">
        <f t="shared" si="3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137170902</v>
      </c>
      <c r="E14" s="290">
        <f t="shared" ref="E14:O14" si="5">SUM(E9:E13)</f>
        <v>8742692.4100000001</v>
      </c>
      <c r="F14" s="290">
        <f t="shared" si="5"/>
        <v>4875107.3</v>
      </c>
      <c r="G14" s="290">
        <f t="shared" si="5"/>
        <v>2601178.42</v>
      </c>
      <c r="H14" s="290">
        <f t="shared" si="5"/>
        <v>34828590.310000002</v>
      </c>
      <c r="I14" s="290">
        <f t="shared" si="5"/>
        <v>1248070.6599999999</v>
      </c>
      <c r="J14" s="290">
        <f t="shared" si="5"/>
        <v>0</v>
      </c>
      <c r="K14" s="300">
        <f t="shared" si="5"/>
        <v>84875262.900000006</v>
      </c>
      <c r="L14" s="301">
        <f>SUM(L9:L13)</f>
        <v>0</v>
      </c>
      <c r="M14" s="302">
        <f t="shared" si="5"/>
        <v>84875262.900000006</v>
      </c>
      <c r="N14" s="301">
        <f t="shared" si="5"/>
        <v>0</v>
      </c>
      <c r="O14" s="302">
        <f t="shared" si="5"/>
        <v>84875262.900000006</v>
      </c>
      <c r="P14" s="329"/>
      <c r="Q14" s="306"/>
      <c r="S14" s="327"/>
      <c r="T14" s="328" t="s">
        <v>2</v>
      </c>
      <c r="U14" s="330">
        <f>SUM(U9:U13)</f>
        <v>10923976.050000001</v>
      </c>
      <c r="V14" s="330">
        <f t="shared" ref="V14:AF14" si="6">SUM(V9:V13)</f>
        <v>10791847.6</v>
      </c>
      <c r="W14" s="330">
        <f t="shared" si="6"/>
        <v>55071465.420000002</v>
      </c>
      <c r="X14" s="330">
        <f t="shared" si="6"/>
        <v>26210306.420000002</v>
      </c>
      <c r="Y14" s="330">
        <f t="shared" si="6"/>
        <v>2042410.35</v>
      </c>
      <c r="Z14" s="290">
        <f t="shared" si="6"/>
        <v>0</v>
      </c>
      <c r="AA14" s="290">
        <f t="shared" si="6"/>
        <v>-1404.48</v>
      </c>
      <c r="AB14" s="290">
        <f t="shared" si="6"/>
        <v>0</v>
      </c>
      <c r="AC14" s="290">
        <f t="shared" si="6"/>
        <v>0</v>
      </c>
      <c r="AD14" s="290">
        <f>SUM(AD9:AD13)</f>
        <v>-20163338.460000001</v>
      </c>
      <c r="AE14" s="290">
        <f>SUM(AE9:AE13)</f>
        <v>-20163338.460000001</v>
      </c>
      <c r="AF14" s="331">
        <f t="shared" si="6"/>
        <v>84875262.899999976</v>
      </c>
      <c r="AG14" s="332">
        <f>SUM(AG9:AG13)</f>
        <v>-2.9802322387695313E-8</v>
      </c>
      <c r="AH14" s="1" t="b">
        <f t="shared" si="3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327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137170902</v>
      </c>
      <c r="E108" s="297">
        <f t="shared" si="40"/>
        <v>8742692.4100000001</v>
      </c>
      <c r="F108" s="297">
        <f t="shared" si="40"/>
        <v>4875107.3</v>
      </c>
      <c r="G108" s="297">
        <f t="shared" si="40"/>
        <v>2601178.42</v>
      </c>
      <c r="H108" s="297">
        <f t="shared" si="40"/>
        <v>34828590.310000002</v>
      </c>
      <c r="I108" s="297">
        <f t="shared" si="40"/>
        <v>1248070.6599999999</v>
      </c>
      <c r="J108" s="297">
        <f t="shared" si="40"/>
        <v>0</v>
      </c>
      <c r="K108" s="295">
        <f t="shared" si="42"/>
        <v>84875262.900000006</v>
      </c>
      <c r="L108" s="294">
        <f>L13+L32+L51+L70+L89</f>
        <v>0</v>
      </c>
      <c r="M108" s="298">
        <f>K108-L108</f>
        <v>84875262.900000006</v>
      </c>
      <c r="N108" s="299">
        <f>N13+N32+N51+N70+N89</f>
        <v>0</v>
      </c>
      <c r="O108" s="298">
        <f t="shared" si="43"/>
        <v>84875262.900000006</v>
      </c>
      <c r="Q108" s="306"/>
      <c r="S108" s="324">
        <v>5</v>
      </c>
      <c r="T108" s="325" t="s">
        <v>14</v>
      </c>
      <c r="U108" s="296">
        <f t="shared" si="41"/>
        <v>10923976.050000001</v>
      </c>
      <c r="V108" s="297">
        <f t="shared" si="41"/>
        <v>10791847.6</v>
      </c>
      <c r="W108" s="297">
        <f t="shared" si="41"/>
        <v>55071465.420000002</v>
      </c>
      <c r="X108" s="297">
        <f t="shared" si="41"/>
        <v>26210306.420000002</v>
      </c>
      <c r="Y108" s="289">
        <f t="shared" si="41"/>
        <v>2042410.35</v>
      </c>
      <c r="Z108" s="319">
        <f t="shared" si="41"/>
        <v>0</v>
      </c>
      <c r="AA108" s="320">
        <f t="shared" si="41"/>
        <v>-1404.48</v>
      </c>
      <c r="AB108" s="294">
        <f t="shared" si="41"/>
        <v>0</v>
      </c>
      <c r="AC108" s="320">
        <f t="shared" si="41"/>
        <v>0</v>
      </c>
      <c r="AD108" s="291">
        <f>-J108+AE108</f>
        <v>-20163338.460000001</v>
      </c>
      <c r="AE108" s="291">
        <f>AE13+AE32+AE51+AE70+AE89</f>
        <v>-20163338.460000001</v>
      </c>
      <c r="AF108" s="322">
        <f>SUM(U108:AD108)</f>
        <v>84875262.899999976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137170902</v>
      </c>
      <c r="E109" s="290">
        <f t="shared" si="46"/>
        <v>8742692.4100000001</v>
      </c>
      <c r="F109" s="290">
        <f t="shared" si="46"/>
        <v>4875107.3</v>
      </c>
      <c r="G109" s="290">
        <f t="shared" si="46"/>
        <v>2601178.42</v>
      </c>
      <c r="H109" s="290">
        <f t="shared" si="46"/>
        <v>34828590.310000002</v>
      </c>
      <c r="I109" s="290">
        <f t="shared" si="46"/>
        <v>1248070.6599999999</v>
      </c>
      <c r="J109" s="290">
        <f t="shared" si="46"/>
        <v>0</v>
      </c>
      <c r="K109" s="300">
        <f t="shared" si="46"/>
        <v>84875262.900000006</v>
      </c>
      <c r="L109" s="301">
        <f t="shared" si="46"/>
        <v>0</v>
      </c>
      <c r="M109" s="302">
        <f t="shared" si="46"/>
        <v>84875262.900000006</v>
      </c>
      <c r="N109" s="301">
        <f t="shared" si="46"/>
        <v>0</v>
      </c>
      <c r="O109" s="302">
        <f t="shared" si="46"/>
        <v>84875262.900000006</v>
      </c>
      <c r="P109" s="329"/>
      <c r="Q109" s="306"/>
      <c r="S109" s="327"/>
      <c r="T109" s="328" t="s">
        <v>2</v>
      </c>
      <c r="U109" s="330">
        <f>SUM(U104:U108)</f>
        <v>10923976.050000001</v>
      </c>
      <c r="V109" s="330">
        <f t="shared" ref="V109:AF109" si="47">SUM(V104:V108)</f>
        <v>10791847.6</v>
      </c>
      <c r="W109" s="330">
        <f t="shared" si="47"/>
        <v>55071465.420000002</v>
      </c>
      <c r="X109" s="330">
        <f t="shared" si="47"/>
        <v>26210306.420000002</v>
      </c>
      <c r="Y109" s="330">
        <f t="shared" si="47"/>
        <v>2042410.35</v>
      </c>
      <c r="Z109" s="290">
        <f t="shared" si="47"/>
        <v>0</v>
      </c>
      <c r="AA109" s="290">
        <f t="shared" si="47"/>
        <v>-1404.48</v>
      </c>
      <c r="AB109" s="290">
        <f t="shared" si="47"/>
        <v>0</v>
      </c>
      <c r="AC109" s="290">
        <f t="shared" si="47"/>
        <v>0</v>
      </c>
      <c r="AD109" s="290">
        <f t="shared" si="47"/>
        <v>-20163338.460000001</v>
      </c>
      <c r="AE109" s="290">
        <f>SUM(AE104:AE108)</f>
        <v>-20163338.460000001</v>
      </c>
      <c r="AF109" s="331">
        <f t="shared" si="47"/>
        <v>84875262.899999976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105040005.83999999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1379910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1379910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138550812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138550812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138550812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138550812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138550812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138550812</v>
      </c>
      <c r="I7" s="291">
        <f>REMUNERACION_ENERBIT!D108</f>
        <v>137170902</v>
      </c>
      <c r="J7" s="292">
        <f>REMUNERACION_ENERBIT!N108</f>
        <v>0</v>
      </c>
      <c r="K7" s="292">
        <f>REMUNERACION_ENERBIT!D129</f>
        <v>1379910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138550812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138550812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138550812</v>
      </c>
      <c r="I9" s="290">
        <f t="shared" si="4"/>
        <v>137170902</v>
      </c>
      <c r="J9" s="290">
        <f t="shared" si="4"/>
        <v>0</v>
      </c>
      <c r="K9" s="290">
        <f t="shared" si="4"/>
        <v>1379910</v>
      </c>
      <c r="L9" s="290">
        <f t="shared" si="4"/>
        <v>0</v>
      </c>
      <c r="M9" s="290">
        <f t="shared" si="4"/>
        <v>0</v>
      </c>
      <c r="N9" s="290">
        <f>SUM(N3:N8)</f>
        <v>138550812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138550812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46266</v>
      </c>
      <c r="J7" s="2" t="s">
        <v>28</v>
      </c>
      <c r="K7" s="9">
        <f>REMUNERACION_ENERBIT!K102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137170902</v>
      </c>
      <c r="E13" s="66">
        <f>REMUNERACION_ENERBIT!E108</f>
        <v>8742692.4100000001</v>
      </c>
      <c r="F13" s="66">
        <f>REMUNERACION_ENERBIT!F108</f>
        <v>4875107.3</v>
      </c>
      <c r="G13" s="66">
        <f>REMUNERACION_ENERBIT!G108</f>
        <v>2601178.42</v>
      </c>
      <c r="H13" s="66">
        <f>REMUNERACION_ENERBIT!H108</f>
        <v>34828590.310000002</v>
      </c>
      <c r="I13" s="66">
        <f>REMUNERACION_ENERBIT!I108</f>
        <v>1248070.6599999999</v>
      </c>
      <c r="J13" s="66">
        <f>REMUNERACION_ENERBIT!J108</f>
        <v>0</v>
      </c>
      <c r="K13" s="31">
        <f t="shared" si="0"/>
        <v>84875262.900000006</v>
      </c>
      <c r="L13" s="66">
        <f>REMUNERACION_ENERBIT!L108</f>
        <v>0</v>
      </c>
      <c r="M13" s="40">
        <f>K13-L13</f>
        <v>84875262.900000006</v>
      </c>
      <c r="N13" s="66">
        <f>REMUNERACION_ENERBIT!N108</f>
        <v>0</v>
      </c>
      <c r="O13" s="40">
        <f t="shared" si="1"/>
        <v>84875262.900000006</v>
      </c>
      <c r="Q13" s="4"/>
      <c r="S13" s="19">
        <v>5</v>
      </c>
      <c r="T13" s="63" t="s">
        <v>14</v>
      </c>
      <c r="U13" s="66">
        <f>REMUNERACION_ENERBIT!U108</f>
        <v>10923976.050000001</v>
      </c>
      <c r="V13" s="66">
        <f>REMUNERACION_ENERBIT!V108</f>
        <v>10791847.6</v>
      </c>
      <c r="W13" s="66">
        <f>REMUNERACION_ENERBIT!W108</f>
        <v>55071465.420000002</v>
      </c>
      <c r="X13" s="66">
        <f>REMUNERACION_ENERBIT!X108</f>
        <v>26210306.420000002</v>
      </c>
      <c r="Y13" s="66">
        <f>REMUNERACION_ENERBIT!Y108</f>
        <v>2042410.35</v>
      </c>
      <c r="Z13" s="66">
        <f>REMUNERACION_ENERBIT!Z108</f>
        <v>0</v>
      </c>
      <c r="AA13" s="66">
        <f>REMUNERACION_ENERBIT!AA108</f>
        <v>-1404.48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-20163338.460000001</v>
      </c>
      <c r="AE13" s="66">
        <f>REMUNERACION_ENERBIT!AE108</f>
        <v>-20163338.460000001</v>
      </c>
      <c r="AF13" s="70">
        <f>SUM(U13:AD13)</f>
        <v>84875262.899999976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137170902</v>
      </c>
      <c r="E14" s="43">
        <f t="shared" si="3"/>
        <v>8742692.4100000001</v>
      </c>
      <c r="F14" s="43">
        <f t="shared" si="3"/>
        <v>4875107.3</v>
      </c>
      <c r="G14" s="43">
        <f t="shared" si="3"/>
        <v>2601178.42</v>
      </c>
      <c r="H14" s="43">
        <f t="shared" si="3"/>
        <v>34828590.310000002</v>
      </c>
      <c r="I14" s="43">
        <f t="shared" si="3"/>
        <v>1248070.6599999999</v>
      </c>
      <c r="J14" s="43">
        <f t="shared" si="3"/>
        <v>0</v>
      </c>
      <c r="K14" s="32">
        <f t="shared" si="3"/>
        <v>84875262.900000006</v>
      </c>
      <c r="L14" s="23">
        <f t="shared" si="3"/>
        <v>0</v>
      </c>
      <c r="M14" s="76">
        <f t="shared" si="3"/>
        <v>84875262.900000006</v>
      </c>
      <c r="N14" s="23">
        <f t="shared" si="3"/>
        <v>0</v>
      </c>
      <c r="O14" s="76">
        <f t="shared" si="3"/>
        <v>84875262.900000006</v>
      </c>
      <c r="P14" s="2"/>
      <c r="Q14" s="4"/>
      <c r="S14" s="21"/>
      <c r="T14" s="22" t="s">
        <v>2</v>
      </c>
      <c r="U14" s="43">
        <f>SUM(U9:U13)</f>
        <v>10923976.050000001</v>
      </c>
      <c r="V14" s="43">
        <f t="shared" ref="V14:AG14" si="4">SUM(V9:V13)</f>
        <v>10791847.6</v>
      </c>
      <c r="W14" s="43">
        <f t="shared" si="4"/>
        <v>55071465.420000002</v>
      </c>
      <c r="X14" s="43">
        <f t="shared" si="4"/>
        <v>26210306.420000002</v>
      </c>
      <c r="Y14" s="43">
        <f t="shared" si="4"/>
        <v>2042410.35</v>
      </c>
      <c r="Z14" s="43">
        <f t="shared" si="4"/>
        <v>0</v>
      </c>
      <c r="AA14" s="43">
        <f t="shared" si="4"/>
        <v>-1404.48</v>
      </c>
      <c r="AB14" s="43">
        <f t="shared" si="4"/>
        <v>0</v>
      </c>
      <c r="AC14" s="43">
        <f t="shared" si="4"/>
        <v>0</v>
      </c>
      <c r="AD14" s="43">
        <f t="shared" si="4"/>
        <v>-20163338.460000001</v>
      </c>
      <c r="AE14" s="43">
        <f>SUM(AE9:AE13)</f>
        <v>-20163338.460000001</v>
      </c>
      <c r="AF14" s="68">
        <f t="shared" si="4"/>
        <v>84875262.899999976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46266</v>
      </c>
      <c r="J27" s="2" t="s">
        <v>28</v>
      </c>
      <c r="K27" s="9">
        <f>REMUNERACION_ENERBIT!K122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1379910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1379910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524796984.15999997</v>
      </c>
      <c r="E9" s="292">
        <f>'Reporte Componentes R1'!G109</f>
        <v>51063970.619999997</v>
      </c>
      <c r="F9" s="292">
        <f>'Reporte Componentes R1'!H109</f>
        <v>27940265.129999999</v>
      </c>
      <c r="G9" s="292">
        <f>'Reporte Componentes R1'!I109</f>
        <v>14591633.82</v>
      </c>
      <c r="H9" s="292">
        <f>'Reporte Componentes R1'!J109</f>
        <v>42751137.32</v>
      </c>
      <c r="I9" s="292">
        <f>'Reporte Componentes R1'!K109</f>
        <v>1521468.35</v>
      </c>
      <c r="J9" s="288">
        <v>0</v>
      </c>
      <c r="K9" s="293">
        <f>D9-E9-F9-G9-H9-I9-J9</f>
        <v>386928508.91999996</v>
      </c>
      <c r="L9" s="294">
        <v>0</v>
      </c>
      <c r="M9" s="293">
        <f>K9-L9</f>
        <v>386928508.91999996</v>
      </c>
      <c r="N9" s="294">
        <f>'Reporte Componentes R1'!L109</f>
        <v>1790178.35</v>
      </c>
      <c r="O9" s="293">
        <f>M9+N9</f>
        <v>388718687.26999998</v>
      </c>
      <c r="Q9" s="306"/>
      <c r="S9" s="303">
        <v>1</v>
      </c>
      <c r="T9" s="304" t="s">
        <v>10</v>
      </c>
      <c r="U9" s="307">
        <f>'Reporte Componentes R1'!M109</f>
        <v>13355281.949999999</v>
      </c>
      <c r="V9" s="308">
        <f>'Reporte Componentes R1'!N109</f>
        <v>15351278.289999999</v>
      </c>
      <c r="W9" s="308">
        <f>'Reporte Componentes R1'!O109</f>
        <v>70924472.959999993</v>
      </c>
      <c r="X9" s="308">
        <f>'Reporte Componentes R1'!P109</f>
        <v>139758128.53999999</v>
      </c>
      <c r="Y9" s="309">
        <f>'Reporte Componentes R1'!Q109</f>
        <v>2483513.52</v>
      </c>
      <c r="Z9" s="310">
        <f>L9*-1</f>
        <v>0</v>
      </c>
      <c r="AA9" s="311">
        <f>'Reporte Componentes R1'!R109+'Reporte Componentes R1'!V109+'Reporte Componentes R1'!U109</f>
        <v>-681.1</v>
      </c>
      <c r="AB9" s="294">
        <f>N9</f>
        <v>1790178.35</v>
      </c>
      <c r="AC9" s="311">
        <f>'Reporte Componentes R1'!T109+'Reporte Componentes R1'!W109+'Reporte Componentes R1'!X109+'Reporte Componentes R1'!Y109+'Reporte Componentes R1'!Z109+'Reporte Componentes R1'!S109</f>
        <v>355.46999999999997</v>
      </c>
      <c r="AD9" s="291">
        <f>-J9+AE9</f>
        <v>145056159.28999999</v>
      </c>
      <c r="AE9" s="291">
        <f>'Reporte Componentes R1'!F110</f>
        <v>145056159.28999999</v>
      </c>
      <c r="AF9" s="313">
        <f>SUM(U9:AD9)</f>
        <v>388718687.26999998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1339528937.8599999</v>
      </c>
      <c r="E10" s="292">
        <f>'Reporte Componentes R1'!G343</f>
        <v>158905925.31</v>
      </c>
      <c r="F10" s="292">
        <f>'Reporte Componentes R1'!H343</f>
        <v>85766861.510000005</v>
      </c>
      <c r="G10" s="292">
        <f>'Reporte Componentes R1'!I343</f>
        <v>45917109.620000005</v>
      </c>
      <c r="H10" s="292">
        <f>'Reporte Componentes R1'!J343</f>
        <v>150612820.47</v>
      </c>
      <c r="I10" s="292">
        <f>'Reporte Componentes R1'!K343</f>
        <v>3958102.39</v>
      </c>
      <c r="J10" s="288">
        <v>0</v>
      </c>
      <c r="K10" s="295">
        <f t="shared" ref="K10:K13" si="0">D10-E10-F10-G10-H10-I10-J10</f>
        <v>894368118.55999994</v>
      </c>
      <c r="L10" s="294">
        <v>0</v>
      </c>
      <c r="M10" s="295">
        <f>K10-L10</f>
        <v>894368118.55999994</v>
      </c>
      <c r="N10" s="294">
        <f>'Reporte Componentes R1'!L343</f>
        <v>30632060.390000001</v>
      </c>
      <c r="O10" s="295">
        <f t="shared" ref="O10:O12" si="1">M10+N10</f>
        <v>925000178.94999993</v>
      </c>
      <c r="Q10" s="306"/>
      <c r="S10" s="314">
        <v>2</v>
      </c>
      <c r="T10" s="315" t="s">
        <v>11</v>
      </c>
      <c r="U10" s="316">
        <f>'Reporte Componentes R1'!M343</f>
        <v>34702359.989999995</v>
      </c>
      <c r="V10" s="317">
        <f>'Reporte Componentes R1'!N343</f>
        <v>47117898.240000002</v>
      </c>
      <c r="W10" s="317">
        <f>'Reporte Componentes R1'!O343</f>
        <v>223803503.67000002</v>
      </c>
      <c r="X10" s="317">
        <f>'Reporte Componentes R1'!P343</f>
        <v>316828766.98000002</v>
      </c>
      <c r="Y10" s="318">
        <f>'Reporte Componentes R1'!Q343</f>
        <v>6503668.2600000007</v>
      </c>
      <c r="Z10" s="319">
        <f>L10*-1</f>
        <v>0</v>
      </c>
      <c r="AA10" s="320">
        <f>'Reporte Componentes R1'!R343+'Reporte Componentes R1'!V343+'Reporte Componentes R1'!U343</f>
        <v>-866.04</v>
      </c>
      <c r="AB10" s="294">
        <f>N10</f>
        <v>30632060.390000001</v>
      </c>
      <c r="AC10" s="320">
        <f>'Reporte Componentes R1'!T343+'Reporte Componentes R1'!W343+'Reporte Componentes R1'!X343+'Reporte Componentes R1'!Y343+'Reporte Componentes R1'!Z343+'Reporte Componentes R1'!S343</f>
        <v>-56774.32</v>
      </c>
      <c r="AD10" s="291">
        <f t="shared" ref="AD10:AD13" si="2">-J10+AE10</f>
        <v>265469561.78</v>
      </c>
      <c r="AE10" s="291">
        <f>'Reporte Componentes R1'!F344</f>
        <v>265469561.78</v>
      </c>
      <c r="AF10" s="322">
        <f>SUM(U10:AD10)</f>
        <v>925000178.94999993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683985068.17999995</v>
      </c>
      <c r="E11" s="292">
        <f>'Reporte Componentes R1'!G504</f>
        <v>81226338.620000005</v>
      </c>
      <c r="F11" s="292">
        <f>'Reporte Componentes R1'!H504</f>
        <v>45313986.990000002</v>
      </c>
      <c r="G11" s="292">
        <f>'Reporte Componentes R1'!I504</f>
        <v>23962560.170000002</v>
      </c>
      <c r="H11" s="292">
        <f>'Reporte Componentes R1'!J504</f>
        <v>27884825.619999997</v>
      </c>
      <c r="I11" s="292">
        <f>'Reporte Componentes R1'!K504</f>
        <v>865442.97</v>
      </c>
      <c r="J11" s="288">
        <v>0</v>
      </c>
      <c r="K11" s="295">
        <f t="shared" si="0"/>
        <v>504731913.80999988</v>
      </c>
      <c r="L11" s="294">
        <v>0</v>
      </c>
      <c r="M11" s="295">
        <f>K11-L11</f>
        <v>504731913.80999988</v>
      </c>
      <c r="N11" s="294">
        <f>'Reporte Componentes R1'!L504</f>
        <v>12116788.82</v>
      </c>
      <c r="O11" s="295">
        <f t="shared" si="1"/>
        <v>516848702.62999988</v>
      </c>
      <c r="Q11" s="306"/>
      <c r="S11" s="314">
        <v>3</v>
      </c>
      <c r="T11" s="315" t="s">
        <v>12</v>
      </c>
      <c r="U11" s="316">
        <f>'Reporte Componentes R1'!M504</f>
        <v>7565917.7000000002</v>
      </c>
      <c r="V11" s="317">
        <f>'Reporte Componentes R1'!N504</f>
        <v>10066828.120000001</v>
      </c>
      <c r="W11" s="317">
        <f>'Reporte Componentes R1'!O504</f>
        <v>47063488.43</v>
      </c>
      <c r="X11" s="317">
        <f>'Reporte Componentes R1'!P504</f>
        <v>191997318.60999998</v>
      </c>
      <c r="Y11" s="318">
        <f>'Reporte Componentes R1'!Q504</f>
        <v>1414549.93</v>
      </c>
      <c r="Z11" s="319">
        <f>L11*-1</f>
        <v>0</v>
      </c>
      <c r="AA11" s="320">
        <f>'Reporte Componentes R1'!R504+'Reporte Componentes R1'!V504+'Reporte Componentes R1'!U504</f>
        <v>-2423.3700000000003</v>
      </c>
      <c r="AB11" s="294">
        <f>N11</f>
        <v>12116788.82</v>
      </c>
      <c r="AC11" s="320">
        <f>'Reporte Componentes R1'!T504+'Reporte Componentes R1'!W504+'Reporte Componentes R1'!X504+'Reporte Componentes R1'!Y504+'Reporte Componentes R1'!Z504+'Reporte Componentes R1'!S504</f>
        <v>4.5</v>
      </c>
      <c r="AD11" s="291">
        <f t="shared" si="2"/>
        <v>246626229.99000001</v>
      </c>
      <c r="AE11" s="291">
        <f>'Reporte Componentes R1'!F505</f>
        <v>246626229.99000001</v>
      </c>
      <c r="AF11" s="322">
        <f t="shared" ref="AF11:AF13" si="4">SUM(U11:AD11)</f>
        <v>516848702.73000002</v>
      </c>
      <c r="AG11" s="323">
        <f>(AF11-O11)</f>
        <v>0.10000014305114746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509091543.48999995</v>
      </c>
      <c r="E12" s="292">
        <f>'Reporte Componentes R1'!G712</f>
        <v>38331488.210000001</v>
      </c>
      <c r="F12" s="292">
        <f>'Reporte Componentes R1'!H712</f>
        <v>20622191.780000001</v>
      </c>
      <c r="G12" s="292">
        <f>'Reporte Componentes R1'!I712</f>
        <v>10552991.34</v>
      </c>
      <c r="H12" s="292">
        <f>'Reporte Componentes R1'!J712</f>
        <v>80301986.560000002</v>
      </c>
      <c r="I12" s="292">
        <f>'Reporte Componentes R1'!K712</f>
        <v>2375554.27</v>
      </c>
      <c r="J12" s="288">
        <v>0</v>
      </c>
      <c r="K12" s="295">
        <f t="shared" si="0"/>
        <v>356907331.33000004</v>
      </c>
      <c r="L12" s="294">
        <v>0</v>
      </c>
      <c r="M12" s="295">
        <f>K12-L12</f>
        <v>356907331.33000004</v>
      </c>
      <c r="N12" s="294">
        <f>'Reporte Componentes R1'!L712</f>
        <v>3323424.79</v>
      </c>
      <c r="O12" s="295">
        <f t="shared" si="1"/>
        <v>360230756.12000006</v>
      </c>
      <c r="Q12" s="306"/>
      <c r="S12" s="314">
        <v>4</v>
      </c>
      <c r="T12" s="315" t="s">
        <v>13</v>
      </c>
      <c r="U12" s="316">
        <f>'Reporte Componentes R1'!M712</f>
        <v>21079507.060000002</v>
      </c>
      <c r="V12" s="317">
        <f>'Reporte Componentes R1'!N712</f>
        <v>27872771.620000001</v>
      </c>
      <c r="W12" s="317">
        <f>'Reporte Componentes R1'!O712</f>
        <v>137626708.59999999</v>
      </c>
      <c r="X12" s="317">
        <f>'Reporte Componentes R1'!P712</f>
        <v>101532373.75</v>
      </c>
      <c r="Y12" s="318">
        <f>'Reporte Componentes R1'!Q712</f>
        <v>3885868.17</v>
      </c>
      <c r="Z12" s="319">
        <f>L12*-1</f>
        <v>0</v>
      </c>
      <c r="AA12" s="320">
        <f>'Reporte Componentes R1'!R712+'Reporte Componentes R1'!V712+'Reporte Componentes R1'!U712</f>
        <v>-202.85</v>
      </c>
      <c r="AB12" s="294">
        <f>N12</f>
        <v>3323424.79</v>
      </c>
      <c r="AC12" s="320">
        <f>'Reporte Componentes R1'!T712+'Reporte Componentes R1'!W712+'Reporte Componentes R1'!X712+'Reporte Componentes R1'!Y712+'Reporte Componentes R1'!Z712+'Reporte Componentes R1'!S712</f>
        <v>149.12</v>
      </c>
      <c r="AD12" s="291">
        <f t="shared" si="2"/>
        <v>64910155.859999999</v>
      </c>
      <c r="AE12" s="291">
        <f>'Reporte Componentes R1'!F713</f>
        <v>64910155.859999999</v>
      </c>
      <c r="AF12" s="322">
        <f t="shared" si="4"/>
        <v>360230756.12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208541075.61000001</v>
      </c>
      <c r="E13" s="297">
        <f>'Reporte Componentes R1'!G831</f>
        <v>17046860.98</v>
      </c>
      <c r="F13" s="297">
        <f>'Reporte Componentes R1'!H831</f>
        <v>9286192.3200000003</v>
      </c>
      <c r="G13" s="297">
        <f>'Reporte Componentes R1'!I831</f>
        <v>4892903.51</v>
      </c>
      <c r="H13" s="297">
        <f>'Reporte Componentes R1'!J831</f>
        <v>19648490.920000002</v>
      </c>
      <c r="I13" s="297">
        <f>'Reporte Componentes R1'!K831</f>
        <v>876438.22</v>
      </c>
      <c r="J13" s="289">
        <v>0</v>
      </c>
      <c r="K13" s="295">
        <f t="shared" si="0"/>
        <v>156790189.66000006</v>
      </c>
      <c r="L13" s="294">
        <v>0</v>
      </c>
      <c r="M13" s="298">
        <f>K13-L13</f>
        <v>156790189.66000006</v>
      </c>
      <c r="N13" s="299">
        <f>'Reporte Componentes R1'!L831</f>
        <v>26713576.390000001</v>
      </c>
      <c r="O13" s="298">
        <f>M13+N13</f>
        <v>183503766.05000007</v>
      </c>
      <c r="Q13" s="306"/>
      <c r="S13" s="324">
        <v>5</v>
      </c>
      <c r="T13" s="325" t="s">
        <v>14</v>
      </c>
      <c r="U13" s="296">
        <f>'Reporte Componentes R1'!M831</f>
        <v>7687831.7000000002</v>
      </c>
      <c r="V13" s="297">
        <f>'Reporte Componentes R1'!N831</f>
        <v>8922313.040000001</v>
      </c>
      <c r="W13" s="297">
        <f>'Reporte Componentes R1'!O831</f>
        <v>45914747.609999999</v>
      </c>
      <c r="X13" s="297">
        <f>'Reporte Componentes R1'!P831</f>
        <v>50854306</v>
      </c>
      <c r="Y13" s="289">
        <f>'Reporte Componentes R1'!Q831</f>
        <v>1448510.54</v>
      </c>
      <c r="Z13" s="319">
        <f>L13*-1</f>
        <v>0</v>
      </c>
      <c r="AA13" s="320">
        <f>'Reporte Componentes R1'!R831+'Reporte Componentes R1'!V831+'Reporte Componentes R1'!U831</f>
        <v>-2096.98</v>
      </c>
      <c r="AB13" s="294">
        <f>N13</f>
        <v>26713576.390000001</v>
      </c>
      <c r="AC13" s="320">
        <f>'Reporte Componentes R1'!T831+'Reporte Componentes R1'!W831+'Reporte Componentes R1'!X831+'Reporte Componentes R1'!Y831+'Reporte Componentes R1'!Z831+'Reporte Componentes R1'!S831</f>
        <v>-68.589999999999989</v>
      </c>
      <c r="AD13" s="291">
        <f t="shared" si="2"/>
        <v>41964646.340000004</v>
      </c>
      <c r="AE13" s="291">
        <f>'Reporte Componentes R1'!F832</f>
        <v>41964646.340000004</v>
      </c>
      <c r="AF13" s="322">
        <f t="shared" si="4"/>
        <v>183503766.05000001</v>
      </c>
      <c r="AG13" s="326">
        <f>(AF13-O13)</f>
        <v>-5.9604644775390625E-8</v>
      </c>
      <c r="AH13" s="1" t="b">
        <f t="shared" si="3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3265943609.2999997</v>
      </c>
      <c r="E14" s="290">
        <f t="shared" ref="E14:O14" si="5">SUM(E9:E13)</f>
        <v>346574583.74000001</v>
      </c>
      <c r="F14" s="290">
        <f t="shared" si="5"/>
        <v>188929497.72999999</v>
      </c>
      <c r="G14" s="290">
        <f t="shared" si="5"/>
        <v>99917198.460000023</v>
      </c>
      <c r="H14" s="290">
        <f t="shared" si="5"/>
        <v>321199260.89000005</v>
      </c>
      <c r="I14" s="290">
        <f t="shared" si="5"/>
        <v>9597006.2000000011</v>
      </c>
      <c r="J14" s="290">
        <f t="shared" si="5"/>
        <v>0</v>
      </c>
      <c r="K14" s="300">
        <f t="shared" si="5"/>
        <v>2299726062.2799997</v>
      </c>
      <c r="L14" s="301">
        <f>SUM(L9:L13)</f>
        <v>0</v>
      </c>
      <c r="M14" s="302">
        <f t="shared" si="5"/>
        <v>2299726062.2799997</v>
      </c>
      <c r="N14" s="301">
        <f t="shared" si="5"/>
        <v>74576028.74000001</v>
      </c>
      <c r="O14" s="302">
        <f t="shared" si="5"/>
        <v>2374302091.02</v>
      </c>
      <c r="P14" s="329"/>
      <c r="Q14" s="306"/>
      <c r="S14" s="327"/>
      <c r="T14" s="328" t="s">
        <v>2</v>
      </c>
      <c r="U14" s="330">
        <f>SUM(U9:U13)</f>
        <v>84390898.400000006</v>
      </c>
      <c r="V14" s="330">
        <f t="shared" ref="V14:AF14" si="6">SUM(V9:V13)</f>
        <v>109331089.31000002</v>
      </c>
      <c r="W14" s="330">
        <f t="shared" si="6"/>
        <v>525332921.26999998</v>
      </c>
      <c r="X14" s="330">
        <f t="shared" si="6"/>
        <v>800970893.88</v>
      </c>
      <c r="Y14" s="330">
        <f t="shared" si="6"/>
        <v>15736110.420000002</v>
      </c>
      <c r="Z14" s="290">
        <f t="shared" si="6"/>
        <v>0</v>
      </c>
      <c r="AA14" s="290">
        <f t="shared" si="6"/>
        <v>-6270.34</v>
      </c>
      <c r="AB14" s="290">
        <f t="shared" si="6"/>
        <v>74576028.74000001</v>
      </c>
      <c r="AC14" s="290">
        <f t="shared" si="6"/>
        <v>-56333.819999999992</v>
      </c>
      <c r="AD14" s="290">
        <f>SUM(AD9:AD13)</f>
        <v>764026753.25999999</v>
      </c>
      <c r="AE14" s="290">
        <f>SUM(AE9:AE13)</f>
        <v>764026753.25999999</v>
      </c>
      <c r="AF14" s="331">
        <f t="shared" si="6"/>
        <v>2374302091.1199999</v>
      </c>
      <c r="AG14" s="332">
        <f>SUM(AG9:AG13)</f>
        <v>0.10000002384185791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1535761913.2800002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4590431.71</v>
      </c>
      <c r="E28" s="292">
        <f>'Rem. Anticipos R2'!F69</f>
        <v>236530.63</v>
      </c>
      <c r="F28" s="292">
        <f>'Rem. Anticipos R2'!G69</f>
        <v>116607.49</v>
      </c>
      <c r="G28" s="292">
        <f>'Rem. Anticipos R2'!H69</f>
        <v>63690.6</v>
      </c>
      <c r="H28" s="292">
        <f>'Rem. Anticipos R2'!I69</f>
        <v>525603.02</v>
      </c>
      <c r="I28" s="292">
        <f>'Rem. Anticipos R2'!J69</f>
        <v>23693.01</v>
      </c>
      <c r="J28" s="288">
        <v>0</v>
      </c>
      <c r="K28" s="293">
        <f>D28-E28-F28-G28-H28-I28-J28</f>
        <v>3624306.96</v>
      </c>
      <c r="L28" s="294">
        <v>0</v>
      </c>
      <c r="M28" s="293">
        <f>K28-L28</f>
        <v>3624306.96</v>
      </c>
      <c r="N28" s="294">
        <f>'Rem. Anticipos R2'!K69</f>
        <v>0</v>
      </c>
      <c r="O28" s="293">
        <f>M28+N28</f>
        <v>3624306.96</v>
      </c>
      <c r="Q28" s="306"/>
      <c r="S28" s="303">
        <v>1</v>
      </c>
      <c r="T28" s="304" t="s">
        <v>10</v>
      </c>
      <c r="U28" s="307">
        <f>'Rem. Anticipos R2'!L69</f>
        <v>221171.38</v>
      </c>
      <c r="V28" s="308">
        <f>'Rem. Anticipos R2'!M69</f>
        <v>208173.61</v>
      </c>
      <c r="W28" s="308">
        <f>'Rem. Anticipos R2'!N69</f>
        <v>1034423.9</v>
      </c>
      <c r="X28" s="308">
        <f>'Rem. Anticipos R2'!O69</f>
        <v>986717.93</v>
      </c>
      <c r="Y28" s="308">
        <f>'Rem. Anticipos R2'!P69</f>
        <v>38656.58</v>
      </c>
      <c r="Z28" s="310">
        <f>L28*-1</f>
        <v>0</v>
      </c>
      <c r="AA28" s="311">
        <f>'Rem. Anticipos R2'!Q69</f>
        <v>4.68</v>
      </c>
      <c r="AB28" s="294">
        <f>N28</f>
        <v>0</v>
      </c>
      <c r="AC28" s="311">
        <f>'Rem. Anticipos R2'!R69</f>
        <v>0</v>
      </c>
      <c r="AD28" s="291">
        <f>-J28+AE28</f>
        <v>1135158.8799999999</v>
      </c>
      <c r="AE28" s="291">
        <f>'Rem. Anticipos R2'!E70</f>
        <v>1135158.8799999999</v>
      </c>
      <c r="AF28" s="313">
        <f>SUM(U28:AD28)</f>
        <v>3624306.9600000004</v>
      </c>
      <c r="AG28" s="311">
        <f>(AF28-O28)</f>
        <v>4.6566128730773926E-10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29249470.460000001</v>
      </c>
      <c r="E29" s="292">
        <f>'Rem. Anticipos R2'!F190</f>
        <v>2911479.45</v>
      </c>
      <c r="F29" s="292">
        <f>'Rem. Anticipos R2'!G190</f>
        <v>1615161.04</v>
      </c>
      <c r="G29" s="292">
        <f>'Rem. Anticipos R2'!H190</f>
        <v>765043.56</v>
      </c>
      <c r="H29" s="292">
        <f>'Rem. Anticipos R2'!I190</f>
        <v>4850630.1500000004</v>
      </c>
      <c r="I29" s="292">
        <f>'Rem. Anticipos R2'!J190</f>
        <v>180890.41</v>
      </c>
      <c r="J29" s="288">
        <v>0</v>
      </c>
      <c r="K29" s="295">
        <f t="shared" ref="K29:K31" si="7">D29-E29-F29-G29-H29-I29-J29</f>
        <v>18926265.850000005</v>
      </c>
      <c r="L29" s="294">
        <v>0</v>
      </c>
      <c r="M29" s="295">
        <f>K29-L29</f>
        <v>18926265.850000005</v>
      </c>
      <c r="N29" s="294">
        <f>'Rem. Anticipos R2'!K190</f>
        <v>0</v>
      </c>
      <c r="O29" s="295">
        <f t="shared" ref="O29:O32" si="8">M29+N29</f>
        <v>18926265.850000005</v>
      </c>
      <c r="Q29" s="306"/>
      <c r="S29" s="314">
        <v>2</v>
      </c>
      <c r="T29" s="315" t="s">
        <v>11</v>
      </c>
      <c r="U29" s="316">
        <f>'Rem. Anticipos R2'!L190</f>
        <v>1848812.26</v>
      </c>
      <c r="V29" s="317">
        <f>'Rem. Anticipos R2'!M190</f>
        <v>1678791.51</v>
      </c>
      <c r="W29" s="317">
        <f>'Rem. Anticipos R2'!N190</f>
        <v>6874256.4400000004</v>
      </c>
      <c r="X29" s="317">
        <f>'Rem. Anticipos R2'!O190</f>
        <v>5870237.5</v>
      </c>
      <c r="Y29" s="318">
        <f>'Rem. Anticipos R2'!P190</f>
        <v>255677.25</v>
      </c>
      <c r="Z29" s="319">
        <f>L29*-1</f>
        <v>0</v>
      </c>
      <c r="AA29" s="320">
        <f>'Rem. Anticipos R2'!Q190</f>
        <v>69.11</v>
      </c>
      <c r="AB29" s="294">
        <f>N29</f>
        <v>0</v>
      </c>
      <c r="AC29" s="320">
        <f>'Rem. Anticipos R2'!R190</f>
        <v>0</v>
      </c>
      <c r="AD29" s="291">
        <f>-J29+AE29</f>
        <v>2398421.7799999998</v>
      </c>
      <c r="AE29" s="291">
        <f>'Rem. Anticipos R2'!E191</f>
        <v>2398421.7799999998</v>
      </c>
      <c r="AF29" s="322">
        <f>SUM(U29:AD29)</f>
        <v>18926265.850000001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1755754.73</v>
      </c>
      <c r="E30" s="292">
        <f>'Rem. Anticipos R2'!F311</f>
        <v>188133.7</v>
      </c>
      <c r="F30" s="292">
        <f>'Rem. Anticipos R2'!G311</f>
        <v>102353.57</v>
      </c>
      <c r="G30" s="292">
        <f>'Rem. Anticipos R2'!H311</f>
        <v>55414.91</v>
      </c>
      <c r="H30" s="292">
        <f>'Rem. Anticipos R2'!I311</f>
        <v>251387.25</v>
      </c>
      <c r="I30" s="292">
        <f>'Rem. Anticipos R2'!J311</f>
        <v>10446.82</v>
      </c>
      <c r="J30" s="288">
        <v>0</v>
      </c>
      <c r="K30" s="295">
        <f t="shared" si="7"/>
        <v>1148018.48</v>
      </c>
      <c r="L30" s="294">
        <v>0</v>
      </c>
      <c r="M30" s="295">
        <f>K30-L30</f>
        <v>1148018.48</v>
      </c>
      <c r="N30" s="294">
        <f>'Rem. Anticipos R2'!K311</f>
        <v>0</v>
      </c>
      <c r="O30" s="295">
        <f t="shared" si="8"/>
        <v>1148018.48</v>
      </c>
      <c r="Q30" s="306"/>
      <c r="S30" s="314">
        <v>3</v>
      </c>
      <c r="T30" s="315" t="s">
        <v>12</v>
      </c>
      <c r="U30" s="316">
        <f>'Rem. Anticipos R2'!L311</f>
        <v>87572.89</v>
      </c>
      <c r="V30" s="317">
        <f>'Rem. Anticipos R2'!M311</f>
        <v>84620.28</v>
      </c>
      <c r="W30" s="317">
        <f>'Rem. Anticipos R2'!N311</f>
        <v>378183.69</v>
      </c>
      <c r="X30" s="317">
        <f>'Rem. Anticipos R2'!O311</f>
        <v>441892.86</v>
      </c>
      <c r="Y30" s="318">
        <f>'Rem. Anticipos R2'!P311</f>
        <v>17044.82</v>
      </c>
      <c r="Z30" s="319">
        <f>L30*-1</f>
        <v>0</v>
      </c>
      <c r="AA30" s="320">
        <f>'Rem. Anticipos R2'!Q311</f>
        <v>-0.1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138704.04</v>
      </c>
      <c r="AE30" s="291">
        <f>'Rem. Anticipos R2'!E312</f>
        <v>138704.04</v>
      </c>
      <c r="AF30" s="322">
        <f>SUM(U30:AD30)</f>
        <v>1148018.48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3170678.8099999996</v>
      </c>
      <c r="E31" s="292">
        <f>'Rem. Anticipos R2'!F435</f>
        <v>284879.18</v>
      </c>
      <c r="F31" s="292">
        <f>'Rem. Anticipos R2'!G435</f>
        <v>160664.16</v>
      </c>
      <c r="G31" s="292">
        <f>'Rem. Anticipos R2'!H435</f>
        <v>34028.36</v>
      </c>
      <c r="H31" s="292">
        <f>'Rem. Anticipos R2'!I435</f>
        <v>666537.5</v>
      </c>
      <c r="I31" s="292">
        <f>'Rem. Anticipos R2'!J435</f>
        <v>23778.02</v>
      </c>
      <c r="J31" s="288">
        <v>0</v>
      </c>
      <c r="K31" s="295">
        <f t="shared" si="7"/>
        <v>2000791.5899999994</v>
      </c>
      <c r="L31" s="294">
        <v>0</v>
      </c>
      <c r="M31" s="295">
        <f>K31-L31</f>
        <v>2000791.5899999994</v>
      </c>
      <c r="N31" s="294">
        <f>'Rem. Anticipos R2'!K435</f>
        <v>0</v>
      </c>
      <c r="O31" s="295">
        <f t="shared" si="8"/>
        <v>2000791.5899999994</v>
      </c>
      <c r="Q31" s="306"/>
      <c r="S31" s="314">
        <v>4</v>
      </c>
      <c r="T31" s="315" t="s">
        <v>13</v>
      </c>
      <c r="U31" s="316">
        <f>'Rem. Anticipos R2'!L435</f>
        <v>242514.19</v>
      </c>
      <c r="V31" s="317">
        <f>'Rem. Anticipos R2'!M435</f>
        <v>207728.05</v>
      </c>
      <c r="W31" s="317">
        <f>'Rem. Anticipos R2'!N435</f>
        <v>801310.5</v>
      </c>
      <c r="X31" s="317">
        <f>'Rem. Anticipos R2'!O435</f>
        <v>756666.12</v>
      </c>
      <c r="Y31" s="318">
        <f>'Rem. Anticipos R2'!P435</f>
        <v>29509.49</v>
      </c>
      <c r="Z31" s="319">
        <f>L31*-1</f>
        <v>0</v>
      </c>
      <c r="AA31" s="320">
        <f>'Rem. Anticipos R2'!Q435</f>
        <v>-5.0199999999999996</v>
      </c>
      <c r="AB31" s="294">
        <f>N31</f>
        <v>0</v>
      </c>
      <c r="AC31" s="320">
        <f>'Rem. Anticipos R2'!R435</f>
        <v>0</v>
      </c>
      <c r="AD31" s="291">
        <f t="shared" si="10"/>
        <v>-36931.74</v>
      </c>
      <c r="AE31" s="291">
        <f>'Rem. Anticipos R2'!E436</f>
        <v>-36931.74</v>
      </c>
      <c r="AF31" s="322">
        <f>SUM(U31:AD31)</f>
        <v>2000791.5899999999</v>
      </c>
      <c r="AG31" s="323">
        <f t="shared" si="11"/>
        <v>4.6566128730773926E-10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1031259.35</v>
      </c>
      <c r="E32" s="297">
        <f>'Rem. Anticipos R2'!F522</f>
        <v>75156.97</v>
      </c>
      <c r="F32" s="297">
        <f>'Rem. Anticipos R2'!G522</f>
        <v>38334.47</v>
      </c>
      <c r="G32" s="297">
        <f>'Rem. Anticipos R2'!H522</f>
        <v>14606.62</v>
      </c>
      <c r="H32" s="297">
        <f>'Rem. Anticipos R2'!I522</f>
        <v>339908.97</v>
      </c>
      <c r="I32" s="297">
        <f>'Rem. Anticipos R2'!J522</f>
        <v>8273.0300000000007</v>
      </c>
      <c r="J32" s="289">
        <v>0</v>
      </c>
      <c r="K32" s="295">
        <f>D32-E32-F32-G32-H32-I32-J32</f>
        <v>554979.29</v>
      </c>
      <c r="L32" s="294">
        <v>0</v>
      </c>
      <c r="M32" s="298">
        <f>K32-L32</f>
        <v>554979.29</v>
      </c>
      <c r="N32" s="299">
        <f>'Rem. Anticipos R2'!K522</f>
        <v>0</v>
      </c>
      <c r="O32" s="298">
        <f t="shared" si="8"/>
        <v>554979.29</v>
      </c>
      <c r="Q32" s="306"/>
      <c r="S32" s="324">
        <v>5</v>
      </c>
      <c r="T32" s="325" t="s">
        <v>14</v>
      </c>
      <c r="U32" s="296">
        <f>'Rem. Anticipos R2'!L522</f>
        <v>91061.01</v>
      </c>
      <c r="V32" s="297">
        <f>'Rem. Anticipos R2'!M522</f>
        <v>72971.399999999994</v>
      </c>
      <c r="W32" s="297">
        <f>'Rem. Anticipos R2'!N522</f>
        <v>354607.24</v>
      </c>
      <c r="X32" s="297">
        <f>'Rem. Anticipos R2'!O522</f>
        <v>232365.24</v>
      </c>
      <c r="Y32" s="289">
        <f>'Rem. Anticipos R2'!P522</f>
        <v>13498.06</v>
      </c>
      <c r="Z32" s="319">
        <f>L32*-1</f>
        <v>0</v>
      </c>
      <c r="AA32" s="320">
        <f>'Rem. Anticipos R2'!Q522</f>
        <v>-41.28</v>
      </c>
      <c r="AB32" s="294">
        <f>N32</f>
        <v>0</v>
      </c>
      <c r="AC32" s="320">
        <f>'Rem. Anticipos R2'!R522</f>
        <v>0</v>
      </c>
      <c r="AD32" s="291">
        <f t="shared" si="10"/>
        <v>-209482.38</v>
      </c>
      <c r="AE32" s="291">
        <f>'Rem. Anticipos R2'!E523</f>
        <v>-209482.38</v>
      </c>
      <c r="AF32" s="322">
        <f>SUM(U32:AD32)</f>
        <v>554979.28999999992</v>
      </c>
      <c r="AG32" s="326">
        <f>(AF32-O32)</f>
        <v>-1.1641532182693481E-10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39797595.060000002</v>
      </c>
      <c r="E33" s="290">
        <f>SUM(E28:E32)</f>
        <v>3696179.9300000006</v>
      </c>
      <c r="F33" s="290">
        <f t="shared" ref="F33:O33" si="12">SUM(F28:F32)</f>
        <v>2033120.73</v>
      </c>
      <c r="G33" s="290">
        <f t="shared" si="12"/>
        <v>932784.05</v>
      </c>
      <c r="H33" s="290">
        <f t="shared" si="12"/>
        <v>6634066.8899999997</v>
      </c>
      <c r="I33" s="290">
        <f t="shared" si="12"/>
        <v>247081.29</v>
      </c>
      <c r="J33" s="290">
        <f t="shared" si="12"/>
        <v>0</v>
      </c>
      <c r="K33" s="300">
        <f t="shared" si="12"/>
        <v>26254362.170000006</v>
      </c>
      <c r="L33" s="301">
        <f t="shared" si="12"/>
        <v>0</v>
      </c>
      <c r="M33" s="302">
        <f t="shared" si="12"/>
        <v>26254362.170000006</v>
      </c>
      <c r="N33" s="301">
        <f t="shared" si="12"/>
        <v>0</v>
      </c>
      <c r="O33" s="302">
        <f t="shared" si="12"/>
        <v>26254362.170000006</v>
      </c>
      <c r="P33" s="329"/>
      <c r="Q33" s="306"/>
      <c r="S33" s="327"/>
      <c r="T33" s="328" t="s">
        <v>2</v>
      </c>
      <c r="U33" s="330">
        <f>SUM(U28:U32)</f>
        <v>2491131.73</v>
      </c>
      <c r="V33" s="330">
        <f t="shared" ref="V33:AG33" si="13">SUM(V28:V32)</f>
        <v>2252284.85</v>
      </c>
      <c r="W33" s="330">
        <f t="shared" si="13"/>
        <v>9442781.7700000014</v>
      </c>
      <c r="X33" s="330">
        <f t="shared" si="13"/>
        <v>8287879.6500000004</v>
      </c>
      <c r="Y33" s="330">
        <f t="shared" si="13"/>
        <v>354386.2</v>
      </c>
      <c r="Z33" s="290">
        <f t="shared" si="13"/>
        <v>0</v>
      </c>
      <c r="AA33" s="290">
        <f t="shared" si="13"/>
        <v>27.39</v>
      </c>
      <c r="AB33" s="290">
        <f t="shared" si="13"/>
        <v>0</v>
      </c>
      <c r="AC33" s="290">
        <f t="shared" si="13"/>
        <v>0</v>
      </c>
      <c r="AD33" s="290">
        <f>SUM(AD28:AD32)</f>
        <v>3425870.5799999996</v>
      </c>
      <c r="AE33" s="290">
        <f>SUM(AE28:AE32)</f>
        <v>3425870.5799999996</v>
      </c>
      <c r="AF33" s="331">
        <f t="shared" si="13"/>
        <v>26254362.170000002</v>
      </c>
      <c r="AG33" s="332">
        <f t="shared" si="13"/>
        <v>-2.9103830456733704E-9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22828464.199999999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42680</v>
      </c>
      <c r="E47" s="292">
        <f>'Reporte Componentes R1'!G111</f>
        <v>2083.94</v>
      </c>
      <c r="F47" s="292">
        <f>'Reporte Componentes R1'!H111</f>
        <v>1161.1600000000001</v>
      </c>
      <c r="G47" s="292">
        <f>'Reporte Componentes R1'!I111</f>
        <v>617.55999999999995</v>
      </c>
      <c r="H47" s="292">
        <f>'Reporte Componentes R1'!J111</f>
        <v>10417.41</v>
      </c>
      <c r="I47" s="292">
        <f>'Reporte Componentes R1'!K111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R1'!L111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R1'!M111</f>
        <v>3360.38</v>
      </c>
      <c r="V47" s="308">
        <f>'Reporte Componentes R1'!N111</f>
        <v>3220.93</v>
      </c>
      <c r="W47" s="308">
        <f>'Reporte Componentes R1'!O111</f>
        <v>15119.8</v>
      </c>
      <c r="X47" s="308">
        <f>'Reporte Componentes R1'!P111</f>
        <v>5691.76</v>
      </c>
      <c r="Y47" s="309">
        <f>'Reporte Componentes R1'!Q111</f>
        <v>625.03</v>
      </c>
      <c r="Z47" s="310">
        <f>-L47</f>
        <v>0</v>
      </c>
      <c r="AA47" s="311">
        <f>'Reporte Componentes R1'!R111+'Reporte Componentes R1'!V111+'Reporte Componentes R1'!U111</f>
        <v>-1.06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28016.84</v>
      </c>
      <c r="AG47" s="311">
        <f>(AF47-O47)</f>
        <v>3.637978807091713E-12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33180</v>
      </c>
      <c r="E49" s="292">
        <f>'Reporte Componentes R1'!G506</f>
        <v>1783.98</v>
      </c>
      <c r="F49" s="292">
        <f>'Reporte Componentes R1'!H506</f>
        <v>996.57</v>
      </c>
      <c r="G49" s="292">
        <f>'Reporte Componentes R1'!I506</f>
        <v>528.67999999999995</v>
      </c>
      <c r="H49" s="292">
        <f>'Reporte Componentes R1'!J506</f>
        <v>10486.75</v>
      </c>
      <c r="I49" s="292">
        <f>'Reporte Componentes R1'!K506</f>
        <v>248.64</v>
      </c>
      <c r="J49" s="288">
        <v>0</v>
      </c>
      <c r="K49" s="295">
        <f t="shared" si="14"/>
        <v>19135.38</v>
      </c>
      <c r="L49" s="294">
        <v>0</v>
      </c>
      <c r="M49" s="295">
        <f>K49-L49</f>
        <v>19135.38</v>
      </c>
      <c r="N49" s="294">
        <f>'Reporte Componentes R1'!L506</f>
        <v>0</v>
      </c>
      <c r="O49" s="295">
        <f t="shared" si="15"/>
        <v>19135.38</v>
      </c>
      <c r="Q49" s="306"/>
      <c r="S49" s="314">
        <v>3</v>
      </c>
      <c r="T49" s="315" t="s">
        <v>12</v>
      </c>
      <c r="U49" s="316">
        <f>'Reporte Componentes R1'!M506</f>
        <v>2181.0500000000002</v>
      </c>
      <c r="V49" s="317">
        <f>'Reporte Componentes R1'!N506</f>
        <v>3186.59</v>
      </c>
      <c r="W49" s="317">
        <f>'Reporte Componentes R1'!O506</f>
        <v>14980.78</v>
      </c>
      <c r="X49" s="317">
        <f>'Reporte Componentes R1'!P506</f>
        <v>4229.96</v>
      </c>
      <c r="Y49" s="318">
        <f>'Reporte Componentes R1'!Q506</f>
        <v>405.68</v>
      </c>
      <c r="Z49" s="319">
        <f>-L49</f>
        <v>0</v>
      </c>
      <c r="AA49" s="320">
        <f>'Reporte Componentes R1'!R506+'Reporte Componentes R1'!V506+'Reporte Componentes R1'!U506</f>
        <v>7.0000000000000007E-2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-5848.75</v>
      </c>
      <c r="AE49" s="291">
        <f>'Reporte Componentes R1'!F507</f>
        <v>-5848.75</v>
      </c>
      <c r="AF49" s="322">
        <f t="shared" ref="AF49:AF51" si="18">SUM(U49:AD49)</f>
        <v>19135.38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239834</v>
      </c>
      <c r="E50" s="292">
        <f>'Reporte Componentes R1'!G714</f>
        <v>12849.36</v>
      </c>
      <c r="F50" s="292">
        <f>'Reporte Componentes R1'!H714</f>
        <v>7246.67</v>
      </c>
      <c r="G50" s="292">
        <f>'Reporte Componentes R1'!I714</f>
        <v>3834.21</v>
      </c>
      <c r="H50" s="292">
        <f>'Reporte Componentes R1'!J714</f>
        <v>63336.62</v>
      </c>
      <c r="I50" s="292">
        <f>'Reporte Componentes R1'!K714</f>
        <v>2249.2800000000002</v>
      </c>
      <c r="J50" s="288">
        <v>0</v>
      </c>
      <c r="K50" s="295">
        <f t="shared" si="14"/>
        <v>150317.86000000002</v>
      </c>
      <c r="L50" s="294">
        <v>0</v>
      </c>
      <c r="M50" s="295">
        <f>K50-L50</f>
        <v>150317.86000000002</v>
      </c>
      <c r="N50" s="294">
        <f>'Reporte Componentes R1'!L714</f>
        <v>0</v>
      </c>
      <c r="O50" s="295">
        <f t="shared" si="15"/>
        <v>150317.86000000002</v>
      </c>
      <c r="Q50" s="306"/>
      <c r="S50" s="314">
        <v>4</v>
      </c>
      <c r="T50" s="315" t="s">
        <v>13</v>
      </c>
      <c r="U50" s="316">
        <f>'Reporte Componentes R1'!M714</f>
        <v>19730.689999999999</v>
      </c>
      <c r="V50" s="317">
        <f>'Reporte Componentes R1'!N714</f>
        <v>19515.990000000002</v>
      </c>
      <c r="W50" s="317">
        <f>'Reporte Componentes R1'!O714</f>
        <v>98900.08</v>
      </c>
      <c r="X50" s="317">
        <f>'Reporte Componentes R1'!P714</f>
        <v>34210.76</v>
      </c>
      <c r="Y50" s="318">
        <f>'Reporte Componentes R1'!Q714</f>
        <v>3669.91</v>
      </c>
      <c r="Z50" s="319">
        <f>-L50</f>
        <v>0</v>
      </c>
      <c r="AA50" s="320">
        <f>'Reporte Componentes R1'!R714+'Reporte Componentes R1'!V714+'Reporte Componentes R1'!U714</f>
        <v>5.44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-25715.01</v>
      </c>
      <c r="AE50" s="291">
        <f>'Reporte Componentes R1'!F715</f>
        <v>-25715.01</v>
      </c>
      <c r="AF50" s="322">
        <f t="shared" si="18"/>
        <v>150317.86000000002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61140</v>
      </c>
      <c r="E51" s="297">
        <f>'Reporte Componentes R1'!G833</f>
        <v>2566.4299999999998</v>
      </c>
      <c r="F51" s="297">
        <f>'Reporte Componentes R1'!H833</f>
        <v>1430.01</v>
      </c>
      <c r="G51" s="297">
        <f>'Reporte Componentes R1'!I833</f>
        <v>760.56</v>
      </c>
      <c r="H51" s="297">
        <f>'Reporte Componentes R1'!J833</f>
        <v>11744.12</v>
      </c>
      <c r="I51" s="297">
        <f>'Reporte Componentes R1'!K833</f>
        <v>584.9</v>
      </c>
      <c r="J51" s="289">
        <v>0</v>
      </c>
      <c r="K51" s="295">
        <f t="shared" si="14"/>
        <v>44053.979999999996</v>
      </c>
      <c r="L51" s="294">
        <v>0</v>
      </c>
      <c r="M51" s="298">
        <f>K51-L51</f>
        <v>44053.979999999996</v>
      </c>
      <c r="N51" s="299">
        <f>'Reporte Componentes R1'!L833</f>
        <v>0</v>
      </c>
      <c r="O51" s="298">
        <f t="shared" si="15"/>
        <v>44053.979999999996</v>
      </c>
      <c r="Q51" s="306"/>
      <c r="S51" s="324">
        <v>5</v>
      </c>
      <c r="T51" s="325" t="s">
        <v>14</v>
      </c>
      <c r="U51" s="296">
        <f>'Reporte Componentes R1'!M833</f>
        <v>5130.67</v>
      </c>
      <c r="V51" s="297">
        <f>'Reporte Componentes R1'!N833</f>
        <v>5018.8999999999996</v>
      </c>
      <c r="W51" s="297">
        <f>'Reporte Componentes R1'!O833</f>
        <v>25484.97</v>
      </c>
      <c r="X51" s="297">
        <f>'Reporte Componentes R1'!P833</f>
        <v>7649.02</v>
      </c>
      <c r="Y51" s="289">
        <f>'Reporte Componentes R1'!Q833</f>
        <v>954.31</v>
      </c>
      <c r="Z51" s="319">
        <f>-L51</f>
        <v>0</v>
      </c>
      <c r="AA51" s="320">
        <f>'Reporte Componentes R1'!R833+'Reporte Componentes R1'!V833+'Reporte Componentes R1'!U833</f>
        <v>-4.74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-179.15</v>
      </c>
      <c r="AE51" s="291">
        <f>'Reporte Componentes R1'!F834</f>
        <v>-179.15</v>
      </c>
      <c r="AF51" s="322">
        <f t="shared" si="18"/>
        <v>44053.979999999996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376834</v>
      </c>
      <c r="E52" s="290">
        <f t="shared" si="20"/>
        <v>19283.71</v>
      </c>
      <c r="F52" s="290">
        <f t="shared" si="20"/>
        <v>10834.41</v>
      </c>
      <c r="G52" s="290">
        <f t="shared" ref="G52" si="21">SUM(G47:G51)</f>
        <v>5741.01</v>
      </c>
      <c r="H52" s="290">
        <f t="shared" si="20"/>
        <v>95984.9</v>
      </c>
      <c r="I52" s="290">
        <f t="shared" si="20"/>
        <v>3465.9100000000003</v>
      </c>
      <c r="J52" s="290">
        <f t="shared" si="20"/>
        <v>0</v>
      </c>
      <c r="K52" s="300">
        <f t="shared" si="20"/>
        <v>241524.06</v>
      </c>
      <c r="L52" s="301">
        <f t="shared" si="20"/>
        <v>0</v>
      </c>
      <c r="M52" s="302">
        <f t="shared" si="20"/>
        <v>241524.06</v>
      </c>
      <c r="N52" s="301">
        <f t="shared" si="20"/>
        <v>0</v>
      </c>
      <c r="O52" s="302">
        <f t="shared" si="20"/>
        <v>241524.06</v>
      </c>
      <c r="P52" s="329"/>
      <c r="Q52" s="306"/>
      <c r="S52" s="327"/>
      <c r="T52" s="328" t="s">
        <v>2</v>
      </c>
      <c r="U52" s="330">
        <f>SUM(U47:U51)</f>
        <v>30402.79</v>
      </c>
      <c r="V52" s="330">
        <f t="shared" ref="V52:AG52" si="22">SUM(V47:V51)</f>
        <v>30942.410000000003</v>
      </c>
      <c r="W52" s="330">
        <f t="shared" si="22"/>
        <v>154485.63</v>
      </c>
      <c r="X52" s="330">
        <f t="shared" si="22"/>
        <v>51781.5</v>
      </c>
      <c r="Y52" s="330">
        <f t="shared" si="22"/>
        <v>5654.93</v>
      </c>
      <c r="Z52" s="290">
        <f t="shared" si="22"/>
        <v>0</v>
      </c>
      <c r="AA52" s="290">
        <f t="shared" si="22"/>
        <v>-0.29000000000000004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-31742.91</v>
      </c>
      <c r="AE52" s="290">
        <f>SUM(AE47:AE51)</f>
        <v>-31742.91</v>
      </c>
      <c r="AF52" s="331">
        <f t="shared" si="22"/>
        <v>241524.06</v>
      </c>
      <c r="AG52" s="332">
        <f t="shared" si="22"/>
        <v>3.637978807091713E-12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273267.26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-83310</v>
      </c>
      <c r="E66" s="292">
        <f>'Reversion Pagos R4'!E91</f>
        <v>-4330.66</v>
      </c>
      <c r="F66" s="292">
        <f>'Reversion Pagos R4'!F91</f>
        <v>-2446.12</v>
      </c>
      <c r="G66" s="292">
        <f>'Reversion Pagos R4'!G91</f>
        <v>-1287.9000000000001</v>
      </c>
      <c r="H66" s="292">
        <f>'Reversion Pagos R4'!H91</f>
        <v>-21438.639999999999</v>
      </c>
      <c r="I66" s="292">
        <f>'Reversion Pagos R4'!I91</f>
        <v>-496.97</v>
      </c>
      <c r="J66" s="288">
        <v>0</v>
      </c>
      <c r="K66" s="293">
        <f>D66-E66-F66-G66-H66-I66-J66</f>
        <v>-53309.710000000006</v>
      </c>
      <c r="L66" s="294">
        <v>0</v>
      </c>
      <c r="M66" s="293">
        <f>K66-L66</f>
        <v>-53309.710000000006</v>
      </c>
      <c r="N66" s="294">
        <f>'Reversion Pagos R4'!P91</f>
        <v>0</v>
      </c>
      <c r="O66" s="293">
        <f>M66+N66</f>
        <v>-53309.710000000006</v>
      </c>
      <c r="Q66" s="306"/>
      <c r="S66" s="303">
        <v>1</v>
      </c>
      <c r="T66" s="304" t="s">
        <v>10</v>
      </c>
      <c r="U66" s="307">
        <f>'Reversion Pagos R4'!J91</f>
        <v>-4359.4799999999996</v>
      </c>
      <c r="V66" s="308">
        <f>'Reversion Pagos R4'!K91</f>
        <v>-6455.29</v>
      </c>
      <c r="W66" s="308">
        <f>'Reversion Pagos R4'!L91</f>
        <v>-29807.25</v>
      </c>
      <c r="X66" s="308">
        <f>'Reversion Pagos R4'!M91</f>
        <v>-11869.76</v>
      </c>
      <c r="Y66" s="308">
        <f>'Reversion Pagos R4'!N91</f>
        <v>-810.84</v>
      </c>
      <c r="Z66" s="310">
        <f>-L66</f>
        <v>0</v>
      </c>
      <c r="AA66" s="320">
        <f>'Reversion Pagos R4'!O91</f>
        <v>-7.09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-53309.71</v>
      </c>
      <c r="AG66" s="311">
        <f>(AF66-O66)</f>
        <v>7.2759576141834259E-12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-34410</v>
      </c>
      <c r="E68" s="292">
        <f>'Reversion Pagos R4'!E229</f>
        <v>-1930.6</v>
      </c>
      <c r="F68" s="292">
        <f>'Reversion Pagos R4'!F229</f>
        <v>-1090.02</v>
      </c>
      <c r="G68" s="292">
        <f>'Reversion Pagos R4'!G229</f>
        <v>-572.11</v>
      </c>
      <c r="H68" s="292">
        <f>'Reversion Pagos R4'!H229</f>
        <v>-10651</v>
      </c>
      <c r="I68" s="292">
        <f>'Reversion Pagos R4'!I229</f>
        <v>-255.08</v>
      </c>
      <c r="J68" s="288">
        <v>0</v>
      </c>
      <c r="K68" s="295">
        <f t="shared" si="24"/>
        <v>-19911.189999999999</v>
      </c>
      <c r="L68" s="294">
        <v>0</v>
      </c>
      <c r="M68" s="295">
        <f>K68-L68</f>
        <v>-19911.189999999999</v>
      </c>
      <c r="N68" s="294">
        <f>'Reversion Pagos R4'!P229</f>
        <v>0</v>
      </c>
      <c r="O68" s="295">
        <f t="shared" si="25"/>
        <v>-19911.189999999999</v>
      </c>
      <c r="Q68" s="306"/>
      <c r="S68" s="314">
        <v>3</v>
      </c>
      <c r="T68" s="315" t="s">
        <v>12</v>
      </c>
      <c r="U68" s="316">
        <f>'Reversion Pagos R4'!J229</f>
        <v>-2237.5300000000002</v>
      </c>
      <c r="V68" s="317">
        <f>'Reversion Pagos R4'!K229</f>
        <v>-3286.56</v>
      </c>
      <c r="W68" s="317">
        <f>'Reversion Pagos R4'!L229</f>
        <v>-15556.53</v>
      </c>
      <c r="X68" s="317">
        <f>'Reversion Pagos R4'!M229</f>
        <v>-4485.76</v>
      </c>
      <c r="Y68" s="318">
        <f>'Reversion Pagos R4'!N229</f>
        <v>-416.18</v>
      </c>
      <c r="Z68" s="319">
        <f t="shared" si="26"/>
        <v>0</v>
      </c>
      <c r="AA68" s="320">
        <f>'Reversion Pagos R4'!O229</f>
        <v>-0.83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6072.2</v>
      </c>
      <c r="AE68" s="291">
        <f>'Reversion Pagos R4'!D230</f>
        <v>6072.2</v>
      </c>
      <c r="AF68" s="322">
        <f t="shared" ref="AF68:AF70" si="30">SUM(U68:AD68)</f>
        <v>-19911.190000000006</v>
      </c>
      <c r="AG68" s="323">
        <f t="shared" ref="AG68:AG70" si="31">(AF68-O68)</f>
        <v>-7.2759576141834259E-12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-1742535</v>
      </c>
      <c r="E69" s="292">
        <f>'Reversion Pagos R4'!E344</f>
        <v>-156195.82</v>
      </c>
      <c r="F69" s="292">
        <f>'Reversion Pagos R4'!F344</f>
        <v>-46492.57</v>
      </c>
      <c r="G69" s="292">
        <f>'Reversion Pagos R4'!G344</f>
        <v>-16807.330000000002</v>
      </c>
      <c r="H69" s="292">
        <f>'Reversion Pagos R4'!H344</f>
        <v>-366979.1</v>
      </c>
      <c r="I69" s="292">
        <f>'Reversion Pagos R4'!I344</f>
        <v>-15381.83</v>
      </c>
      <c r="J69" s="288">
        <v>0</v>
      </c>
      <c r="K69" s="295">
        <f t="shared" si="24"/>
        <v>-1140678.3499999996</v>
      </c>
      <c r="L69" s="294">
        <v>0</v>
      </c>
      <c r="M69" s="295">
        <f>K69-L69</f>
        <v>-1140678.3499999996</v>
      </c>
      <c r="N69" s="294">
        <f>'Reversion Pagos R4'!P344</f>
        <v>0</v>
      </c>
      <c r="O69" s="295">
        <f t="shared" si="25"/>
        <v>-1140678.3499999996</v>
      </c>
      <c r="Q69" s="306"/>
      <c r="S69" s="314">
        <v>4</v>
      </c>
      <c r="T69" s="315" t="s">
        <v>13</v>
      </c>
      <c r="U69" s="316">
        <f>'Reversion Pagos R4'!J344</f>
        <v>-134928.44</v>
      </c>
      <c r="V69" s="317">
        <f>'Reversion Pagos R4'!K344</f>
        <v>-128688.98</v>
      </c>
      <c r="W69" s="317">
        <f>'Reversion Pagos R4'!L344</f>
        <v>-539270.97</v>
      </c>
      <c r="X69" s="317">
        <f>'Reversion Pagos R4'!M344</f>
        <v>-520590.59</v>
      </c>
      <c r="Y69" s="318">
        <f>'Reversion Pagos R4'!N344</f>
        <v>-24235.87</v>
      </c>
      <c r="Z69" s="319">
        <f t="shared" si="26"/>
        <v>0</v>
      </c>
      <c r="AA69" s="320">
        <f>'Reversion Pagos R4'!O344</f>
        <v>22.51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207013.99</v>
      </c>
      <c r="AE69" s="291">
        <f>'Reversion Pagos R4'!D345</f>
        <v>207013.99</v>
      </c>
      <c r="AF69" s="322">
        <f>SUM(U69:AD69)</f>
        <v>-1140678.3500000001</v>
      </c>
      <c r="AG69" s="323">
        <f>(AF69-O69)</f>
        <v>-4.6566128730773926E-10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-304780</v>
      </c>
      <c r="E70" s="297">
        <f>'Reversion Pagos R4'!E385</f>
        <v>-18716.810000000001</v>
      </c>
      <c r="F70" s="297">
        <f>'Reversion Pagos R4'!F385</f>
        <v>-9165.5300000000007</v>
      </c>
      <c r="G70" s="297">
        <f>'Reversion Pagos R4'!G385</f>
        <v>-5137.58</v>
      </c>
      <c r="H70" s="297">
        <f>'Reversion Pagos R4'!H385</f>
        <v>-68957.17</v>
      </c>
      <c r="I70" s="297">
        <f>'Reversion Pagos R4'!I385</f>
        <v>-2080.7399999999998</v>
      </c>
      <c r="J70" s="289">
        <v>0</v>
      </c>
      <c r="K70" s="295">
        <f t="shared" si="24"/>
        <v>-200722.16999999998</v>
      </c>
      <c r="L70" s="294">
        <v>0</v>
      </c>
      <c r="M70" s="298">
        <f>K70-L70</f>
        <v>-200722.16999999998</v>
      </c>
      <c r="N70" s="294">
        <f>'Reversion Pagos R4'!P385</f>
        <v>0</v>
      </c>
      <c r="O70" s="298">
        <f t="shared" si="25"/>
        <v>-200722.16999999998</v>
      </c>
      <c r="Q70" s="306"/>
      <c r="S70" s="324">
        <v>5</v>
      </c>
      <c r="T70" s="325" t="s">
        <v>14</v>
      </c>
      <c r="U70" s="296">
        <f>'Reversion Pagos R4'!J385</f>
        <v>-18251.55</v>
      </c>
      <c r="V70" s="297">
        <f>'Reversion Pagos R4'!K385</f>
        <v>-23075.91</v>
      </c>
      <c r="W70" s="297">
        <f>'Reversion Pagos R4'!L385</f>
        <v>-115395.33</v>
      </c>
      <c r="X70" s="297">
        <f>'Reversion Pagos R4'!M385</f>
        <v>-55875.63</v>
      </c>
      <c r="Y70" s="289">
        <f>'Reversion Pagos R4'!N385</f>
        <v>-3394.81</v>
      </c>
      <c r="Z70" s="319">
        <f t="shared" si="26"/>
        <v>0</v>
      </c>
      <c r="AA70" s="320">
        <f>'Reversion Pagos R4'!O385</f>
        <v>-3.39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15274.45</v>
      </c>
      <c r="AE70" s="291">
        <f>'Reversion Pagos R4'!D386</f>
        <v>15274.45</v>
      </c>
      <c r="AF70" s="322">
        <f t="shared" si="30"/>
        <v>-200722.17</v>
      </c>
      <c r="AG70" s="326">
        <f t="shared" si="31"/>
        <v>-2.9103830456733704E-11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-2165035</v>
      </c>
      <c r="E71" s="290">
        <f t="shared" si="32"/>
        <v>-181173.89</v>
      </c>
      <c r="F71" s="290">
        <f t="shared" si="32"/>
        <v>-59194.239999999998</v>
      </c>
      <c r="G71" s="290">
        <f t="shared" si="32"/>
        <v>-23804.920000000006</v>
      </c>
      <c r="H71" s="290">
        <f t="shared" si="32"/>
        <v>-468025.91</v>
      </c>
      <c r="I71" s="290">
        <f t="shared" si="32"/>
        <v>-18214.62</v>
      </c>
      <c r="J71" s="290">
        <f t="shared" si="32"/>
        <v>0</v>
      </c>
      <c r="K71" s="300">
        <f t="shared" si="32"/>
        <v>-1414621.4199999995</v>
      </c>
      <c r="L71" s="301">
        <f t="shared" si="32"/>
        <v>0</v>
      </c>
      <c r="M71" s="302">
        <f t="shared" si="32"/>
        <v>-1414621.4199999995</v>
      </c>
      <c r="N71" s="301">
        <f t="shared" si="32"/>
        <v>0</v>
      </c>
      <c r="O71" s="302">
        <f t="shared" si="32"/>
        <v>-1414621.4199999995</v>
      </c>
      <c r="P71" s="329"/>
      <c r="Q71" s="306"/>
      <c r="S71" s="327"/>
      <c r="T71" s="328" t="s">
        <v>2</v>
      </c>
      <c r="U71" s="330">
        <f>SUM(U66:U70)</f>
        <v>-159777</v>
      </c>
      <c r="V71" s="330">
        <f t="shared" ref="V71:AG71" si="33">SUM(V66:V70)</f>
        <v>-161506.74</v>
      </c>
      <c r="W71" s="330">
        <f t="shared" si="33"/>
        <v>-700030.08</v>
      </c>
      <c r="X71" s="330">
        <f t="shared" si="33"/>
        <v>-592821.74</v>
      </c>
      <c r="Y71" s="330">
        <f t="shared" si="33"/>
        <v>-28857.7</v>
      </c>
      <c r="Z71" s="290">
        <f t="shared" si="33"/>
        <v>0</v>
      </c>
      <c r="AA71" s="290">
        <f>SUM(AA66:AA70)</f>
        <v>11.200000000000001</v>
      </c>
      <c r="AB71" s="290">
        <f t="shared" si="33"/>
        <v>0</v>
      </c>
      <c r="AC71" s="290">
        <f t="shared" si="33"/>
        <v>0</v>
      </c>
      <c r="AD71" s="290">
        <f>SUM(AD66:AD70)</f>
        <v>228360.64</v>
      </c>
      <c r="AE71" s="290">
        <f>SUM(AE66:AE70)</f>
        <v>228360.64</v>
      </c>
      <c r="AF71" s="331">
        <f t="shared" si="33"/>
        <v>-1414621.42</v>
      </c>
      <c r="AG71" s="332">
        <f t="shared" si="33"/>
        <v>-4.9476511776447296E-10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-1642993.26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529346785.86999995</v>
      </c>
      <c r="E104" s="292">
        <f t="shared" si="40"/>
        <v>51298254.530000001</v>
      </c>
      <c r="F104" s="292">
        <f t="shared" si="40"/>
        <v>28055587.659999996</v>
      </c>
      <c r="G104" s="292">
        <f t="shared" si="40"/>
        <v>14654654.08</v>
      </c>
      <c r="H104" s="292">
        <f t="shared" si="40"/>
        <v>43265719.109999999</v>
      </c>
      <c r="I104" s="292">
        <f t="shared" si="40"/>
        <v>1545047.4800000002</v>
      </c>
      <c r="J104" s="288">
        <f t="shared" si="40"/>
        <v>0</v>
      </c>
      <c r="K104" s="293">
        <f>D104-E104-F104-G104-H104-I104-J104</f>
        <v>390527523.00999993</v>
      </c>
      <c r="L104" s="294">
        <f>L9+L28+L47+L66+L85</f>
        <v>0</v>
      </c>
      <c r="M104" s="293">
        <f>K104-L104</f>
        <v>390527523.00999993</v>
      </c>
      <c r="N104" s="294">
        <f>N9+N28+N47+N66+N85</f>
        <v>1790178.35</v>
      </c>
      <c r="O104" s="293">
        <f>M104+N104</f>
        <v>392317701.35999995</v>
      </c>
      <c r="Q104" s="306"/>
      <c r="S104" s="303">
        <v>1</v>
      </c>
      <c r="T104" s="304" t="s">
        <v>10</v>
      </c>
      <c r="U104" s="307">
        <f t="shared" ref="U104:AB108" si="41">U9+U28+U47+U66+U85</f>
        <v>13575454.23</v>
      </c>
      <c r="V104" s="308">
        <f t="shared" si="41"/>
        <v>15556217.539999999</v>
      </c>
      <c r="W104" s="308">
        <f t="shared" si="41"/>
        <v>71944209.409999996</v>
      </c>
      <c r="X104" s="308">
        <f t="shared" si="41"/>
        <v>140738668.47</v>
      </c>
      <c r="Y104" s="309">
        <f t="shared" si="41"/>
        <v>2521984.29</v>
      </c>
      <c r="Z104" s="310">
        <f t="shared" si="41"/>
        <v>0</v>
      </c>
      <c r="AA104" s="311">
        <f t="shared" si="41"/>
        <v>-684.57</v>
      </c>
      <c r="AB104" s="294">
        <f t="shared" si="41"/>
        <v>1790178.35</v>
      </c>
      <c r="AC104" s="312">
        <f t="shared" ref="AC104" si="42">AC9+AC28+AC47+AC66+AC85</f>
        <v>355.46999999999997</v>
      </c>
      <c r="AD104" s="291">
        <f>-J104+AE104</f>
        <v>146191318.16999999</v>
      </c>
      <c r="AE104" s="291">
        <f>AE9+AE28+AE47+AE66+AE85</f>
        <v>146191318.16999999</v>
      </c>
      <c r="AF104" s="313">
        <f>SUM(U104:AD104)</f>
        <v>392317701.35999995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1368778408.3199999</v>
      </c>
      <c r="E105" s="292">
        <f t="shared" si="40"/>
        <v>161817404.75999999</v>
      </c>
      <c r="F105" s="292">
        <f t="shared" si="40"/>
        <v>87382022.550000012</v>
      </c>
      <c r="G105" s="292">
        <f t="shared" si="40"/>
        <v>46682153.180000007</v>
      </c>
      <c r="H105" s="292">
        <f t="shared" si="40"/>
        <v>155463450.62</v>
      </c>
      <c r="I105" s="292">
        <f t="shared" si="40"/>
        <v>4138992.8000000003</v>
      </c>
      <c r="J105" s="288">
        <f t="shared" si="40"/>
        <v>0</v>
      </c>
      <c r="K105" s="295">
        <f t="shared" ref="K105:K108" si="43">D105-E105-F105-G105-H105-I105-J105</f>
        <v>913294384.40999997</v>
      </c>
      <c r="L105" s="294">
        <f>L10+L29+L48+L67+L86</f>
        <v>0</v>
      </c>
      <c r="M105" s="295">
        <f>K105-L105</f>
        <v>913294384.40999997</v>
      </c>
      <c r="N105" s="294">
        <f>N10+N29+N48+N67+N86</f>
        <v>30632060.390000001</v>
      </c>
      <c r="O105" s="295">
        <f t="shared" ref="O105:O108" si="44">M105+N105</f>
        <v>943926444.79999995</v>
      </c>
      <c r="Q105" s="306"/>
      <c r="S105" s="314">
        <v>2</v>
      </c>
      <c r="T105" s="315" t="s">
        <v>11</v>
      </c>
      <c r="U105" s="316">
        <f t="shared" si="41"/>
        <v>36551172.249999993</v>
      </c>
      <c r="V105" s="317">
        <f t="shared" si="41"/>
        <v>48796689.75</v>
      </c>
      <c r="W105" s="317">
        <f t="shared" si="41"/>
        <v>230677760.11000001</v>
      </c>
      <c r="X105" s="317">
        <f t="shared" si="41"/>
        <v>322699004.48000002</v>
      </c>
      <c r="Y105" s="318">
        <f t="shared" si="41"/>
        <v>6759345.5100000007</v>
      </c>
      <c r="Z105" s="319">
        <f t="shared" si="41"/>
        <v>0</v>
      </c>
      <c r="AA105" s="320">
        <f t="shared" si="41"/>
        <v>-796.93</v>
      </c>
      <c r="AB105" s="294">
        <f t="shared" si="41"/>
        <v>30632060.390000001</v>
      </c>
      <c r="AC105" s="321">
        <f t="shared" ref="AC105" si="45">AC10+AC29+AC48+AC67+AC86</f>
        <v>-56774.32</v>
      </c>
      <c r="AD105" s="291">
        <f t="shared" ref="AD105:AD107" si="46">-J105+AE105</f>
        <v>267867983.56</v>
      </c>
      <c r="AE105" s="291">
        <f>AE10+AE29+AE48+AE67+AE86</f>
        <v>267867983.56</v>
      </c>
      <c r="AF105" s="322">
        <f>SUM(U105:AD105)</f>
        <v>943926444.79999995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685739592.90999997</v>
      </c>
      <c r="E106" s="292">
        <f t="shared" si="40"/>
        <v>81414325.700000018</v>
      </c>
      <c r="F106" s="292">
        <f t="shared" si="40"/>
        <v>45416247.109999999</v>
      </c>
      <c r="G106" s="292">
        <f t="shared" si="40"/>
        <v>24017931.650000002</v>
      </c>
      <c r="H106" s="292">
        <f t="shared" si="40"/>
        <v>28136048.619999997</v>
      </c>
      <c r="I106" s="292">
        <f t="shared" si="40"/>
        <v>875883.35</v>
      </c>
      <c r="J106" s="288">
        <f t="shared" si="40"/>
        <v>0</v>
      </c>
      <c r="K106" s="295">
        <f t="shared" si="43"/>
        <v>505879156.4799999</v>
      </c>
      <c r="L106" s="294">
        <f>L11+L30+L49+L68+L87</f>
        <v>0</v>
      </c>
      <c r="M106" s="295">
        <f>K106-L106</f>
        <v>505879156.4799999</v>
      </c>
      <c r="N106" s="294">
        <f>N11+N30+N49+N68+N87</f>
        <v>12116788.82</v>
      </c>
      <c r="O106" s="295">
        <f t="shared" si="44"/>
        <v>517995945.29999989</v>
      </c>
      <c r="Q106" s="306"/>
      <c r="S106" s="314">
        <v>3</v>
      </c>
      <c r="T106" s="315" t="s">
        <v>12</v>
      </c>
      <c r="U106" s="316">
        <f t="shared" si="41"/>
        <v>7653434.1099999994</v>
      </c>
      <c r="V106" s="317">
        <f t="shared" si="41"/>
        <v>10151348.43</v>
      </c>
      <c r="W106" s="317">
        <f t="shared" si="41"/>
        <v>47441096.369999997</v>
      </c>
      <c r="X106" s="317">
        <f t="shared" si="41"/>
        <v>192438955.67000002</v>
      </c>
      <c r="Y106" s="318">
        <f t="shared" si="41"/>
        <v>1431584.25</v>
      </c>
      <c r="Z106" s="319">
        <f t="shared" si="41"/>
        <v>0</v>
      </c>
      <c r="AA106" s="320">
        <f t="shared" si="41"/>
        <v>-2424.23</v>
      </c>
      <c r="AB106" s="294">
        <f t="shared" si="41"/>
        <v>12116788.82</v>
      </c>
      <c r="AC106" s="321">
        <f t="shared" ref="AC106" si="48">AC11+AC30+AC49+AC68+AC87</f>
        <v>4.5</v>
      </c>
      <c r="AD106" s="291">
        <f t="shared" si="46"/>
        <v>246765157.47999999</v>
      </c>
      <c r="AE106" s="291">
        <f>AE11+AE30+AE49+AE68+AE87</f>
        <v>246765157.47999999</v>
      </c>
      <c r="AF106" s="322">
        <f>SUM(U106:AD106)</f>
        <v>517995945.39999998</v>
      </c>
      <c r="AG106" s="323">
        <f>AF106-O106</f>
        <v>0.10000008344650269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510759521.29999995</v>
      </c>
      <c r="E107" s="292">
        <f t="shared" si="40"/>
        <v>38473020.93</v>
      </c>
      <c r="F107" s="292">
        <f t="shared" si="40"/>
        <v>20743610.040000003</v>
      </c>
      <c r="G107" s="292">
        <f t="shared" si="40"/>
        <v>10574046.58</v>
      </c>
      <c r="H107" s="292">
        <f t="shared" si="40"/>
        <v>80664881.580000013</v>
      </c>
      <c r="I107" s="292">
        <f t="shared" si="40"/>
        <v>2386199.7399999998</v>
      </c>
      <c r="J107" s="288">
        <f t="shared" si="40"/>
        <v>0</v>
      </c>
      <c r="K107" s="295">
        <f t="shared" si="43"/>
        <v>357917762.42999995</v>
      </c>
      <c r="L107" s="294">
        <f>L12+L31+L50+L69+L88</f>
        <v>0</v>
      </c>
      <c r="M107" s="295">
        <f>K107-L107</f>
        <v>357917762.42999995</v>
      </c>
      <c r="N107" s="294">
        <f>N12+N31+N50+N69+N88</f>
        <v>3323424.79</v>
      </c>
      <c r="O107" s="295">
        <f t="shared" si="44"/>
        <v>361241187.21999997</v>
      </c>
      <c r="Q107" s="306"/>
      <c r="S107" s="314">
        <v>4</v>
      </c>
      <c r="T107" s="315" t="s">
        <v>13</v>
      </c>
      <c r="U107" s="316">
        <f t="shared" si="41"/>
        <v>21206823.500000004</v>
      </c>
      <c r="V107" s="317">
        <f t="shared" si="41"/>
        <v>27971326.68</v>
      </c>
      <c r="W107" s="317">
        <f t="shared" si="41"/>
        <v>137987648.21000001</v>
      </c>
      <c r="X107" s="317">
        <f t="shared" si="41"/>
        <v>101802660.04000001</v>
      </c>
      <c r="Y107" s="318">
        <f t="shared" si="41"/>
        <v>3894811.7</v>
      </c>
      <c r="Z107" s="319">
        <f t="shared" si="41"/>
        <v>0</v>
      </c>
      <c r="AA107" s="320">
        <f t="shared" si="41"/>
        <v>-179.92000000000002</v>
      </c>
      <c r="AB107" s="294">
        <f t="shared" si="41"/>
        <v>3323424.79</v>
      </c>
      <c r="AC107" s="321">
        <f t="shared" ref="AC107" si="49">AC12+AC31+AC50+AC69+AC88</f>
        <v>149.12</v>
      </c>
      <c r="AD107" s="291">
        <f t="shared" si="46"/>
        <v>65054523.100000001</v>
      </c>
      <c r="AE107" s="291">
        <f>AE12+AE31+AE50+AE69+AE88</f>
        <v>65054523.100000001</v>
      </c>
      <c r="AF107" s="322">
        <f>SUM(U107:AD107)</f>
        <v>361241187.22000003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209328694.96000001</v>
      </c>
      <c r="E108" s="297">
        <f t="shared" si="40"/>
        <v>17105867.57</v>
      </c>
      <c r="F108" s="297">
        <f t="shared" si="40"/>
        <v>9316791.2700000014</v>
      </c>
      <c r="G108" s="297">
        <f t="shared" si="40"/>
        <v>4903133.1099999994</v>
      </c>
      <c r="H108" s="297">
        <f t="shared" si="40"/>
        <v>19931186.84</v>
      </c>
      <c r="I108" s="297">
        <f t="shared" si="40"/>
        <v>883215.41</v>
      </c>
      <c r="J108" s="289">
        <f t="shared" si="40"/>
        <v>0</v>
      </c>
      <c r="K108" s="295">
        <f t="shared" si="43"/>
        <v>157188500.75999999</v>
      </c>
      <c r="L108" s="294">
        <f>L13+L32+L51+L70+L89</f>
        <v>0</v>
      </c>
      <c r="M108" s="298">
        <f>K108-L108</f>
        <v>157188500.75999999</v>
      </c>
      <c r="N108" s="299">
        <f>N13+N32+N51+N70+N89</f>
        <v>26713576.390000001</v>
      </c>
      <c r="O108" s="298">
        <f t="shared" si="44"/>
        <v>183902077.14999998</v>
      </c>
      <c r="Q108" s="306"/>
      <c r="S108" s="324">
        <v>5</v>
      </c>
      <c r="T108" s="325" t="s">
        <v>14</v>
      </c>
      <c r="U108" s="296">
        <f t="shared" si="41"/>
        <v>7765771.8300000001</v>
      </c>
      <c r="V108" s="297">
        <f t="shared" si="41"/>
        <v>8977227.4300000016</v>
      </c>
      <c r="W108" s="297">
        <f t="shared" si="41"/>
        <v>46179444.490000002</v>
      </c>
      <c r="X108" s="297">
        <f t="shared" si="41"/>
        <v>51038444.630000003</v>
      </c>
      <c r="Y108" s="289">
        <f t="shared" si="41"/>
        <v>1459568.1</v>
      </c>
      <c r="Z108" s="319">
        <f t="shared" si="41"/>
        <v>0</v>
      </c>
      <c r="AA108" s="320">
        <f t="shared" si="41"/>
        <v>-2146.39</v>
      </c>
      <c r="AB108" s="294">
        <f t="shared" si="41"/>
        <v>26713576.390000001</v>
      </c>
      <c r="AC108" s="321">
        <f t="shared" ref="AC108" si="50">AC13+AC32+AC51+AC70+AC89</f>
        <v>-68.589999999999989</v>
      </c>
      <c r="AD108" s="291">
        <f>-J108+AE108</f>
        <v>41770259.260000005</v>
      </c>
      <c r="AE108" s="291">
        <f>AE13+AE32+AE51+AE70+AE89</f>
        <v>41770259.260000005</v>
      </c>
      <c r="AF108" s="322">
        <f>SUM(U108:AD108)</f>
        <v>183902077.14999998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3303953003.3599997</v>
      </c>
      <c r="E109" s="290">
        <f t="shared" ref="E109:O109" si="51">SUM(E104:E108)</f>
        <v>350108873.49000001</v>
      </c>
      <c r="F109" s="290">
        <f t="shared" si="51"/>
        <v>190914258.63</v>
      </c>
      <c r="G109" s="290">
        <f t="shared" si="51"/>
        <v>100831918.60000001</v>
      </c>
      <c r="H109" s="290">
        <f t="shared" si="51"/>
        <v>327461286.77000004</v>
      </c>
      <c r="I109" s="290">
        <f t="shared" si="51"/>
        <v>9829338.7799999993</v>
      </c>
      <c r="J109" s="290">
        <f t="shared" si="51"/>
        <v>0</v>
      </c>
      <c r="K109" s="300">
        <f t="shared" si="51"/>
        <v>2324807327.0899992</v>
      </c>
      <c r="L109" s="301">
        <f t="shared" si="51"/>
        <v>0</v>
      </c>
      <c r="M109" s="302">
        <f t="shared" si="51"/>
        <v>2324807327.0899992</v>
      </c>
      <c r="N109" s="301">
        <f>SUM(N104:N108)</f>
        <v>74576028.74000001</v>
      </c>
      <c r="O109" s="302">
        <f t="shared" si="51"/>
        <v>2399383355.8299999</v>
      </c>
      <c r="P109" s="329"/>
      <c r="Q109" s="306"/>
      <c r="S109" s="327"/>
      <c r="T109" s="328" t="s">
        <v>2</v>
      </c>
      <c r="U109" s="330">
        <f>SUM(U104:U108)</f>
        <v>86752655.919999987</v>
      </c>
      <c r="V109" s="330">
        <f t="shared" ref="V109:AF109" si="52">SUM(V104:V108)</f>
        <v>111452809.83000001</v>
      </c>
      <c r="W109" s="330">
        <f t="shared" si="52"/>
        <v>534230158.59000003</v>
      </c>
      <c r="X109" s="330">
        <f t="shared" si="52"/>
        <v>808717733.29000008</v>
      </c>
      <c r="Y109" s="330">
        <f t="shared" si="52"/>
        <v>16067293.85</v>
      </c>
      <c r="Z109" s="290">
        <f t="shared" si="52"/>
        <v>0</v>
      </c>
      <c r="AA109" s="290">
        <f t="shared" si="52"/>
        <v>-6232.04</v>
      </c>
      <c r="AB109" s="470">
        <f t="shared" si="52"/>
        <v>74576028.74000001</v>
      </c>
      <c r="AC109" s="290">
        <f t="shared" ref="AC109" si="53">SUM(AC104:AC108)</f>
        <v>-56333.819999999992</v>
      </c>
      <c r="AD109" s="290">
        <f t="shared" si="52"/>
        <v>767649241.57000005</v>
      </c>
      <c r="AE109" s="290">
        <f>SUM(AE104:AE108)</f>
        <v>767649241.57000005</v>
      </c>
      <c r="AF109" s="331">
        <f t="shared" si="52"/>
        <v>2399383355.9299998</v>
      </c>
      <c r="AG109" s="332">
        <f>SUM(AG104:AG108)</f>
        <v>0.10000008344650269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1557220651.48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7990275.4900000002</v>
      </c>
      <c r="E125" s="309">
        <v>0</v>
      </c>
      <c r="G125" s="336">
        <f>D47+N47</f>
        <v>42680</v>
      </c>
      <c r="H125" s="310">
        <f>D28+N28</f>
        <v>4590431.71</v>
      </c>
      <c r="I125" s="309">
        <f>D85+N85</f>
        <v>0</v>
      </c>
      <c r="J125" s="309">
        <f>D66+N66</f>
        <v>-83310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52788864.75</v>
      </c>
      <c r="E126" s="288">
        <v>0</v>
      </c>
      <c r="G126" s="339">
        <f>D48+N48</f>
        <v>0</v>
      </c>
      <c r="H126" s="340">
        <f>D29+N29</f>
        <v>29249470.460000001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2921040</v>
      </c>
      <c r="E127" s="288">
        <v>0</v>
      </c>
      <c r="G127" s="339">
        <f>D49+N49</f>
        <v>33180</v>
      </c>
      <c r="H127" s="340">
        <f>D30+N30</f>
        <v>1755754.73</v>
      </c>
      <c r="I127" s="288">
        <f>D87+N87</f>
        <v>0</v>
      </c>
      <c r="J127" s="288">
        <f t="shared" si="54"/>
        <v>-34410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8186683.7199999997</v>
      </c>
      <c r="E128" s="288">
        <v>0</v>
      </c>
      <c r="G128" s="339">
        <f>D50+N50</f>
        <v>239834</v>
      </c>
      <c r="H128" s="340">
        <f>D31+N31</f>
        <v>3170678.8099999996</v>
      </c>
      <c r="I128" s="288">
        <f>D88+N88</f>
        <v>0</v>
      </c>
      <c r="J128" s="288">
        <f t="shared" si="54"/>
        <v>-1742535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3307034</v>
      </c>
      <c r="E129" s="344">
        <v>0</v>
      </c>
      <c r="G129" s="339">
        <f>D51+N51</f>
        <v>61140</v>
      </c>
      <c r="H129" s="340">
        <f>D32+N32</f>
        <v>1031259.35</v>
      </c>
      <c r="I129" s="288">
        <f>D89+N89</f>
        <v>0</v>
      </c>
      <c r="J129" s="288">
        <f t="shared" si="54"/>
        <v>-304780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75193897.960000008</v>
      </c>
      <c r="E131" s="350">
        <f>SUM(E125:E130)</f>
        <v>0</v>
      </c>
      <c r="F131" s="351"/>
      <c r="G131" s="350">
        <f t="shared" ref="G131" si="55">SUM(G125:G129)</f>
        <v>376834</v>
      </c>
      <c r="H131" s="350">
        <f>SUM(H125:H130)</f>
        <v>39797595.060000002</v>
      </c>
      <c r="I131" s="350">
        <f>SUM(I125:I130)</f>
        <v>0</v>
      </c>
      <c r="J131" s="350">
        <f>SUM(J125:J130)</f>
        <v>-2165035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539127239.70999992</v>
      </c>
      <c r="E142" s="110">
        <f>'Recaudo Directa Occidente'!F21</f>
        <v>0</v>
      </c>
      <c r="F142" s="110">
        <f>D28+N28</f>
        <v>4590431.71</v>
      </c>
      <c r="G142" s="110">
        <f>D66+N66</f>
        <v>-83310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42680</v>
      </c>
      <c r="K142" s="111">
        <f t="shared" si="56"/>
        <v>4590431.71</v>
      </c>
      <c r="L142" s="525">
        <f>D142-E142-F142-G142-J142-H142-I142</f>
        <v>534577437.99999994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1452199333.46</v>
      </c>
      <c r="E143" s="18">
        <f>'Recaudo Directa Occidente'!F22</f>
        <v>0</v>
      </c>
      <c r="F143" s="18">
        <f>D29+N29</f>
        <v>29249470.460000001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29249470.460000001</v>
      </c>
      <c r="L143" s="525">
        <f>D143-E143-F143-G143-J143-H143-I143</f>
        <v>1422949863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700777421.73000002</v>
      </c>
      <c r="E144" s="18">
        <f>'Recaudo Directa Occidente'!F23</f>
        <v>0</v>
      </c>
      <c r="F144" s="18">
        <f>D30+N30</f>
        <v>1755754.73</v>
      </c>
      <c r="G144" s="18">
        <f>D68+N68</f>
        <v>-34410</v>
      </c>
      <c r="H144" s="18">
        <f>D87+N87</f>
        <v>0</v>
      </c>
      <c r="I144" s="18">
        <f>('REPORTE RECAUDO x BANCO'!E77)</f>
        <v>0</v>
      </c>
      <c r="J144" s="18">
        <f t="shared" si="56"/>
        <v>33180</v>
      </c>
      <c r="K144" s="83">
        <f t="shared" si="56"/>
        <v>1755754.73</v>
      </c>
      <c r="L144" s="525">
        <f>D144-E144-F144-G144-J144-H144-I144</f>
        <v>699022897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522269629.81</v>
      </c>
      <c r="E145" s="18">
        <f>'Recaudo Directa Occidente'!F24</f>
        <v>0</v>
      </c>
      <c r="F145" s="18">
        <f>D31+N31</f>
        <v>3170678.8099999996</v>
      </c>
      <c r="G145" s="18">
        <f>D69+N69</f>
        <v>-1742535</v>
      </c>
      <c r="H145" s="18">
        <f>D88+N88</f>
        <v>0</v>
      </c>
      <c r="I145" s="18">
        <f>('REPORTE RECAUDO x BANCO'!E78)</f>
        <v>0</v>
      </c>
      <c r="J145" s="18">
        <f t="shared" si="56"/>
        <v>239834</v>
      </c>
      <c r="K145" s="83">
        <f t="shared" si="56"/>
        <v>3170678.8099999996</v>
      </c>
      <c r="L145" s="525">
        <f>D145-E145-F145-G145-J145-H145-I145</f>
        <v>520601652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239349305.35000002</v>
      </c>
      <c r="E146" s="18">
        <f>'Recaudo Directa Occidente'!F25</f>
        <v>0</v>
      </c>
      <c r="F146" s="134">
        <f>D32+N32</f>
        <v>1031259.35</v>
      </c>
      <c r="G146" s="134">
        <f>D70+N70</f>
        <v>-304780</v>
      </c>
      <c r="H146" s="134">
        <f>D89+N89</f>
        <v>0</v>
      </c>
      <c r="I146" s="134">
        <f>('REPORTE RECAUDO x BANCO'!E79)</f>
        <v>0</v>
      </c>
      <c r="J146" s="134">
        <f t="shared" si="56"/>
        <v>61140</v>
      </c>
      <c r="K146" s="136">
        <f t="shared" si="56"/>
        <v>1031259.35</v>
      </c>
      <c r="L146" s="525">
        <f>D146-E146-F146-G146-J146-H146-I146</f>
        <v>238561686.00000003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3453722930.0599999</v>
      </c>
      <c r="E147" s="47">
        <f>SUM(E142:E146)</f>
        <v>0</v>
      </c>
      <c r="F147" s="47">
        <f t="shared" ref="F147:K147" si="58">SUM(F142:F146)</f>
        <v>39797595.060000002</v>
      </c>
      <c r="G147" s="47">
        <f t="shared" si="58"/>
        <v>-2165035</v>
      </c>
      <c r="H147" s="47">
        <f t="shared" si="58"/>
        <v>0</v>
      </c>
      <c r="I147" s="47">
        <f t="shared" si="58"/>
        <v>0</v>
      </c>
      <c r="J147" s="47">
        <f t="shared" si="58"/>
        <v>376834</v>
      </c>
      <c r="K147" s="47">
        <f t="shared" si="58"/>
        <v>39797595.060000002</v>
      </c>
      <c r="L147" s="525">
        <f>SUM(L142:L146)</f>
        <v>3415713536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534577438</v>
      </c>
      <c r="D3" s="292">
        <f>'REMUNERACION_OCCIDENTE_ Directa'!G125</f>
        <v>42680</v>
      </c>
      <c r="E3" s="292">
        <f>'REMUNERACION_OCCIDENTE_ Directa'!D28+'REMUNERACION_OCCIDENTE_ Directa'!N28</f>
        <v>4590431.71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539210549.71000004</v>
      </c>
      <c r="I3" s="291">
        <f>'REMUNERACION_OCCIDENTE_ Directa'!D104</f>
        <v>529346785.86999995</v>
      </c>
      <c r="J3" s="292">
        <f>'REMUNERACION_OCCIDENTE_ Directa'!N104</f>
        <v>1790178.35</v>
      </c>
      <c r="K3" s="292">
        <f>'REMUNERACION_OCCIDENTE_ Directa'!D125</f>
        <v>7990275.4900000002</v>
      </c>
      <c r="L3" s="353">
        <f>'REMUNERACION_OCCIDENTE_ Directa'!E125</f>
        <v>0</v>
      </c>
      <c r="M3" s="292">
        <f>-'REMUNERACION_OCCIDENTE_ Directa'!D66-'REMUNERACION_OCCIDENTE_ Directa'!N66</f>
        <v>83310</v>
      </c>
      <c r="N3" s="288">
        <f>SUM(I3:M3)</f>
        <v>539210549.70999992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1422949863</v>
      </c>
      <c r="D4" s="292">
        <f>'REMUNERACION_OCCIDENTE_ Directa'!G126</f>
        <v>0</v>
      </c>
      <c r="E4" s="292">
        <f>'REMUNERACION_OCCIDENTE_ Directa'!D29+'REMUNERACION_OCCIDENTE_ Directa'!N29</f>
        <v>29249470.460000001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1452199333.46</v>
      </c>
      <c r="I4" s="291">
        <f>'REMUNERACION_OCCIDENTE_ Directa'!D105</f>
        <v>1368778408.3199999</v>
      </c>
      <c r="J4" s="292">
        <f>'REMUNERACION_OCCIDENTE_ Directa'!N105</f>
        <v>30632060.390000001</v>
      </c>
      <c r="K4" s="292">
        <f>'REMUNERACION_OCCIDENTE_ Directa'!D126</f>
        <v>52788864.75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1452199333.46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699022897</v>
      </c>
      <c r="D5" s="292">
        <f>'REMUNERACION_OCCIDENTE_ Directa'!G127</f>
        <v>33180</v>
      </c>
      <c r="E5" s="292">
        <f>'REMUNERACION_OCCIDENTE_ Directa'!D30+'REMUNERACION_OCCIDENTE_ Directa'!N30</f>
        <v>1755754.73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700811831.73000002</v>
      </c>
      <c r="I5" s="291">
        <f>'REMUNERACION_OCCIDENTE_ Directa'!D106</f>
        <v>685739592.90999997</v>
      </c>
      <c r="J5" s="292">
        <f>'REMUNERACION_OCCIDENTE_ Directa'!N106</f>
        <v>12116788.82</v>
      </c>
      <c r="K5" s="292">
        <f>'REMUNERACION_OCCIDENTE_ Directa'!D127</f>
        <v>2921040</v>
      </c>
      <c r="L5" s="353">
        <f>'REMUNERACION_OCCIDENTE_ Directa'!E127</f>
        <v>0</v>
      </c>
      <c r="M5" s="292">
        <f>-'REMUNERACION_OCCIDENTE_ Directa'!D68-'REMUNERACION_OCCIDENTE_ Directa'!N68</f>
        <v>34410</v>
      </c>
      <c r="N5" s="318">
        <f>SUM(I5:M5)</f>
        <v>700811831.73000002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520601652</v>
      </c>
      <c r="D6" s="292">
        <f>'REMUNERACION_OCCIDENTE_ Directa'!G128</f>
        <v>239834</v>
      </c>
      <c r="E6" s="292">
        <f>'REMUNERACION_OCCIDENTE_ Directa'!D31+'REMUNERACION_OCCIDENTE_ Directa'!N31</f>
        <v>3170678.8099999996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524012164.81</v>
      </c>
      <c r="I6" s="291">
        <f>'REMUNERACION_OCCIDENTE_ Directa'!D107</f>
        <v>510759521.29999995</v>
      </c>
      <c r="J6" s="292">
        <f>'REMUNERACION_OCCIDENTE_ Directa'!N107</f>
        <v>3323424.79</v>
      </c>
      <c r="K6" s="292">
        <f>'REMUNERACION_OCCIDENTE_ Directa'!D128</f>
        <v>8186683.7199999997</v>
      </c>
      <c r="L6" s="353">
        <f>'REMUNERACION_OCCIDENTE_ Directa'!E128</f>
        <v>0</v>
      </c>
      <c r="M6" s="292">
        <f>-'REMUNERACION_OCCIDENTE_ Directa'!D69-'REMUNERACION_OCCIDENTE_ Directa'!N69</f>
        <v>1742535</v>
      </c>
      <c r="N6" s="318">
        <f t="shared" ref="N6:N7" si="3">SUM(I6:M6)</f>
        <v>524012164.81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238561686</v>
      </c>
      <c r="D7" s="292">
        <f>'REMUNERACION_OCCIDENTE_ Directa'!G129</f>
        <v>61140</v>
      </c>
      <c r="E7" s="292">
        <f>'REMUNERACION_OCCIDENTE_ Directa'!D32+'REMUNERACION_OCCIDENTE_ Directa'!N32</f>
        <v>1031259.35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239654085.34999999</v>
      </c>
      <c r="I7" s="291">
        <f>'REMUNERACION_OCCIDENTE_ Directa'!D108</f>
        <v>209328694.96000001</v>
      </c>
      <c r="J7" s="292">
        <f>'REMUNERACION_OCCIDENTE_ Directa'!N108</f>
        <v>26713576.390000001</v>
      </c>
      <c r="K7" s="292">
        <f>'REMUNERACION_OCCIDENTE_ Directa'!D129</f>
        <v>3307034</v>
      </c>
      <c r="L7" s="353">
        <f>'REMUNERACION_OCCIDENTE_ Directa'!E129</f>
        <v>0</v>
      </c>
      <c r="M7" s="292">
        <f>-'REMUNERACION_OCCIDENTE_ Directa'!D70-'REMUNERACION_OCCIDENTE_ Directa'!N70</f>
        <v>304780</v>
      </c>
      <c r="N7" s="318">
        <f t="shared" si="3"/>
        <v>239654085.35000002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3415713536</v>
      </c>
      <c r="D9" s="290">
        <f t="shared" ref="D9:M9" si="4">SUM(D3:D8)</f>
        <v>376834</v>
      </c>
      <c r="E9" s="290">
        <f>SUM(E3:E8)</f>
        <v>39797595.060000002</v>
      </c>
      <c r="F9" s="290">
        <f t="shared" si="4"/>
        <v>0</v>
      </c>
      <c r="G9" s="290">
        <f t="shared" si="4"/>
        <v>0</v>
      </c>
      <c r="H9" s="290">
        <f t="shared" si="4"/>
        <v>3455887965.0599999</v>
      </c>
      <c r="I9" s="290">
        <f t="shared" si="4"/>
        <v>3303953003.3599997</v>
      </c>
      <c r="J9" s="290">
        <f t="shared" si="4"/>
        <v>74576028.74000001</v>
      </c>
      <c r="K9" s="290">
        <f t="shared" si="4"/>
        <v>75193897.960000008</v>
      </c>
      <c r="L9" s="290">
        <f t="shared" si="4"/>
        <v>0</v>
      </c>
      <c r="M9" s="290">
        <f t="shared" si="4"/>
        <v>2165035</v>
      </c>
      <c r="N9" s="290">
        <f>SUM(N3:N8)</f>
        <v>3455887965.0599999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3415713536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46266</v>
      </c>
      <c r="J7" s="2" t="s">
        <v>28</v>
      </c>
      <c r="K7" s="9">
        <f>'REMUNERACION_OCCIDENTE_ Directa'!K102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529346785.86999995</v>
      </c>
      <c r="E9" s="66">
        <f>'REMUNERACION_OCCIDENTE_ Directa'!E104</f>
        <v>51298254.530000001</v>
      </c>
      <c r="F9" s="66">
        <f>'REMUNERACION_OCCIDENTE_ Directa'!F104</f>
        <v>28055587.659999996</v>
      </c>
      <c r="G9" s="66">
        <f>'REMUNERACION_OCCIDENTE_ Directa'!G104</f>
        <v>14654654.08</v>
      </c>
      <c r="H9" s="66">
        <f>'REMUNERACION_OCCIDENTE_ Directa'!H104</f>
        <v>43265719.109999999</v>
      </c>
      <c r="I9" s="66">
        <f>'REMUNERACION_OCCIDENTE_ Directa'!I104</f>
        <v>1545047.4800000002</v>
      </c>
      <c r="J9" s="66">
        <f>'REMUNERACION_OCCIDENTE_ Directa'!J104</f>
        <v>0</v>
      </c>
      <c r="K9" s="30">
        <f>D9-E9-F9-G9-H9-I9-J9</f>
        <v>390527523.00999993</v>
      </c>
      <c r="L9" s="66">
        <f>'REMUNERACION_OCCIDENTE_ Directa'!L104</f>
        <v>0</v>
      </c>
      <c r="M9" s="30">
        <f>K9-L9</f>
        <v>390527523.00999993</v>
      </c>
      <c r="N9" s="66">
        <f>'REMUNERACION_OCCIDENTE_ Directa'!N104</f>
        <v>1790178.35</v>
      </c>
      <c r="O9" s="30">
        <f>M9+N9</f>
        <v>392317701.35999995</v>
      </c>
      <c r="Q9" s="4"/>
      <c r="S9" s="14">
        <v>1</v>
      </c>
      <c r="T9" s="61" t="s">
        <v>10</v>
      </c>
      <c r="U9" s="66">
        <f>'REMUNERACION_OCCIDENTE_ Directa'!U104</f>
        <v>13575454.23</v>
      </c>
      <c r="V9" s="66">
        <f>'REMUNERACION_OCCIDENTE_ Directa'!V104</f>
        <v>15556217.539999999</v>
      </c>
      <c r="W9" s="66">
        <f>'REMUNERACION_OCCIDENTE_ Directa'!W104</f>
        <v>71944209.409999996</v>
      </c>
      <c r="X9" s="66">
        <f>'REMUNERACION_OCCIDENTE_ Directa'!X104</f>
        <v>140738668.47</v>
      </c>
      <c r="Y9" s="66">
        <f>'REMUNERACION_OCCIDENTE_ Directa'!Y104</f>
        <v>2521984.29</v>
      </c>
      <c r="Z9" s="66">
        <f>'REMUNERACION_OCCIDENTE_ Directa'!Z104</f>
        <v>0</v>
      </c>
      <c r="AA9" s="66">
        <f>'REMUNERACION_OCCIDENTE_ Directa'!AA104</f>
        <v>-684.57</v>
      </c>
      <c r="AB9" s="66">
        <f>'REMUNERACION_OCCIDENTE_ Directa'!AB104</f>
        <v>1790178.35</v>
      </c>
      <c r="AC9" s="66">
        <f>'REMUNERACION_OCCIDENTE_ Directa'!AC104</f>
        <v>355.46999999999997</v>
      </c>
      <c r="AD9" s="66">
        <f>'REMUNERACION_OCCIDENTE_ Directa'!AD104</f>
        <v>146191318.16999999</v>
      </c>
      <c r="AE9" s="66">
        <f>'REMUNERACION_OCCIDENTE_ Directa'!AE104</f>
        <v>146191318.16999999</v>
      </c>
      <c r="AF9" s="69">
        <f>SUM(U9:AD9)</f>
        <v>392317701.35999995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1368778408.3199999</v>
      </c>
      <c r="E10" s="66">
        <f>'REMUNERACION_OCCIDENTE_ Directa'!E105</f>
        <v>161817404.75999999</v>
      </c>
      <c r="F10" s="66">
        <f>'REMUNERACION_OCCIDENTE_ Directa'!F105</f>
        <v>87382022.550000012</v>
      </c>
      <c r="G10" s="66">
        <f>'REMUNERACION_OCCIDENTE_ Directa'!G105</f>
        <v>46682153.180000007</v>
      </c>
      <c r="H10" s="66">
        <f>'REMUNERACION_OCCIDENTE_ Directa'!H105</f>
        <v>155463450.62</v>
      </c>
      <c r="I10" s="66">
        <f>'REMUNERACION_OCCIDENTE_ Directa'!I105</f>
        <v>4138992.8000000003</v>
      </c>
      <c r="J10" s="66">
        <f>'REMUNERACION_OCCIDENTE_ Directa'!J105</f>
        <v>0</v>
      </c>
      <c r="K10" s="31">
        <f t="shared" ref="K10:K13" si="0">D10-E10-F10-G10-H10-I10-J10</f>
        <v>913294384.40999997</v>
      </c>
      <c r="L10" s="66">
        <f>'REMUNERACION_OCCIDENTE_ Directa'!L105</f>
        <v>0</v>
      </c>
      <c r="M10" s="31">
        <f>K10-L10</f>
        <v>913294384.40999997</v>
      </c>
      <c r="N10" s="66">
        <f>'REMUNERACION_OCCIDENTE_ Directa'!N105</f>
        <v>30632060.390000001</v>
      </c>
      <c r="O10" s="31">
        <f t="shared" ref="O10:O13" si="1">M10+N10</f>
        <v>943926444.79999995</v>
      </c>
      <c r="Q10" s="4"/>
      <c r="S10" s="16">
        <v>2</v>
      </c>
      <c r="T10" s="62" t="s">
        <v>11</v>
      </c>
      <c r="U10" s="66">
        <f>'REMUNERACION_OCCIDENTE_ Directa'!U105</f>
        <v>36551172.249999993</v>
      </c>
      <c r="V10" s="66">
        <f>'REMUNERACION_OCCIDENTE_ Directa'!V105</f>
        <v>48796689.75</v>
      </c>
      <c r="W10" s="66">
        <f>'REMUNERACION_OCCIDENTE_ Directa'!W105</f>
        <v>230677760.11000001</v>
      </c>
      <c r="X10" s="66">
        <f>'REMUNERACION_OCCIDENTE_ Directa'!X105</f>
        <v>322699004.48000002</v>
      </c>
      <c r="Y10" s="66">
        <f>'REMUNERACION_OCCIDENTE_ Directa'!Y105</f>
        <v>6759345.5100000007</v>
      </c>
      <c r="Z10" s="66">
        <f>'REMUNERACION_OCCIDENTE_ Directa'!Z105</f>
        <v>0</v>
      </c>
      <c r="AA10" s="66">
        <f>'REMUNERACION_OCCIDENTE_ Directa'!AA105</f>
        <v>-796.93</v>
      </c>
      <c r="AB10" s="66">
        <f>'REMUNERACION_OCCIDENTE_ Directa'!AB105</f>
        <v>30632060.390000001</v>
      </c>
      <c r="AC10" s="66">
        <f>'REMUNERACION_OCCIDENTE_ Directa'!AC105</f>
        <v>-56774.32</v>
      </c>
      <c r="AD10" s="66">
        <f>'REMUNERACION_OCCIDENTE_ Directa'!AD105</f>
        <v>267867983.56</v>
      </c>
      <c r="AE10" s="66">
        <f>'REMUNERACION_OCCIDENTE_ Directa'!AE105</f>
        <v>267867983.56</v>
      </c>
      <c r="AF10" s="70">
        <f>SUM(U10:AD10)</f>
        <v>943926444.79999995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685739592.90999997</v>
      </c>
      <c r="E11" s="66">
        <f>'REMUNERACION_OCCIDENTE_ Directa'!E106</f>
        <v>81414325.700000018</v>
      </c>
      <c r="F11" s="66">
        <f>'REMUNERACION_OCCIDENTE_ Directa'!F106</f>
        <v>45416247.109999999</v>
      </c>
      <c r="G11" s="66">
        <f>'REMUNERACION_OCCIDENTE_ Directa'!G106</f>
        <v>24017931.650000002</v>
      </c>
      <c r="H11" s="66">
        <f>'REMUNERACION_OCCIDENTE_ Directa'!H106</f>
        <v>28136048.619999997</v>
      </c>
      <c r="I11" s="66">
        <f>'REMUNERACION_OCCIDENTE_ Directa'!I106</f>
        <v>875883.35</v>
      </c>
      <c r="J11" s="66">
        <f>'REMUNERACION_OCCIDENTE_ Directa'!J106</f>
        <v>0</v>
      </c>
      <c r="K11" s="31">
        <f t="shared" si="0"/>
        <v>505879156.4799999</v>
      </c>
      <c r="L11" s="66">
        <f>'REMUNERACION_OCCIDENTE_ Directa'!L106</f>
        <v>0</v>
      </c>
      <c r="M11" s="31">
        <f>K11-L11</f>
        <v>505879156.4799999</v>
      </c>
      <c r="N11" s="66">
        <f>'REMUNERACION_OCCIDENTE_ Directa'!N106</f>
        <v>12116788.82</v>
      </c>
      <c r="O11" s="31">
        <f t="shared" si="1"/>
        <v>517995945.29999989</v>
      </c>
      <c r="Q11" s="4"/>
      <c r="S11" s="16">
        <v>3</v>
      </c>
      <c r="T11" s="62" t="s">
        <v>12</v>
      </c>
      <c r="U11" s="66">
        <f>'REMUNERACION_OCCIDENTE_ Directa'!U106</f>
        <v>7653434.1099999994</v>
      </c>
      <c r="V11" s="66">
        <f>'REMUNERACION_OCCIDENTE_ Directa'!V106</f>
        <v>10151348.43</v>
      </c>
      <c r="W11" s="66">
        <f>'REMUNERACION_OCCIDENTE_ Directa'!W106</f>
        <v>47441096.369999997</v>
      </c>
      <c r="X11" s="66">
        <f>'REMUNERACION_OCCIDENTE_ Directa'!X106</f>
        <v>192438955.67000002</v>
      </c>
      <c r="Y11" s="66">
        <f>'REMUNERACION_OCCIDENTE_ Directa'!Y106</f>
        <v>1431584.25</v>
      </c>
      <c r="Z11" s="66">
        <f>'REMUNERACION_OCCIDENTE_ Directa'!Z106</f>
        <v>0</v>
      </c>
      <c r="AA11" s="66">
        <f>'REMUNERACION_OCCIDENTE_ Directa'!AA106</f>
        <v>-2424.23</v>
      </c>
      <c r="AB11" s="66">
        <f>'REMUNERACION_OCCIDENTE_ Directa'!AB106</f>
        <v>12116788.82</v>
      </c>
      <c r="AC11" s="66">
        <f>'REMUNERACION_OCCIDENTE_ Directa'!AC106</f>
        <v>4.5</v>
      </c>
      <c r="AD11" s="66">
        <f>'REMUNERACION_OCCIDENTE_ Directa'!AD106</f>
        <v>246765157.47999999</v>
      </c>
      <c r="AE11" s="66">
        <f>'REMUNERACION_OCCIDENTE_ Directa'!AE106</f>
        <v>246765157.47999999</v>
      </c>
      <c r="AF11" s="70">
        <f>SUM(U11:AD11)</f>
        <v>517995945.39999998</v>
      </c>
      <c r="AG11" s="72">
        <f>AF11-O11</f>
        <v>0.10000008344650269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510759521.29999995</v>
      </c>
      <c r="E12" s="66">
        <f>'REMUNERACION_OCCIDENTE_ Directa'!E107</f>
        <v>38473020.93</v>
      </c>
      <c r="F12" s="66">
        <f>'REMUNERACION_OCCIDENTE_ Directa'!F107</f>
        <v>20743610.040000003</v>
      </c>
      <c r="G12" s="66">
        <f>'REMUNERACION_OCCIDENTE_ Directa'!G107</f>
        <v>10574046.58</v>
      </c>
      <c r="H12" s="66">
        <f>'REMUNERACION_OCCIDENTE_ Directa'!H107</f>
        <v>80664881.580000013</v>
      </c>
      <c r="I12" s="66">
        <f>'REMUNERACION_OCCIDENTE_ Directa'!I107</f>
        <v>2386199.7399999998</v>
      </c>
      <c r="J12" s="66">
        <f>'REMUNERACION_OCCIDENTE_ Directa'!J107</f>
        <v>0</v>
      </c>
      <c r="K12" s="31">
        <f t="shared" si="0"/>
        <v>357917762.42999995</v>
      </c>
      <c r="L12" s="66">
        <f>'REMUNERACION_OCCIDENTE_ Directa'!L107</f>
        <v>0</v>
      </c>
      <c r="M12" s="31">
        <f>K12-L12</f>
        <v>357917762.42999995</v>
      </c>
      <c r="N12" s="66">
        <f>'REMUNERACION_OCCIDENTE_ Directa'!N107</f>
        <v>3323424.79</v>
      </c>
      <c r="O12" s="31">
        <f t="shared" si="1"/>
        <v>361241187.21999997</v>
      </c>
      <c r="Q12" s="4"/>
      <c r="S12" s="16">
        <v>4</v>
      </c>
      <c r="T12" s="62" t="s">
        <v>13</v>
      </c>
      <c r="U12" s="66">
        <f>'REMUNERACION_OCCIDENTE_ Directa'!U107</f>
        <v>21206823.500000004</v>
      </c>
      <c r="V12" s="66">
        <f>'REMUNERACION_OCCIDENTE_ Directa'!V107</f>
        <v>27971326.68</v>
      </c>
      <c r="W12" s="66">
        <f>'REMUNERACION_OCCIDENTE_ Directa'!W107</f>
        <v>137987648.21000001</v>
      </c>
      <c r="X12" s="66">
        <f>'REMUNERACION_OCCIDENTE_ Directa'!X107</f>
        <v>101802660.04000001</v>
      </c>
      <c r="Y12" s="66">
        <f>'REMUNERACION_OCCIDENTE_ Directa'!Y107</f>
        <v>3894811.7</v>
      </c>
      <c r="Z12" s="66">
        <f>'REMUNERACION_OCCIDENTE_ Directa'!Z107</f>
        <v>0</v>
      </c>
      <c r="AA12" s="66">
        <f>'REMUNERACION_OCCIDENTE_ Directa'!AA107</f>
        <v>-179.92000000000002</v>
      </c>
      <c r="AB12" s="66">
        <f>'REMUNERACION_OCCIDENTE_ Directa'!AB107</f>
        <v>3323424.79</v>
      </c>
      <c r="AC12" s="66">
        <f>'REMUNERACION_OCCIDENTE_ Directa'!AC107</f>
        <v>149.12</v>
      </c>
      <c r="AD12" s="66">
        <f>'REMUNERACION_OCCIDENTE_ Directa'!AD107</f>
        <v>65054523.100000001</v>
      </c>
      <c r="AE12" s="66">
        <f>'REMUNERACION_OCCIDENTE_ Directa'!AE107</f>
        <v>65054523.100000001</v>
      </c>
      <c r="AF12" s="70">
        <f>SUM(U12:AD12)</f>
        <v>361241187.22000003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209328694.96000001</v>
      </c>
      <c r="E13" s="66">
        <f>'REMUNERACION_OCCIDENTE_ Directa'!E108</f>
        <v>17105867.57</v>
      </c>
      <c r="F13" s="66">
        <f>'REMUNERACION_OCCIDENTE_ Directa'!F108</f>
        <v>9316791.2700000014</v>
      </c>
      <c r="G13" s="66">
        <f>'REMUNERACION_OCCIDENTE_ Directa'!G108</f>
        <v>4903133.1099999994</v>
      </c>
      <c r="H13" s="66">
        <f>'REMUNERACION_OCCIDENTE_ Directa'!H108</f>
        <v>19931186.84</v>
      </c>
      <c r="I13" s="66">
        <f>'REMUNERACION_OCCIDENTE_ Directa'!I108</f>
        <v>883215.41</v>
      </c>
      <c r="J13" s="66">
        <f>'REMUNERACION_OCCIDENTE_ Directa'!J108</f>
        <v>0</v>
      </c>
      <c r="K13" s="31">
        <f t="shared" si="0"/>
        <v>157188500.75999999</v>
      </c>
      <c r="L13" s="66">
        <f>'REMUNERACION_OCCIDENTE_ Directa'!L108</f>
        <v>0</v>
      </c>
      <c r="M13" s="40">
        <f>K13-L13</f>
        <v>157188500.75999999</v>
      </c>
      <c r="N13" s="66">
        <f>'REMUNERACION_OCCIDENTE_ Directa'!N108</f>
        <v>26713576.390000001</v>
      </c>
      <c r="O13" s="40">
        <f t="shared" si="1"/>
        <v>183902077.14999998</v>
      </c>
      <c r="Q13" s="4"/>
      <c r="S13" s="19">
        <v>5</v>
      </c>
      <c r="T13" s="63" t="s">
        <v>14</v>
      </c>
      <c r="U13" s="66">
        <f>'REMUNERACION_OCCIDENTE_ Directa'!U108</f>
        <v>7765771.8300000001</v>
      </c>
      <c r="V13" s="66">
        <f>'REMUNERACION_OCCIDENTE_ Directa'!V108</f>
        <v>8977227.4300000016</v>
      </c>
      <c r="W13" s="66">
        <f>'REMUNERACION_OCCIDENTE_ Directa'!W108</f>
        <v>46179444.490000002</v>
      </c>
      <c r="X13" s="66">
        <f>'REMUNERACION_OCCIDENTE_ Directa'!X108</f>
        <v>51038444.630000003</v>
      </c>
      <c r="Y13" s="66">
        <f>'REMUNERACION_OCCIDENTE_ Directa'!Y108</f>
        <v>1459568.1</v>
      </c>
      <c r="Z13" s="66">
        <f>'REMUNERACION_OCCIDENTE_ Directa'!Z108</f>
        <v>0</v>
      </c>
      <c r="AA13" s="66">
        <f>'REMUNERACION_OCCIDENTE_ Directa'!AA108</f>
        <v>-2146.39</v>
      </c>
      <c r="AB13" s="66">
        <f>'REMUNERACION_OCCIDENTE_ Directa'!AB108</f>
        <v>26713576.390000001</v>
      </c>
      <c r="AC13" s="66">
        <f>'REMUNERACION_OCCIDENTE_ Directa'!AC108</f>
        <v>-68.589999999999989</v>
      </c>
      <c r="AD13" s="66">
        <f>'REMUNERACION_OCCIDENTE_ Directa'!AD108</f>
        <v>41770259.260000005</v>
      </c>
      <c r="AE13" s="66">
        <f>'REMUNERACION_OCCIDENTE_ Directa'!AE108</f>
        <v>41770259.260000005</v>
      </c>
      <c r="AF13" s="70">
        <f>SUM(U13:AD13)</f>
        <v>183902077.14999998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3303953003.3599997</v>
      </c>
      <c r="E14" s="43">
        <f t="shared" si="3"/>
        <v>350108873.49000001</v>
      </c>
      <c r="F14" s="43">
        <f t="shared" si="3"/>
        <v>190914258.63</v>
      </c>
      <c r="G14" s="43">
        <f t="shared" si="3"/>
        <v>100831918.60000001</v>
      </c>
      <c r="H14" s="43">
        <f t="shared" si="3"/>
        <v>327461286.77000004</v>
      </c>
      <c r="I14" s="43">
        <f t="shared" si="3"/>
        <v>9829338.7799999993</v>
      </c>
      <c r="J14" s="43">
        <f t="shared" si="3"/>
        <v>0</v>
      </c>
      <c r="K14" s="32">
        <f t="shared" si="3"/>
        <v>2324807327.0899992</v>
      </c>
      <c r="L14" s="23">
        <f t="shared" si="3"/>
        <v>0</v>
      </c>
      <c r="M14" s="76">
        <f t="shared" si="3"/>
        <v>2324807327.0899992</v>
      </c>
      <c r="N14" s="23">
        <f t="shared" si="3"/>
        <v>74576028.74000001</v>
      </c>
      <c r="O14" s="76">
        <f t="shared" si="3"/>
        <v>2399383355.8299999</v>
      </c>
      <c r="P14" s="2"/>
      <c r="Q14" s="4"/>
      <c r="S14" s="21"/>
      <c r="T14" s="22" t="s">
        <v>119</v>
      </c>
      <c r="U14" s="43">
        <f>SUM(U9:U13)</f>
        <v>86752655.919999987</v>
      </c>
      <c r="V14" s="43">
        <f t="shared" ref="V14:AG14" si="4">SUM(V9:V13)</f>
        <v>111452809.83000001</v>
      </c>
      <c r="W14" s="43">
        <f t="shared" si="4"/>
        <v>534230158.59000003</v>
      </c>
      <c r="X14" s="43">
        <f t="shared" si="4"/>
        <v>808717733.29000008</v>
      </c>
      <c r="Y14" s="43">
        <f t="shared" si="4"/>
        <v>16067293.85</v>
      </c>
      <c r="Z14" s="43">
        <f t="shared" si="4"/>
        <v>0</v>
      </c>
      <c r="AA14" s="43">
        <f t="shared" si="4"/>
        <v>-6232.04</v>
      </c>
      <c r="AB14" s="43">
        <f t="shared" si="4"/>
        <v>74576028.74000001</v>
      </c>
      <c r="AC14" s="43">
        <f t="shared" si="4"/>
        <v>-56333.819999999992</v>
      </c>
      <c r="AD14" s="43">
        <f t="shared" si="4"/>
        <v>767649241.57000005</v>
      </c>
      <c r="AE14" s="43">
        <f>SUM(AE9:AE13)</f>
        <v>767649241.57000005</v>
      </c>
      <c r="AF14" s="68">
        <f t="shared" si="4"/>
        <v>2399383355.9299998</v>
      </c>
      <c r="AG14" s="43">
        <f t="shared" si="4"/>
        <v>0.10000008344650269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1557220651.48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46266</v>
      </c>
      <c r="J27" s="2" t="s">
        <v>28</v>
      </c>
      <c r="K27" s="9">
        <f>'REMUNERACION_OCCIDENTE_ Directa'!K122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7990275.4900000002</v>
      </c>
      <c r="E30" s="111">
        <f>'REMUNERACION_OCCIDENTE_ Directa'!E125</f>
        <v>0</v>
      </c>
      <c r="G30" s="336">
        <f>'REMUNERACION_OCCIDENTE_ Directa'!G125</f>
        <v>42680</v>
      </c>
      <c r="H30" s="310">
        <f>'REMUNERACION_OCCIDENTE_ Directa'!H125</f>
        <v>4590431.71</v>
      </c>
      <c r="I30" s="309">
        <f>'REMUNERACION_OCCIDENTE_ Directa'!I125</f>
        <v>0</v>
      </c>
      <c r="J30" s="309">
        <f>'REMUNERACION_OCCIDENTE_ Directa'!J125</f>
        <v>-83310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52788864.75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29249470.460000001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2921040</v>
      </c>
      <c r="E32" s="74">
        <f>'REMUNERACION_OCCIDENTE_ Directa'!E127</f>
        <v>0</v>
      </c>
      <c r="G32" s="339">
        <f>'REMUNERACION_OCCIDENTE_ Directa'!G127</f>
        <v>33180</v>
      </c>
      <c r="H32" s="340">
        <f>'REMUNERACION_OCCIDENTE_ Directa'!H127</f>
        <v>1755754.73</v>
      </c>
      <c r="I32" s="288">
        <f>'REMUNERACION_OCCIDENTE_ Directa'!I127</f>
        <v>0</v>
      </c>
      <c r="J32" s="288">
        <f>'REMUNERACION_OCCIDENTE_ Directa'!J127</f>
        <v>-34410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8186683.7199999997</v>
      </c>
      <c r="E33" s="74">
        <f>'REMUNERACION_OCCIDENTE_ Directa'!E128</f>
        <v>0</v>
      </c>
      <c r="G33" s="339">
        <f>'REMUNERACION_OCCIDENTE_ Directa'!G128</f>
        <v>239834</v>
      </c>
      <c r="H33" s="340">
        <f>'REMUNERACION_OCCIDENTE_ Directa'!H128</f>
        <v>3170678.8099999996</v>
      </c>
      <c r="I33" s="288">
        <f>'REMUNERACION_OCCIDENTE_ Directa'!I128</f>
        <v>0</v>
      </c>
      <c r="J33" s="288">
        <f>'REMUNERACION_OCCIDENTE_ Directa'!J128</f>
        <v>-1742535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3307034</v>
      </c>
      <c r="E34" s="139">
        <f>'REMUNERACION_OCCIDENTE_ Directa'!E129</f>
        <v>0</v>
      </c>
      <c r="G34" s="339">
        <f>'REMUNERACION_OCCIDENTE_ Directa'!G129</f>
        <v>61140</v>
      </c>
      <c r="H34" s="340">
        <f>'REMUNERACION_OCCIDENTE_ Directa'!H129</f>
        <v>1031259.35</v>
      </c>
      <c r="I34" s="288">
        <f>'REMUNERACION_OCCIDENTE_ Directa'!I129</f>
        <v>0</v>
      </c>
      <c r="J34" s="288">
        <f>'REMUNERACION_OCCIDENTE_ Directa'!J129</f>
        <v>-304780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75193897.960000008</v>
      </c>
      <c r="E36" s="107">
        <f>'REMUNERACION_OCCIDENTE_ Directa'!E131</f>
        <v>0</v>
      </c>
      <c r="F36" s="45"/>
      <c r="G36" s="350">
        <f t="shared" ref="G36:L36" si="6">SUM(G30:G34)</f>
        <v>376834</v>
      </c>
      <c r="H36" s="350">
        <f t="shared" si="6"/>
        <v>39797595.060000002</v>
      </c>
      <c r="I36" s="350">
        <f t="shared" si="6"/>
        <v>0</v>
      </c>
      <c r="J36" s="350">
        <f t="shared" si="6"/>
        <v>-2165035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46266</v>
      </c>
      <c r="J7" s="2" t="s">
        <v>28</v>
      </c>
      <c r="K7" s="9">
        <f>'CONSOLIDADO_TOTAL RECAUDO'!K102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abSelected="1" topLeftCell="G17" workbookViewId="0">
      <selection activeCell="M31" sqref="M31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328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339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340</v>
      </c>
      <c r="F6" s="660" t="s">
        <v>230</v>
      </c>
    </row>
    <row r="7" spans="2:20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17450250543</v>
      </c>
      <c r="E9" s="642">
        <v>1002730527</v>
      </c>
      <c r="F9" s="642">
        <v>559513166</v>
      </c>
      <c r="G9" s="642">
        <v>296340285</v>
      </c>
      <c r="H9" s="642">
        <v>4858821909</v>
      </c>
      <c r="I9" s="642">
        <v>182208476</v>
      </c>
      <c r="J9" s="642">
        <v>2589335717</v>
      </c>
      <c r="K9" s="642">
        <v>7961300463</v>
      </c>
      <c r="L9" s="642">
        <v>189185987</v>
      </c>
      <c r="M9" s="642">
        <v>7772114476</v>
      </c>
      <c r="N9" s="642">
        <v>30635670</v>
      </c>
      <c r="O9" s="642">
        <v>7802750145</v>
      </c>
    </row>
    <row r="10" spans="2:20" customFormat="1" ht="13.2" x14ac:dyDescent="0.25">
      <c r="B10" s="641" t="s">
        <v>116</v>
      </c>
      <c r="C10" s="641" t="s">
        <v>11</v>
      </c>
      <c r="D10" s="642">
        <v>14147357755</v>
      </c>
      <c r="E10" s="642">
        <v>1096241905</v>
      </c>
      <c r="F10" s="642">
        <v>607688511</v>
      </c>
      <c r="G10" s="642">
        <v>320746087</v>
      </c>
      <c r="H10" s="642">
        <v>4486156883</v>
      </c>
      <c r="I10" s="642">
        <v>152499570</v>
      </c>
      <c r="J10" s="642">
        <v>-5093259797</v>
      </c>
      <c r="K10" s="642">
        <v>12577284596</v>
      </c>
      <c r="L10" s="642">
        <v>266580255</v>
      </c>
      <c r="M10" s="642">
        <v>12310704341</v>
      </c>
      <c r="N10" s="642">
        <v>43616074</v>
      </c>
      <c r="O10" s="642">
        <v>12354320415</v>
      </c>
    </row>
    <row r="11" spans="2:20" customFormat="1" ht="13.2" x14ac:dyDescent="0.25">
      <c r="B11" s="641" t="s">
        <v>117</v>
      </c>
      <c r="C11" s="641" t="s">
        <v>246</v>
      </c>
      <c r="D11" s="642">
        <v>10891338739</v>
      </c>
      <c r="E11" s="642">
        <v>710706077</v>
      </c>
      <c r="F11" s="642">
        <v>397477480</v>
      </c>
      <c r="G11" s="642">
        <v>210365934</v>
      </c>
      <c r="H11" s="642">
        <v>3089785743</v>
      </c>
      <c r="I11" s="642">
        <v>102591059</v>
      </c>
      <c r="J11" s="642">
        <v>-1230396998</v>
      </c>
      <c r="K11" s="642">
        <v>7610809445</v>
      </c>
      <c r="L11" s="642">
        <v>154788535</v>
      </c>
      <c r="M11" s="642">
        <v>7456020910</v>
      </c>
      <c r="N11" s="642">
        <v>25562528</v>
      </c>
      <c r="O11" s="642">
        <v>7481583438</v>
      </c>
    </row>
    <row r="12" spans="2:20" customFormat="1" ht="13.2" x14ac:dyDescent="0.25">
      <c r="B12" s="641" t="s">
        <v>247</v>
      </c>
      <c r="C12" s="641" t="s">
        <v>13</v>
      </c>
      <c r="D12" s="642">
        <v>11508947207</v>
      </c>
      <c r="E12" s="642">
        <v>651620354</v>
      </c>
      <c r="F12" s="642">
        <v>362076891</v>
      </c>
      <c r="G12" s="642">
        <v>191424495</v>
      </c>
      <c r="H12" s="642">
        <v>2850519494</v>
      </c>
      <c r="I12" s="642">
        <v>98433844</v>
      </c>
      <c r="J12" s="642">
        <v>38133906</v>
      </c>
      <c r="K12" s="642">
        <v>7316738223</v>
      </c>
      <c r="L12" s="642">
        <v>120391083</v>
      </c>
      <c r="M12" s="642">
        <v>7196347140</v>
      </c>
      <c r="N12" s="642">
        <v>23185408</v>
      </c>
      <c r="O12" s="642">
        <v>7219532548</v>
      </c>
    </row>
    <row r="13" spans="2:20" customFormat="1" ht="13.2" x14ac:dyDescent="0.25">
      <c r="B13" s="641" t="s">
        <v>118</v>
      </c>
      <c r="C13" s="641" t="s">
        <v>14</v>
      </c>
      <c r="D13" s="642">
        <v>9147179378</v>
      </c>
      <c r="E13" s="642">
        <v>501141809</v>
      </c>
      <c r="F13" s="642">
        <v>279950731</v>
      </c>
      <c r="G13" s="642">
        <v>148242908</v>
      </c>
      <c r="H13" s="642">
        <v>2100067180</v>
      </c>
      <c r="I13" s="642">
        <v>75390757</v>
      </c>
      <c r="J13" s="642">
        <v>-1224100690</v>
      </c>
      <c r="K13" s="642">
        <v>7266486684</v>
      </c>
      <c r="L13" s="642">
        <v>128990445</v>
      </c>
      <c r="M13" s="642">
        <v>7137496239</v>
      </c>
      <c r="N13" s="642">
        <v>32575938</v>
      </c>
      <c r="O13" s="642">
        <v>7170072177</v>
      </c>
    </row>
    <row r="14" spans="2:20" customFormat="1" ht="13.2" x14ac:dyDescent="0.25">
      <c r="B14" s="641"/>
      <c r="C14" s="641" t="s">
        <v>70</v>
      </c>
      <c r="D14" s="642">
        <v>63145073622</v>
      </c>
      <c r="E14" s="642">
        <v>3962440672</v>
      </c>
      <c r="F14" s="642">
        <v>2206706779</v>
      </c>
      <c r="G14" s="642">
        <v>1167119709</v>
      </c>
      <c r="H14" s="642">
        <v>17385351209</v>
      </c>
      <c r="I14" s="642">
        <v>611123706</v>
      </c>
      <c r="J14" s="642">
        <v>-4920287862</v>
      </c>
      <c r="K14" s="642">
        <v>42732619411</v>
      </c>
      <c r="L14" s="642">
        <v>859936305</v>
      </c>
      <c r="M14" s="642">
        <v>41872683106</v>
      </c>
      <c r="N14" s="642">
        <v>155575618</v>
      </c>
      <c r="O14" s="642">
        <v>42028258723</v>
      </c>
    </row>
    <row r="15" spans="2:20" customFormat="1" ht="13.2" x14ac:dyDescent="0.25"/>
    <row r="16" spans="2:20" customFormat="1" ht="13.2" x14ac:dyDescent="0.25">
      <c r="C16" s="662" t="s">
        <v>344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0.22000503540039063</v>
      </c>
      <c r="E23" s="648">
        <f>E9-'CONSOLIDADO_TOTAL RECAUDO'!E104</f>
        <v>-0.37000000476837158</v>
      </c>
      <c r="F23" s="648">
        <f>F9-'CONSOLIDADO_TOTAL RECAUDO'!F104</f>
        <v>0.17000007629394531</v>
      </c>
      <c r="G23" s="648">
        <f>G9-'CONSOLIDADO_TOTAL RECAUDO'!G104</f>
        <v>-0.37999999523162842</v>
      </c>
      <c r="H23" s="648">
        <f>H9-'CONSOLIDADO_TOTAL RECAUDO'!H104</f>
        <v>0</v>
      </c>
      <c r="I23" s="648">
        <f>I9-'CONSOLIDADO_TOTAL RECAUDO'!I104</f>
        <v>-3.0000030994415283E-2</v>
      </c>
      <c r="J23" s="648">
        <f>J9-'CONSOLIDADO_TOTAL RECAUDO'!J104</f>
        <v>0.46000003814697266</v>
      </c>
      <c r="K23" s="648">
        <f>K9-'CONSOLIDADO_TOTAL RECAUDO'!K104</f>
        <v>0.37000560760498047</v>
      </c>
      <c r="L23" s="648">
        <f>L9-'CONSOLIDADO_TOTAL RECAUDO'!L104</f>
        <v>0</v>
      </c>
      <c r="M23" s="648">
        <f>M9-'CONSOLIDADO_TOTAL RECAUDO'!M104</f>
        <v>0.37000560760498047</v>
      </c>
      <c r="N23" s="648">
        <f>N9-'CONSOLIDADO_TOTAL RECAUDO'!N104</f>
        <v>0.42000000178813934</v>
      </c>
      <c r="O23" s="648">
        <f>O9-'CONSOLIDADO_TOTAL RECAUDO'!O104</f>
        <v>-0.20999431610107422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-0.39000129699707031</v>
      </c>
      <c r="E24" s="648">
        <f>E10-'CONSOLIDADO_TOTAL RECAUDO'!E105</f>
        <v>0.21000003814697266</v>
      </c>
      <c r="F24" s="648">
        <f>F10-'CONSOLIDADO_TOTAL RECAUDO'!F105</f>
        <v>0.41000008583068848</v>
      </c>
      <c r="G24" s="648">
        <f>G10-'CONSOLIDADO_TOTAL RECAUDO'!G105</f>
        <v>-0.43999999761581421</v>
      </c>
      <c r="H24" s="648">
        <f>H10-'CONSOLIDADO_TOTAL RECAUDO'!H105</f>
        <v>-0.46999931335449219</v>
      </c>
      <c r="I24" s="648">
        <f>I10-'CONSOLIDADO_TOTAL RECAUDO'!I105</f>
        <v>7.0000022649765015E-2</v>
      </c>
      <c r="J24" s="648">
        <f>J10-'CONSOLIDADO_TOTAL RECAUDO'!J105</f>
        <v>0.21999931335449219</v>
      </c>
      <c r="K24" s="648">
        <f>K10-'CONSOLIDADO_TOTAL RECAUDO'!K105</f>
        <v>-0.39000129699707031</v>
      </c>
      <c r="L24" s="648">
        <f>L10-'CONSOLIDADO_TOTAL RECAUDO'!L105</f>
        <v>0</v>
      </c>
      <c r="M24" s="648">
        <f>M10-'CONSOLIDADO_TOTAL RECAUDO'!M105</f>
        <v>-0.39000129699707031</v>
      </c>
      <c r="N24" s="648">
        <f>N10-'CONSOLIDADO_TOTAL RECAUDO'!N105</f>
        <v>0.2800000011920929</v>
      </c>
      <c r="O24" s="648">
        <f>O10-'CONSOLIDADO_TOTAL RECAUDO'!O105</f>
        <v>-0.1100006103515625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-0.48000144958496094</v>
      </c>
      <c r="E25" s="648">
        <f>E11-'CONSOLIDADO_TOTAL RECAUDO'!E106</f>
        <v>0.14999997615814209</v>
      </c>
      <c r="F25" s="648">
        <f>F11-'CONSOLIDADO_TOTAL RECAUDO'!F106</f>
        <v>-0.34999996423721313</v>
      </c>
      <c r="G25" s="648">
        <f>G11-'CONSOLIDADO_TOTAL RECAUDO'!G106</f>
        <v>-0.29999998211860657</v>
      </c>
      <c r="H25" s="648">
        <f>H11-'CONSOLIDADO_TOTAL RECAUDO'!H106</f>
        <v>0.18999958038330078</v>
      </c>
      <c r="I25" s="648">
        <f>I11-'CONSOLIDADO_TOTAL RECAUDO'!I106</f>
        <v>-0.10999998450279236</v>
      </c>
      <c r="J25" s="648">
        <f>J11-'CONSOLIDADO_TOTAL RECAUDO'!J106</f>
        <v>0.43999981880187988</v>
      </c>
      <c r="K25" s="648">
        <f>K11-'CONSOLIDADO_TOTAL RECAUDO'!K106</f>
        <v>0.49999904632568359</v>
      </c>
      <c r="L25" s="648">
        <f>L11-'CONSOLIDADO_TOTAL RECAUDO'!L106</f>
        <v>0</v>
      </c>
      <c r="M25" s="648">
        <f>M11-'CONSOLIDADO_TOTAL RECAUDO'!M106</f>
        <v>0.49999904632568359</v>
      </c>
      <c r="N25" s="648">
        <f>N11-'CONSOLIDADO_TOTAL RECAUDO'!N106</f>
        <v>-0.48000000044703484</v>
      </c>
      <c r="O25" s="648">
        <f>O11-'CONSOLIDADO_TOTAL RECAUDO'!O106</f>
        <v>1.9999504089355469E-2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0.23999977111816406</v>
      </c>
      <c r="E26" s="648">
        <f>E12-'CONSOLIDADO_TOTAL RECAUDO'!E107</f>
        <v>2.9999852180480957E-2</v>
      </c>
      <c r="F26" s="648">
        <f>F12-'CONSOLIDADO_TOTAL RECAUDO'!F107</f>
        <v>9.9999904632568359E-3</v>
      </c>
      <c r="G26" s="648">
        <f>G12-'CONSOLIDADO_TOTAL RECAUDO'!G107</f>
        <v>0.15000000596046448</v>
      </c>
      <c r="H26" s="648">
        <f>H12-'CONSOLIDADO_TOTAL RECAUDO'!H107</f>
        <v>-0.20000028610229492</v>
      </c>
      <c r="I26" s="648">
        <f>I12-'CONSOLIDADO_TOTAL RECAUDO'!I107</f>
        <v>-9.9999994039535522E-2</v>
      </c>
      <c r="J26" s="648">
        <f>J12-'CONSOLIDADO_TOTAL RECAUDO'!J107</f>
        <v>0.19999998807907104</v>
      </c>
      <c r="K26" s="648">
        <f>K12-'CONSOLIDADO_TOTAL RECAUDO'!K107</f>
        <v>0.15000057220458984</v>
      </c>
      <c r="L26" s="648">
        <f>L12-'CONSOLIDADO_TOTAL RECAUDO'!L107</f>
        <v>0</v>
      </c>
      <c r="M26" s="648">
        <f>M12-'CONSOLIDADO_TOTAL RECAUDO'!M107</f>
        <v>0.15000057220458984</v>
      </c>
      <c r="N26" s="648">
        <f>N12-'CONSOLIDADO_TOTAL RECAUDO'!N107</f>
        <v>1.9999999552965164E-2</v>
      </c>
      <c r="O26" s="648">
        <f>O12-'CONSOLIDADO_TOTAL RECAUDO'!O107</f>
        <v>0.17000102996826172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-0.32999992370605469</v>
      </c>
      <c r="E27" s="648">
        <f>E13-'CONSOLIDADO_TOTAL RECAUDO'!E108</f>
        <v>0.22000002861022949</v>
      </c>
      <c r="F27" s="648">
        <f>F13-'CONSOLIDADO_TOTAL RECAUDO'!F108</f>
        <v>0.12999999523162842</v>
      </c>
      <c r="G27" s="648">
        <f>G13-'CONSOLIDADO_TOTAL RECAUDO'!G108</f>
        <v>-0.43000000715255737</v>
      </c>
      <c r="H27" s="648">
        <f>H13-'CONSOLIDADO_TOTAL RECAUDO'!H108</f>
        <v>0.26999998092651367</v>
      </c>
      <c r="I27" s="648">
        <f>I13-'CONSOLIDADO_TOTAL RECAUDO'!I108</f>
        <v>-4.0000021457672119E-2</v>
      </c>
      <c r="J27" s="648">
        <f>J13-'CONSOLIDADO_TOTAL RECAUDO'!J108</f>
        <v>0.46000027656555176</v>
      </c>
      <c r="K27" s="648">
        <f>K13-'CONSOLIDADO_TOTAL RECAUDO'!K108</f>
        <v>6.0001373291015625E-2</v>
      </c>
      <c r="L27" s="648">
        <f>L13-'CONSOLIDADO_TOTAL RECAUDO'!L108</f>
        <v>0</v>
      </c>
      <c r="M27" s="648">
        <f>M13-'CONSOLIDADO_TOTAL RECAUDO'!M108</f>
        <v>6.0001373291015625E-2</v>
      </c>
      <c r="N27" s="648">
        <f>N13-'CONSOLIDADO_TOTAL RECAUDO'!N108</f>
        <v>-0.37999999895691872</v>
      </c>
      <c r="O27" s="648">
        <f>O13-'CONSOLIDADO_TOTAL RECAUDO'!O108</f>
        <v>-0.31999874114990234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-0.7400054931640625</v>
      </c>
      <c r="E28" s="648">
        <f>E14-'CONSOLIDADO_TOTAL RECAUDO'!E109</f>
        <v>0.23999977111816406</v>
      </c>
      <c r="F28" s="648">
        <f>F14-'CONSOLIDADO_TOTAL RECAUDO'!F109</f>
        <v>0.37000036239624023</v>
      </c>
      <c r="G28" s="648">
        <f>G14-'CONSOLIDADO_TOTAL RECAUDO'!G109</f>
        <v>-1.3999998569488525</v>
      </c>
      <c r="H28" s="648">
        <f>H14-'CONSOLIDADO_TOTAL RECAUDO'!H109</f>
        <v>-0.20999908447265625</v>
      </c>
      <c r="I28" s="648">
        <f>I14-'CONSOLIDADO_TOTAL RECAUDO'!I109</f>
        <v>-0.21000003814697266</v>
      </c>
      <c r="J28" s="648">
        <f>J14-'CONSOLIDADO_TOTAL RECAUDO'!J109</f>
        <v>1.779998779296875</v>
      </c>
      <c r="K28" s="648">
        <f>K14-'CONSOLIDADO_TOTAL RECAUDO'!K109</f>
        <v>0.69000244140625</v>
      </c>
      <c r="L28" s="648">
        <f>L14-'CONSOLIDADO_TOTAL RECAUDO'!L109</f>
        <v>0</v>
      </c>
      <c r="M28" s="648">
        <f>M14-'CONSOLIDADO_TOTAL RECAUDO'!M109</f>
        <v>0.69000244140625</v>
      </c>
      <c r="N28" s="648">
        <f>N14-'CONSOLIDADO_TOTAL RECAUDO'!N109</f>
        <v>-0.14000001549720764</v>
      </c>
      <c r="O28" s="648">
        <f>O14-'CONSOLIDADO_TOTAL RECAUDO'!O109</f>
        <v>-0.4499969482421875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1</v>
      </c>
      <c r="F32" s="651" t="b">
        <f>+F23+'Reporte Componentes R1'!H89+'Rem. Anticipos R2'!G57+'Reversion Pagos R4'!F79+'Reporte Componentes R1'!H91+'AJUSTES - SF-T'!F47=F9</f>
        <v>1</v>
      </c>
      <c r="G32" s="651" t="b">
        <f>+G23+'Reporte Componentes R1'!I89+'Rem. Anticipos R2'!H57+'Reversion Pagos R4'!G79+'Reporte Componentes R1'!I91+'AJUSTES - SF-T'!G47=G9</f>
        <v>1</v>
      </c>
      <c r="H32" s="651" t="b">
        <f>+H23+'Reporte Componentes R1'!J89+'Rem. Anticipos R2'!I57+'Reversion Pagos R4'!H79+'Reporte Componentes R1'!J91+'AJUSTES - SF-T'!H47=H9</f>
        <v>1</v>
      </c>
      <c r="I32" s="651" t="b">
        <f>+I23+'Reporte Componentes R1'!K89+'Rem. Anticipos R2'!J57+'Reversion Pagos R4'!I79+'Reporte Componentes R1'!K91+'AJUSTES - SF-T'!I47=I9</f>
        <v>1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f>
        <v>0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1</v>
      </c>
      <c r="G33" s="651" t="b">
        <f>+G24+'Reporte Componentes R1'!I323+'Rem. Anticipos R2'!H178+'Reversion Pagos R4'!G180+'Reporte Componentes R1'!I325+'AJUSTES - SF-T'!G48=G10</f>
        <v>1</v>
      </c>
      <c r="H33" s="651" t="b">
        <f>+H24+'Reporte Componentes R1'!J323+'Rem. Anticipos R2'!I178+'Reversion Pagos R4'!H180+'Reporte Componentes R1'!J325+'AJUSTES - SF-T'!H48=H10</f>
        <v>1</v>
      </c>
      <c r="I33" s="651" t="b">
        <f>+I24+'Reporte Componentes R1'!K323+'Rem. Anticipos R2'!J178+'Reversion Pagos R4'!I180+'Reporte Componentes R1'!K325+'AJUSTES - SF-T'!I48=I10</f>
        <v>1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f>
        <v>0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f>
        <v>0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f>
        <v>0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I8" workbookViewId="0">
      <selection activeCell="H25" sqref="H25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339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340</v>
      </c>
      <c r="F6" s="660" t="s">
        <v>230</v>
      </c>
    </row>
    <row r="7" spans="2:15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1599792140</v>
      </c>
      <c r="E9" s="642">
        <v>1528705401</v>
      </c>
      <c r="F9" s="642">
        <v>7192055639</v>
      </c>
      <c r="G9" s="642">
        <v>2730289263</v>
      </c>
      <c r="H9" s="642">
        <v>297320755</v>
      </c>
      <c r="I9" s="642">
        <v>-189185987</v>
      </c>
      <c r="J9" s="642">
        <v>-46493</v>
      </c>
      <c r="K9" s="642">
        <v>30635670</v>
      </c>
      <c r="L9" s="642">
        <v>-2797480526</v>
      </c>
      <c r="M9" s="642">
        <v>-5386816242</v>
      </c>
      <c r="N9" s="642">
        <v>7802750145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1338675875</v>
      </c>
      <c r="E10" s="642">
        <v>1326046282</v>
      </c>
      <c r="F10" s="642">
        <v>6214923337</v>
      </c>
      <c r="G10" s="642">
        <v>2154507356</v>
      </c>
      <c r="H10" s="642">
        <v>249017603</v>
      </c>
      <c r="I10" s="642">
        <v>-266580255</v>
      </c>
      <c r="J10" s="642">
        <v>4616</v>
      </c>
      <c r="K10" s="642">
        <v>43616074</v>
      </c>
      <c r="L10" s="642">
        <v>-3799150269</v>
      </c>
      <c r="M10" s="642">
        <v>1294109528</v>
      </c>
      <c r="N10" s="642">
        <v>12354320415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900404437</v>
      </c>
      <c r="E11" s="642">
        <v>880251836</v>
      </c>
      <c r="F11" s="642">
        <v>4143016466</v>
      </c>
      <c r="G11" s="642">
        <v>1683861343</v>
      </c>
      <c r="H11" s="642">
        <v>167421357</v>
      </c>
      <c r="I11" s="642">
        <v>-154788535</v>
      </c>
      <c r="J11" s="642">
        <v>46663</v>
      </c>
      <c r="K11" s="642">
        <v>25562528</v>
      </c>
      <c r="L11" s="642">
        <v>-1394589655</v>
      </c>
      <c r="M11" s="642">
        <v>-164192657</v>
      </c>
      <c r="N11" s="642">
        <v>7481583438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863496515</v>
      </c>
      <c r="E12" s="642">
        <v>850915239</v>
      </c>
      <c r="F12" s="642">
        <v>4336930906</v>
      </c>
      <c r="G12" s="642">
        <v>1725012319</v>
      </c>
      <c r="H12" s="642">
        <v>160878230</v>
      </c>
      <c r="I12" s="642">
        <v>-120391083</v>
      </c>
      <c r="J12" s="642">
        <v>-64129</v>
      </c>
      <c r="K12" s="642">
        <v>23185408</v>
      </c>
      <c r="L12" s="642">
        <v>-582296951</v>
      </c>
      <c r="M12" s="642">
        <v>-620430857</v>
      </c>
      <c r="N12" s="642">
        <v>7219532548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661834830</v>
      </c>
      <c r="E13" s="642">
        <v>643876202</v>
      </c>
      <c r="F13" s="642">
        <v>3304216945</v>
      </c>
      <c r="G13" s="642">
        <v>1500679344</v>
      </c>
      <c r="H13" s="642">
        <v>123096145</v>
      </c>
      <c r="I13" s="642">
        <v>-128990445</v>
      </c>
      <c r="J13" s="642">
        <v>-16688</v>
      </c>
      <c r="K13" s="642">
        <v>32575938</v>
      </c>
      <c r="L13" s="642">
        <v>-191300783</v>
      </c>
      <c r="M13" s="642">
        <v>1032799907</v>
      </c>
      <c r="N13" s="642">
        <v>7170072177</v>
      </c>
      <c r="O13" s="642">
        <v>0</v>
      </c>
    </row>
    <row r="14" spans="2:15" customFormat="1" ht="13.2" x14ac:dyDescent="0.25">
      <c r="B14" s="641"/>
      <c r="C14" s="641" t="s">
        <v>70</v>
      </c>
      <c r="D14" s="642">
        <v>5364203797</v>
      </c>
      <c r="E14" s="642">
        <v>5229794960</v>
      </c>
      <c r="F14" s="642">
        <v>25191143293</v>
      </c>
      <c r="G14" s="642">
        <v>9794349625</v>
      </c>
      <c r="H14" s="642">
        <v>997734090</v>
      </c>
      <c r="I14" s="642">
        <v>-859936305</v>
      </c>
      <c r="J14" s="642">
        <v>-76031</v>
      </c>
      <c r="K14" s="642">
        <v>155575618</v>
      </c>
      <c r="L14" s="642">
        <v>-8764818184</v>
      </c>
      <c r="M14" s="642">
        <v>-3844530321</v>
      </c>
      <c r="N14" s="642">
        <v>42028258723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-0.13000011444091797</v>
      </c>
      <c r="E16" s="648">
        <f>E9-'CONSOLIDADO_TOTAL RECAUDO'!V104</f>
        <v>0.12000012397766113</v>
      </c>
      <c r="F16" s="648">
        <f>F9-'CONSOLIDADO_TOTAL RECAUDO'!W104</f>
        <v>0.15999984741210938</v>
      </c>
      <c r="G16" s="648">
        <f>G9-'CONSOLIDADO_TOTAL RECAUDO'!X104</f>
        <v>0.12999963760375977</v>
      </c>
      <c r="H16" s="648">
        <f>H9-'CONSOLIDADO_TOTAL RECAUDO'!Y104</f>
        <v>9.9999904632568359E-3</v>
      </c>
      <c r="I16" s="648">
        <f>I9-'CONSOLIDADO_TOTAL RECAUDO'!Z104</f>
        <v>0</v>
      </c>
      <c r="J16" s="648">
        <f>J9-'CONSOLIDADO_TOTAL RECAUDO'!AA104-'CONSOLIDADO_TOTAL RECAUDO'!AC104</f>
        <v>-0.11000000000262844</v>
      </c>
      <c r="K16" s="648">
        <f>K9-'CONSOLIDADO_TOTAL RECAUDO'!AB104</f>
        <v>0.42000000178813934</v>
      </c>
      <c r="L16" s="648">
        <f>L9-'CONSOLIDADO_TOTAL RECAUDO'!AE104</f>
        <v>-0.34999990463256836</v>
      </c>
      <c r="M16" s="648">
        <f>M9-'CONSOLIDADO_TOTAL RECAUDO'!AD104</f>
        <v>0.19000053405761719</v>
      </c>
      <c r="N16" s="648">
        <f>N9-'CONSOLIDADO_TOTAL RECAUDO'!AF104</f>
        <v>-0.21000099182128906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0.23000025749206543</v>
      </c>
      <c r="E17" s="648">
        <f>E10-'CONSOLIDADO_TOTAL RECAUDO'!V105</f>
        <v>0.16000008583068848</v>
      </c>
      <c r="F17" s="648">
        <f>F10-'CONSOLIDADO_TOTAL RECAUDO'!W105</f>
        <v>5.9999465942382813E-2</v>
      </c>
      <c r="G17" s="648">
        <f>G10-'CONSOLIDADO_TOTAL RECAUDO'!X105</f>
        <v>0.43000030517578125</v>
      </c>
      <c r="H17" s="648">
        <f>H10-'CONSOLIDADO_TOTAL RECAUDO'!Y105</f>
        <v>-0.29999998211860657</v>
      </c>
      <c r="I17" s="648">
        <f>I10-'CONSOLIDADO_TOTAL RECAUDO'!Z105</f>
        <v>0</v>
      </c>
      <c r="J17" s="648">
        <f>J10-'CONSOLIDADO_TOTAL RECAUDO'!AA105-'CONSOLIDADO_TOTAL RECAUDO'!AC105</f>
        <v>0.12000000000261934</v>
      </c>
      <c r="K17" s="648">
        <f>K10-'CONSOLIDADO_TOTAL RECAUDO'!AB105</f>
        <v>0.2800000011920929</v>
      </c>
      <c r="L17" s="648">
        <f>L10-'CONSOLIDADO_TOTAL RECAUDO'!AE105</f>
        <v>0.12999963760375977</v>
      </c>
      <c r="M17" s="648">
        <f>M10-'CONSOLIDADO_TOTAL RECAUDO'!AD105</f>
        <v>-8.9999675750732422E-2</v>
      </c>
      <c r="N17" s="648">
        <f>N10-'CONSOLIDADO_TOTAL RECAUDO'!AF105</f>
        <v>-0.10999679565429688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-5.000007152557373E-2</v>
      </c>
      <c r="E18" s="648">
        <f>E11-'CONSOLIDADO_TOTAL RECAUDO'!V106</f>
        <v>2.9999852180480957E-2</v>
      </c>
      <c r="F18" s="648">
        <f>F11-'CONSOLIDADO_TOTAL RECAUDO'!W106</f>
        <v>0.20000028610229492</v>
      </c>
      <c r="G18" s="648">
        <f>G11-'CONSOLIDADO_TOTAL RECAUDO'!X106</f>
        <v>-0.17999982833862305</v>
      </c>
      <c r="H18" s="648">
        <f>H11-'CONSOLIDADO_TOTAL RECAUDO'!Y106</f>
        <v>0</v>
      </c>
      <c r="I18" s="648">
        <f>I11-'CONSOLIDADO_TOTAL RECAUDO'!Z106</f>
        <v>0</v>
      </c>
      <c r="J18" s="648">
        <f>J11-'CONSOLIDADO_TOTAL RECAUDO'!AA106-'CONSOLIDADO_TOTAL RECAUDO'!AC106</f>
        <v>0.42999999999999972</v>
      </c>
      <c r="K18" s="648">
        <f>K11-'CONSOLIDADO_TOTAL RECAUDO'!AB106</f>
        <v>-0.48000000044703484</v>
      </c>
      <c r="L18" s="648">
        <f>L11-'CONSOLIDADO_TOTAL RECAUDO'!AE106</f>
        <v>0.40999984741210938</v>
      </c>
      <c r="M18" s="648">
        <f>M11-'CONSOLIDADO_TOTAL RECAUDO'!AD106</f>
        <v>-2.9999971389770508E-2</v>
      </c>
      <c r="N18" s="648">
        <f>N11-'CONSOLIDADO_TOTAL RECAUDO'!AF106</f>
        <v>-7.9998970031738281E-2</v>
      </c>
      <c r="O18" s="648">
        <f>O11-'CONSOLIDADO_TOTAL RECAUDO'!AG106</f>
        <v>-9.999847412109375E-2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-0.32999992370605469</v>
      </c>
      <c r="E19" s="648">
        <f>E12-'CONSOLIDADO_TOTAL RECAUDO'!V107</f>
        <v>0.21000003814697266</v>
      </c>
      <c r="F19" s="648">
        <f>F12-'CONSOLIDADO_TOTAL RECAUDO'!W107</f>
        <v>0.26999855041503906</v>
      </c>
      <c r="G19" s="648">
        <f>G12-'CONSOLIDADO_TOTAL RECAUDO'!X107</f>
        <v>0.31000018119812012</v>
      </c>
      <c r="H19" s="648">
        <f>H12-'CONSOLIDADO_TOTAL RECAUDO'!Y107</f>
        <v>-0.38000002503395081</v>
      </c>
      <c r="I19" s="648">
        <f>I12-'CONSOLIDADO_TOTAL RECAUDO'!Z107</f>
        <v>0</v>
      </c>
      <c r="J19" s="648">
        <f>J12-'CONSOLIDADO_TOTAL RECAUDO'!AA107-'CONSOLIDADO_TOTAL RECAUDO'!AC107</f>
        <v>0.47000000000087994</v>
      </c>
      <c r="K19" s="648">
        <f>K12-'CONSOLIDADO_TOTAL RECAUDO'!AB107</f>
        <v>1.9999999552965164E-2</v>
      </c>
      <c r="L19" s="648">
        <f>L12-'CONSOLIDADO_TOTAL RECAUDO'!AE107</f>
        <v>-0.19999992847442627</v>
      </c>
      <c r="M19" s="648">
        <f>M12-'CONSOLIDADO_TOTAL RECAUDO'!AD107</f>
        <v>-0.39999985694885254</v>
      </c>
      <c r="N19" s="648">
        <f>N12-'CONSOLIDADO_TOTAL RECAUDO'!AF107</f>
        <v>0.17000007629394531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0.29000008106231689</v>
      </c>
      <c r="E20" s="648">
        <f>E13-'CONSOLIDADO_TOTAL RECAUDO'!V108</f>
        <v>0.35000014305114746</v>
      </c>
      <c r="F20" s="648">
        <f>F13-'CONSOLIDADO_TOTAL RECAUDO'!W108</f>
        <v>-0.45000028610229492</v>
      </c>
      <c r="G20" s="648">
        <f>G13-'CONSOLIDADO_TOTAL RECAUDO'!X108</f>
        <v>0.3900001049041748</v>
      </c>
      <c r="H20" s="648">
        <f>H13-'CONSOLIDADO_TOTAL RECAUDO'!Y108</f>
        <v>0.45999999344348907</v>
      </c>
      <c r="I20" s="648">
        <f>I13-'CONSOLIDADO_TOTAL RECAUDO'!Z108</f>
        <v>0</v>
      </c>
      <c r="J20" s="648">
        <f>J13-'CONSOLIDADO_TOTAL RECAUDO'!AA108-'CONSOLIDADO_TOTAL RECAUDO'!AC108</f>
        <v>0.45000000000044338</v>
      </c>
      <c r="K20" s="648">
        <f>K13-'CONSOLIDADO_TOTAL RECAUDO'!AB108</f>
        <v>-0.37999999895691872</v>
      </c>
      <c r="L20" s="648">
        <f>L13-'CONSOLIDADO_TOTAL RECAUDO'!AE108</f>
        <v>3.0000001192092896E-2</v>
      </c>
      <c r="M20" s="648">
        <f>M13-'CONSOLIDADO_TOTAL RECAUDO'!AD108</f>
        <v>-0.43000030517578125</v>
      </c>
      <c r="N20" s="648">
        <f>N13-'CONSOLIDADO_TOTAL RECAUDO'!AF108</f>
        <v>-0.31999874114990234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1.0000228881835938E-2</v>
      </c>
      <c r="E21" s="648">
        <f>E14-'CONSOLIDADO_TOTAL RECAUDO'!V109</f>
        <v>0.87000083923339844</v>
      </c>
      <c r="F21" s="648">
        <f>F14-'CONSOLIDADO_TOTAL RECAUDO'!W109</f>
        <v>0.23999404907226563</v>
      </c>
      <c r="G21" s="648">
        <f>G14-'CONSOLIDADO_TOTAL RECAUDO'!X109</f>
        <v>1.0799999237060547</v>
      </c>
      <c r="H21" s="648">
        <f>H14-'CONSOLIDADO_TOTAL RECAUDO'!Y109</f>
        <v>-0.20999991893768311</v>
      </c>
      <c r="I21" s="648">
        <f>I14-'CONSOLIDADO_TOTAL RECAUDO'!Z109</f>
        <v>0</v>
      </c>
      <c r="J21" s="648">
        <f>J14-'CONSOLIDADO_TOTAL RECAUDO'!AA109-'CONSOLIDADO_TOTAL RECAUDO'!AC109</f>
        <v>1.360000000007858</v>
      </c>
      <c r="K21" s="648">
        <f>K14-'CONSOLIDADO_TOTAL RECAUDO'!AB109</f>
        <v>-0.14000001549720764</v>
      </c>
      <c r="L21" s="648">
        <f>L14-'CONSOLIDADO_TOTAL RECAUDO'!AE109</f>
        <v>2.0000457763671875E-2</v>
      </c>
      <c r="M21" s="648">
        <f>M14-'CONSOLIDADO_TOTAL RECAUDO'!AD109</f>
        <v>-0.75999927520751953</v>
      </c>
      <c r="N21" s="648">
        <f>N14-'CONSOLIDADO_TOTAL RECAUDO'!AF109</f>
        <v>-0.54999542236328125</v>
      </c>
      <c r="O21" s="648">
        <f>O14-'CONSOLIDADO_TOTAL RECAUDO'!AG109</f>
        <v>-9.999847412109375E-2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+DetRetri2026091!N32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0</v>
      </c>
      <c r="K25" s="654" t="b">
        <f>+DetRetri2026091!N33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1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0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1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1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1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1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1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1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1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17450250542.779995</v>
      </c>
      <c r="E9" s="292">
        <f>'CONSOLIDADO_TOTAL RECAUDO'!E104</f>
        <v>1002730527.37</v>
      </c>
      <c r="F9" s="292">
        <f>'CONSOLIDADO_TOTAL RECAUDO'!F104</f>
        <v>559513165.82999992</v>
      </c>
      <c r="G9" s="292">
        <f>'CONSOLIDADO_TOTAL RECAUDO'!G104</f>
        <v>296340285.38</v>
      </c>
      <c r="H9" s="292">
        <f>'CONSOLIDADO_TOTAL RECAUDO'!H104</f>
        <v>4858821909</v>
      </c>
      <c r="I9" s="292">
        <f>'CONSOLIDADO_TOTAL RECAUDO'!I104</f>
        <v>182208476.03000003</v>
      </c>
      <c r="J9" s="288">
        <f>'CONSOLIDADO_TOTAL RECAUDO'!J104</f>
        <v>2589335716.54</v>
      </c>
      <c r="K9" s="293">
        <f>'CONSOLIDADO_TOTAL RECAUDO'!K104</f>
        <v>7961300462.6299944</v>
      </c>
      <c r="L9" s="294">
        <f>'CONSOLIDADO_TOTAL RECAUDO'!L104</f>
        <v>189185987</v>
      </c>
      <c r="M9" s="293">
        <f>'CONSOLIDADO_TOTAL RECAUDO'!M104</f>
        <v>7772114475.6299944</v>
      </c>
      <c r="N9" s="294">
        <f>'CONSOLIDADO_TOTAL RECAUDO'!N104</f>
        <v>30635669.579999998</v>
      </c>
      <c r="O9" s="293">
        <f>'CONSOLIDADO_TOTAL RECAUDO'!O104</f>
        <v>7802750145.2099943</v>
      </c>
      <c r="Q9" s="306"/>
      <c r="S9" s="303">
        <v>1</v>
      </c>
      <c r="T9" s="304" t="s">
        <v>10</v>
      </c>
      <c r="U9" s="307">
        <f>'CONSOLIDADO_TOTAL RECAUDO'!U104</f>
        <v>1599792140.1300001</v>
      </c>
      <c r="V9" s="308">
        <f>'CONSOLIDADO_TOTAL RECAUDO'!V104</f>
        <v>1528705400.8799999</v>
      </c>
      <c r="W9" s="308">
        <f>'CONSOLIDADO_TOTAL RECAUDO'!W104</f>
        <v>7192055638.8400002</v>
      </c>
      <c r="X9" s="308">
        <f>'CONSOLIDADO_TOTAL RECAUDO'!X104</f>
        <v>2730289262.8700004</v>
      </c>
      <c r="Y9" s="309">
        <f>'CONSOLIDADO_TOTAL RECAUDO'!Y104</f>
        <v>297320754.99000001</v>
      </c>
      <c r="Z9" s="310">
        <f>'CONSOLIDADO_TOTAL RECAUDO'!Z104</f>
        <v>-189185987</v>
      </c>
      <c r="AA9" s="311">
        <f>'CONSOLIDADO_TOTAL RECAUDO'!AA104</f>
        <v>-46885.63</v>
      </c>
      <c r="AB9" s="294">
        <f>'CONSOLIDADO_TOTAL RECAUDO'!AB104</f>
        <v>30635669.579999998</v>
      </c>
      <c r="AC9" s="311">
        <f>'CONSOLIDADO_TOTAL RECAUDO'!AC104</f>
        <v>392.74</v>
      </c>
      <c r="AD9" s="291">
        <f>'CONSOLIDADO_TOTAL RECAUDO'!AD104</f>
        <v>-5386816242.1900005</v>
      </c>
      <c r="AE9" s="291">
        <f>'CONSOLIDADO_TOTAL RECAUDO'!AE104</f>
        <v>-2797480525.6500001</v>
      </c>
      <c r="AF9" s="313">
        <f>'CONSOLIDADO_TOTAL RECAUDO'!AF104</f>
        <v>7802750145.210001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14147357755.390001</v>
      </c>
      <c r="E10" s="292">
        <f>'CONSOLIDADO_TOTAL RECAUDO'!E105</f>
        <v>1096241904.79</v>
      </c>
      <c r="F10" s="292">
        <f>'CONSOLIDADO_TOTAL RECAUDO'!F105</f>
        <v>607688510.58999991</v>
      </c>
      <c r="G10" s="292">
        <f>'CONSOLIDADO_TOTAL RECAUDO'!G105</f>
        <v>320746087.44</v>
      </c>
      <c r="H10" s="292">
        <f>'CONSOLIDADO_TOTAL RECAUDO'!H105</f>
        <v>4486156883.4699993</v>
      </c>
      <c r="I10" s="292">
        <f>'CONSOLIDADO_TOTAL RECAUDO'!I105</f>
        <v>152499569.92999998</v>
      </c>
      <c r="J10" s="288">
        <f>'CONSOLIDADO_TOTAL RECAUDO'!J105</f>
        <v>-5093259797.2199993</v>
      </c>
      <c r="K10" s="295">
        <f>'CONSOLIDADO_TOTAL RECAUDO'!K105</f>
        <v>12577284596.390001</v>
      </c>
      <c r="L10" s="294">
        <f>'CONSOLIDADO_TOTAL RECAUDO'!L105</f>
        <v>266580255</v>
      </c>
      <c r="M10" s="295">
        <f>'CONSOLIDADO_TOTAL RECAUDO'!M105</f>
        <v>12310704341.390001</v>
      </c>
      <c r="N10" s="294">
        <f>'CONSOLIDADO_TOTAL RECAUDO'!N105</f>
        <v>43616073.719999999</v>
      </c>
      <c r="O10" s="295">
        <f>'CONSOLIDADO_TOTAL RECAUDO'!O105</f>
        <v>12354320415.110001</v>
      </c>
      <c r="Q10" s="306"/>
      <c r="S10" s="314">
        <v>2</v>
      </c>
      <c r="T10" s="315" t="s">
        <v>11</v>
      </c>
      <c r="U10" s="316">
        <f>'CONSOLIDADO_TOTAL RECAUDO'!U105</f>
        <v>1338675874.7699997</v>
      </c>
      <c r="V10" s="317">
        <f>'CONSOLIDADO_TOTAL RECAUDO'!V105</f>
        <v>1326046281.8399999</v>
      </c>
      <c r="W10" s="317">
        <f>'CONSOLIDADO_TOTAL RECAUDO'!W105</f>
        <v>6214923336.9400005</v>
      </c>
      <c r="X10" s="317">
        <f>'CONSOLIDADO_TOTAL RECAUDO'!X105</f>
        <v>2154507355.5699997</v>
      </c>
      <c r="Y10" s="318">
        <f>'CONSOLIDADO_TOTAL RECAUDO'!Y105</f>
        <v>249017603.29999998</v>
      </c>
      <c r="Z10" s="319">
        <f>'CONSOLIDADO_TOTAL RECAUDO'!Z105</f>
        <v>-266580255</v>
      </c>
      <c r="AA10" s="320">
        <f>'CONSOLIDADO_TOTAL RECAUDO'!AA105</f>
        <v>61423.42</v>
      </c>
      <c r="AB10" s="294">
        <f>'CONSOLIDADO_TOTAL RECAUDO'!AB105</f>
        <v>43616073.719999999</v>
      </c>
      <c r="AC10" s="320">
        <f>'CONSOLIDADO_TOTAL RECAUDO'!AC105</f>
        <v>-56807.54</v>
      </c>
      <c r="AD10" s="291">
        <f>'CONSOLIDADO_TOTAL RECAUDO'!AD105</f>
        <v>1294109528.0899997</v>
      </c>
      <c r="AE10" s="291">
        <f>'CONSOLIDADO_TOTAL RECAUDO'!AE105</f>
        <v>-3799150269.1299996</v>
      </c>
      <c r="AF10" s="322">
        <f>'CONSOLIDADO_TOTAL RECAUDO'!AF105</f>
        <v>12354320415.109997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10891338739.480001</v>
      </c>
      <c r="E11" s="292">
        <f>'CONSOLIDADO_TOTAL RECAUDO'!E106</f>
        <v>710706076.85000002</v>
      </c>
      <c r="F11" s="292">
        <f>'CONSOLIDADO_TOTAL RECAUDO'!F106</f>
        <v>397477480.34999996</v>
      </c>
      <c r="G11" s="292">
        <f>'CONSOLIDADO_TOTAL RECAUDO'!G106</f>
        <v>210365934.29999998</v>
      </c>
      <c r="H11" s="292">
        <f>'CONSOLIDADO_TOTAL RECAUDO'!H106</f>
        <v>3089785742.8100004</v>
      </c>
      <c r="I11" s="292">
        <f>'CONSOLIDADO_TOTAL RECAUDO'!I106</f>
        <v>102591059.10999998</v>
      </c>
      <c r="J11" s="288">
        <f>'CONSOLIDADO_TOTAL RECAUDO'!J106</f>
        <v>-1230396998.4399998</v>
      </c>
      <c r="K11" s="295">
        <f>'CONSOLIDADO_TOTAL RECAUDO'!K106</f>
        <v>7610809444.500001</v>
      </c>
      <c r="L11" s="294">
        <f>'CONSOLIDADO_TOTAL RECAUDO'!L106</f>
        <v>154788535</v>
      </c>
      <c r="M11" s="295">
        <f>'CONSOLIDADO_TOTAL RECAUDO'!M106</f>
        <v>7456020909.500001</v>
      </c>
      <c r="N11" s="294">
        <f>'CONSOLIDADO_TOTAL RECAUDO'!N106</f>
        <v>25562528.48</v>
      </c>
      <c r="O11" s="295">
        <f>'CONSOLIDADO_TOTAL RECAUDO'!O106</f>
        <v>7481583437.9800005</v>
      </c>
      <c r="Q11" s="306"/>
      <c r="S11" s="314">
        <v>3</v>
      </c>
      <c r="T11" s="315" t="s">
        <v>12</v>
      </c>
      <c r="U11" s="316">
        <f>'CONSOLIDADO_TOTAL RECAUDO'!U106</f>
        <v>900404437.05000007</v>
      </c>
      <c r="V11" s="317">
        <f>'CONSOLIDADO_TOTAL RECAUDO'!V106</f>
        <v>880251835.97000015</v>
      </c>
      <c r="W11" s="317">
        <f>'CONSOLIDADO_TOTAL RECAUDO'!W106</f>
        <v>4143016465.7999997</v>
      </c>
      <c r="X11" s="317">
        <f>'CONSOLIDADO_TOTAL RECAUDO'!X106</f>
        <v>1683861343.1799998</v>
      </c>
      <c r="Y11" s="318">
        <f>'CONSOLIDADO_TOTAL RECAUDO'!Y106</f>
        <v>167421357.00000003</v>
      </c>
      <c r="Z11" s="319">
        <f>'CONSOLIDADO_TOTAL RECAUDO'!Z106</f>
        <v>-154788535</v>
      </c>
      <c r="AA11" s="320">
        <f>'CONSOLIDADO_TOTAL RECAUDO'!AA106</f>
        <v>46657</v>
      </c>
      <c r="AB11" s="294">
        <f>'CONSOLIDADO_TOTAL RECAUDO'!AB106</f>
        <v>25562528.48</v>
      </c>
      <c r="AC11" s="320">
        <f>'CONSOLIDADO_TOTAL RECAUDO'!AC106</f>
        <v>5.57</v>
      </c>
      <c r="AD11" s="291">
        <f>'CONSOLIDADO_TOTAL RECAUDO'!AD106</f>
        <v>-164192656.97000003</v>
      </c>
      <c r="AE11" s="291">
        <f>'CONSOLIDADO_TOTAL RECAUDO'!AE106</f>
        <v>-1394589655.4099998</v>
      </c>
      <c r="AF11" s="322">
        <f>'CONSOLIDADO_TOTAL RECAUDO'!AF106</f>
        <v>7481583438.079999</v>
      </c>
      <c r="AG11" s="522">
        <f>'CONSOLIDADO_TOTAL RECAUDO'!AG106</f>
        <v>9.999847412109375E-2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11508947206.76</v>
      </c>
      <c r="E12" s="292">
        <f>'CONSOLIDADO_TOTAL RECAUDO'!E107</f>
        <v>651620353.97000015</v>
      </c>
      <c r="F12" s="292">
        <f>'CONSOLIDADO_TOTAL RECAUDO'!F107</f>
        <v>362076890.99000001</v>
      </c>
      <c r="G12" s="292">
        <f>'CONSOLIDADO_TOTAL RECAUDO'!G107</f>
        <v>191424494.84999999</v>
      </c>
      <c r="H12" s="292">
        <f>'CONSOLIDADO_TOTAL RECAUDO'!H107</f>
        <v>2850519494.2000003</v>
      </c>
      <c r="I12" s="292">
        <f>'CONSOLIDADO_TOTAL RECAUDO'!I107</f>
        <v>98433844.099999994</v>
      </c>
      <c r="J12" s="288">
        <f>'CONSOLIDADO_TOTAL RECAUDO'!J107</f>
        <v>38133905.800000012</v>
      </c>
      <c r="K12" s="295">
        <f>'CONSOLIDADO_TOTAL RECAUDO'!K107</f>
        <v>7316738222.8499994</v>
      </c>
      <c r="L12" s="294">
        <f>'CONSOLIDADO_TOTAL RECAUDO'!L107</f>
        <v>120391083</v>
      </c>
      <c r="M12" s="295">
        <f>'CONSOLIDADO_TOTAL RECAUDO'!M107</f>
        <v>7196347139.8499994</v>
      </c>
      <c r="N12" s="294">
        <f>'CONSOLIDADO_TOTAL RECAUDO'!N107</f>
        <v>23185407.98</v>
      </c>
      <c r="O12" s="295">
        <f>'CONSOLIDADO_TOTAL RECAUDO'!O107</f>
        <v>7219532547.829999</v>
      </c>
      <c r="Q12" s="306"/>
      <c r="S12" s="314">
        <v>4</v>
      </c>
      <c r="T12" s="315" t="s">
        <v>13</v>
      </c>
      <c r="U12" s="316">
        <f>'CONSOLIDADO_TOTAL RECAUDO'!U107</f>
        <v>863496515.32999992</v>
      </c>
      <c r="V12" s="317">
        <f>'CONSOLIDADO_TOTAL RECAUDO'!V107</f>
        <v>850915238.78999996</v>
      </c>
      <c r="W12" s="317">
        <f>'CONSOLIDADO_TOTAL RECAUDO'!W107</f>
        <v>4336930905.7300014</v>
      </c>
      <c r="X12" s="317">
        <f>'CONSOLIDADO_TOTAL RECAUDO'!X107</f>
        <v>1725012318.6899998</v>
      </c>
      <c r="Y12" s="318">
        <f>'CONSOLIDADO_TOTAL RECAUDO'!Y107</f>
        <v>160878230.38000003</v>
      </c>
      <c r="Z12" s="319">
        <f>'CONSOLIDADO_TOTAL RECAUDO'!Z107</f>
        <v>-120391083</v>
      </c>
      <c r="AA12" s="320">
        <f>'CONSOLIDADO_TOTAL RECAUDO'!AA107</f>
        <v>-64310.54</v>
      </c>
      <c r="AB12" s="294">
        <f>'CONSOLIDADO_TOTAL RECAUDO'!AB107</f>
        <v>23185407.98</v>
      </c>
      <c r="AC12" s="320">
        <f>'CONSOLIDADO_TOTAL RECAUDO'!AC107</f>
        <v>181.07</v>
      </c>
      <c r="AD12" s="291">
        <f>'CONSOLIDADO_TOTAL RECAUDO'!AD107</f>
        <v>-620430856.60000014</v>
      </c>
      <c r="AE12" s="291">
        <f>'CONSOLIDADO_TOTAL RECAUDO'!AE107</f>
        <v>-582296950.80000007</v>
      </c>
      <c r="AF12" s="322">
        <f>'CONSOLIDADO_TOTAL RECAUDO'!AF107</f>
        <v>7219532547.8299999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9147179378.3299999</v>
      </c>
      <c r="E13" s="297">
        <f>'CONSOLIDADO_TOTAL RECAUDO'!E108</f>
        <v>501141808.77999997</v>
      </c>
      <c r="F13" s="297">
        <f>'CONSOLIDADO_TOTAL RECAUDO'!F108</f>
        <v>279950730.87</v>
      </c>
      <c r="G13" s="297">
        <f>'CONSOLIDADO_TOTAL RECAUDO'!G108</f>
        <v>148242908.43000001</v>
      </c>
      <c r="H13" s="297">
        <f>'CONSOLIDADO_TOTAL RECAUDO'!H108</f>
        <v>2100067179.73</v>
      </c>
      <c r="I13" s="297">
        <f>'CONSOLIDADO_TOTAL RECAUDO'!I108</f>
        <v>75390757.040000021</v>
      </c>
      <c r="J13" s="289">
        <f>'CONSOLIDADO_TOTAL RECAUDO'!J108</f>
        <v>-1224100690.4600003</v>
      </c>
      <c r="K13" s="295">
        <f>'CONSOLIDADO_TOTAL RECAUDO'!K108</f>
        <v>7266486683.9399986</v>
      </c>
      <c r="L13" s="294">
        <f>'CONSOLIDADO_TOTAL RECAUDO'!L108</f>
        <v>128990445</v>
      </c>
      <c r="M13" s="298">
        <f>'CONSOLIDADO_TOTAL RECAUDO'!M108</f>
        <v>7137496238.9399986</v>
      </c>
      <c r="N13" s="299">
        <f>'CONSOLIDADO_TOTAL RECAUDO'!N108</f>
        <v>32575938.379999999</v>
      </c>
      <c r="O13" s="298">
        <f>'CONSOLIDADO_TOTAL RECAUDO'!O108</f>
        <v>7170072177.3199987</v>
      </c>
      <c r="Q13" s="306"/>
      <c r="S13" s="324">
        <v>5</v>
      </c>
      <c r="T13" s="325" t="s">
        <v>14</v>
      </c>
      <c r="U13" s="296">
        <f>'CONSOLIDADO_TOTAL RECAUDO'!U108</f>
        <v>661834829.70999992</v>
      </c>
      <c r="V13" s="297">
        <f>'CONSOLIDADO_TOTAL RECAUDO'!V108</f>
        <v>643876201.64999986</v>
      </c>
      <c r="W13" s="297">
        <f>'CONSOLIDADO_TOTAL RECAUDO'!W108</f>
        <v>3304216945.4500003</v>
      </c>
      <c r="X13" s="297">
        <f>'CONSOLIDADO_TOTAL RECAUDO'!X108</f>
        <v>1500679343.6099999</v>
      </c>
      <c r="Y13" s="289">
        <f>'CONSOLIDADO_TOTAL RECAUDO'!Y108</f>
        <v>123096144.54000001</v>
      </c>
      <c r="Z13" s="319">
        <f>'CONSOLIDADO_TOTAL RECAUDO'!Z108</f>
        <v>-128990445</v>
      </c>
      <c r="AA13" s="320">
        <f>'CONSOLIDADO_TOTAL RECAUDO'!AA108</f>
        <v>-16582.77</v>
      </c>
      <c r="AB13" s="294">
        <f>'CONSOLIDADO_TOTAL RECAUDO'!AB108</f>
        <v>32575938.379999999</v>
      </c>
      <c r="AC13" s="320">
        <f>'CONSOLIDADO_TOTAL RECAUDO'!AC108</f>
        <v>-105.68</v>
      </c>
      <c r="AD13" s="291">
        <f>'CONSOLIDADO_TOTAL RECAUDO'!AD108</f>
        <v>1032799907.4300003</v>
      </c>
      <c r="AE13" s="291">
        <f>'CONSOLIDADO_TOTAL RECAUDO'!AE108</f>
        <v>-191300783.03</v>
      </c>
      <c r="AF13" s="322">
        <f>'CONSOLIDADO_TOTAL RECAUDO'!AF108</f>
        <v>7170072177.3199987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63145073622.740005</v>
      </c>
      <c r="E14" s="290">
        <f>'CONSOLIDADO_TOTAL RECAUDO'!E109</f>
        <v>3962440671.7600002</v>
      </c>
      <c r="F14" s="290">
        <f>'CONSOLIDADO_TOTAL RECAUDO'!F109</f>
        <v>2206706778.6299996</v>
      </c>
      <c r="G14" s="290">
        <f>'CONSOLIDADO_TOTAL RECAUDO'!G109</f>
        <v>1167119710.3999999</v>
      </c>
      <c r="H14" s="290">
        <f>'CONSOLIDADO_TOTAL RECAUDO'!H109</f>
        <v>17385351209.209999</v>
      </c>
      <c r="I14" s="290">
        <f>'CONSOLIDADO_TOTAL RECAUDO'!I109</f>
        <v>611123706.21000004</v>
      </c>
      <c r="J14" s="290">
        <f>'CONSOLIDADO_TOTAL RECAUDO'!J109</f>
        <v>-4920287863.7799988</v>
      </c>
      <c r="K14" s="300">
        <f>'CONSOLIDADO_TOTAL RECAUDO'!K109</f>
        <v>42732619410.309998</v>
      </c>
      <c r="L14" s="301">
        <f>'CONSOLIDADO_TOTAL RECAUDO'!L109</f>
        <v>859936305</v>
      </c>
      <c r="M14" s="302">
        <f>'CONSOLIDADO_TOTAL RECAUDO'!M109</f>
        <v>41872683105.309998</v>
      </c>
      <c r="N14" s="301">
        <f>'CONSOLIDADO_TOTAL RECAUDO'!N109</f>
        <v>155575618.14000002</v>
      </c>
      <c r="O14" s="302">
        <f>'CONSOLIDADO_TOTAL RECAUDO'!O109</f>
        <v>42028258723.449997</v>
      </c>
      <c r="P14" s="329"/>
      <c r="Q14" s="306"/>
      <c r="S14" s="327"/>
      <c r="T14" s="328" t="s">
        <v>2</v>
      </c>
      <c r="U14" s="330">
        <f>'CONSOLIDADO_TOTAL RECAUDO'!U109</f>
        <v>5364203796.9899998</v>
      </c>
      <c r="V14" s="330">
        <f>'CONSOLIDADO_TOTAL RECAUDO'!V109</f>
        <v>5229794959.1299992</v>
      </c>
      <c r="W14" s="330">
        <f>'CONSOLIDADO_TOTAL RECAUDO'!W109</f>
        <v>25191143292.760006</v>
      </c>
      <c r="X14" s="330">
        <f>'CONSOLIDADO_TOTAL RECAUDO'!X109</f>
        <v>9794349623.9200001</v>
      </c>
      <c r="Y14" s="330">
        <f>'CONSOLIDADO_TOTAL RECAUDO'!Y109</f>
        <v>997734090.20999992</v>
      </c>
      <c r="Z14" s="290">
        <f>'CONSOLIDADO_TOTAL RECAUDO'!Z109</f>
        <v>-859936305</v>
      </c>
      <c r="AA14" s="290">
        <f>'CONSOLIDADO_TOTAL RECAUDO'!AA109</f>
        <v>-19698.52</v>
      </c>
      <c r="AB14" s="290">
        <f>'CONSOLIDADO_TOTAL RECAUDO'!AB109</f>
        <v>155575618.14000002</v>
      </c>
      <c r="AC14" s="290">
        <f>'CONSOLIDADO_TOTAL RECAUDO'!AC109</f>
        <v>-56333.840000000004</v>
      </c>
      <c r="AD14" s="290">
        <f>'CONSOLIDADO_TOTAL RECAUDO'!AD109</f>
        <v>-3844530320.2400007</v>
      </c>
      <c r="AE14" s="290">
        <f>'CONSOLIDADO_TOTAL RECAUDO'!AE109</f>
        <v>-8764818184.0200005</v>
      </c>
      <c r="AF14" s="331">
        <f>'CONSOLIDADO_TOTAL RECAUDO'!AF109</f>
        <v>42028258723.549995</v>
      </c>
      <c r="AG14" s="524">
        <f>'CONSOLIDADO_TOTAL RECAUDO'!AG109</f>
        <v>9.999847412109375E-2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19468720.030000001</v>
      </c>
      <c r="E27" s="292">
        <f>'REMUNERACION Reciprocidad EAAB'!E105</f>
        <v>1631027.85</v>
      </c>
      <c r="F27" s="292">
        <f>'REMUNERACION Reciprocidad EAAB'!F105</f>
        <v>968903.84000000008</v>
      </c>
      <c r="G27" s="292">
        <f>'REMUNERACION Reciprocidad EAAB'!G105</f>
        <v>317349.34999999998</v>
      </c>
      <c r="H27" s="292">
        <f>'REMUNERACION Reciprocidad EAAB'!H105</f>
        <v>8106641</v>
      </c>
      <c r="I27" s="292">
        <f>'REMUNERACION Reciprocidad EAAB'!I105</f>
        <v>244114.84</v>
      </c>
      <c r="J27" s="288">
        <f>'REMUNERACION Reciprocidad EAAB'!J105</f>
        <v>0</v>
      </c>
      <c r="K27" s="295">
        <f>'REMUNERACION Reciprocidad EAAB'!K105</f>
        <v>8200683.1500000004</v>
      </c>
      <c r="L27" s="294">
        <f>'REMUNERACION Reciprocidad EAAB'!L105</f>
        <v>0</v>
      </c>
      <c r="M27" s="295">
        <f>'REMUNERACION Reciprocidad EAAB'!M105</f>
        <v>8200683.1500000004</v>
      </c>
      <c r="N27" s="294">
        <f>'REMUNERACION Reciprocidad EAAB'!N105</f>
        <v>0</v>
      </c>
      <c r="O27" s="295">
        <f>'REMUNERACION Reciprocidad EAAB'!O105</f>
        <v>8200683.1500000004</v>
      </c>
      <c r="Q27" s="306"/>
      <c r="S27" s="314">
        <v>2</v>
      </c>
      <c r="T27" s="315" t="s">
        <v>11</v>
      </c>
      <c r="U27" s="316">
        <f>'REMUNERACION Reciprocidad EAAB'!U105</f>
        <v>2387808.7599999998</v>
      </c>
      <c r="V27" s="317">
        <f>'REMUNERACION Reciprocidad EAAB'!V105</f>
        <v>2117904.38</v>
      </c>
      <c r="W27" s="317">
        <f>'REMUNERACION Reciprocidad EAAB'!W105</f>
        <v>8750214.5299999993</v>
      </c>
      <c r="X27" s="317">
        <f>'REMUNERACION Reciprocidad EAAB'!X105</f>
        <v>3252300.2</v>
      </c>
      <c r="Y27" s="318">
        <f>'REMUNERACION Reciprocidad EAAB'!Y105</f>
        <v>283895.7</v>
      </c>
      <c r="Z27" s="319">
        <f>'REMUNERACION Reciprocidad EAAB'!Z105</f>
        <v>0</v>
      </c>
      <c r="AA27" s="320">
        <f>'REMUNERACION Reciprocidad EAAB'!AA105</f>
        <v>185.44</v>
      </c>
      <c r="AB27" s="294">
        <f>'REMUNERACION Reciprocidad EAAB'!AB105</f>
        <v>0</v>
      </c>
      <c r="AC27" s="320">
        <f>'REMUNERACION Reciprocidad EAAB'!AC105</f>
        <v>1.3499999999999999</v>
      </c>
      <c r="AD27" s="291">
        <f>'REMUNERACION Reciprocidad EAAB'!AD105</f>
        <v>-8591627.2100000009</v>
      </c>
      <c r="AE27" s="291">
        <f>'REMUNERACION Reciprocidad EAAB'!AE105</f>
        <v>-8591627.2100000009</v>
      </c>
      <c r="AF27" s="322">
        <f>'REMUNERACION Reciprocidad EAAB'!AF105</f>
        <v>8200683.1499999985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6945099.8599999994</v>
      </c>
      <c r="E29" s="292">
        <f>'REMUNERACION Reciprocidad EAAB'!E107</f>
        <v>390216.71</v>
      </c>
      <c r="F29" s="292">
        <f>'REMUNERACION Reciprocidad EAAB'!F107</f>
        <v>222372.34</v>
      </c>
      <c r="G29" s="292">
        <f>'REMUNERACION Reciprocidad EAAB'!G107</f>
        <v>93645.569999999992</v>
      </c>
      <c r="H29" s="292">
        <f>'REMUNERACION Reciprocidad EAAB'!H107</f>
        <v>1760615.6</v>
      </c>
      <c r="I29" s="292">
        <f>'REMUNERACION Reciprocidad EAAB'!I107</f>
        <v>55085.56</v>
      </c>
      <c r="J29" s="288">
        <f>'REMUNERACION Reciprocidad EAAB'!J107</f>
        <v>0</v>
      </c>
      <c r="K29" s="295">
        <f>'REMUNERACION Reciprocidad EAAB'!K107</f>
        <v>4423164.0799999991</v>
      </c>
      <c r="L29" s="294">
        <f>'REMUNERACION Reciprocidad EAAB'!L107</f>
        <v>0</v>
      </c>
      <c r="M29" s="295">
        <f>'REMUNERACION Reciprocidad EAAB'!M107</f>
        <v>4423164.0799999991</v>
      </c>
      <c r="N29" s="294">
        <f>'REMUNERACION Reciprocidad EAAB'!N107</f>
        <v>0</v>
      </c>
      <c r="O29" s="295">
        <f>'REMUNERACION Reciprocidad EAAB'!O107</f>
        <v>4423164.0799999991</v>
      </c>
      <c r="Q29" s="306"/>
      <c r="S29" s="314">
        <v>4</v>
      </c>
      <c r="T29" s="315" t="s">
        <v>13</v>
      </c>
      <c r="U29" s="316">
        <f>'REMUNERACION Reciprocidad EAAB'!U107</f>
        <v>515714.53</v>
      </c>
      <c r="V29" s="317">
        <f>'REMUNERACION Reciprocidad EAAB'!V107</f>
        <v>511519.27</v>
      </c>
      <c r="W29" s="317">
        <f>'REMUNERACION Reciprocidad EAAB'!W107</f>
        <v>2497642.7400000002</v>
      </c>
      <c r="X29" s="317">
        <f>'REMUNERACION Reciprocidad EAAB'!X107</f>
        <v>1077053.48</v>
      </c>
      <c r="Y29" s="318">
        <f>'REMUNERACION Reciprocidad EAAB'!Y107</f>
        <v>78689.97</v>
      </c>
      <c r="Z29" s="319">
        <f>'REMUNERACION Reciprocidad EAAB'!Z107</f>
        <v>0</v>
      </c>
      <c r="AA29" s="320">
        <f>'REMUNERACION Reciprocidad EAAB'!AA107</f>
        <v>0.38999999999999946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-257456.3</v>
      </c>
      <c r="AE29" s="291">
        <f>'REMUNERACION Reciprocidad EAAB'!AE107</f>
        <v>-257456.3</v>
      </c>
      <c r="AF29" s="322">
        <f>'REMUNERACION Reciprocidad EAAB'!AF107</f>
        <v>4423164.0799999991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26413819.890000001</v>
      </c>
      <c r="E31" s="290">
        <f>'REMUNERACION Reciprocidad EAAB'!E109</f>
        <v>2021244.56</v>
      </c>
      <c r="F31" s="290">
        <f>'REMUNERACION Reciprocidad EAAB'!F109</f>
        <v>1191276.1800000002</v>
      </c>
      <c r="G31" s="290">
        <f>'REMUNERACION Reciprocidad EAAB'!G109</f>
        <v>410994.92</v>
      </c>
      <c r="H31" s="290">
        <f>'REMUNERACION Reciprocidad EAAB'!H109</f>
        <v>9867256.5999999996</v>
      </c>
      <c r="I31" s="290">
        <f>'REMUNERACION Reciprocidad EAAB'!I109</f>
        <v>299200.40000000002</v>
      </c>
      <c r="J31" s="290">
        <f>'REMUNERACION Reciprocidad EAAB'!J109</f>
        <v>0</v>
      </c>
      <c r="K31" s="300">
        <f>'REMUNERACION Reciprocidad EAAB'!K109</f>
        <v>12623847.23</v>
      </c>
      <c r="L31" s="301">
        <f>'REMUNERACION Reciprocidad EAAB'!L109</f>
        <v>0</v>
      </c>
      <c r="M31" s="302">
        <f>'REMUNERACION Reciprocidad EAAB'!M109</f>
        <v>12623847.23</v>
      </c>
      <c r="N31" s="301">
        <f>'REMUNERACION Reciprocidad EAAB'!N109</f>
        <v>0</v>
      </c>
      <c r="O31" s="302">
        <f>'REMUNERACION Reciprocidad EAAB'!O109</f>
        <v>12623847.23</v>
      </c>
      <c r="P31" s="329"/>
      <c r="Q31" s="306"/>
      <c r="S31" s="327"/>
      <c r="T31" s="328" t="s">
        <v>2</v>
      </c>
      <c r="U31" s="330">
        <f>'REMUNERACION Reciprocidad EAAB'!U109</f>
        <v>2903523.29</v>
      </c>
      <c r="V31" s="330">
        <f>'REMUNERACION Reciprocidad EAAB'!V109</f>
        <v>2629423.65</v>
      </c>
      <c r="W31" s="330">
        <f>'REMUNERACION Reciprocidad EAAB'!W109</f>
        <v>11247857.27</v>
      </c>
      <c r="X31" s="330">
        <f>'REMUNERACION Reciprocidad EAAB'!X109</f>
        <v>4329353.68</v>
      </c>
      <c r="Y31" s="330">
        <f>'REMUNERACION Reciprocidad EAAB'!Y109</f>
        <v>362585.67000000004</v>
      </c>
      <c r="Z31" s="290">
        <f>'REMUNERACION Reciprocidad EAAB'!Z109</f>
        <v>0</v>
      </c>
      <c r="AA31" s="290">
        <f>'REMUNERACION Reciprocidad EAAB'!AA109</f>
        <v>185.82999999999998</v>
      </c>
      <c r="AB31" s="290">
        <f>'REMUNERACION Reciprocidad EAAB'!AB109</f>
        <v>0</v>
      </c>
      <c r="AC31" s="290">
        <f>'REMUNERACION Reciprocidad EAAB'!AC109</f>
        <v>1.3499999999999999</v>
      </c>
      <c r="AD31" s="290">
        <f>'REMUNERACION Reciprocidad EAAB'!AD109</f>
        <v>-8849083.5100000016</v>
      </c>
      <c r="AE31" s="290">
        <f>'REMUNERACION Reciprocidad EAAB'!AE109</f>
        <v>-8849083.5100000016</v>
      </c>
      <c r="AF31" s="331">
        <f>'REMUNERACION Reciprocidad EAAB'!AF109</f>
        <v>12623847.229999997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16920903756.910002</v>
      </c>
      <c r="E43" s="292">
        <f>REMUNERACION_ENEL!E104</f>
        <v>951432272.83999991</v>
      </c>
      <c r="F43" s="292">
        <f>REMUNERACION_ENEL!F104</f>
        <v>531457578.17000002</v>
      </c>
      <c r="G43" s="292">
        <f>REMUNERACION_ENEL!G104</f>
        <v>281685631.29999995</v>
      </c>
      <c r="H43" s="292">
        <f>REMUNERACION_ENEL!H104</f>
        <v>4815556189.8900003</v>
      </c>
      <c r="I43" s="292">
        <f>REMUNERACION_ENEL!I104</f>
        <v>180663428.54999998</v>
      </c>
      <c r="J43" s="288">
        <f>REMUNERACION_ENEL!J104</f>
        <v>2589335716.54</v>
      </c>
      <c r="K43" s="293">
        <f>REMUNERACION_ENEL!K104</f>
        <v>7570772939.6200037</v>
      </c>
      <c r="L43" s="294">
        <f>REMUNERACION_ENEL!L104</f>
        <v>189185987</v>
      </c>
      <c r="M43" s="293">
        <f>REMUNERACION_ENEL!M104</f>
        <v>7381586952.6200037</v>
      </c>
      <c r="N43" s="294">
        <f>REMUNERACION_ENEL!N104</f>
        <v>28845491.23</v>
      </c>
      <c r="O43" s="293">
        <f>REMUNERACION_ENEL!O104</f>
        <v>7410432443.8500032</v>
      </c>
      <c r="Q43" s="306"/>
      <c r="S43" s="303">
        <v>1</v>
      </c>
      <c r="T43" s="304" t="s">
        <v>10</v>
      </c>
      <c r="U43" s="307">
        <f>REMUNERACION_ENEL!U104</f>
        <v>1586216685.9000001</v>
      </c>
      <c r="V43" s="308">
        <f>REMUNERACION_ENEL!V104</f>
        <v>1513149183.3399999</v>
      </c>
      <c r="W43" s="308">
        <f>REMUNERACION_ENEL!W104</f>
        <v>7120111429.4300003</v>
      </c>
      <c r="X43" s="308">
        <f>REMUNERACION_ENEL!X104</f>
        <v>2589550594.4000001</v>
      </c>
      <c r="Y43" s="309">
        <f>REMUNERACION_ENEL!Y104</f>
        <v>294798770.70000005</v>
      </c>
      <c r="Z43" s="310">
        <f>REMUNERACION_ENEL!Z104</f>
        <v>-189185987</v>
      </c>
      <c r="AA43" s="311">
        <f>REMUNERACION_ENEL!AA104</f>
        <v>-46201.060000000005</v>
      </c>
      <c r="AB43" s="294">
        <f>REMUNERACION_ENEL!AB104</f>
        <v>28845491.23</v>
      </c>
      <c r="AC43" s="311">
        <f>REMUNERACION_ENEL!AC104</f>
        <v>37.270000000000003</v>
      </c>
      <c r="AD43" s="291">
        <f>REMUNERACION_ENEL!AD104</f>
        <v>-5533007560.3600006</v>
      </c>
      <c r="AE43" s="291">
        <f>REMUNERACION_ENEL!AE104</f>
        <v>-2943671843.8200002</v>
      </c>
      <c r="AF43" s="313">
        <f>REMUNERACION_ENEL!AF104</f>
        <v>7410432443.8500004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12759110627.040001</v>
      </c>
      <c r="E44" s="292">
        <f>REMUNERACION_ENEL!E105</f>
        <v>932793472.18000007</v>
      </c>
      <c r="F44" s="292">
        <f>REMUNERACION_ENEL!F105</f>
        <v>519337584.19999993</v>
      </c>
      <c r="G44" s="292">
        <f>REMUNERACION_ENEL!G105</f>
        <v>273746584.90999997</v>
      </c>
      <c r="H44" s="292">
        <f>REMUNERACION_ENEL!H105</f>
        <v>4322586791.8499994</v>
      </c>
      <c r="I44" s="292">
        <f>REMUNERACION_ENEL!I105</f>
        <v>148116462.28999999</v>
      </c>
      <c r="J44" s="288">
        <f>REMUNERACION_ENEL!J105</f>
        <v>-5093259797.2199993</v>
      </c>
      <c r="K44" s="295">
        <f>REMUNERACION_ENEL!K105</f>
        <v>11655789528.83</v>
      </c>
      <c r="L44" s="294">
        <f>REMUNERACION_ENEL!L105</f>
        <v>266580255</v>
      </c>
      <c r="M44" s="295">
        <f>REMUNERACION_ENEL!M105</f>
        <v>11389209273.83</v>
      </c>
      <c r="N44" s="294">
        <f>REMUNERACION_ENEL!N105</f>
        <v>12984013.33</v>
      </c>
      <c r="O44" s="295">
        <f>REMUNERACION_ENEL!O105</f>
        <v>11402193287.16</v>
      </c>
      <c r="Q44" s="306"/>
      <c r="S44" s="314">
        <v>2</v>
      </c>
      <c r="T44" s="315" t="s">
        <v>11</v>
      </c>
      <c r="U44" s="316">
        <f>REMUNERACION_ENEL!U105</f>
        <v>1299736893.7599998</v>
      </c>
      <c r="V44" s="317">
        <f>REMUNERACION_ENEL!V105</f>
        <v>1275131687.71</v>
      </c>
      <c r="W44" s="317">
        <f>REMUNERACION_ENEL!W105</f>
        <v>5975495362.3000002</v>
      </c>
      <c r="X44" s="317">
        <f>REMUNERACION_ENEL!X105</f>
        <v>1828556050.8900001</v>
      </c>
      <c r="Y44" s="318">
        <f>REMUNERACION_ENEL!Y105</f>
        <v>241974362.09</v>
      </c>
      <c r="Z44" s="319">
        <f>REMUNERACION_ENEL!Z105</f>
        <v>-266580255</v>
      </c>
      <c r="AA44" s="320">
        <f>REMUNERACION_ENEL!AA105</f>
        <v>62034.909999999996</v>
      </c>
      <c r="AB44" s="294">
        <f>REMUNERACION_ENEL!AB105</f>
        <v>12984013.33</v>
      </c>
      <c r="AC44" s="320">
        <f>REMUNERACION_ENEL!AC105</f>
        <v>-34.57</v>
      </c>
      <c r="AD44" s="291">
        <f>REMUNERACION_ENEL!AD105</f>
        <v>1034833171.7399993</v>
      </c>
      <c r="AE44" s="291">
        <f>REMUNERACION_ENEL!AE105</f>
        <v>-4058426625.48</v>
      </c>
      <c r="AF44" s="322">
        <f>REMUNERACION_ENEL!AF105</f>
        <v>11402193287.16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10205599146.570002</v>
      </c>
      <c r="E45" s="292">
        <f>REMUNERACION_ENEL!E106</f>
        <v>629291751.14999998</v>
      </c>
      <c r="F45" s="292">
        <f>REMUNERACION_ENEL!F106</f>
        <v>352061233.23999995</v>
      </c>
      <c r="G45" s="292">
        <f>REMUNERACION_ENEL!G106</f>
        <v>186348002.65000004</v>
      </c>
      <c r="H45" s="292">
        <f>REMUNERACION_ENEL!H106</f>
        <v>3061649694.1900005</v>
      </c>
      <c r="I45" s="292">
        <f>REMUNERACION_ENEL!I106</f>
        <v>101715175.75999999</v>
      </c>
      <c r="J45" s="288">
        <f>REMUNERACION_ENEL!J106</f>
        <v>-1230396998.4399998</v>
      </c>
      <c r="K45" s="295">
        <f>REMUNERACION_ENEL!K106</f>
        <v>7104930288.0200014</v>
      </c>
      <c r="L45" s="294">
        <f>REMUNERACION_ENEL!L106</f>
        <v>154788535</v>
      </c>
      <c r="M45" s="295">
        <f>REMUNERACION_ENEL!M106</f>
        <v>6950141753.0200014</v>
      </c>
      <c r="N45" s="294">
        <f>REMUNERACION_ENEL!N106</f>
        <v>13445739.66</v>
      </c>
      <c r="O45" s="295">
        <f>REMUNERACION_ENEL!O106</f>
        <v>6963587492.6800013</v>
      </c>
      <c r="Q45" s="306"/>
      <c r="S45" s="314">
        <v>3</v>
      </c>
      <c r="T45" s="315" t="s">
        <v>12</v>
      </c>
      <c r="U45" s="316">
        <f>REMUNERACION_ENEL!U106</f>
        <v>892751002.93999994</v>
      </c>
      <c r="V45" s="317">
        <f>REMUNERACION_ENEL!V106</f>
        <v>870100487.53999996</v>
      </c>
      <c r="W45" s="317">
        <f>REMUNERACION_ENEL!W106</f>
        <v>4095575369.4300003</v>
      </c>
      <c r="X45" s="317">
        <f>REMUNERACION_ENEL!X106</f>
        <v>1491422387.51</v>
      </c>
      <c r="Y45" s="318">
        <f>REMUNERACION_ENEL!Y106</f>
        <v>165989772.75000003</v>
      </c>
      <c r="Z45" s="319">
        <f>REMUNERACION_ENEL!Z106</f>
        <v>-154788535</v>
      </c>
      <c r="AA45" s="320">
        <f>REMUNERACION_ENEL!AA106</f>
        <v>49081.23</v>
      </c>
      <c r="AB45" s="294">
        <f>REMUNERACION_ENEL!AB106</f>
        <v>13445739.66</v>
      </c>
      <c r="AC45" s="320">
        <f>REMUNERACION_ENEL!AC106</f>
        <v>1.07</v>
      </c>
      <c r="AD45" s="291">
        <f>REMUNERACION_ENEL!AD106</f>
        <v>-410957814.45000005</v>
      </c>
      <c r="AE45" s="291">
        <f>REMUNERACION_ENEL!AE106</f>
        <v>-1641354812.8899999</v>
      </c>
      <c r="AF45" s="322">
        <f>REMUNERACION_ENEL!AF106</f>
        <v>6963587492.6799994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10991242585.599998</v>
      </c>
      <c r="E46" s="292">
        <f>REMUNERACION_ENEL!E107</f>
        <v>612757116.33000004</v>
      </c>
      <c r="F46" s="292">
        <f>REMUNERACION_ENEL!F107</f>
        <v>341110908.60999995</v>
      </c>
      <c r="G46" s="292">
        <f>REMUNERACION_ENEL!G107</f>
        <v>180756802.69999999</v>
      </c>
      <c r="H46" s="292">
        <f>REMUNERACION_ENEL!H107</f>
        <v>2768093997.02</v>
      </c>
      <c r="I46" s="292">
        <f>REMUNERACION_ENEL!I107</f>
        <v>95992558.799999982</v>
      </c>
      <c r="J46" s="288">
        <f>REMUNERACION_ENEL!J107</f>
        <v>38133905.800000012</v>
      </c>
      <c r="K46" s="295">
        <f>REMUNERACION_ENEL!K107</f>
        <v>6954397296.3399963</v>
      </c>
      <c r="L46" s="294">
        <f>REMUNERACION_ENEL!L107</f>
        <v>120391083</v>
      </c>
      <c r="M46" s="295">
        <f>REMUNERACION_ENEL!M107</f>
        <v>6834006213.3399963</v>
      </c>
      <c r="N46" s="294">
        <f>REMUNERACION_ENEL!N107</f>
        <v>19861983.190000001</v>
      </c>
      <c r="O46" s="295">
        <f>REMUNERACION_ENEL!O107</f>
        <v>6853868196.5299959</v>
      </c>
      <c r="Q46" s="306"/>
      <c r="S46" s="314">
        <v>4</v>
      </c>
      <c r="T46" s="315" t="s">
        <v>13</v>
      </c>
      <c r="U46" s="316">
        <f>REMUNERACION_ENEL!U107</f>
        <v>841773977.29999995</v>
      </c>
      <c r="V46" s="317">
        <f>REMUNERACION_ENEL!V107</f>
        <v>822432392.84000003</v>
      </c>
      <c r="W46" s="317">
        <f>REMUNERACION_ENEL!W107</f>
        <v>4196445614.7799997</v>
      </c>
      <c r="X46" s="317">
        <f>REMUNERACION_ENEL!X107</f>
        <v>1622132605.1699998</v>
      </c>
      <c r="Y46" s="318">
        <f>REMUNERACION_ENEL!Y107</f>
        <v>156904728.71000001</v>
      </c>
      <c r="Z46" s="319">
        <f>REMUNERACION_ENEL!Z107</f>
        <v>-120391083</v>
      </c>
      <c r="AA46" s="320">
        <f>REMUNERACION_ENEL!AA107</f>
        <v>-64131.010000000009</v>
      </c>
      <c r="AB46" s="294">
        <f>REMUNERACION_ENEL!AB107</f>
        <v>19861983.190000001</v>
      </c>
      <c r="AC46" s="320">
        <f>REMUNERACION_ENEL!AC107</f>
        <v>31.950000000000024</v>
      </c>
      <c r="AD46" s="291">
        <f>REMUNERACION_ENEL!AD107</f>
        <v>-685227923.4000001</v>
      </c>
      <c r="AE46" s="291">
        <f>REMUNERACION_ENEL!AE107</f>
        <v>-647094017.60000002</v>
      </c>
      <c r="AF46" s="322">
        <f>REMUNERACION_ENEL!AF107</f>
        <v>6853868196.5299988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8800679781.3700008</v>
      </c>
      <c r="E47" s="297">
        <f>REMUNERACION_ENEL!E108</f>
        <v>475293248.80000001</v>
      </c>
      <c r="F47" s="297">
        <f>REMUNERACION_ENEL!F108</f>
        <v>265758832.30000001</v>
      </c>
      <c r="G47" s="297">
        <f>REMUNERACION_ENEL!G108</f>
        <v>140738596.90000001</v>
      </c>
      <c r="H47" s="297">
        <f>REMUNERACION_ENEL!H108</f>
        <v>2045307402.5800002</v>
      </c>
      <c r="I47" s="297">
        <f>REMUNERACION_ENEL!I108</f>
        <v>73259470.969999999</v>
      </c>
      <c r="J47" s="289">
        <f>REMUNERACION_ENEL!J108</f>
        <v>-1224100690.4600003</v>
      </c>
      <c r="K47" s="295">
        <f>REMUNERACION_ENEL!K108</f>
        <v>7024422920.2800007</v>
      </c>
      <c r="L47" s="294">
        <f>REMUNERACION_ENEL!L108</f>
        <v>128990445</v>
      </c>
      <c r="M47" s="298">
        <f>REMUNERACION_ENEL!M108</f>
        <v>6895432475.2800007</v>
      </c>
      <c r="N47" s="299">
        <f>REMUNERACION_ENEL!N108</f>
        <v>5862361.9900000002</v>
      </c>
      <c r="O47" s="298">
        <f>REMUNERACION_ENEL!O108</f>
        <v>6901294837.2700005</v>
      </c>
      <c r="Q47" s="306"/>
      <c r="S47" s="324">
        <v>5</v>
      </c>
      <c r="T47" s="325" t="s">
        <v>14</v>
      </c>
      <c r="U47" s="296">
        <f>REMUNERACION_ENEL!U108</f>
        <v>643145081.82999992</v>
      </c>
      <c r="V47" s="297">
        <f>REMUNERACION_ENEL!V108</f>
        <v>624107126.62</v>
      </c>
      <c r="W47" s="297">
        <f>REMUNERACION_ENEL!W108</f>
        <v>3202966035.54</v>
      </c>
      <c r="X47" s="297">
        <f>REMUNERACION_ENEL!X108</f>
        <v>1423430592.5599999</v>
      </c>
      <c r="Y47" s="289">
        <f>REMUNERACION_ENEL!Y108</f>
        <v>119594166.09</v>
      </c>
      <c r="Z47" s="319">
        <f>REMUNERACION_ENEL!Z108</f>
        <v>-128990445</v>
      </c>
      <c r="AA47" s="320">
        <f>REMUNERACION_ENEL!AA108</f>
        <v>-13031.900000000001</v>
      </c>
      <c r="AB47" s="294">
        <f>REMUNERACION_ENEL!AB108</f>
        <v>5862361.9900000002</v>
      </c>
      <c r="AC47" s="320">
        <f>REMUNERACION_ENEL!AC108</f>
        <v>-37.089999999999996</v>
      </c>
      <c r="AD47" s="291">
        <f>REMUNERACION_ENEL!AD108</f>
        <v>1011192986.6300002</v>
      </c>
      <c r="AE47" s="291">
        <f>REMUNERACION_ENEL!AE108</f>
        <v>-212907703.83000001</v>
      </c>
      <c r="AF47" s="322">
        <f>REMUNERACION_ENEL!AF108</f>
        <v>6901294837.2699995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59677535897.490005</v>
      </c>
      <c r="E48" s="290">
        <f>REMUNERACION_ENEL!E109</f>
        <v>3601567861.3000002</v>
      </c>
      <c r="F48" s="290">
        <f>REMUNERACION_ENEL!F109</f>
        <v>2009726136.5199997</v>
      </c>
      <c r="G48" s="290">
        <f>REMUNERACION_ENEL!G109</f>
        <v>1063275618.4599999</v>
      </c>
      <c r="H48" s="290">
        <f>REMUNERACION_ENEL!H109</f>
        <v>17013194075.530001</v>
      </c>
      <c r="I48" s="290">
        <f>REMUNERACION_ENEL!I109</f>
        <v>599747096.37</v>
      </c>
      <c r="J48" s="290">
        <f>REMUNERACION_ENEL!J109</f>
        <v>-4920287863.7799988</v>
      </c>
      <c r="K48" s="300">
        <f>REMUNERACION_ENEL!K109</f>
        <v>40310312973.090004</v>
      </c>
      <c r="L48" s="301">
        <f>REMUNERACION_ENEL!L109</f>
        <v>859936305</v>
      </c>
      <c r="M48" s="302">
        <f>REMUNERACION_ENEL!M109</f>
        <v>39450376668.090004</v>
      </c>
      <c r="N48" s="301">
        <f>REMUNERACION_ENEL!N109</f>
        <v>80999589.399999991</v>
      </c>
      <c r="O48" s="302">
        <f>REMUNERACION_ENEL!O109</f>
        <v>39531376257.489998</v>
      </c>
      <c r="P48" s="329"/>
      <c r="Q48" s="306"/>
      <c r="S48" s="327"/>
      <c r="T48" s="328" t="s">
        <v>2</v>
      </c>
      <c r="U48" s="330">
        <f>REMUNERACION_ENEL!U109</f>
        <v>5263623641.7299995</v>
      </c>
      <c r="V48" s="330">
        <f>REMUNERACION_ENEL!V109</f>
        <v>5104920878.0500002</v>
      </c>
      <c r="W48" s="330">
        <f>REMUNERACION_ENEL!W109</f>
        <v>24590593811.48</v>
      </c>
      <c r="X48" s="330">
        <f>REMUNERACION_ENEL!X109</f>
        <v>8955092230.5300007</v>
      </c>
      <c r="Y48" s="330">
        <f>REMUNERACION_ENEL!Y109</f>
        <v>979261800.34000015</v>
      </c>
      <c r="Z48" s="290">
        <f>REMUNERACION_ENEL!Z109</f>
        <v>-859936305</v>
      </c>
      <c r="AA48" s="290">
        <f>REMUNERACION_ENEL!AA109</f>
        <v>-12247.830000000016</v>
      </c>
      <c r="AB48" s="290">
        <f>REMUNERACION_ENEL!AB109</f>
        <v>80999589.399999991</v>
      </c>
      <c r="AC48" s="290">
        <f>REMUNERACION_ENEL!AC109</f>
        <v>-1.369999999999969</v>
      </c>
      <c r="AD48" s="290">
        <f>REMUNERACION_ENEL!AD109</f>
        <v>-4583167139.8400011</v>
      </c>
      <c r="AE48" s="290">
        <f>REMUNERACION_ENEL!AE109</f>
        <v>-9503455003.6200008</v>
      </c>
      <c r="AF48" s="331">
        <f>REMUNERACION_ENEL!AF109</f>
        <v>39531376257.489998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329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137170902</v>
      </c>
      <c r="E64" s="291">
        <f>REMUNERACION_ENERBIT!E108</f>
        <v>8742692.4100000001</v>
      </c>
      <c r="F64" s="291">
        <f>REMUNERACION_ENERBIT!F108</f>
        <v>4875107.3</v>
      </c>
      <c r="G64" s="291">
        <f>REMUNERACION_ENERBIT!G108</f>
        <v>2601178.42</v>
      </c>
      <c r="H64" s="291">
        <f>REMUNERACION_ENERBIT!H108</f>
        <v>34828590.310000002</v>
      </c>
      <c r="I64" s="291">
        <f>REMUNERACION_ENERBIT!I108</f>
        <v>1248070.6599999999</v>
      </c>
      <c r="J64" s="291">
        <f>REMUNERACION_ENERBIT!J108</f>
        <v>0</v>
      </c>
      <c r="K64" s="295">
        <f>REMUNERACION_ENERBIT!K108</f>
        <v>84875262.900000006</v>
      </c>
      <c r="L64" s="294">
        <f>REMUNERACION_ENERBIT!L108</f>
        <v>0</v>
      </c>
      <c r="M64" s="298">
        <f>REMUNERACION_ENERBIT!M108</f>
        <v>84875262.900000006</v>
      </c>
      <c r="N64" s="299">
        <f>REMUNERACION_ENERBIT!N108</f>
        <v>0</v>
      </c>
      <c r="O64" s="298">
        <f>REMUNERACION_ENERBIT!O108</f>
        <v>84875262.900000006</v>
      </c>
      <c r="Q64" s="306"/>
      <c r="S64" s="324">
        <v>5</v>
      </c>
      <c r="T64" s="325" t="s">
        <v>14</v>
      </c>
      <c r="U64" s="296">
        <f>REMUNERACION_ENERBIT!U108</f>
        <v>10923976.050000001</v>
      </c>
      <c r="V64" s="297">
        <f>REMUNERACION_ENERBIT!V108</f>
        <v>10791847.6</v>
      </c>
      <c r="W64" s="297">
        <f>REMUNERACION_ENERBIT!W108</f>
        <v>55071465.420000002</v>
      </c>
      <c r="X64" s="297">
        <f>REMUNERACION_ENERBIT!X108</f>
        <v>26210306.420000002</v>
      </c>
      <c r="Y64" s="289">
        <f>REMUNERACION_ENERBIT!Y108</f>
        <v>2042410.35</v>
      </c>
      <c r="Z64" s="289">
        <f>REMUNERACION_ENERBIT!Z108</f>
        <v>0</v>
      </c>
      <c r="AA64" s="289">
        <f>REMUNERACION_ENERBIT!AA108</f>
        <v>-1404.48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-20163338.460000001</v>
      </c>
      <c r="AE64" s="289">
        <f>REMUNERACION_ENERBIT!AE108</f>
        <v>-20163338.460000001</v>
      </c>
      <c r="AF64" s="322">
        <f>REMUNERACION_ENERBIT!AF108</f>
        <v>84875262.899999976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137170902</v>
      </c>
      <c r="E65" s="290">
        <f>REMUNERACION_ENERBIT!E109</f>
        <v>8742692.4100000001</v>
      </c>
      <c r="F65" s="290">
        <f>REMUNERACION_ENERBIT!F109</f>
        <v>4875107.3</v>
      </c>
      <c r="G65" s="290">
        <f>REMUNERACION_ENERBIT!G109</f>
        <v>2601178.42</v>
      </c>
      <c r="H65" s="290">
        <f>REMUNERACION_ENERBIT!H109</f>
        <v>34828590.310000002</v>
      </c>
      <c r="I65" s="290">
        <f>REMUNERACION_ENERBIT!I109</f>
        <v>1248070.6599999999</v>
      </c>
      <c r="J65" s="290">
        <f>REMUNERACION_ENERBIT!J109</f>
        <v>0</v>
      </c>
      <c r="K65" s="300">
        <f>REMUNERACION_ENERBIT!K109</f>
        <v>84875262.900000006</v>
      </c>
      <c r="L65" s="301">
        <f>REMUNERACION_ENERBIT!L109</f>
        <v>0</v>
      </c>
      <c r="M65" s="302">
        <f>REMUNERACION_ENERBIT!M109</f>
        <v>84875262.900000006</v>
      </c>
      <c r="N65" s="301">
        <f>REMUNERACION_ENERBIT!N109</f>
        <v>0</v>
      </c>
      <c r="O65" s="302">
        <f>REMUNERACION_ENERBIT!O109</f>
        <v>84875262.900000006</v>
      </c>
      <c r="P65" s="329"/>
      <c r="Q65" s="306"/>
      <c r="S65" s="327"/>
      <c r="T65" s="328" t="s">
        <v>2</v>
      </c>
      <c r="U65" s="330">
        <f>REMUNERACION_ENERBIT!U109</f>
        <v>10923976.050000001</v>
      </c>
      <c r="V65" s="330">
        <f>REMUNERACION_ENERBIT!V109</f>
        <v>10791847.6</v>
      </c>
      <c r="W65" s="330">
        <f>REMUNERACION_ENERBIT!W109</f>
        <v>55071465.420000002</v>
      </c>
      <c r="X65" s="330">
        <f>REMUNERACION_ENERBIT!X109</f>
        <v>26210306.420000002</v>
      </c>
      <c r="Y65" s="330">
        <f>REMUNERACION_ENERBIT!Y109</f>
        <v>2042410.35</v>
      </c>
      <c r="Z65" s="330">
        <f>REMUNERACION_ENERBIT!Z109</f>
        <v>0</v>
      </c>
      <c r="AA65" s="330">
        <f>REMUNERACION_ENERBIT!AA109</f>
        <v>-1404.48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-20163338.460000001</v>
      </c>
      <c r="AE65" s="330">
        <f>REMUNERACION_ENERBIT!AE109</f>
        <v>-20163338.460000001</v>
      </c>
      <c r="AF65" s="331">
        <f>REMUNERACION_ENERBIT!AF109</f>
        <v>84875262.899999976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529346785.86999995</v>
      </c>
      <c r="E76" s="292">
        <f>'REMUNERACION_OCCIDENTE_ Directa'!E104</f>
        <v>51298254.530000001</v>
      </c>
      <c r="F76" s="292">
        <f>'REMUNERACION_OCCIDENTE_ Directa'!F104</f>
        <v>28055587.659999996</v>
      </c>
      <c r="G76" s="292">
        <f>'REMUNERACION_OCCIDENTE_ Directa'!G104</f>
        <v>14654654.08</v>
      </c>
      <c r="H76" s="292">
        <f>'REMUNERACION_OCCIDENTE_ Directa'!H104</f>
        <v>43265719.109999999</v>
      </c>
      <c r="I76" s="292">
        <f>'REMUNERACION_OCCIDENTE_ Directa'!I104</f>
        <v>1545047.4800000002</v>
      </c>
      <c r="J76" s="288">
        <f>'REMUNERACION_OCCIDENTE_ Directa'!J104</f>
        <v>0</v>
      </c>
      <c r="K76" s="293">
        <f>'REMUNERACION_OCCIDENTE_ Directa'!K104</f>
        <v>390527523.00999993</v>
      </c>
      <c r="L76" s="294">
        <f>'REMUNERACION_OCCIDENTE_ Directa'!L104</f>
        <v>0</v>
      </c>
      <c r="M76" s="293">
        <f>'REMUNERACION_OCCIDENTE_ Directa'!M104</f>
        <v>390527523.00999993</v>
      </c>
      <c r="N76" s="294">
        <f>'REMUNERACION_OCCIDENTE_ Directa'!N104</f>
        <v>1790178.35</v>
      </c>
      <c r="O76" s="293">
        <f>'REMUNERACION_OCCIDENTE_ Directa'!O104</f>
        <v>392317701.35999995</v>
      </c>
      <c r="Q76" s="306"/>
      <c r="S76" s="303">
        <v>1</v>
      </c>
      <c r="T76" s="304" t="s">
        <v>10</v>
      </c>
      <c r="U76" s="307">
        <f>'REMUNERACION_OCCIDENTE_ Directa'!U104</f>
        <v>13575454.23</v>
      </c>
      <c r="V76" s="308">
        <f>'REMUNERACION_OCCIDENTE_ Directa'!V104</f>
        <v>15556217.539999999</v>
      </c>
      <c r="W76" s="308">
        <f>'REMUNERACION_OCCIDENTE_ Directa'!W104</f>
        <v>71944209.409999996</v>
      </c>
      <c r="X76" s="308">
        <f>'REMUNERACION_OCCIDENTE_ Directa'!X104</f>
        <v>140738668.47</v>
      </c>
      <c r="Y76" s="309">
        <f>'REMUNERACION_OCCIDENTE_ Directa'!Y104</f>
        <v>2521984.29</v>
      </c>
      <c r="Z76" s="310">
        <f>'REMUNERACION_OCCIDENTE_ Directa'!Z104</f>
        <v>0</v>
      </c>
      <c r="AA76" s="311">
        <f>'REMUNERACION_OCCIDENTE_ Directa'!AA104</f>
        <v>-684.57</v>
      </c>
      <c r="AB76" s="294">
        <f>'REMUNERACION_OCCIDENTE_ Directa'!AB104</f>
        <v>1790178.35</v>
      </c>
      <c r="AC76" s="311">
        <f>'REMUNERACION_OCCIDENTE_ Directa'!AC104</f>
        <v>355.46999999999997</v>
      </c>
      <c r="AD76" s="291">
        <f>'REMUNERACION_OCCIDENTE_ Directa'!AD104</f>
        <v>146191318.16999999</v>
      </c>
      <c r="AE76" s="291">
        <f>'REMUNERACION_OCCIDENTE_ Directa'!AE104</f>
        <v>146191318.16999999</v>
      </c>
      <c r="AF76" s="313">
        <f>'REMUNERACION_OCCIDENTE_ Directa'!AF104</f>
        <v>392317701.35999995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1368778408.3199999</v>
      </c>
      <c r="E77" s="292">
        <f>'REMUNERACION_OCCIDENTE_ Directa'!E105</f>
        <v>161817404.75999999</v>
      </c>
      <c r="F77" s="292">
        <f>'REMUNERACION_OCCIDENTE_ Directa'!F105</f>
        <v>87382022.550000012</v>
      </c>
      <c r="G77" s="292">
        <f>'REMUNERACION_OCCIDENTE_ Directa'!G105</f>
        <v>46682153.180000007</v>
      </c>
      <c r="H77" s="292">
        <f>'REMUNERACION_OCCIDENTE_ Directa'!H105</f>
        <v>155463450.62</v>
      </c>
      <c r="I77" s="292">
        <f>'REMUNERACION_OCCIDENTE_ Directa'!I105</f>
        <v>4138992.8000000003</v>
      </c>
      <c r="J77" s="288">
        <f>'REMUNERACION_OCCIDENTE_ Directa'!J105</f>
        <v>0</v>
      </c>
      <c r="K77" s="295">
        <f>'REMUNERACION_OCCIDENTE_ Directa'!K105</f>
        <v>913294384.40999997</v>
      </c>
      <c r="L77" s="294">
        <f>'REMUNERACION_OCCIDENTE_ Directa'!L105</f>
        <v>0</v>
      </c>
      <c r="M77" s="295">
        <f>'REMUNERACION_OCCIDENTE_ Directa'!M105</f>
        <v>913294384.40999997</v>
      </c>
      <c r="N77" s="294">
        <f>'REMUNERACION_OCCIDENTE_ Directa'!N105</f>
        <v>30632060.390000001</v>
      </c>
      <c r="O77" s="295">
        <f>'REMUNERACION_OCCIDENTE_ Directa'!O105</f>
        <v>943926444.79999995</v>
      </c>
      <c r="Q77" s="306"/>
      <c r="S77" s="314">
        <v>2</v>
      </c>
      <c r="T77" s="315" t="s">
        <v>11</v>
      </c>
      <c r="U77" s="316">
        <f>'REMUNERACION_OCCIDENTE_ Directa'!U105</f>
        <v>36551172.249999993</v>
      </c>
      <c r="V77" s="317">
        <f>'REMUNERACION_OCCIDENTE_ Directa'!V105</f>
        <v>48796689.75</v>
      </c>
      <c r="W77" s="317">
        <f>'REMUNERACION_OCCIDENTE_ Directa'!W105</f>
        <v>230677760.11000001</v>
      </c>
      <c r="X77" s="317">
        <f>'REMUNERACION_OCCIDENTE_ Directa'!X105</f>
        <v>322699004.48000002</v>
      </c>
      <c r="Y77" s="318">
        <f>'REMUNERACION_OCCIDENTE_ Directa'!Y105</f>
        <v>6759345.5100000007</v>
      </c>
      <c r="Z77" s="319">
        <f>'REMUNERACION_OCCIDENTE_ Directa'!Z105</f>
        <v>0</v>
      </c>
      <c r="AA77" s="320">
        <f>'REMUNERACION_OCCIDENTE_ Directa'!AA105</f>
        <v>-796.93</v>
      </c>
      <c r="AB77" s="294">
        <f>'REMUNERACION_OCCIDENTE_ Directa'!AB105</f>
        <v>30632060.390000001</v>
      </c>
      <c r="AC77" s="320">
        <f>'REMUNERACION_OCCIDENTE_ Directa'!AC105</f>
        <v>-56774.32</v>
      </c>
      <c r="AD77" s="291">
        <f>'REMUNERACION_OCCIDENTE_ Directa'!AD105</f>
        <v>267867983.56</v>
      </c>
      <c r="AE77" s="291">
        <f>'REMUNERACION_OCCIDENTE_ Directa'!AE105</f>
        <v>267867983.56</v>
      </c>
      <c r="AF77" s="322">
        <f>'REMUNERACION_OCCIDENTE_ Directa'!AF105</f>
        <v>943926444.79999995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685739592.90999997</v>
      </c>
      <c r="E78" s="292">
        <f>'REMUNERACION_OCCIDENTE_ Directa'!E106</f>
        <v>81414325.700000018</v>
      </c>
      <c r="F78" s="292">
        <f>'REMUNERACION_OCCIDENTE_ Directa'!F106</f>
        <v>45416247.109999999</v>
      </c>
      <c r="G78" s="292">
        <f>'REMUNERACION_OCCIDENTE_ Directa'!G106</f>
        <v>24017931.650000002</v>
      </c>
      <c r="H78" s="292">
        <f>'REMUNERACION_OCCIDENTE_ Directa'!H106</f>
        <v>28136048.619999997</v>
      </c>
      <c r="I78" s="292">
        <f>'REMUNERACION_OCCIDENTE_ Directa'!I106</f>
        <v>875883.35</v>
      </c>
      <c r="J78" s="288">
        <f>'REMUNERACION_OCCIDENTE_ Directa'!J106</f>
        <v>0</v>
      </c>
      <c r="K78" s="295">
        <f>'REMUNERACION_OCCIDENTE_ Directa'!K106</f>
        <v>505879156.4799999</v>
      </c>
      <c r="L78" s="294">
        <f>'REMUNERACION_OCCIDENTE_ Directa'!L106</f>
        <v>0</v>
      </c>
      <c r="M78" s="295">
        <f>'REMUNERACION_OCCIDENTE_ Directa'!M106</f>
        <v>505879156.4799999</v>
      </c>
      <c r="N78" s="294">
        <f>'REMUNERACION_OCCIDENTE_ Directa'!N106</f>
        <v>12116788.82</v>
      </c>
      <c r="O78" s="295">
        <f>'REMUNERACION_OCCIDENTE_ Directa'!O106</f>
        <v>517995945.29999989</v>
      </c>
      <c r="Q78" s="306"/>
      <c r="S78" s="314">
        <v>3</v>
      </c>
      <c r="T78" s="315" t="s">
        <v>12</v>
      </c>
      <c r="U78" s="316">
        <f>'REMUNERACION_OCCIDENTE_ Directa'!U106</f>
        <v>7653434.1099999994</v>
      </c>
      <c r="V78" s="317">
        <f>'REMUNERACION_OCCIDENTE_ Directa'!V106</f>
        <v>10151348.43</v>
      </c>
      <c r="W78" s="317">
        <f>'REMUNERACION_OCCIDENTE_ Directa'!W106</f>
        <v>47441096.369999997</v>
      </c>
      <c r="X78" s="317">
        <f>'REMUNERACION_OCCIDENTE_ Directa'!X106</f>
        <v>192438955.67000002</v>
      </c>
      <c r="Y78" s="318">
        <f>'REMUNERACION_OCCIDENTE_ Directa'!Y106</f>
        <v>1431584.25</v>
      </c>
      <c r="Z78" s="319">
        <f>'REMUNERACION_OCCIDENTE_ Directa'!Z106</f>
        <v>0</v>
      </c>
      <c r="AA78" s="320">
        <f>'REMUNERACION_OCCIDENTE_ Directa'!AA106</f>
        <v>-2424.23</v>
      </c>
      <c r="AB78" s="294">
        <f>'REMUNERACION_OCCIDENTE_ Directa'!AB106</f>
        <v>12116788.82</v>
      </c>
      <c r="AC78" s="320">
        <f>'REMUNERACION_OCCIDENTE_ Directa'!AC106</f>
        <v>4.5</v>
      </c>
      <c r="AD78" s="291">
        <f>'REMUNERACION_OCCIDENTE_ Directa'!AD106</f>
        <v>246765157.47999999</v>
      </c>
      <c r="AE78" s="291">
        <f>'REMUNERACION_OCCIDENTE_ Directa'!AE106</f>
        <v>246765157.47999999</v>
      </c>
      <c r="AF78" s="322">
        <f>'REMUNERACION_OCCIDENTE_ Directa'!AF106</f>
        <v>517995945.39999998</v>
      </c>
      <c r="AG78" s="522">
        <f>'REMUNERACION_OCCIDENTE_ Directa'!AG106</f>
        <v>0.10000008344650269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510759521.29999995</v>
      </c>
      <c r="E79" s="292">
        <f>'REMUNERACION_OCCIDENTE_ Directa'!E107</f>
        <v>38473020.93</v>
      </c>
      <c r="F79" s="292">
        <f>'REMUNERACION_OCCIDENTE_ Directa'!F107</f>
        <v>20743610.040000003</v>
      </c>
      <c r="G79" s="292">
        <f>'REMUNERACION_OCCIDENTE_ Directa'!G107</f>
        <v>10574046.58</v>
      </c>
      <c r="H79" s="292">
        <f>'REMUNERACION_OCCIDENTE_ Directa'!H107</f>
        <v>80664881.580000013</v>
      </c>
      <c r="I79" s="292">
        <f>'REMUNERACION_OCCIDENTE_ Directa'!I107</f>
        <v>2386199.7399999998</v>
      </c>
      <c r="J79" s="288">
        <f>'REMUNERACION_OCCIDENTE_ Directa'!J107</f>
        <v>0</v>
      </c>
      <c r="K79" s="295">
        <f>'REMUNERACION_OCCIDENTE_ Directa'!K107</f>
        <v>357917762.42999995</v>
      </c>
      <c r="L79" s="294">
        <f>'REMUNERACION_OCCIDENTE_ Directa'!L107</f>
        <v>0</v>
      </c>
      <c r="M79" s="295">
        <f>'REMUNERACION_OCCIDENTE_ Directa'!M107</f>
        <v>357917762.42999995</v>
      </c>
      <c r="N79" s="294">
        <f>'REMUNERACION_OCCIDENTE_ Directa'!N107</f>
        <v>3323424.79</v>
      </c>
      <c r="O79" s="295">
        <f>'REMUNERACION_OCCIDENTE_ Directa'!O107</f>
        <v>361241187.21999997</v>
      </c>
      <c r="Q79" s="306"/>
      <c r="S79" s="314">
        <v>4</v>
      </c>
      <c r="T79" s="315" t="s">
        <v>13</v>
      </c>
      <c r="U79" s="316">
        <f>'REMUNERACION_OCCIDENTE_ Directa'!U107</f>
        <v>21206823.500000004</v>
      </c>
      <c r="V79" s="317">
        <f>'REMUNERACION_OCCIDENTE_ Directa'!V107</f>
        <v>27971326.68</v>
      </c>
      <c r="W79" s="317">
        <f>'REMUNERACION_OCCIDENTE_ Directa'!W107</f>
        <v>137987648.21000001</v>
      </c>
      <c r="X79" s="317">
        <f>'REMUNERACION_OCCIDENTE_ Directa'!X107</f>
        <v>101802660.04000001</v>
      </c>
      <c r="Y79" s="318">
        <f>'REMUNERACION_OCCIDENTE_ Directa'!Y107</f>
        <v>3894811.7</v>
      </c>
      <c r="Z79" s="319">
        <f>'REMUNERACION_OCCIDENTE_ Directa'!Z107</f>
        <v>0</v>
      </c>
      <c r="AA79" s="320">
        <f>'REMUNERACION_OCCIDENTE_ Directa'!AA107</f>
        <v>-179.92000000000002</v>
      </c>
      <c r="AB79" s="294">
        <f>'REMUNERACION_OCCIDENTE_ Directa'!AB107</f>
        <v>3323424.79</v>
      </c>
      <c r="AC79" s="320">
        <f>'REMUNERACION_OCCIDENTE_ Directa'!AC107</f>
        <v>149.12</v>
      </c>
      <c r="AD79" s="291">
        <f>'REMUNERACION_OCCIDENTE_ Directa'!AD107</f>
        <v>65054523.100000001</v>
      </c>
      <c r="AE79" s="291">
        <f>'REMUNERACION_OCCIDENTE_ Directa'!AE107</f>
        <v>65054523.100000001</v>
      </c>
      <c r="AF79" s="322">
        <f>'REMUNERACION_OCCIDENTE_ Directa'!AF107</f>
        <v>361241187.22000003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209328694.96000001</v>
      </c>
      <c r="E80" s="297">
        <f>'REMUNERACION_OCCIDENTE_ Directa'!E108</f>
        <v>17105867.57</v>
      </c>
      <c r="F80" s="297">
        <f>'REMUNERACION_OCCIDENTE_ Directa'!F108</f>
        <v>9316791.2700000014</v>
      </c>
      <c r="G80" s="297">
        <f>'REMUNERACION_OCCIDENTE_ Directa'!G108</f>
        <v>4903133.1099999994</v>
      </c>
      <c r="H80" s="297">
        <f>'REMUNERACION_OCCIDENTE_ Directa'!H108</f>
        <v>19931186.84</v>
      </c>
      <c r="I80" s="297">
        <f>'REMUNERACION_OCCIDENTE_ Directa'!I108</f>
        <v>883215.41</v>
      </c>
      <c r="J80" s="289">
        <f>'REMUNERACION_OCCIDENTE_ Directa'!J108</f>
        <v>0</v>
      </c>
      <c r="K80" s="295">
        <f>'REMUNERACION_OCCIDENTE_ Directa'!K108</f>
        <v>157188500.75999999</v>
      </c>
      <c r="L80" s="294">
        <f>'REMUNERACION_OCCIDENTE_ Directa'!L108</f>
        <v>0</v>
      </c>
      <c r="M80" s="298">
        <f>'REMUNERACION_OCCIDENTE_ Directa'!M108</f>
        <v>157188500.75999999</v>
      </c>
      <c r="N80" s="299">
        <f>'REMUNERACION_OCCIDENTE_ Directa'!N108</f>
        <v>26713576.390000001</v>
      </c>
      <c r="O80" s="298">
        <f>'REMUNERACION_OCCIDENTE_ Directa'!O108</f>
        <v>183902077.14999998</v>
      </c>
      <c r="Q80" s="306"/>
      <c r="S80" s="324">
        <v>5</v>
      </c>
      <c r="T80" s="325" t="s">
        <v>14</v>
      </c>
      <c r="U80" s="296">
        <f>'REMUNERACION_OCCIDENTE_ Directa'!U108</f>
        <v>7765771.8300000001</v>
      </c>
      <c r="V80" s="297">
        <f>'REMUNERACION_OCCIDENTE_ Directa'!V108</f>
        <v>8977227.4300000016</v>
      </c>
      <c r="W80" s="297">
        <f>'REMUNERACION_OCCIDENTE_ Directa'!W108</f>
        <v>46179444.490000002</v>
      </c>
      <c r="X80" s="297">
        <f>'REMUNERACION_OCCIDENTE_ Directa'!X108</f>
        <v>51038444.630000003</v>
      </c>
      <c r="Y80" s="289">
        <f>'REMUNERACION_OCCIDENTE_ Directa'!Y108</f>
        <v>1459568.1</v>
      </c>
      <c r="Z80" s="319">
        <f>'REMUNERACION_OCCIDENTE_ Directa'!Z108</f>
        <v>0</v>
      </c>
      <c r="AA80" s="320">
        <f>'REMUNERACION_OCCIDENTE_ Directa'!AA108</f>
        <v>-2146.39</v>
      </c>
      <c r="AB80" s="294">
        <f>'REMUNERACION_OCCIDENTE_ Directa'!AB108</f>
        <v>26713576.390000001</v>
      </c>
      <c r="AC80" s="320">
        <f>'REMUNERACION_OCCIDENTE_ Directa'!AC108</f>
        <v>-68.589999999999989</v>
      </c>
      <c r="AD80" s="291">
        <f>'REMUNERACION_OCCIDENTE_ Directa'!AD108</f>
        <v>41770259.260000005</v>
      </c>
      <c r="AE80" s="291">
        <f>'REMUNERACION_OCCIDENTE_ Directa'!AE108</f>
        <v>41770259.260000005</v>
      </c>
      <c r="AF80" s="322">
        <f>'REMUNERACION_OCCIDENTE_ Directa'!AF108</f>
        <v>183902077.14999998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3303953003.3599997</v>
      </c>
      <c r="E81" s="290">
        <f>'REMUNERACION_OCCIDENTE_ Directa'!E109</f>
        <v>350108873.49000001</v>
      </c>
      <c r="F81" s="290">
        <f>'REMUNERACION_OCCIDENTE_ Directa'!F109</f>
        <v>190914258.63</v>
      </c>
      <c r="G81" s="290">
        <f>'REMUNERACION_OCCIDENTE_ Directa'!G109</f>
        <v>100831918.60000001</v>
      </c>
      <c r="H81" s="290">
        <f>'REMUNERACION_OCCIDENTE_ Directa'!H109</f>
        <v>327461286.77000004</v>
      </c>
      <c r="I81" s="290">
        <f>'REMUNERACION_OCCIDENTE_ Directa'!I109</f>
        <v>9829338.7799999993</v>
      </c>
      <c r="J81" s="290">
        <f>'REMUNERACION_OCCIDENTE_ Directa'!J109</f>
        <v>0</v>
      </c>
      <c r="K81" s="300">
        <f>'REMUNERACION_OCCIDENTE_ Directa'!K109</f>
        <v>2324807327.0899992</v>
      </c>
      <c r="L81" s="301">
        <f>'REMUNERACION_OCCIDENTE_ Directa'!L109</f>
        <v>0</v>
      </c>
      <c r="M81" s="302">
        <f>'REMUNERACION_OCCIDENTE_ Directa'!M109</f>
        <v>2324807327.0899992</v>
      </c>
      <c r="N81" s="301">
        <f>'REMUNERACION_OCCIDENTE_ Directa'!N109</f>
        <v>74576028.74000001</v>
      </c>
      <c r="O81" s="302">
        <f>'REMUNERACION_OCCIDENTE_ Directa'!O109</f>
        <v>2399383355.8299999</v>
      </c>
      <c r="P81" s="329"/>
      <c r="Q81" s="306"/>
      <c r="S81" s="327"/>
      <c r="T81" s="328" t="s">
        <v>2</v>
      </c>
      <c r="U81" s="330">
        <f>'REMUNERACION_OCCIDENTE_ Directa'!U109</f>
        <v>86752655.919999987</v>
      </c>
      <c r="V81" s="330">
        <f>'REMUNERACION_OCCIDENTE_ Directa'!V109</f>
        <v>111452809.83000001</v>
      </c>
      <c r="W81" s="330">
        <f>'REMUNERACION_OCCIDENTE_ Directa'!W109</f>
        <v>534230158.59000003</v>
      </c>
      <c r="X81" s="330">
        <f>'REMUNERACION_OCCIDENTE_ Directa'!X109</f>
        <v>808717733.29000008</v>
      </c>
      <c r="Y81" s="330">
        <f>'REMUNERACION_OCCIDENTE_ Directa'!Y109</f>
        <v>16067293.85</v>
      </c>
      <c r="Z81" s="290">
        <f>'REMUNERACION_OCCIDENTE_ Directa'!Z109</f>
        <v>0</v>
      </c>
      <c r="AA81" s="290">
        <f>'REMUNERACION_OCCIDENTE_ Directa'!AA109</f>
        <v>-6232.04</v>
      </c>
      <c r="AB81" s="290">
        <f>'REMUNERACION_OCCIDENTE_ Directa'!AB109</f>
        <v>74576028.74000001</v>
      </c>
      <c r="AC81" s="290">
        <f>'REMUNERACION_OCCIDENTE_ Directa'!AC109</f>
        <v>-56333.819999999992</v>
      </c>
      <c r="AD81" s="290">
        <f>'REMUNERACION_OCCIDENTE_ Directa'!AD109</f>
        <v>767649241.57000005</v>
      </c>
      <c r="AE81" s="290">
        <f>'REMUNERACION_OCCIDENTE_ Directa'!AE109</f>
        <v>767649241.57000005</v>
      </c>
      <c r="AF81" s="331">
        <f>'REMUNERACION_OCCIDENTE_ Directa'!AF109</f>
        <v>2399383355.9299998</v>
      </c>
      <c r="AG81" s="524">
        <f>'REMUNERACION_OCCIDENTE_ Directa'!AG109</f>
        <v>0.10000008344650269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-9.5367431640625E-6</v>
      </c>
      <c r="L110" s="552">
        <f t="shared" si="0"/>
        <v>0</v>
      </c>
      <c r="M110" s="552">
        <f t="shared" si="0"/>
        <v>-9.5367431640625E-6</v>
      </c>
      <c r="N110" s="552">
        <f t="shared" si="0"/>
        <v>0</v>
      </c>
      <c r="O110" s="552">
        <f t="shared" si="0"/>
        <v>-8.58306884765625E-6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-1.6093254089355469E-6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-1.6093254089355469E-6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46266</v>
      </c>
      <c r="H125" s="45"/>
      <c r="I125" s="45"/>
      <c r="J125" s="555" t="s">
        <v>28</v>
      </c>
      <c r="K125" s="557">
        <f>'REMUNERACION_EAAB-CL'!K102</f>
        <v>46280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46266</v>
      </c>
      <c r="W125" s="45" t="s">
        <v>1</v>
      </c>
      <c r="X125" s="45" t="str">
        <f>J125</f>
        <v>Feha Hasta:</v>
      </c>
      <c r="Y125" s="557">
        <f>'REMUNERACION_EAAB-CL'!Y102</f>
        <v>46280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33419430.490000002</v>
      </c>
      <c r="E6" s="309">
        <f>'CONSOLIDADO_TOTAL RECAUDO'!E125</f>
        <v>0</v>
      </c>
      <c r="G6" s="336">
        <f>'CONSOLIDADO_TOTAL RECAUDO'!G125</f>
        <v>42680</v>
      </c>
      <c r="H6" s="310">
        <f>'CONSOLIDADO_TOTAL RECAUDO'!H125</f>
        <v>34844954.140000001</v>
      </c>
      <c r="I6" s="309">
        <f>'CONSOLIDADO_TOTAL RECAUDO'!I125</f>
        <v>0</v>
      </c>
      <c r="J6" s="309">
        <f>'CONSOLIDADO_TOTAL RECAUDO'!J125</f>
        <v>-3544507.29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88020913.75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101713470.22999999</v>
      </c>
      <c r="I7" s="288">
        <f>'CONSOLIDADO_TOTAL RECAUDO'!I126</f>
        <v>0</v>
      </c>
      <c r="J7" s="288">
        <f>'CONSOLIDADO_TOTAL RECAUDO'!J126</f>
        <v>-8739602.3699999992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8946171</v>
      </c>
      <c r="E8" s="288">
        <f>'CONSOLIDADO_TOTAL RECAUDO'!E127</f>
        <v>0</v>
      </c>
      <c r="G8" s="339">
        <f>'CONSOLIDADO_TOTAL RECAUDO'!G127</f>
        <v>169120</v>
      </c>
      <c r="H8" s="340">
        <f>'CONSOLIDADO_TOTAL RECAUDO'!H127</f>
        <v>23629213.850000001</v>
      </c>
      <c r="I8" s="288">
        <f>'CONSOLIDADO_TOTAL RECAUDO'!I127</f>
        <v>0</v>
      </c>
      <c r="J8" s="288">
        <f>'CONSOLIDADO_TOTAL RECAUDO'!J127</f>
        <v>-6125983.8899999997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41072279.719999999</v>
      </c>
      <c r="E9" s="288">
        <f>'CONSOLIDADO_TOTAL RECAUDO'!E128</f>
        <v>0</v>
      </c>
      <c r="G9" s="339">
        <f>'CONSOLIDADO_TOTAL RECAUDO'!G128</f>
        <v>8635714</v>
      </c>
      <c r="H9" s="340">
        <f>'CONSOLIDADO_TOTAL RECAUDO'!H128</f>
        <v>23548210.240000002</v>
      </c>
      <c r="I9" s="288">
        <f>'CONSOLIDADO_TOTAL RECAUDO'!I128</f>
        <v>0</v>
      </c>
      <c r="J9" s="288">
        <f>'CONSOLIDADO_TOTAL RECAUDO'!J128</f>
        <v>-22250059.780000001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14445987</v>
      </c>
      <c r="E10" s="344">
        <f>'CONSOLIDADO_TOTAL RECAUDO'!E129</f>
        <v>0</v>
      </c>
      <c r="G10" s="339">
        <f>'CONSOLIDADO_TOTAL RECAUDO'!G129</f>
        <v>61140</v>
      </c>
      <c r="H10" s="340">
        <f>'CONSOLIDADO_TOTAL RECAUDO'!H129</f>
        <v>27520060.710000001</v>
      </c>
      <c r="I10" s="288">
        <f>'CONSOLIDADO_TOTAL RECAUDO'!I129</f>
        <v>0</v>
      </c>
      <c r="J10" s="288">
        <f>'CONSOLIDADO_TOTAL RECAUDO'!J129</f>
        <v>-9076100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185904781.96000001</v>
      </c>
      <c r="E12" s="350">
        <f>'CONSOLIDADO_TOTAL RECAUDO'!E131</f>
        <v>0</v>
      </c>
      <c r="F12" s="351"/>
      <c r="G12" s="350">
        <f>'CONSOLIDADO_TOTAL RECAUDO'!G131</f>
        <v>8908654</v>
      </c>
      <c r="H12" s="350">
        <f>'CONSOLIDADO_TOTAL RECAUDO'!H131</f>
        <v>211255909.17000002</v>
      </c>
      <c r="I12" s="350">
        <f>'CONSOLIDADO_TOTAL RECAUDO'!I131</f>
        <v>0</v>
      </c>
      <c r="J12" s="350">
        <f>'CONSOLIDADO_TOTAL RECAUDO'!J131</f>
        <v>-49736253.329999998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8181830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16022820.030000001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5225400</v>
      </c>
      <c r="E24" s="288">
        <f>'REMUNERACION Reciprocidad EAAB'!E128</f>
        <v>0</v>
      </c>
      <c r="G24" s="339">
        <f>'REMUNERACION Reciprocidad EAAB'!G128</f>
        <v>208970</v>
      </c>
      <c r="H24" s="340">
        <f>'REMUNERACION Reciprocidad EAAB'!H128</f>
        <v>4840819.8599999994</v>
      </c>
      <c r="I24" s="288">
        <f>'REMUNERACION Reciprocidad EAAB'!I128</f>
        <v>0</v>
      </c>
      <c r="J24" s="288">
        <f>'REMUNERACION Reciprocidad EAAB'!J128</f>
        <v>-262000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13407230</v>
      </c>
      <c r="E27" s="350">
        <f>'REMUNERACION Reciprocidad EAAB'!E131</f>
        <v>0</v>
      </c>
      <c r="F27" s="351"/>
      <c r="G27" s="350">
        <f>'REMUNERACION Reciprocidad EAAB'!G131</f>
        <v>208970</v>
      </c>
      <c r="H27" s="350">
        <f>'REMUNERACION Reciprocidad EAAB'!H131</f>
        <v>20863639.890000001</v>
      </c>
      <c r="I27" s="350">
        <f>'REMUNERACION Reciprocidad EAAB'!I131</f>
        <v>0</v>
      </c>
      <c r="J27" s="350">
        <f>'REMUNERACION Reciprocidad EAAB'!J131</f>
        <v>-262000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25429155</v>
      </c>
      <c r="E35" s="309">
        <f>REMUNERACION_ENEL!E125</f>
        <v>0</v>
      </c>
      <c r="G35" s="336">
        <f>REMUNERACION_ENEL!G125</f>
        <v>0</v>
      </c>
      <c r="H35" s="310">
        <f>REMUNERACION_ENEL!H125</f>
        <v>30254522.43</v>
      </c>
      <c r="I35" s="309">
        <f>REMUNERACION_ENEL!I125</f>
        <v>0</v>
      </c>
      <c r="J35" s="309">
        <f>REMUNERACION_ENEL!J125</f>
        <v>-3461197.29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27050219</v>
      </c>
      <c r="E36" s="288">
        <f>REMUNERACION_ENEL!E126</f>
        <v>0</v>
      </c>
      <c r="G36" s="339">
        <f>REMUNERACION_ENEL!G126</f>
        <v>0</v>
      </c>
      <c r="H36" s="340">
        <f>REMUNERACION_ENEL!H126</f>
        <v>56441179.739999995</v>
      </c>
      <c r="I36" s="288">
        <f>REMUNERACION_ENEL!I126</f>
        <v>0</v>
      </c>
      <c r="J36" s="288">
        <f>REMUNERACION_ENEL!J126</f>
        <v>-8739602.3699999992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6025131</v>
      </c>
      <c r="E37" s="288">
        <f>REMUNERACION_ENEL!E127</f>
        <v>0</v>
      </c>
      <c r="G37" s="339">
        <f>REMUNERACION_ENEL!G127</f>
        <v>135940</v>
      </c>
      <c r="H37" s="340">
        <f>REMUNERACION_ENEL!H127</f>
        <v>21873459.120000001</v>
      </c>
      <c r="I37" s="288">
        <f>REMUNERACION_ENEL!I127</f>
        <v>0</v>
      </c>
      <c r="J37" s="288">
        <f>REMUNERACION_ENEL!J127</f>
        <v>-6091573.8899999997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27660196</v>
      </c>
      <c r="E38" s="288">
        <f>REMUNERACION_ENEL!E128</f>
        <v>0</v>
      </c>
      <c r="G38" s="339">
        <f>REMUNERACION_ENEL!G128</f>
        <v>8186910</v>
      </c>
      <c r="H38" s="340">
        <f>REMUNERACION_ENEL!H128</f>
        <v>15536711.57</v>
      </c>
      <c r="I38" s="288">
        <f>REMUNERACION_ENEL!I128</f>
        <v>0</v>
      </c>
      <c r="J38" s="288">
        <f>REMUNERACION_ENEL!J128</f>
        <v>-20245524.780000001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9759043</v>
      </c>
      <c r="E39" s="344">
        <f>REMUNERACION_ENEL!E129</f>
        <v>0</v>
      </c>
      <c r="G39" s="339">
        <f>REMUNERACION_ENEL!G129</f>
        <v>0</v>
      </c>
      <c r="H39" s="340">
        <f>REMUNERACION_ENEL!H129</f>
        <v>26488801.359999999</v>
      </c>
      <c r="I39" s="288">
        <f>REMUNERACION_ENEL!I129</f>
        <v>0</v>
      </c>
      <c r="J39" s="288">
        <f>REMUNERACION_ENEL!J129</f>
        <v>-8771320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95923744</v>
      </c>
      <c r="E41" s="350">
        <f>REMUNERACION_ENEL!E131</f>
        <v>0</v>
      </c>
      <c r="F41" s="351"/>
      <c r="G41" s="350">
        <f>REMUNERACION_ENEL!G131</f>
        <v>8322850</v>
      </c>
      <c r="H41" s="350">
        <f>REMUNERACION_ENEL!H131</f>
        <v>150594674.21999997</v>
      </c>
      <c r="I41" s="350">
        <f>REMUNERACION_ENEL!I131</f>
        <v>0</v>
      </c>
      <c r="J41" s="350">
        <f>REMUNERACION_ENEL!J131</f>
        <v>-47309218.329999998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330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1379910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1379910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7990275.4900000002</v>
      </c>
      <c r="E63" s="309">
        <f>'REMUNERACION_OCCIDENTE_ Directa'!E125</f>
        <v>0</v>
      </c>
      <c r="G63" s="336">
        <f>'REMUNERACION_OCCIDENTE_ Directa'!G125</f>
        <v>42680</v>
      </c>
      <c r="H63" s="310">
        <f>'REMUNERACION_OCCIDENTE_ Directa'!H125</f>
        <v>4590431.71</v>
      </c>
      <c r="I63" s="309">
        <f>'REMUNERACION_OCCIDENTE_ Directa'!I125</f>
        <v>0</v>
      </c>
      <c r="J63" s="309">
        <f>'REMUNERACION_OCCIDENTE_ Directa'!J125</f>
        <v>-83310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52788864.75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29249470.460000001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2921040</v>
      </c>
      <c r="E65" s="288">
        <f>'REMUNERACION_OCCIDENTE_ Directa'!E127</f>
        <v>0</v>
      </c>
      <c r="G65" s="339">
        <f>'REMUNERACION_OCCIDENTE_ Directa'!G127</f>
        <v>33180</v>
      </c>
      <c r="H65" s="340">
        <f>'REMUNERACION_OCCIDENTE_ Directa'!H127</f>
        <v>1755754.73</v>
      </c>
      <c r="I65" s="288">
        <f>'REMUNERACION_OCCIDENTE_ Directa'!I127</f>
        <v>0</v>
      </c>
      <c r="J65" s="288">
        <f>'REMUNERACION_OCCIDENTE_ Directa'!J127</f>
        <v>-34410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8186683.7199999997</v>
      </c>
      <c r="E66" s="288">
        <f>'REMUNERACION_OCCIDENTE_ Directa'!E128</f>
        <v>0</v>
      </c>
      <c r="G66" s="339">
        <f>'REMUNERACION_OCCIDENTE_ Directa'!G128</f>
        <v>239834</v>
      </c>
      <c r="H66" s="340">
        <f>'REMUNERACION_OCCIDENTE_ Directa'!H128</f>
        <v>3170678.8099999996</v>
      </c>
      <c r="I66" s="288">
        <f>'REMUNERACION_OCCIDENTE_ Directa'!I128</f>
        <v>0</v>
      </c>
      <c r="J66" s="288">
        <f>'REMUNERACION_OCCIDENTE_ Directa'!J128</f>
        <v>-1742535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3307034</v>
      </c>
      <c r="E67" s="344">
        <f>'REMUNERACION_OCCIDENTE_ Directa'!E129</f>
        <v>0</v>
      </c>
      <c r="G67" s="339">
        <f>'REMUNERACION_OCCIDENTE_ Directa'!G129</f>
        <v>61140</v>
      </c>
      <c r="H67" s="340">
        <f>'REMUNERACION_OCCIDENTE_ Directa'!H129</f>
        <v>1031259.35</v>
      </c>
      <c r="I67" s="288">
        <f>'REMUNERACION_OCCIDENTE_ Directa'!I129</f>
        <v>0</v>
      </c>
      <c r="J67" s="288">
        <f>'REMUNERACION_OCCIDENTE_ Directa'!J129</f>
        <v>-304780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75193897.960000008</v>
      </c>
      <c r="E69" s="350">
        <f>'REMUNERACION_OCCIDENTE_ Directa'!E131</f>
        <v>0</v>
      </c>
      <c r="F69" s="351"/>
      <c r="G69" s="350">
        <f>'REMUNERACION_OCCIDENTE_ Directa'!G131</f>
        <v>376834</v>
      </c>
      <c r="H69" s="350">
        <f>'REMUNERACION_OCCIDENTE_ Directa'!H131</f>
        <v>39797595.060000002</v>
      </c>
      <c r="I69" s="350">
        <f>'REMUNERACION_OCCIDENTE_ Directa'!I131</f>
        <v>0</v>
      </c>
      <c r="J69" s="350">
        <f>'REMUNERACION_OCCIDENTE_ Directa'!J131</f>
        <v>-2165035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2026091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338</v>
      </c>
      <c r="D7" s="546">
        <v>59740889865</v>
      </c>
      <c r="E7" s="533">
        <f>SUM(D7:D9)</f>
        <v>59898451117</v>
      </c>
      <c r="F7" s="534" t="b">
        <v>1</v>
      </c>
      <c r="G7" s="143"/>
      <c r="H7" s="143"/>
      <c r="I7" s="143"/>
    </row>
    <row r="8" spans="2:9" ht="14.4" x14ac:dyDescent="0.3">
      <c r="C8" s="545" t="s">
        <v>325</v>
      </c>
      <c r="D8" s="546">
        <v>138550812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19010440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3415713536</v>
      </c>
      <c r="E10" s="535">
        <f>SUM(D10)</f>
        <v>3415713536</v>
      </c>
      <c r="F10" s="536">
        <f>E7+E10</f>
        <v>63314164653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2026-10-29T17:46:44Z</dcterms:modified>
</cp:coreProperties>
</file>